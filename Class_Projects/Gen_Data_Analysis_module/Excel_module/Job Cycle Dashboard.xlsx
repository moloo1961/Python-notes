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716bf7b5a5bd01/Documents/"/>
    </mc:Choice>
  </mc:AlternateContent>
  <xr:revisionPtr revIDLastSave="6" documentId="8_{44C00EBC-993A-4EF7-BA4E-99E14E08A8B9}" xr6:coauthVersionLast="47" xr6:coauthVersionMax="47" xr10:uidLastSave="{1A88440D-2052-4178-B94A-7BB51D278AF4}"/>
  <bookViews>
    <workbookView xWindow="-120" yWindow="-120" windowWidth="20730" windowHeight="11040" xr2:uid="{762072A1-CAD6-4CB3-BAF3-D9FF50EE3EF0}"/>
  </bookViews>
  <sheets>
    <sheet name="Raw Data" sheetId="2" r:id="rId1"/>
    <sheet name="Summary" sheetId="1" r:id="rId2"/>
  </sheets>
  <definedNames>
    <definedName name="ExternalData_1" localSheetId="0" hidden="1">'Raw Data'!$A$1:$Z$2401</definedName>
  </definedNames>
  <calcPr calcId="191029"/>
  <pivotCaches>
    <pivotCache cacheId="10" r:id="rId3"/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2" i="2" l="1"/>
  <c r="AS14" i="2"/>
  <c r="AS13" i="2"/>
  <c r="AS11" i="2"/>
  <c r="AS10" i="2"/>
  <c r="AS4" i="2"/>
  <c r="AS5" i="2"/>
  <c r="AS3" i="2"/>
  <c r="AS6" i="2"/>
  <c r="AS2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3" i="2"/>
  <c r="AK4" i="2"/>
  <c r="AK5" i="2"/>
  <c r="AK6" i="2"/>
  <c r="AK7" i="2"/>
  <c r="AK8" i="2"/>
  <c r="AK9" i="2"/>
  <c r="AK10" i="2"/>
  <c r="AK2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88" i="2"/>
  <c r="AJ1489" i="2"/>
  <c r="AJ1490" i="2"/>
  <c r="AJ1491" i="2"/>
  <c r="AJ1492" i="2"/>
  <c r="AJ1493" i="2"/>
  <c r="AJ1494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2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67" i="2"/>
  <c r="AJ1668" i="2"/>
  <c r="AJ1669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3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51" i="2"/>
  <c r="AJ1852" i="2"/>
  <c r="AJ1853" i="2"/>
  <c r="AJ1854" i="2"/>
  <c r="AJ1855" i="2"/>
  <c r="AJ1856" i="2"/>
  <c r="AJ1857" i="2"/>
  <c r="AJ1858" i="2"/>
  <c r="AJ1859" i="2"/>
  <c r="AJ1860" i="2"/>
  <c r="AJ1861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4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68" i="2"/>
  <c r="AJ2069" i="2"/>
  <c r="AJ2070" i="2"/>
  <c r="AJ2071" i="2"/>
  <c r="AJ2072" i="2"/>
  <c r="AJ2073" i="2"/>
  <c r="AJ2074" i="2"/>
  <c r="AJ2075" i="2"/>
  <c r="AJ2076" i="2"/>
  <c r="AJ2077" i="2"/>
  <c r="AJ2078" i="2"/>
  <c r="AJ2079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2124" i="2"/>
  <c r="AJ2125" i="2"/>
  <c r="AJ2126" i="2"/>
  <c r="AJ2127" i="2"/>
  <c r="AJ2128" i="2"/>
  <c r="AJ2129" i="2"/>
  <c r="AJ2130" i="2"/>
  <c r="AJ2131" i="2"/>
  <c r="AJ2132" i="2"/>
  <c r="AJ2133" i="2"/>
  <c r="AJ2134" i="2"/>
  <c r="AJ2135" i="2"/>
  <c r="AJ2136" i="2"/>
  <c r="AJ2137" i="2"/>
  <c r="AJ2138" i="2"/>
  <c r="AJ2139" i="2"/>
  <c r="AJ2140" i="2"/>
  <c r="AJ2141" i="2"/>
  <c r="AJ2142" i="2"/>
  <c r="AJ2143" i="2"/>
  <c r="AJ2144" i="2"/>
  <c r="AJ2145" i="2"/>
  <c r="AJ2146" i="2"/>
  <c r="AJ2147" i="2"/>
  <c r="AJ2148" i="2"/>
  <c r="AJ2149" i="2"/>
  <c r="AJ2150" i="2"/>
  <c r="AJ2151" i="2"/>
  <c r="AJ2152" i="2"/>
  <c r="AJ2153" i="2"/>
  <c r="AJ2154" i="2"/>
  <c r="AJ2155" i="2"/>
  <c r="AJ2156" i="2"/>
  <c r="AJ2157" i="2"/>
  <c r="AJ2158" i="2"/>
  <c r="AJ2159" i="2"/>
  <c r="AJ2160" i="2"/>
  <c r="AJ2161" i="2"/>
  <c r="AJ2162" i="2"/>
  <c r="AJ2163" i="2"/>
  <c r="AJ2164" i="2"/>
  <c r="AJ2165" i="2"/>
  <c r="AJ2166" i="2"/>
  <c r="AJ2167" i="2"/>
  <c r="AJ2168" i="2"/>
  <c r="AJ2169" i="2"/>
  <c r="AJ2170" i="2"/>
  <c r="AJ2171" i="2"/>
  <c r="AJ2172" i="2"/>
  <c r="AJ2173" i="2"/>
  <c r="AJ2174" i="2"/>
  <c r="AJ2175" i="2"/>
  <c r="AJ2176" i="2"/>
  <c r="AJ2177" i="2"/>
  <c r="AJ2178" i="2"/>
  <c r="AJ2179" i="2"/>
  <c r="AJ2180" i="2"/>
  <c r="AJ2181" i="2"/>
  <c r="AJ2182" i="2"/>
  <c r="AJ2183" i="2"/>
  <c r="AJ2184" i="2"/>
  <c r="AJ2185" i="2"/>
  <c r="AJ2186" i="2"/>
  <c r="AJ2187" i="2"/>
  <c r="AJ2188" i="2"/>
  <c r="AJ2189" i="2"/>
  <c r="AJ2190" i="2"/>
  <c r="AJ2191" i="2"/>
  <c r="AJ2192" i="2"/>
  <c r="AJ2193" i="2"/>
  <c r="AJ2194" i="2"/>
  <c r="AJ2195" i="2"/>
  <c r="AJ2196" i="2"/>
  <c r="AJ2197" i="2"/>
  <c r="AJ2198" i="2"/>
  <c r="AJ2199" i="2"/>
  <c r="AJ2200" i="2"/>
  <c r="AJ2201" i="2"/>
  <c r="AJ2202" i="2"/>
  <c r="AJ2203" i="2"/>
  <c r="AJ2204" i="2"/>
  <c r="AJ2205" i="2"/>
  <c r="AJ2206" i="2"/>
  <c r="AJ2207" i="2"/>
  <c r="AJ2208" i="2"/>
  <c r="AJ2209" i="2"/>
  <c r="AJ2210" i="2"/>
  <c r="AJ2211" i="2"/>
  <c r="AJ2212" i="2"/>
  <c r="AJ2213" i="2"/>
  <c r="AJ2214" i="2"/>
  <c r="AJ2215" i="2"/>
  <c r="AJ2216" i="2"/>
  <c r="AJ2217" i="2"/>
  <c r="AJ2218" i="2"/>
  <c r="AJ2219" i="2"/>
  <c r="AJ2220" i="2"/>
  <c r="AJ2221" i="2"/>
  <c r="AJ2222" i="2"/>
  <c r="AJ2223" i="2"/>
  <c r="AJ2224" i="2"/>
  <c r="AJ2225" i="2"/>
  <c r="AJ2226" i="2"/>
  <c r="AJ2227" i="2"/>
  <c r="AJ2228" i="2"/>
  <c r="AJ2229" i="2"/>
  <c r="AJ2230" i="2"/>
  <c r="AJ2231" i="2"/>
  <c r="AJ2232" i="2"/>
  <c r="AJ2233" i="2"/>
  <c r="AJ2234" i="2"/>
  <c r="AJ2235" i="2"/>
  <c r="AJ2236" i="2"/>
  <c r="AJ2237" i="2"/>
  <c r="AJ2238" i="2"/>
  <c r="AJ2239" i="2"/>
  <c r="AJ2240" i="2"/>
  <c r="AJ2241" i="2"/>
  <c r="AJ2242" i="2"/>
  <c r="AJ2243" i="2"/>
  <c r="AJ2244" i="2"/>
  <c r="AJ2245" i="2"/>
  <c r="AJ2246" i="2"/>
  <c r="AJ2247" i="2"/>
  <c r="AJ2248" i="2"/>
  <c r="AJ2249" i="2"/>
  <c r="AJ2250" i="2"/>
  <c r="AJ2251" i="2"/>
  <c r="AJ2252" i="2"/>
  <c r="AJ2253" i="2"/>
  <c r="AJ2254" i="2"/>
  <c r="AJ2255" i="2"/>
  <c r="AJ2256" i="2"/>
  <c r="AJ2257" i="2"/>
  <c r="AJ2258" i="2"/>
  <c r="AJ2259" i="2"/>
  <c r="AJ2260" i="2"/>
  <c r="AJ2261" i="2"/>
  <c r="AJ2262" i="2"/>
  <c r="AJ2263" i="2"/>
  <c r="AJ2264" i="2"/>
  <c r="AJ2265" i="2"/>
  <c r="AJ2266" i="2"/>
  <c r="AJ2267" i="2"/>
  <c r="AJ2268" i="2"/>
  <c r="AJ2269" i="2"/>
  <c r="AJ2270" i="2"/>
  <c r="AJ2271" i="2"/>
  <c r="AJ2272" i="2"/>
  <c r="AJ2273" i="2"/>
  <c r="AJ2274" i="2"/>
  <c r="AJ2275" i="2"/>
  <c r="AJ2276" i="2"/>
  <c r="AJ2277" i="2"/>
  <c r="AJ2278" i="2"/>
  <c r="AJ2279" i="2"/>
  <c r="AJ2280" i="2"/>
  <c r="AJ2281" i="2"/>
  <c r="AJ2282" i="2"/>
  <c r="AJ2283" i="2"/>
  <c r="AJ2284" i="2"/>
  <c r="AJ2285" i="2"/>
  <c r="AJ2286" i="2"/>
  <c r="AJ2287" i="2"/>
  <c r="AJ2288" i="2"/>
  <c r="AJ2289" i="2"/>
  <c r="AJ2290" i="2"/>
  <c r="AJ2291" i="2"/>
  <c r="AJ2292" i="2"/>
  <c r="AJ2293" i="2"/>
  <c r="AJ2294" i="2"/>
  <c r="AJ2295" i="2"/>
  <c r="AJ2296" i="2"/>
  <c r="AJ2297" i="2"/>
  <c r="AJ2298" i="2"/>
  <c r="AJ2299" i="2"/>
  <c r="AJ2300" i="2"/>
  <c r="AJ2301" i="2"/>
  <c r="AJ2302" i="2"/>
  <c r="AJ2303" i="2"/>
  <c r="AJ2304" i="2"/>
  <c r="AJ2305" i="2"/>
  <c r="AJ2306" i="2"/>
  <c r="AJ2307" i="2"/>
  <c r="AJ2308" i="2"/>
  <c r="AJ2309" i="2"/>
  <c r="AJ2310" i="2"/>
  <c r="AJ2311" i="2"/>
  <c r="AJ2312" i="2"/>
  <c r="AJ2313" i="2"/>
  <c r="AJ2314" i="2"/>
  <c r="AJ2315" i="2"/>
  <c r="AJ2316" i="2"/>
  <c r="AJ2317" i="2"/>
  <c r="AJ2318" i="2"/>
  <c r="AJ2319" i="2"/>
  <c r="AJ2320" i="2"/>
  <c r="AJ2321" i="2"/>
  <c r="AJ2322" i="2"/>
  <c r="AJ2323" i="2"/>
  <c r="AJ2324" i="2"/>
  <c r="AJ2325" i="2"/>
  <c r="AJ2326" i="2"/>
  <c r="AJ2327" i="2"/>
  <c r="AJ2328" i="2"/>
  <c r="AJ2329" i="2"/>
  <c r="AJ2330" i="2"/>
  <c r="AJ2331" i="2"/>
  <c r="AJ2332" i="2"/>
  <c r="AJ2333" i="2"/>
  <c r="AJ2334" i="2"/>
  <c r="AJ2335" i="2"/>
  <c r="AJ2336" i="2"/>
  <c r="AJ2337" i="2"/>
  <c r="AJ2338" i="2"/>
  <c r="AJ2339" i="2"/>
  <c r="AJ2340" i="2"/>
  <c r="AJ2341" i="2"/>
  <c r="AJ2342" i="2"/>
  <c r="AJ2343" i="2"/>
  <c r="AJ2344" i="2"/>
  <c r="AJ2345" i="2"/>
  <c r="AJ2346" i="2"/>
  <c r="AJ2347" i="2"/>
  <c r="AJ2348" i="2"/>
  <c r="AJ2349" i="2"/>
  <c r="AJ2350" i="2"/>
  <c r="AJ2351" i="2"/>
  <c r="AJ2352" i="2"/>
  <c r="AJ2353" i="2"/>
  <c r="AJ2354" i="2"/>
  <c r="AJ2355" i="2"/>
  <c r="AJ2356" i="2"/>
  <c r="AJ2357" i="2"/>
  <c r="AJ2358" i="2"/>
  <c r="AJ2359" i="2"/>
  <c r="AJ2360" i="2"/>
  <c r="AJ2361" i="2"/>
  <c r="AJ2362" i="2"/>
  <c r="AJ2363" i="2"/>
  <c r="AJ2364" i="2"/>
  <c r="AJ2365" i="2"/>
  <c r="AJ2366" i="2"/>
  <c r="AJ2367" i="2"/>
  <c r="AJ2368" i="2"/>
  <c r="AJ2369" i="2"/>
  <c r="AJ2370" i="2"/>
  <c r="AJ2371" i="2"/>
  <c r="AJ2372" i="2"/>
  <c r="AJ2373" i="2"/>
  <c r="AJ2374" i="2"/>
  <c r="AJ2375" i="2"/>
  <c r="AJ2376" i="2"/>
  <c r="AJ2377" i="2"/>
  <c r="AJ2378" i="2"/>
  <c r="AJ2379" i="2"/>
  <c r="AJ2380" i="2"/>
  <c r="AJ2381" i="2"/>
  <c r="AJ2382" i="2"/>
  <c r="AJ2383" i="2"/>
  <c r="AJ2384" i="2"/>
  <c r="AJ2385" i="2"/>
  <c r="AJ2386" i="2"/>
  <c r="AJ2387" i="2"/>
  <c r="AJ2388" i="2"/>
  <c r="AJ2389" i="2"/>
  <c r="AJ2390" i="2"/>
  <c r="AJ2391" i="2"/>
  <c r="AJ2392" i="2"/>
  <c r="AJ2393" i="2"/>
  <c r="AJ2394" i="2"/>
  <c r="AJ2395" i="2"/>
  <c r="AJ2396" i="2"/>
  <c r="AJ2397" i="2"/>
  <c r="AJ2398" i="2"/>
  <c r="AJ2399" i="2"/>
  <c r="AJ2400" i="2"/>
  <c r="AJ2401" i="2"/>
  <c r="AJ3" i="2"/>
  <c r="AJ4" i="2"/>
  <c r="AJ5" i="2"/>
  <c r="AJ6" i="2"/>
  <c r="AJ7" i="2"/>
  <c r="AJ8" i="2"/>
  <c r="AJ9" i="2"/>
  <c r="AJ10" i="2"/>
  <c r="AJ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2303" i="2"/>
  <c r="AI2304" i="2"/>
  <c r="AI2305" i="2"/>
  <c r="AI2306" i="2"/>
  <c r="AI2307" i="2"/>
  <c r="AI2308" i="2"/>
  <c r="AI2309" i="2"/>
  <c r="AI2310" i="2"/>
  <c r="AI2311" i="2"/>
  <c r="AI2312" i="2"/>
  <c r="AI2313" i="2"/>
  <c r="AI2314" i="2"/>
  <c r="AI2315" i="2"/>
  <c r="AI2316" i="2"/>
  <c r="AI2317" i="2"/>
  <c r="AI2318" i="2"/>
  <c r="AI2319" i="2"/>
  <c r="AI2320" i="2"/>
  <c r="AI2321" i="2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I2339" i="2"/>
  <c r="AI2340" i="2"/>
  <c r="AI2341" i="2"/>
  <c r="AI2342" i="2"/>
  <c r="AI2343" i="2"/>
  <c r="AI2344" i="2"/>
  <c r="AI2345" i="2"/>
  <c r="AI2346" i="2"/>
  <c r="AI2347" i="2"/>
  <c r="AI2348" i="2"/>
  <c r="AI2349" i="2"/>
  <c r="AI2350" i="2"/>
  <c r="AI2351" i="2"/>
  <c r="AI2352" i="2"/>
  <c r="AI2353" i="2"/>
  <c r="AI2354" i="2"/>
  <c r="AI2355" i="2"/>
  <c r="AI2356" i="2"/>
  <c r="AI2357" i="2"/>
  <c r="AI2358" i="2"/>
  <c r="AI2359" i="2"/>
  <c r="AI2360" i="2"/>
  <c r="AI2361" i="2"/>
  <c r="AI2362" i="2"/>
  <c r="AI2363" i="2"/>
  <c r="AI2364" i="2"/>
  <c r="AI2365" i="2"/>
  <c r="AI2366" i="2"/>
  <c r="AI2367" i="2"/>
  <c r="AI2368" i="2"/>
  <c r="AI2369" i="2"/>
  <c r="AI2370" i="2"/>
  <c r="AI2371" i="2"/>
  <c r="AI2372" i="2"/>
  <c r="AI2373" i="2"/>
  <c r="AI2374" i="2"/>
  <c r="AI2375" i="2"/>
  <c r="AI2376" i="2"/>
  <c r="AI2377" i="2"/>
  <c r="AI2378" i="2"/>
  <c r="AI2379" i="2"/>
  <c r="AI2380" i="2"/>
  <c r="AI2381" i="2"/>
  <c r="AI2382" i="2"/>
  <c r="AI2383" i="2"/>
  <c r="AI2384" i="2"/>
  <c r="AI2385" i="2"/>
  <c r="AI2386" i="2"/>
  <c r="AI2387" i="2"/>
  <c r="AI2388" i="2"/>
  <c r="AI2389" i="2"/>
  <c r="AI2390" i="2"/>
  <c r="AI2391" i="2"/>
  <c r="AI2392" i="2"/>
  <c r="AI2393" i="2"/>
  <c r="AI2394" i="2"/>
  <c r="AI2395" i="2"/>
  <c r="AI2396" i="2"/>
  <c r="AI2397" i="2"/>
  <c r="AI2398" i="2"/>
  <c r="AI2399" i="2"/>
  <c r="AI2400" i="2"/>
  <c r="AI2401" i="2"/>
  <c r="AI3" i="2"/>
  <c r="AI4" i="2"/>
  <c r="AI5" i="2"/>
  <c r="AI6" i="2"/>
  <c r="AI7" i="2"/>
  <c r="AI8" i="2"/>
  <c r="AI9" i="2"/>
  <c r="AI10" i="2"/>
  <c r="AI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242" i="2"/>
  <c r="AF2243" i="2"/>
  <c r="AF2244" i="2"/>
  <c r="AF2245" i="2"/>
  <c r="AF2246" i="2"/>
  <c r="AF2247" i="2"/>
  <c r="AF2248" i="2"/>
  <c r="AF2249" i="2"/>
  <c r="AF2250" i="2"/>
  <c r="AF2251" i="2"/>
  <c r="AF2252" i="2"/>
  <c r="AF2253" i="2"/>
  <c r="AF2254" i="2"/>
  <c r="AF2255" i="2"/>
  <c r="AF2256" i="2"/>
  <c r="AF2257" i="2"/>
  <c r="AF2258" i="2"/>
  <c r="AF2259" i="2"/>
  <c r="AF2260" i="2"/>
  <c r="AF2261" i="2"/>
  <c r="AF2262" i="2"/>
  <c r="AF2263" i="2"/>
  <c r="AF2264" i="2"/>
  <c r="AF2265" i="2"/>
  <c r="AF2266" i="2"/>
  <c r="AF2267" i="2"/>
  <c r="AF2268" i="2"/>
  <c r="AF2269" i="2"/>
  <c r="AF2270" i="2"/>
  <c r="AF2271" i="2"/>
  <c r="AF2272" i="2"/>
  <c r="AF2273" i="2"/>
  <c r="AF2274" i="2"/>
  <c r="AF2275" i="2"/>
  <c r="AF2276" i="2"/>
  <c r="AF2277" i="2"/>
  <c r="AF2278" i="2"/>
  <c r="AF2279" i="2"/>
  <c r="AF2280" i="2"/>
  <c r="AF2281" i="2"/>
  <c r="AF2282" i="2"/>
  <c r="AF2283" i="2"/>
  <c r="AF2284" i="2"/>
  <c r="AF2285" i="2"/>
  <c r="AF2286" i="2"/>
  <c r="AF2287" i="2"/>
  <c r="AF2288" i="2"/>
  <c r="AF2289" i="2"/>
  <c r="AF2290" i="2"/>
  <c r="AF2291" i="2"/>
  <c r="AF2292" i="2"/>
  <c r="AF2293" i="2"/>
  <c r="AF2294" i="2"/>
  <c r="AF2295" i="2"/>
  <c r="AF2296" i="2"/>
  <c r="AF2297" i="2"/>
  <c r="AF2298" i="2"/>
  <c r="AF2299" i="2"/>
  <c r="AF2300" i="2"/>
  <c r="AF2301" i="2"/>
  <c r="AF2302" i="2"/>
  <c r="AF2303" i="2"/>
  <c r="AF2304" i="2"/>
  <c r="AF2305" i="2"/>
  <c r="AF2306" i="2"/>
  <c r="AF2307" i="2"/>
  <c r="AF2308" i="2"/>
  <c r="AF2309" i="2"/>
  <c r="AF2310" i="2"/>
  <c r="AF2311" i="2"/>
  <c r="AF2312" i="2"/>
  <c r="AF2313" i="2"/>
  <c r="AF2314" i="2"/>
  <c r="AF2315" i="2"/>
  <c r="AF2316" i="2"/>
  <c r="AF2317" i="2"/>
  <c r="AF2318" i="2"/>
  <c r="AF2319" i="2"/>
  <c r="AF2320" i="2"/>
  <c r="AF2321" i="2"/>
  <c r="AF2322" i="2"/>
  <c r="AF2323" i="2"/>
  <c r="AF2324" i="2"/>
  <c r="AF2325" i="2"/>
  <c r="AF2326" i="2"/>
  <c r="AF2327" i="2"/>
  <c r="AF2328" i="2"/>
  <c r="AF2329" i="2"/>
  <c r="AF2330" i="2"/>
  <c r="AF2331" i="2"/>
  <c r="AF2332" i="2"/>
  <c r="AF2333" i="2"/>
  <c r="AF2334" i="2"/>
  <c r="AF2335" i="2"/>
  <c r="AF2336" i="2"/>
  <c r="AF2337" i="2"/>
  <c r="AF2338" i="2"/>
  <c r="AF2339" i="2"/>
  <c r="AF2340" i="2"/>
  <c r="AF2341" i="2"/>
  <c r="AF2342" i="2"/>
  <c r="AF2343" i="2"/>
  <c r="AF2344" i="2"/>
  <c r="AF2345" i="2"/>
  <c r="AF2346" i="2"/>
  <c r="AF2347" i="2"/>
  <c r="AF2348" i="2"/>
  <c r="AF2349" i="2"/>
  <c r="AF2350" i="2"/>
  <c r="AF2351" i="2"/>
  <c r="AF2352" i="2"/>
  <c r="AF2353" i="2"/>
  <c r="AF2354" i="2"/>
  <c r="AF2355" i="2"/>
  <c r="AF2356" i="2"/>
  <c r="AF2357" i="2"/>
  <c r="AF2358" i="2"/>
  <c r="AF2359" i="2"/>
  <c r="AF2360" i="2"/>
  <c r="AF2361" i="2"/>
  <c r="AF2362" i="2"/>
  <c r="AF2363" i="2"/>
  <c r="AF2364" i="2"/>
  <c r="AF2365" i="2"/>
  <c r="AF2366" i="2"/>
  <c r="AF2367" i="2"/>
  <c r="AF2368" i="2"/>
  <c r="AF2369" i="2"/>
  <c r="AF2370" i="2"/>
  <c r="AF2371" i="2"/>
  <c r="AF2372" i="2"/>
  <c r="AF2373" i="2"/>
  <c r="AF2374" i="2"/>
  <c r="AF2375" i="2"/>
  <c r="AF2376" i="2"/>
  <c r="AF2377" i="2"/>
  <c r="AF2378" i="2"/>
  <c r="AF2379" i="2"/>
  <c r="AF2380" i="2"/>
  <c r="AF2381" i="2"/>
  <c r="AF2382" i="2"/>
  <c r="AF2383" i="2"/>
  <c r="AF2384" i="2"/>
  <c r="AF2385" i="2"/>
  <c r="AF2386" i="2"/>
  <c r="AF2387" i="2"/>
  <c r="AF2388" i="2"/>
  <c r="AF2389" i="2"/>
  <c r="AF2390" i="2"/>
  <c r="AF2391" i="2"/>
  <c r="AF2392" i="2"/>
  <c r="AF2393" i="2"/>
  <c r="AF2394" i="2"/>
  <c r="AF2395" i="2"/>
  <c r="AF2396" i="2"/>
  <c r="AF2397" i="2"/>
  <c r="AF2398" i="2"/>
  <c r="AF2399" i="2"/>
  <c r="AF2400" i="2"/>
  <c r="AF2401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E2401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" i="2"/>
  <c r="AO8" i="2" l="1"/>
  <c r="AO6" i="2"/>
  <c r="AO5" i="2"/>
  <c r="AO4" i="2"/>
  <c r="AO3" i="2"/>
  <c r="AO2" i="2"/>
  <c r="AO7" i="2"/>
  <c r="AO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6A49AD-B963-403C-A746-F7E77852FCF7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<sst xmlns="http://schemas.openxmlformats.org/spreadsheetml/2006/main" count="21938" uniqueCount="2637">
  <si>
    <t>Open position</t>
  </si>
  <si>
    <t>Position ID</t>
  </si>
  <si>
    <t xml:space="preserve">Department </t>
  </si>
  <si>
    <t>Role</t>
  </si>
  <si>
    <t>Designation</t>
  </si>
  <si>
    <t>Job Vacancy</t>
  </si>
  <si>
    <t>Level/Band</t>
  </si>
  <si>
    <t>Position Requisition Date</t>
  </si>
  <si>
    <t>Vacancy approval date</t>
  </si>
  <si>
    <t>Shortlisted Status</t>
  </si>
  <si>
    <t>Interview date</t>
  </si>
  <si>
    <t>Hire Status</t>
  </si>
  <si>
    <t>Rejection Reason</t>
  </si>
  <si>
    <t>Date job offer</t>
  </si>
  <si>
    <t>Offer Status</t>
  </si>
  <si>
    <t>Date contract prepared</t>
  </si>
  <si>
    <t>Date contract issued </t>
  </si>
  <si>
    <t>Reporting date </t>
  </si>
  <si>
    <t>Date of induction/onboarding </t>
  </si>
  <si>
    <t>Hired</t>
  </si>
  <si>
    <t>Date e-file opened</t>
  </si>
  <si>
    <t>Date physical file open </t>
  </si>
  <si>
    <t>Date of inclusion to benefits </t>
  </si>
  <si>
    <t>Comments</t>
  </si>
  <si>
    <t>Rejected By</t>
  </si>
  <si>
    <t>Date of File Closure</t>
  </si>
  <si>
    <t>525 | Administation</t>
  </si>
  <si>
    <t>Risk Management</t>
  </si>
  <si>
    <t>Risk Management - Junior</t>
  </si>
  <si>
    <t>Analyst</t>
  </si>
  <si>
    <t>Risk Management-Analyst</t>
  </si>
  <si>
    <t>Junior</t>
  </si>
  <si>
    <t>Yes</t>
  </si>
  <si>
    <t>Failed</t>
  </si>
  <si>
    <t>Other</t>
  </si>
  <si>
    <t>Company</t>
  </si>
  <si>
    <t>524 | Administation</t>
  </si>
  <si>
    <t>Risk Management - Associate</t>
  </si>
  <si>
    <t>Associate</t>
  </si>
  <si>
    <t>Declined</t>
  </si>
  <si>
    <t>522 | Administation</t>
  </si>
  <si>
    <t>407 | Administation</t>
  </si>
  <si>
    <t>Supervisor</t>
  </si>
  <si>
    <t>Risk Management-Supervisor</t>
  </si>
  <si>
    <t>No</t>
  </si>
  <si>
    <t>401 | Administation</t>
  </si>
  <si>
    <t>Risk Management - Executive</t>
  </si>
  <si>
    <t>Director</t>
  </si>
  <si>
    <t>Risk Management-Director</t>
  </si>
  <si>
    <t>Executive</t>
  </si>
  <si>
    <t>404 | Administation</t>
  </si>
  <si>
    <t>Not a culture fit</t>
  </si>
  <si>
    <t>403 | Administation</t>
  </si>
  <si>
    <t>408 | Administation</t>
  </si>
  <si>
    <t>409 | Administation</t>
  </si>
  <si>
    <t>Candidate</t>
  </si>
  <si>
    <t>405 | Administation</t>
  </si>
  <si>
    <t>Accepted</t>
  </si>
  <si>
    <t>410 | Administation</t>
  </si>
  <si>
    <t>211 | Administation</t>
  </si>
  <si>
    <t>219 | Administation</t>
  </si>
  <si>
    <t>220 | Administation</t>
  </si>
  <si>
    <t>Head of Department</t>
  </si>
  <si>
    <t>Risk Management-Head of Department</t>
  </si>
  <si>
    <t>216 | Administation</t>
  </si>
  <si>
    <t>215 | Administation</t>
  </si>
  <si>
    <t>339 | Administation</t>
  </si>
  <si>
    <t>Salary expectation too high</t>
  </si>
  <si>
    <t>338 | Administation</t>
  </si>
  <si>
    <t>335 | Administation</t>
  </si>
  <si>
    <t>35 | Administation</t>
  </si>
  <si>
    <t>33 | Administation</t>
  </si>
  <si>
    <t>34 | Administation</t>
  </si>
  <si>
    <t>32 | Administation</t>
  </si>
  <si>
    <t>37 | Administation</t>
  </si>
  <si>
    <t>518 | Administation</t>
  </si>
  <si>
    <t>511 | Administation</t>
  </si>
  <si>
    <t>519 | Administation</t>
  </si>
  <si>
    <t>512 | Administation</t>
  </si>
  <si>
    <t>515 | Administation</t>
  </si>
  <si>
    <t>442 | Administation</t>
  </si>
  <si>
    <t>449 | Administation</t>
  </si>
  <si>
    <t>444 | Administation</t>
  </si>
  <si>
    <t>462 | Administation</t>
  </si>
  <si>
    <t>467 | Administation</t>
  </si>
  <si>
    <t>466 | Administation</t>
  </si>
  <si>
    <t>461 | Administation</t>
  </si>
  <si>
    <t>469 | Administation</t>
  </si>
  <si>
    <t>470 | Administation</t>
  </si>
  <si>
    <t>306 | Administation</t>
  </si>
  <si>
    <t>304 | Administation</t>
  </si>
  <si>
    <t>305 | Administation</t>
  </si>
  <si>
    <t>Position filled by another</t>
  </si>
  <si>
    <t>2975 | Program Office</t>
  </si>
  <si>
    <t>Program Office</t>
  </si>
  <si>
    <t>Program Office - Senior Management</t>
  </si>
  <si>
    <t>Senior Manager</t>
  </si>
  <si>
    <t>Program Office-Senior Manager</t>
  </si>
  <si>
    <t>Senior Management</t>
  </si>
  <si>
    <t>2970 | Program Office</t>
  </si>
  <si>
    <t>2888 | Program Office</t>
  </si>
  <si>
    <t>2869 | Program Office</t>
  </si>
  <si>
    <t>2861 | Program Office</t>
  </si>
  <si>
    <t>2731 | Program Office</t>
  </si>
  <si>
    <t>2555 | Program Office</t>
  </si>
  <si>
    <t>2536 | Program Office</t>
  </si>
  <si>
    <t>2519 | Program Office</t>
  </si>
  <si>
    <t>2366 | Program Office</t>
  </si>
  <si>
    <t>Didn't pass technical test</t>
  </si>
  <si>
    <t>2315 | Program Office</t>
  </si>
  <si>
    <t>2250 | Program Office</t>
  </si>
  <si>
    <t>2241 | Program Office</t>
  </si>
  <si>
    <t>2125 | Program Office</t>
  </si>
  <si>
    <t>2122 | Program Office</t>
  </si>
  <si>
    <t>2070 | Program Office</t>
  </si>
  <si>
    <t>1980 | Program Office</t>
  </si>
  <si>
    <t>1815 | Program Office</t>
  </si>
  <si>
    <t>1807 | Program Office</t>
  </si>
  <si>
    <t>1801 | Program Office</t>
  </si>
  <si>
    <t>1687 | Program Office</t>
  </si>
  <si>
    <t>1405 | Program Office</t>
  </si>
  <si>
    <t>1385 | Program Office</t>
  </si>
  <si>
    <t>1381 | Program Office</t>
  </si>
  <si>
    <t>1322 | Program Office</t>
  </si>
  <si>
    <t>1294 | Program Office</t>
  </si>
  <si>
    <t>498 | Program Office</t>
  </si>
  <si>
    <t>496 | Program Office</t>
  </si>
  <si>
    <t>Senior Supervisory Manager</t>
  </si>
  <si>
    <t>Program Office-Senior Supervisory Manager</t>
  </si>
  <si>
    <t>486 | Program Office</t>
  </si>
  <si>
    <t>481 | Program Office</t>
  </si>
  <si>
    <t>478 | Program Office</t>
  </si>
  <si>
    <t>384 | Program Office</t>
  </si>
  <si>
    <t>377 | Program Office</t>
  </si>
  <si>
    <t>311 | Program Office</t>
  </si>
  <si>
    <t>185 | Program Office</t>
  </si>
  <si>
    <t>184 | Program Office</t>
  </si>
  <si>
    <t>182 | Program Office</t>
  </si>
  <si>
    <t>138 | Program Office</t>
  </si>
  <si>
    <t>9 | Program Office</t>
  </si>
  <si>
    <t>7 | Program Office</t>
  </si>
  <si>
    <t>2973 | Program Office</t>
  </si>
  <si>
    <t>Program Office - Senior</t>
  </si>
  <si>
    <t>Program Office-Analyst</t>
  </si>
  <si>
    <t>Senior</t>
  </si>
  <si>
    <t>2966 | Program Office</t>
  </si>
  <si>
    <t>2964 | Program Office</t>
  </si>
  <si>
    <t>2961 | Program Office</t>
  </si>
  <si>
    <t>2886 | Program Office</t>
  </si>
  <si>
    <t>2882 | Program Office</t>
  </si>
  <si>
    <t>2868 | Program Office</t>
  </si>
  <si>
    <t>2867 | Program Office</t>
  </si>
  <si>
    <t>2862 | Program Office</t>
  </si>
  <si>
    <t>2859 | Program Office</t>
  </si>
  <si>
    <t>2855 | Program Office</t>
  </si>
  <si>
    <t>2851 | Program Office</t>
  </si>
  <si>
    <t>2790 | Program Office</t>
  </si>
  <si>
    <t>2789 | Program Office</t>
  </si>
  <si>
    <t>2788 | Program Office</t>
  </si>
  <si>
    <t>2740 | Program Office</t>
  </si>
  <si>
    <t>2569 | Program Office</t>
  </si>
  <si>
    <t>2567 | Program Office</t>
  </si>
  <si>
    <t>2557 | Program Office</t>
  </si>
  <si>
    <t>2551 | Program Office</t>
  </si>
  <si>
    <t>Pending</t>
  </si>
  <si>
    <t>2457 | Program Office</t>
  </si>
  <si>
    <t>2406 | Program Office</t>
  </si>
  <si>
    <t>2401 | Program Office</t>
  </si>
  <si>
    <t>2384 | Program Office</t>
  </si>
  <si>
    <t>2383 | Program Office</t>
  </si>
  <si>
    <t>2370 | Program Office</t>
  </si>
  <si>
    <t>2314 | Program Office</t>
  </si>
  <si>
    <t>2313 | Program Office</t>
  </si>
  <si>
    <t>2267 | Program Office</t>
  </si>
  <si>
    <t>2263 | Program Office</t>
  </si>
  <si>
    <t>2216 | Program Office</t>
  </si>
  <si>
    <t>2215 | Program Office</t>
  </si>
  <si>
    <t>2213 | Program Office</t>
  </si>
  <si>
    <t>2200 | Program Office</t>
  </si>
  <si>
    <t>2197 | Program Office</t>
  </si>
  <si>
    <t>2191 | Program Office</t>
  </si>
  <si>
    <t>2129 | Program Office</t>
  </si>
  <si>
    <t>2114 | Program Office</t>
  </si>
  <si>
    <t>2069 | Program Office</t>
  </si>
  <si>
    <t>2068 | Program Office</t>
  </si>
  <si>
    <t>2063 | Program Office</t>
  </si>
  <si>
    <t>1988 | Program Office</t>
  </si>
  <si>
    <t>1986 | Program Office</t>
  </si>
  <si>
    <t>1984 | Program Office</t>
  </si>
  <si>
    <t>1982 | Program Office</t>
  </si>
  <si>
    <t>1977 | Program Office</t>
  </si>
  <si>
    <t>1975 | Program Office</t>
  </si>
  <si>
    <t>1970 | Program Office</t>
  </si>
  <si>
    <t>1968 | Program Office</t>
  </si>
  <si>
    <t>1860 | Program Office</t>
  </si>
  <si>
    <t>1858 | Program Office</t>
  </si>
  <si>
    <t>1853 | Program Office</t>
  </si>
  <si>
    <t>1796 | Program Office</t>
  </si>
  <si>
    <t>1442 | Program Office</t>
  </si>
  <si>
    <t>1441 | Program Office</t>
  </si>
  <si>
    <t>1419 | Program Office</t>
  </si>
  <si>
    <t>1414 | Program Office</t>
  </si>
  <si>
    <t>1406 | Program Office</t>
  </si>
  <si>
    <t>1403 | Program Office</t>
  </si>
  <si>
    <t>1402 | Program Office</t>
  </si>
  <si>
    <t>1383 | Program Office</t>
  </si>
  <si>
    <t>1330 | Program Office</t>
  </si>
  <si>
    <t>1324 | Program Office</t>
  </si>
  <si>
    <t>1297 | Program Office</t>
  </si>
  <si>
    <t>1153 | Program Office</t>
  </si>
  <si>
    <t>998 | Program Office</t>
  </si>
  <si>
    <t>997 | Program Office</t>
  </si>
  <si>
    <t>958 | Program Office</t>
  </si>
  <si>
    <t>953 | Program Office</t>
  </si>
  <si>
    <t>944 | Program Office</t>
  </si>
  <si>
    <t>919 | Program Office</t>
  </si>
  <si>
    <t>916 | Program Office</t>
  </si>
  <si>
    <t>912 | Program Office</t>
  </si>
  <si>
    <t>911 | Program Office</t>
  </si>
  <si>
    <t>910 | Program Office</t>
  </si>
  <si>
    <t>907 | Program Office</t>
  </si>
  <si>
    <t>836 | Program Office</t>
  </si>
  <si>
    <t>827 | Program Office</t>
  </si>
  <si>
    <t>825 | Program Office</t>
  </si>
  <si>
    <t>824 | Program Office</t>
  </si>
  <si>
    <t>821 | Program Office</t>
  </si>
  <si>
    <t>798 | Program Office</t>
  </si>
  <si>
    <t>797 | Program Office</t>
  </si>
  <si>
    <t>795 | Program Office</t>
  </si>
  <si>
    <t>793 | Program Office</t>
  </si>
  <si>
    <t>767 | Program Office</t>
  </si>
  <si>
    <t>762 | Program Office</t>
  </si>
  <si>
    <t>729 | Program Office</t>
  </si>
  <si>
    <t>726 | Program Office</t>
  </si>
  <si>
    <t>715 | Program Office</t>
  </si>
  <si>
    <t>711 | Program Office</t>
  </si>
  <si>
    <t>678 | Program Office</t>
  </si>
  <si>
    <t>677 | Program Office</t>
  </si>
  <si>
    <t>657 | Program Office</t>
  </si>
  <si>
    <t>654 | Program Office</t>
  </si>
  <si>
    <t>651 | Program Office</t>
  </si>
  <si>
    <t>640 | Program Office</t>
  </si>
  <si>
    <t>633 | Program Office</t>
  </si>
  <si>
    <t>580 | Program Office</t>
  </si>
  <si>
    <t>574 | Program Office</t>
  </si>
  <si>
    <t>500 | Program Office</t>
  </si>
  <si>
    <t>497 | Program Office</t>
  </si>
  <si>
    <t>490 | Program Office</t>
  </si>
  <si>
    <t>487 | Program Office</t>
  </si>
  <si>
    <t>479 | Program Office</t>
  </si>
  <si>
    <t>389 | Program Office</t>
  </si>
  <si>
    <t>380 | Program Office</t>
  </si>
  <si>
    <t>376 | Program Office</t>
  </si>
  <si>
    <t>Program Office-Supervisor</t>
  </si>
  <si>
    <t>320 | Program Office</t>
  </si>
  <si>
    <t>319 | Program Office</t>
  </si>
  <si>
    <t>317 | Program Office</t>
  </si>
  <si>
    <t>188 | Program Office</t>
  </si>
  <si>
    <t>135 | Program Office</t>
  </si>
  <si>
    <t>65 | Program Office</t>
  </si>
  <si>
    <t>64 | Program Office</t>
  </si>
  <si>
    <t>61 | Program Office</t>
  </si>
  <si>
    <t>5 | Program Office</t>
  </si>
  <si>
    <t>4 | Program Office</t>
  </si>
  <si>
    <t>2 | Program Office</t>
  </si>
  <si>
    <t>2965 | Program Office</t>
  </si>
  <si>
    <t>Program Office - Manager Level</t>
  </si>
  <si>
    <t>Manager</t>
  </si>
  <si>
    <t>Program Office-Manager</t>
  </si>
  <si>
    <t>Manager Level</t>
  </si>
  <si>
    <t>2866 | Program Office</t>
  </si>
  <si>
    <t>2865 | Program Office</t>
  </si>
  <si>
    <t>2856 | Program Office</t>
  </si>
  <si>
    <t>2838 | Program Office</t>
  </si>
  <si>
    <t>2832 | Program Office</t>
  </si>
  <si>
    <t>2787 | Program Office</t>
  </si>
  <si>
    <t>2785 | Program Office</t>
  </si>
  <si>
    <t>2562 | Program Office</t>
  </si>
  <si>
    <t>2561 | Program Office</t>
  </si>
  <si>
    <t>2558 | Program Office</t>
  </si>
  <si>
    <t>2552 | Program Office</t>
  </si>
  <si>
    <t>2511 | Program Office</t>
  </si>
  <si>
    <t>2460 | Program Office</t>
  </si>
  <si>
    <t>2444 | Program Office</t>
  </si>
  <si>
    <t>2410 | Program Office</t>
  </si>
  <si>
    <t>2405 | Program Office</t>
  </si>
  <si>
    <t>2388 | Program Office</t>
  </si>
  <si>
    <t>2320 | Program Office</t>
  </si>
  <si>
    <t>2262 | Program Office</t>
  </si>
  <si>
    <t>2249 | Program Office</t>
  </si>
  <si>
    <t>Cordination Manager</t>
  </si>
  <si>
    <t>Program Office-Cordination Manager</t>
  </si>
  <si>
    <t>2248 | Program Office</t>
  </si>
  <si>
    <t>2244 | Program Office</t>
  </si>
  <si>
    <t>2219 | Program Office</t>
  </si>
  <si>
    <t>2218 | Program Office</t>
  </si>
  <si>
    <t>2212 | Program Office</t>
  </si>
  <si>
    <t>2170 | Program Office</t>
  </si>
  <si>
    <t>2168 | Program Office</t>
  </si>
  <si>
    <t>2162 | Program Office</t>
  </si>
  <si>
    <t>2124 | Program Office</t>
  </si>
  <si>
    <t>2123 | Program Office</t>
  </si>
  <si>
    <t>2121 | Program Office</t>
  </si>
  <si>
    <t>2118 | Program Office</t>
  </si>
  <si>
    <t>2112 | Program Office</t>
  </si>
  <si>
    <t>2061 | Program Office</t>
  </si>
  <si>
    <t>2009 | Program Office</t>
  </si>
  <si>
    <t>2007 | Program Office</t>
  </si>
  <si>
    <t>2003 | Program Office</t>
  </si>
  <si>
    <t>2002 | Program Office</t>
  </si>
  <si>
    <t>1990 | Program Office</t>
  </si>
  <si>
    <t>1971 | Program Office</t>
  </si>
  <si>
    <t>1859 | Program Office</t>
  </si>
  <si>
    <t>1856 | Program Office</t>
  </si>
  <si>
    <t>1812 | Program Office</t>
  </si>
  <si>
    <t>1811 | Program Office</t>
  </si>
  <si>
    <t>1808 | Program Office</t>
  </si>
  <si>
    <t>1802 | Program Office</t>
  </si>
  <si>
    <t>1794 | Program Office</t>
  </si>
  <si>
    <t>1792 | Program Office</t>
  </si>
  <si>
    <t>1681 | Program Office</t>
  </si>
  <si>
    <t>1670 | Program Office</t>
  </si>
  <si>
    <t>1666 | Program Office</t>
  </si>
  <si>
    <t>1663 | Program Office</t>
  </si>
  <si>
    <t>1662 | Program Office</t>
  </si>
  <si>
    <t>1447 | Program Office</t>
  </si>
  <si>
    <t>1446 | Program Office</t>
  </si>
  <si>
    <t>1410 | Program Office</t>
  </si>
  <si>
    <t>1382 | Program Office</t>
  </si>
  <si>
    <t>1328 | Program Office</t>
  </si>
  <si>
    <t>1327 | Program Office</t>
  </si>
  <si>
    <t>1298 | Program Office</t>
  </si>
  <si>
    <t>1291 | Program Office</t>
  </si>
  <si>
    <t>1157 | Program Office</t>
  </si>
  <si>
    <t>1155 | Program Office</t>
  </si>
  <si>
    <t>1154 | Program Office</t>
  </si>
  <si>
    <t>1152 | Program Office</t>
  </si>
  <si>
    <t>1151 | Program Office</t>
  </si>
  <si>
    <t>1000 | Program Office</t>
  </si>
  <si>
    <t>992 | Program Office</t>
  </si>
  <si>
    <t>991 | Program Office</t>
  </si>
  <si>
    <t>957 | Program Office</t>
  </si>
  <si>
    <t>956 | Program Office</t>
  </si>
  <si>
    <t>948 | Program Office</t>
  </si>
  <si>
    <t>947 | Program Office</t>
  </si>
  <si>
    <t>908 | Program Office</t>
  </si>
  <si>
    <t>903 | Program Office</t>
  </si>
  <si>
    <t>838 | Program Office</t>
  </si>
  <si>
    <t>833 | Program Office</t>
  </si>
  <si>
    <t>829 | Program Office</t>
  </si>
  <si>
    <t>828 | Program Office</t>
  </si>
  <si>
    <t>826 | Program Office</t>
  </si>
  <si>
    <t>799 | Program Office</t>
  </si>
  <si>
    <t>769 | Program Office</t>
  </si>
  <si>
    <t>768 | Program Office</t>
  </si>
  <si>
    <t>764 | Program Office</t>
  </si>
  <si>
    <t>725 | Program Office</t>
  </si>
  <si>
    <t>724 | Program Office</t>
  </si>
  <si>
    <t>723 | Program Office</t>
  </si>
  <si>
    <t>722 | Program Office</t>
  </si>
  <si>
    <t>721 | Program Office</t>
  </si>
  <si>
    <t>718 | Program Office</t>
  </si>
  <si>
    <t>712 | Program Office</t>
  </si>
  <si>
    <t>676 | Program Office</t>
  </si>
  <si>
    <t>674 | Program Office</t>
  </si>
  <si>
    <t>632 | Program Office</t>
  </si>
  <si>
    <t>617 | Program Office</t>
  </si>
  <si>
    <t>614 | Program Office</t>
  </si>
  <si>
    <t>613 | Program Office</t>
  </si>
  <si>
    <t>578 | Program Office</t>
  </si>
  <si>
    <t>572 | Program Office</t>
  </si>
  <si>
    <t>499 | Program Office</t>
  </si>
  <si>
    <t>489 | Program Office</t>
  </si>
  <si>
    <t>482 | Program Office</t>
  </si>
  <si>
    <t>474 | Program Office</t>
  </si>
  <si>
    <t>472 | Program Office</t>
  </si>
  <si>
    <t>471 | Program Office</t>
  </si>
  <si>
    <t>387 | Program Office</t>
  </si>
  <si>
    <t>382 | Program Office</t>
  </si>
  <si>
    <t>374 | Program Office</t>
  </si>
  <si>
    <t>371 | Program Office</t>
  </si>
  <si>
    <t>137 | Program Office</t>
  </si>
  <si>
    <t>133 | Program Office</t>
  </si>
  <si>
    <t>68 | Program Office</t>
  </si>
  <si>
    <t>67 | Program Office</t>
  </si>
  <si>
    <t>3 | Program Office</t>
  </si>
  <si>
    <t>2976 | Program Office</t>
  </si>
  <si>
    <t>Program Office - Junior</t>
  </si>
  <si>
    <t>Extension Officer</t>
  </si>
  <si>
    <t>Program Office-Extension Officer</t>
  </si>
  <si>
    <t>2858 | Program Office</t>
  </si>
  <si>
    <t>2852 | Program Office</t>
  </si>
  <si>
    <t>2839 | Program Office</t>
  </si>
  <si>
    <t>2834 | Program Office</t>
  </si>
  <si>
    <t>2831 | Program Office</t>
  </si>
  <si>
    <t>2734 | Program Office</t>
  </si>
  <si>
    <t>2732 | Program Office</t>
  </si>
  <si>
    <t>2570 | Program Office</t>
  </si>
  <si>
    <t>2564 | Program Office</t>
  </si>
  <si>
    <t>2539 | Program Office</t>
  </si>
  <si>
    <t>2537 | Program Office</t>
  </si>
  <si>
    <t>2534 | Program Office</t>
  </si>
  <si>
    <t>2532 | Program Office</t>
  </si>
  <si>
    <t>2520 | Program Office</t>
  </si>
  <si>
    <t>2516 | Program Office</t>
  </si>
  <si>
    <t>2515 | Program Office</t>
  </si>
  <si>
    <t>2456 | Program Office</t>
  </si>
  <si>
    <t>2450 | Program Office</t>
  </si>
  <si>
    <t>2446 | Program Office</t>
  </si>
  <si>
    <t>2445 | Program Office</t>
  </si>
  <si>
    <t>2443 | Program Office</t>
  </si>
  <si>
    <t>2441 | Program Office</t>
  </si>
  <si>
    <t>2409 | Program Office</t>
  </si>
  <si>
    <t>2407 | Program Office</t>
  </si>
  <si>
    <t>2402 | Program Office</t>
  </si>
  <si>
    <t>2389 | Program Office</t>
  </si>
  <si>
    <t>2385 | Program Office</t>
  </si>
  <si>
    <t>2381 | Program Office</t>
  </si>
  <si>
    <t>2367 | Program Office</t>
  </si>
  <si>
    <t>2362 | Program Office</t>
  </si>
  <si>
    <t>2319 | Program Office</t>
  </si>
  <si>
    <t>2268 | Program Office</t>
  </si>
  <si>
    <t>2266 | Program Office</t>
  </si>
  <si>
    <t>2261 | Program Office</t>
  </si>
  <si>
    <t>2242 | Program Office</t>
  </si>
  <si>
    <t>2199 | Program Office</t>
  </si>
  <si>
    <t>2198 | Program Office</t>
  </si>
  <si>
    <t>2196 | Program Office</t>
  </si>
  <si>
    <t>2194 | Program Office</t>
  </si>
  <si>
    <t>2193 | Program Office</t>
  </si>
  <si>
    <t>2117 | Program Office</t>
  </si>
  <si>
    <t>1983 | Program Office</t>
  </si>
  <si>
    <t>1974 | Program Office</t>
  </si>
  <si>
    <t>1965 | Program Office</t>
  </si>
  <si>
    <t>1963 | Program Office</t>
  </si>
  <si>
    <t>1962 | Program Office</t>
  </si>
  <si>
    <t>1852 | Program Office</t>
  </si>
  <si>
    <t>1818 | Program Office</t>
  </si>
  <si>
    <t>1814 | Program Office</t>
  </si>
  <si>
    <t>1810 | Program Office</t>
  </si>
  <si>
    <t>1804 | Program Office</t>
  </si>
  <si>
    <t>1799 | Program Office</t>
  </si>
  <si>
    <t>1688 | Program Office</t>
  </si>
  <si>
    <t>1669 | Program Office</t>
  </si>
  <si>
    <t>1664 | Program Office</t>
  </si>
  <si>
    <t>1661 | Program Office</t>
  </si>
  <si>
    <t>1449 | Program Office</t>
  </si>
  <si>
    <t>1444 | Program Office</t>
  </si>
  <si>
    <t>1420 | Program Office</t>
  </si>
  <si>
    <t>1418 | Program Office</t>
  </si>
  <si>
    <t>1417 | Program Office</t>
  </si>
  <si>
    <t>1416 | Program Office</t>
  </si>
  <si>
    <t>1411 | Program Office</t>
  </si>
  <si>
    <t>1408 | Program Office</t>
  </si>
  <si>
    <t>1401 | Program Office</t>
  </si>
  <si>
    <t>1387 | Program Office</t>
  </si>
  <si>
    <t>1326 | Program Office</t>
  </si>
  <si>
    <t>1325 | Program Office</t>
  </si>
  <si>
    <t>1293 | Program Office</t>
  </si>
  <si>
    <t>995 | Program Office</t>
  </si>
  <si>
    <t>946 | Program Office</t>
  </si>
  <si>
    <t>942 | Program Office</t>
  </si>
  <si>
    <t>941 | Program Office</t>
  </si>
  <si>
    <t>920 | Program Office</t>
  </si>
  <si>
    <t>913 | Program Office</t>
  </si>
  <si>
    <t>901 | Program Office</t>
  </si>
  <si>
    <t>835 | Program Office</t>
  </si>
  <si>
    <t>834 | Program Office</t>
  </si>
  <si>
    <t>822 | Program Office</t>
  </si>
  <si>
    <t>800 | Program Office</t>
  </si>
  <si>
    <t>794 | Program Office</t>
  </si>
  <si>
    <t>792 | Program Office</t>
  </si>
  <si>
    <t>766 | Program Office</t>
  </si>
  <si>
    <t>765 | Program Office</t>
  </si>
  <si>
    <t>Officer</t>
  </si>
  <si>
    <t>Program Office-Officer</t>
  </si>
  <si>
    <t>761 | Program Office</t>
  </si>
  <si>
    <t>730 | Program Office</t>
  </si>
  <si>
    <t>720 | Program Office</t>
  </si>
  <si>
    <t>680 | Program Office</t>
  </si>
  <si>
    <t>659 | Program Office</t>
  </si>
  <si>
    <t>655 | Program Office</t>
  </si>
  <si>
    <t>636 | Program Office</t>
  </si>
  <si>
    <t>577 | Program Office</t>
  </si>
  <si>
    <t>575 | Program Office</t>
  </si>
  <si>
    <t>573 | Program Office</t>
  </si>
  <si>
    <t>492 | Program Office</t>
  </si>
  <si>
    <t>491 | Program Office</t>
  </si>
  <si>
    <t>483 | Program Office</t>
  </si>
  <si>
    <t>480 | Program Office</t>
  </si>
  <si>
    <t>476 | Program Office</t>
  </si>
  <si>
    <t>390 | Program Office</t>
  </si>
  <si>
    <t>388 | Program Office</t>
  </si>
  <si>
    <t>386 | Program Office</t>
  </si>
  <si>
    <t>381 | Program Office</t>
  </si>
  <si>
    <t>372 | Program Office</t>
  </si>
  <si>
    <t>318 | Program Office</t>
  </si>
  <si>
    <t>316 | Program Office</t>
  </si>
  <si>
    <t>314 | Program Office</t>
  </si>
  <si>
    <t>312 | Program Office</t>
  </si>
  <si>
    <t>187 | Program Office</t>
  </si>
  <si>
    <t>181 | Program Office</t>
  </si>
  <si>
    <t>140 | Program Office</t>
  </si>
  <si>
    <t>139 | Program Office</t>
  </si>
  <si>
    <t>136 | Program Office</t>
  </si>
  <si>
    <t>132 | Program Office</t>
  </si>
  <si>
    <t>66 | Program Office</t>
  </si>
  <si>
    <t>2540 | Program Office</t>
  </si>
  <si>
    <t>Program Office - Executive</t>
  </si>
  <si>
    <t>Program Office-Director</t>
  </si>
  <si>
    <t>2531 | Program Office</t>
  </si>
  <si>
    <t>2265 | Program Office</t>
  </si>
  <si>
    <t>2127 | Program Office</t>
  </si>
  <si>
    <t>2120 | Program Office</t>
  </si>
  <si>
    <t>2115 | Program Office</t>
  </si>
  <si>
    <t>1857 | Program Office</t>
  </si>
  <si>
    <t>1820 | Program Office</t>
  </si>
  <si>
    <t>1816 | Program Office</t>
  </si>
  <si>
    <t>1809 | Program Office</t>
  </si>
  <si>
    <t>993 | Program Office</t>
  </si>
  <si>
    <t>949 | Program Office</t>
  </si>
  <si>
    <t>914 | Program Office</t>
  </si>
  <si>
    <t>906 | Program Office</t>
  </si>
  <si>
    <t>904 | Program Office</t>
  </si>
  <si>
    <t>830 | Program Office</t>
  </si>
  <si>
    <t>791 | Program Office</t>
  </si>
  <si>
    <t>763 | Program Office</t>
  </si>
  <si>
    <t>728 | Program Office</t>
  </si>
  <si>
    <t>719 | Program Office</t>
  </si>
  <si>
    <t>716 | Program Office</t>
  </si>
  <si>
    <t>713 | Program Office</t>
  </si>
  <si>
    <t>679 | Program Office</t>
  </si>
  <si>
    <t>675 | Program Office</t>
  </si>
  <si>
    <t>671 | Program Office</t>
  </si>
  <si>
    <t>658 | Program Office</t>
  </si>
  <si>
    <t>653 | Program Office</t>
  </si>
  <si>
    <t>639 | Program Office</t>
  </si>
  <si>
    <t>Program Office-Head of Department</t>
  </si>
  <si>
    <t>618 | Program Office</t>
  </si>
  <si>
    <t>579 | Program Office</t>
  </si>
  <si>
    <t>494 | Program Office</t>
  </si>
  <si>
    <t>493 | Program Office</t>
  </si>
  <si>
    <t>485 | Program Office</t>
  </si>
  <si>
    <t>484 | Program Office</t>
  </si>
  <si>
    <t>477 | Program Office</t>
  </si>
  <si>
    <t>475 | Program Office</t>
  </si>
  <si>
    <t>385 | Program Office</t>
  </si>
  <si>
    <t>378 | Program Office</t>
  </si>
  <si>
    <t>375 | Program Office</t>
  </si>
  <si>
    <t>315 | Program Office</t>
  </si>
  <si>
    <t>189 | Program Office</t>
  </si>
  <si>
    <t>131 | Program Office</t>
  </si>
  <si>
    <t>70 | Program Office</t>
  </si>
  <si>
    <t>63 | Program Office</t>
  </si>
  <si>
    <t>62 | Program Office</t>
  </si>
  <si>
    <t>10 | Program Office</t>
  </si>
  <si>
    <t>8 | Program Office</t>
  </si>
  <si>
    <t>2974 | Program Office</t>
  </si>
  <si>
    <t>Program Office - Associate</t>
  </si>
  <si>
    <t>2972 | Program Office</t>
  </si>
  <si>
    <t>2969 | Program Office</t>
  </si>
  <si>
    <t>2967 | Program Office</t>
  </si>
  <si>
    <t>2885 | Program Office</t>
  </si>
  <si>
    <t>2884 | Program Office</t>
  </si>
  <si>
    <t>2881 | Program Office</t>
  </si>
  <si>
    <t>2857 | Program Office</t>
  </si>
  <si>
    <t>2854 | Program Office</t>
  </si>
  <si>
    <t>2840 | Program Office</t>
  </si>
  <si>
    <t>2836 | Program Office</t>
  </si>
  <si>
    <t>2833 | Program Office</t>
  </si>
  <si>
    <t>2786 | Program Office</t>
  </si>
  <si>
    <t>2783 | Program Office</t>
  </si>
  <si>
    <t>2782 | Program Office</t>
  </si>
  <si>
    <t>2781 | Program Office</t>
  </si>
  <si>
    <t>2736 | Program Office</t>
  </si>
  <si>
    <t>2566 | Program Office</t>
  </si>
  <si>
    <t>2563 | Program Office</t>
  </si>
  <si>
    <t>2559 | Program Office</t>
  </si>
  <si>
    <t>2556 | Program Office</t>
  </si>
  <si>
    <t>2554 | Program Office</t>
  </si>
  <si>
    <t>2538 | Program Office</t>
  </si>
  <si>
    <t>2517 | Program Office</t>
  </si>
  <si>
    <t>2513 | Program Office</t>
  </si>
  <si>
    <t>2512 | Program Office</t>
  </si>
  <si>
    <t>2459 | Program Office</t>
  </si>
  <si>
    <t>2452 | Program Office</t>
  </si>
  <si>
    <t>2449 | Program Office</t>
  </si>
  <si>
    <t>2448 | Program Office</t>
  </si>
  <si>
    <t>2408 | Program Office</t>
  </si>
  <si>
    <t>2404 | Program Office</t>
  </si>
  <si>
    <t>2382 | Program Office</t>
  </si>
  <si>
    <t>2369 | Program Office</t>
  </si>
  <si>
    <t>2368 | Program Office</t>
  </si>
  <si>
    <t>2364 | Program Office</t>
  </si>
  <si>
    <t>2363 | Program Office</t>
  </si>
  <si>
    <t>2361 | Program Office</t>
  </si>
  <si>
    <t>2316 | Program Office</t>
  </si>
  <si>
    <t>2312 | Program Office</t>
  </si>
  <si>
    <t>2246 | Program Office</t>
  </si>
  <si>
    <t>2167 | Program Office</t>
  </si>
  <si>
    <t>2165 | Program Office</t>
  </si>
  <si>
    <t>Business Partner</t>
  </si>
  <si>
    <t>Program Office-Business Partner</t>
  </si>
  <si>
    <t>2130 | Program Office</t>
  </si>
  <si>
    <t>2128 | Program Office</t>
  </si>
  <si>
    <t>2126 | Program Office</t>
  </si>
  <si>
    <t>2119 | Program Office</t>
  </si>
  <si>
    <t>2064 | Program Office</t>
  </si>
  <si>
    <t>2062 | Program Office</t>
  </si>
  <si>
    <t>2008 | Program Office</t>
  </si>
  <si>
    <t>2006 | Program Office</t>
  </si>
  <si>
    <t>2001 | Program Office</t>
  </si>
  <si>
    <t>1985 | Program Office</t>
  </si>
  <si>
    <t>1972 | Program Office</t>
  </si>
  <si>
    <t>1969 | Program Office</t>
  </si>
  <si>
    <t>1964 | Program Office</t>
  </si>
  <si>
    <t>1961 | Program Office</t>
  </si>
  <si>
    <t>1817 | Program Office</t>
  </si>
  <si>
    <t>1800 | Program Office</t>
  </si>
  <si>
    <t>1791 | Program Office</t>
  </si>
  <si>
    <t>1690 | Program Office</t>
  </si>
  <si>
    <t>1685 | Program Office</t>
  </si>
  <si>
    <t>1668 | Program Office</t>
  </si>
  <si>
    <t>1667 | Program Office</t>
  </si>
  <si>
    <t>1665 | Program Office</t>
  </si>
  <si>
    <t>1448 | Program Office</t>
  </si>
  <si>
    <t>1445 | Program Office</t>
  </si>
  <si>
    <t>1443 | Program Office</t>
  </si>
  <si>
    <t>1415 | Program Office</t>
  </si>
  <si>
    <t>1413 | Program Office</t>
  </si>
  <si>
    <t>1409 | Program Office</t>
  </si>
  <si>
    <t>1407 | Program Office</t>
  </si>
  <si>
    <t>1299 | Program Office</t>
  </si>
  <si>
    <t>1296 | Program Office</t>
  </si>
  <si>
    <t>1292 | Program Office</t>
  </si>
  <si>
    <t>1159 | Program Office</t>
  </si>
  <si>
    <t>1158 | Program Office</t>
  </si>
  <si>
    <t>996 | Program Office</t>
  </si>
  <si>
    <t>955 | Program Office</t>
  </si>
  <si>
    <t>954 | Program Office</t>
  </si>
  <si>
    <t>952 | Program Office</t>
  </si>
  <si>
    <t>951 | Program Office</t>
  </si>
  <si>
    <t>943 | Program Office</t>
  </si>
  <si>
    <t>918 | Program Office</t>
  </si>
  <si>
    <t>917 | Program Office</t>
  </si>
  <si>
    <t>909 | Program Office</t>
  </si>
  <si>
    <t>902 | Program Office</t>
  </si>
  <si>
    <t>839 | Program Office</t>
  </si>
  <si>
    <t>832 | Program Office</t>
  </si>
  <si>
    <t>831 | Program Office</t>
  </si>
  <si>
    <t>823 | Program Office</t>
  </si>
  <si>
    <t>770 | Program Office</t>
  </si>
  <si>
    <t>717 | Program Office</t>
  </si>
  <si>
    <t>714 | Program Office</t>
  </si>
  <si>
    <t>673 | Program Office</t>
  </si>
  <si>
    <t>672 | Program Office</t>
  </si>
  <si>
    <t>660 | Program Office</t>
  </si>
  <si>
    <t>656 | Program Office</t>
  </si>
  <si>
    <t>637 | Program Office</t>
  </si>
  <si>
    <t>612 | Program Office</t>
  </si>
  <si>
    <t>571 | Program Office</t>
  </si>
  <si>
    <t>495 | Program Office</t>
  </si>
  <si>
    <t>488 | Program Office</t>
  </si>
  <si>
    <t>473 | Program Office</t>
  </si>
  <si>
    <t>383 | Program Office</t>
  </si>
  <si>
    <t>379 | Program Office</t>
  </si>
  <si>
    <t>373 | Program Office</t>
  </si>
  <si>
    <t>313 | Program Office</t>
  </si>
  <si>
    <t>190 | Program Office</t>
  </si>
  <si>
    <t>186 | Program Office</t>
  </si>
  <si>
    <t>183 | Program Office</t>
  </si>
  <si>
    <t>134 | Program Office</t>
  </si>
  <si>
    <t>69 | Program Office</t>
  </si>
  <si>
    <t>6 | Program Office</t>
  </si>
  <si>
    <t>1 | Program Office</t>
  </si>
  <si>
    <t>2895 | Communication and Advocacy</t>
  </si>
  <si>
    <t>Operations</t>
  </si>
  <si>
    <t>Operations - Junior</t>
  </si>
  <si>
    <t>Controller</t>
  </si>
  <si>
    <t>Operations-Controller</t>
  </si>
  <si>
    <t>2728 | Communication and Advocacy</t>
  </si>
  <si>
    <t>2332 | Communication and Advocacy</t>
  </si>
  <si>
    <t>2255 | Communication and Advocacy</t>
  </si>
  <si>
    <t>2146 | Communication and Advocacy</t>
  </si>
  <si>
    <t>1906 | Communication and Advocacy</t>
  </si>
  <si>
    <t>1898 | Communication and Advocacy</t>
  </si>
  <si>
    <t>1892 | Communication and Advocacy</t>
  </si>
  <si>
    <t>1773 | Communication and Advocacy</t>
  </si>
  <si>
    <t>1646 | Communication and Advocacy</t>
  </si>
  <si>
    <t>1577 | Communication and Advocacy</t>
  </si>
  <si>
    <t>1507 | Communication and Advocacy</t>
  </si>
  <si>
    <t>1423 | Communication and Advocacy</t>
  </si>
  <si>
    <t>1272 | Communication and Advocacy</t>
  </si>
  <si>
    <t>1216 | Communication and Advocacy</t>
  </si>
  <si>
    <t>1186 | Communication and Advocacy</t>
  </si>
  <si>
    <t>Operations-Business Partner</t>
  </si>
  <si>
    <t>1129 | Communication and Advocacy</t>
  </si>
  <si>
    <t>1082 | Communication and Advocacy</t>
  </si>
  <si>
    <t>1046 | Communication and Advocacy</t>
  </si>
  <si>
    <t>940 | Communication and Advocacy</t>
  </si>
  <si>
    <t>848 | Communication and Advocacy</t>
  </si>
  <si>
    <t>819 | Communication and Advocacy</t>
  </si>
  <si>
    <t>814 | Communication and Advocacy</t>
  </si>
  <si>
    <t>790 | Communication and Advocacy</t>
  </si>
  <si>
    <t>736 | Communication and Advocacy</t>
  </si>
  <si>
    <t>733 | Communication and Advocacy</t>
  </si>
  <si>
    <t>681 | Communication and Advocacy</t>
  </si>
  <si>
    <t>568 | Communication and Advocacy</t>
  </si>
  <si>
    <t>565 | Communication and Advocacy</t>
  </si>
  <si>
    <t>438 | Communication and Advocacy</t>
  </si>
  <si>
    <t>435 | Communication and Advocacy</t>
  </si>
  <si>
    <t>370 | Communication and Advocacy</t>
  </si>
  <si>
    <t>361 | Communication and Advocacy</t>
  </si>
  <si>
    <t>359 | Communication and Advocacy</t>
  </si>
  <si>
    <t>2892 | Communication and Advocacy</t>
  </si>
  <si>
    <t>Operations - Executive</t>
  </si>
  <si>
    <t>Lead</t>
  </si>
  <si>
    <t>Operations-Lead</t>
  </si>
  <si>
    <t>2663 | Communication and Advocacy</t>
  </si>
  <si>
    <t>1901 | Communication and Advocacy</t>
  </si>
  <si>
    <t>1539 | Communication and Advocacy</t>
  </si>
  <si>
    <t>1454 | Communication and Advocacy</t>
  </si>
  <si>
    <t>1130 | Communication and Advocacy</t>
  </si>
  <si>
    <t>1123 | Communication and Advocacy</t>
  </si>
  <si>
    <t>937 | Communication and Advocacy</t>
  </si>
  <si>
    <t>935 | Communication and Advocacy</t>
  </si>
  <si>
    <t>934 | Communication and Advocacy</t>
  </si>
  <si>
    <t>932 | Communication and Advocacy</t>
  </si>
  <si>
    <t>845 | Communication and Advocacy</t>
  </si>
  <si>
    <t>844 | Communication and Advocacy</t>
  </si>
  <si>
    <t>842 | Communication and Advocacy</t>
  </si>
  <si>
    <t>785 | Communication and Advocacy</t>
  </si>
  <si>
    <t>740 | Communication and Advocacy</t>
  </si>
  <si>
    <t>686 | Communication and Advocacy</t>
  </si>
  <si>
    <t>Operations-Director</t>
  </si>
  <si>
    <t>562 | Communication and Advocacy</t>
  </si>
  <si>
    <t>561 | Communication and Advocacy</t>
  </si>
  <si>
    <t>431 | Communication and Advocacy</t>
  </si>
  <si>
    <t>328 | Communication and Advocacy</t>
  </si>
  <si>
    <t>322 | Communication and Advocacy</t>
  </si>
  <si>
    <t>321 | Communication and Advocacy</t>
  </si>
  <si>
    <t>291 | Communication and Advocacy</t>
  </si>
  <si>
    <t>276 | Communication and Advocacy</t>
  </si>
  <si>
    <t>275 | Communication and Advocacy</t>
  </si>
  <si>
    <t>Operations-Head of Department</t>
  </si>
  <si>
    <t>250 | Communication and Advocacy</t>
  </si>
  <si>
    <t>248 | Communication and Advocacy</t>
  </si>
  <si>
    <t>246 | Communication and Advocacy</t>
  </si>
  <si>
    <t>245 | Communication and Advocacy</t>
  </si>
  <si>
    <t>243 | Communication and Advocacy</t>
  </si>
  <si>
    <t>198 | Communication and Advocacy</t>
  </si>
  <si>
    <t>195 | Communication and Advocacy</t>
  </si>
  <si>
    <t>193 | Communication and Advocacy</t>
  </si>
  <si>
    <t>161 | Communication and Advocacy</t>
  </si>
  <si>
    <t>121 | Communication and Advocacy</t>
  </si>
  <si>
    <t>46 | Communication and Advocacy</t>
  </si>
  <si>
    <t>2641 | Communication and Advocacy</t>
  </si>
  <si>
    <t>Operations - Associate</t>
  </si>
  <si>
    <t>2413 | Communication and Advocacy</t>
  </si>
  <si>
    <t>2333 | Communication and Advocacy</t>
  </si>
  <si>
    <t>2253 | Communication and Advocacy</t>
  </si>
  <si>
    <t>2150 | Communication and Advocacy</t>
  </si>
  <si>
    <t>2052 | Communication and Advocacy</t>
  </si>
  <si>
    <t>1897 | Communication and Advocacy</t>
  </si>
  <si>
    <t>1747 | Communication and Advocacy</t>
  </si>
  <si>
    <t>1428 | Communication and Advocacy</t>
  </si>
  <si>
    <t>1211 | Communication and Advocacy</t>
  </si>
  <si>
    <t>1139 | Communication and Advocacy</t>
  </si>
  <si>
    <t>1022 | Communication and Advocacy</t>
  </si>
  <si>
    <t>936 | Communication and Advocacy</t>
  </si>
  <si>
    <t>850 | Communication and Advocacy</t>
  </si>
  <si>
    <t>818 | Communication and Advocacy</t>
  </si>
  <si>
    <t>817 | Communication and Advocacy</t>
  </si>
  <si>
    <t>813 | Communication and Advocacy</t>
  </si>
  <si>
    <t>812 | Communication and Advocacy</t>
  </si>
  <si>
    <t>788 | Communication and Advocacy</t>
  </si>
  <si>
    <t>786 | Communication and Advocacy</t>
  </si>
  <si>
    <t>783 | Communication and Advocacy</t>
  </si>
  <si>
    <t>732 | Communication and Advocacy</t>
  </si>
  <si>
    <t>731 | Communication and Advocacy</t>
  </si>
  <si>
    <t>690 | Communication and Advocacy</t>
  </si>
  <si>
    <t>683 | Communication and Advocacy</t>
  </si>
  <si>
    <t>564 | Communication and Advocacy</t>
  </si>
  <si>
    <t>440 | Communication and Advocacy</t>
  </si>
  <si>
    <t>436 | Communication and Advocacy</t>
  </si>
  <si>
    <t>433 | Communication and Advocacy</t>
  </si>
  <si>
    <t>368 | Communication and Advocacy</t>
  </si>
  <si>
    <t>367 | Communication and Advocacy</t>
  </si>
  <si>
    <t>362 | Communication and Advocacy</t>
  </si>
  <si>
    <t>356 | Communication and Advocacy</t>
  </si>
  <si>
    <t>351 | Communication and Advocacy</t>
  </si>
  <si>
    <t>325 | Communication and Advocacy</t>
  </si>
  <si>
    <t>300 | Communication and Advocacy</t>
  </si>
  <si>
    <t>299 | Communication and Advocacy</t>
  </si>
  <si>
    <t>295 | Communication and Advocacy</t>
  </si>
  <si>
    <t>294 | Communication and Advocacy</t>
  </si>
  <si>
    <t>292 | Communication and Advocacy</t>
  </si>
  <si>
    <t>200 | Communication and Advocacy</t>
  </si>
  <si>
    <t>191 | Communication and Advocacy</t>
  </si>
  <si>
    <t>164 | Communication and Advocacy</t>
  </si>
  <si>
    <t>162 | Communication and Advocacy</t>
  </si>
  <si>
    <t>89 | Communication and Advocacy</t>
  </si>
  <si>
    <t>83 | Communication and Advocacy</t>
  </si>
  <si>
    <t>82 | Communication and Advocacy</t>
  </si>
  <si>
    <t>45 | Communication and Advocacy</t>
  </si>
  <si>
    <t>2988 | M and E</t>
  </si>
  <si>
    <t>M and E</t>
  </si>
  <si>
    <t>M and E - Senior Management</t>
  </si>
  <si>
    <t>M and E-Lead</t>
  </si>
  <si>
    <t>2981 | M and E</t>
  </si>
  <si>
    <t>2902 | M and E</t>
  </si>
  <si>
    <t>2901 | M and E</t>
  </si>
  <si>
    <t>2817 | M and E</t>
  </si>
  <si>
    <t>2696 | M and E</t>
  </si>
  <si>
    <t>2347 | M and E</t>
  </si>
  <si>
    <t>2298 | M and E</t>
  </si>
  <si>
    <t>2048 | M and E</t>
  </si>
  <si>
    <t>2019 | M and E</t>
  </si>
  <si>
    <t>1948 | M and E</t>
  </si>
  <si>
    <t>M and E-Senior Manager</t>
  </si>
  <si>
    <t>1840 | M and E</t>
  </si>
  <si>
    <t>1781 | M and E</t>
  </si>
  <si>
    <t>1728 | M and E</t>
  </si>
  <si>
    <t>1371 | M and E</t>
  </si>
  <si>
    <t>1058 | M and E</t>
  </si>
  <si>
    <t>2986 | M and E</t>
  </si>
  <si>
    <t>M and E - Senior</t>
  </si>
  <si>
    <t>Auditor</t>
  </si>
  <si>
    <t>M and E-Auditor</t>
  </si>
  <si>
    <t>2903 | M and E</t>
  </si>
  <si>
    <t>2873 | M and E</t>
  </si>
  <si>
    <t>2872 | M and E</t>
  </si>
  <si>
    <t>2820 | M and E</t>
  </si>
  <si>
    <t>2813 | M and E</t>
  </si>
  <si>
    <t>2715 | M and E</t>
  </si>
  <si>
    <t>2712 | M and E</t>
  </si>
  <si>
    <t>2711 | M and E</t>
  </si>
  <si>
    <t>2700 | M and E</t>
  </si>
  <si>
    <t>2698 | M and E</t>
  </si>
  <si>
    <t>2697 | M and E</t>
  </si>
  <si>
    <t>2654 | M and E</t>
  </si>
  <si>
    <t>2651 | M and E</t>
  </si>
  <si>
    <t>2499 | M and E</t>
  </si>
  <si>
    <t>2498 | M and E</t>
  </si>
  <si>
    <t>2494 | M and E</t>
  </si>
  <si>
    <t>2346 | M and E</t>
  </si>
  <si>
    <t>2208 | M and E</t>
  </si>
  <si>
    <t>2207 | M and E</t>
  </si>
  <si>
    <t>2205 | M and E</t>
  </si>
  <si>
    <t>2184 | M and E</t>
  </si>
  <si>
    <t>2183 | M and E</t>
  </si>
  <si>
    <t>2181 | M and E</t>
  </si>
  <si>
    <t>2080 | M and E</t>
  </si>
  <si>
    <t>2075 | M and E</t>
  </si>
  <si>
    <t>2074 | M and E</t>
  </si>
  <si>
    <t>2049 | M and E</t>
  </si>
  <si>
    <t>2046 | M and E</t>
  </si>
  <si>
    <t>2041 | M and E</t>
  </si>
  <si>
    <t>2017 | M and E</t>
  </si>
  <si>
    <t>M and E-Business Partner</t>
  </si>
  <si>
    <t>2014 | M and E</t>
  </si>
  <si>
    <t>2011 | M and E</t>
  </si>
  <si>
    <t>1949 | M and E</t>
  </si>
  <si>
    <t>1946 | M and E</t>
  </si>
  <si>
    <t>1941 | M and E</t>
  </si>
  <si>
    <t>1836 | M and E</t>
  </si>
  <si>
    <t>1788 | M and E</t>
  </si>
  <si>
    <t>1784 | M and E</t>
  </si>
  <si>
    <t>1767 | M and E</t>
  </si>
  <si>
    <t>1766 | M and E</t>
  </si>
  <si>
    <t>1763 | M and E</t>
  </si>
  <si>
    <t>1761 | M and E</t>
  </si>
  <si>
    <t>1660 | M and E</t>
  </si>
  <si>
    <t>1655 | M and E</t>
  </si>
  <si>
    <t>1653 | M and E</t>
  </si>
  <si>
    <t>1630 | M and E</t>
  </si>
  <si>
    <t>1627 | M and E</t>
  </si>
  <si>
    <t>1480 | M and E</t>
  </si>
  <si>
    <t>1476 | M and E</t>
  </si>
  <si>
    <t>1474 | M and E</t>
  </si>
  <si>
    <t>1472 | M and E</t>
  </si>
  <si>
    <t>1471 | M and E</t>
  </si>
  <si>
    <t>1380 | M and E</t>
  </si>
  <si>
    <t>M and E-Analyst</t>
  </si>
  <si>
    <t>1375 | M and E</t>
  </si>
  <si>
    <t>1349 | M and E</t>
  </si>
  <si>
    <t>1344 | M and E</t>
  </si>
  <si>
    <t>1092 | M and E</t>
  </si>
  <si>
    <t>1052 | M and E</t>
  </si>
  <si>
    <t>1051 | M and E</t>
  </si>
  <si>
    <t>1006 | M and E</t>
  </si>
  <si>
    <t>1004 | M and E</t>
  </si>
  <si>
    <t>1003 | M and E</t>
  </si>
  <si>
    <t>990 | M and E</t>
  </si>
  <si>
    <t>989 | M and E</t>
  </si>
  <si>
    <t>988 | M and E</t>
  </si>
  <si>
    <t>986 | M and E</t>
  </si>
  <si>
    <t>985 | M and E</t>
  </si>
  <si>
    <t>983 | M and E</t>
  </si>
  <si>
    <t>878 | M and E</t>
  </si>
  <si>
    <t>874 | M and E</t>
  </si>
  <si>
    <t>753 | M and E</t>
  </si>
  <si>
    <t>700 | M and E</t>
  </si>
  <si>
    <t>645 | M and E</t>
  </si>
  <si>
    <t>644 | M and E</t>
  </si>
  <si>
    <t>558 | M and E</t>
  </si>
  <si>
    <t>554 | M and E</t>
  </si>
  <si>
    <t>2989 | M and E</t>
  </si>
  <si>
    <t>M and E - Manager Level</t>
  </si>
  <si>
    <t>M and E-Manager</t>
  </si>
  <si>
    <t>2907 | M and E</t>
  </si>
  <si>
    <t>2880 | M and E</t>
  </si>
  <si>
    <t>2876 | M and E</t>
  </si>
  <si>
    <t>2875 | M and E</t>
  </si>
  <si>
    <t>2871 | M and E</t>
  </si>
  <si>
    <t>2811 | M and E</t>
  </si>
  <si>
    <t>2718 | M and E</t>
  </si>
  <si>
    <t>2714 | M and E</t>
  </si>
  <si>
    <t>2652 | M and E</t>
  </si>
  <si>
    <t>2608 | M and E</t>
  </si>
  <si>
    <t>2605 | M and E</t>
  </si>
  <si>
    <t>2470 | M and E</t>
  </si>
  <si>
    <t>2466 | M and E</t>
  </si>
  <si>
    <t>2433 | M and E</t>
  </si>
  <si>
    <t>2350 | M and E</t>
  </si>
  <si>
    <t>2343 | M and E</t>
  </si>
  <si>
    <t>2182 | M and E</t>
  </si>
  <si>
    <t>2079 | M and E</t>
  </si>
  <si>
    <t>2076 | M and E</t>
  </si>
  <si>
    <t>2020 | M and E</t>
  </si>
  <si>
    <t>1950 | M and E</t>
  </si>
  <si>
    <t>1945 | M and E</t>
  </si>
  <si>
    <t>1942 | M and E</t>
  </si>
  <si>
    <t>1927 | M and E</t>
  </si>
  <si>
    <t>1923 | M and E</t>
  </si>
  <si>
    <t>1839 | M and E</t>
  </si>
  <si>
    <t>1790 | M and E</t>
  </si>
  <si>
    <t>1782 | M and E</t>
  </si>
  <si>
    <t>1768 | M and E</t>
  </si>
  <si>
    <t>1765 | M and E</t>
  </si>
  <si>
    <t>1764 | M and E</t>
  </si>
  <si>
    <t>1729 | M and E</t>
  </si>
  <si>
    <t>1721 | M and E</t>
  </si>
  <si>
    <t>1651 | M and E</t>
  </si>
  <si>
    <t>1626 | M and E</t>
  </si>
  <si>
    <t>1610 | M and E</t>
  </si>
  <si>
    <t>1609 | M and E</t>
  </si>
  <si>
    <t>1608 | M and E</t>
  </si>
  <si>
    <t>1604 | M and E</t>
  </si>
  <si>
    <t>1475 | M and E</t>
  </si>
  <si>
    <t>1055 | M and E</t>
  </si>
  <si>
    <t>1001 | M and E</t>
  </si>
  <si>
    <t>982 | M and E</t>
  </si>
  <si>
    <t>873 | M and E</t>
  </si>
  <si>
    <t>871 | M and E</t>
  </si>
  <si>
    <t>752 | M and E</t>
  </si>
  <si>
    <t>699 | M and E</t>
  </si>
  <si>
    <t>698 | M and E</t>
  </si>
  <si>
    <t>696 | M and E</t>
  </si>
  <si>
    <t>695 | M and E</t>
  </si>
  <si>
    <t>648 | M and E</t>
  </si>
  <si>
    <t>643 | M and E</t>
  </si>
  <si>
    <t>642 | M and E</t>
  </si>
  <si>
    <t>589 | M and E</t>
  </si>
  <si>
    <t>586 | M and E</t>
  </si>
  <si>
    <t>585 | M and E</t>
  </si>
  <si>
    <t>584 | M and E</t>
  </si>
  <si>
    <t>581 | M and E</t>
  </si>
  <si>
    <t>555 | M and E</t>
  </si>
  <si>
    <t>542 | M and E</t>
  </si>
  <si>
    <t>529 | M and E</t>
  </si>
  <si>
    <t>526 | M and E</t>
  </si>
  <si>
    <t>2908 | M and E</t>
  </si>
  <si>
    <t>M and E - Junior</t>
  </si>
  <si>
    <t>2906 | M and E</t>
  </si>
  <si>
    <t>2904 | M and E</t>
  </si>
  <si>
    <t>2812 | M and E</t>
  </si>
  <si>
    <t>2720 | M and E</t>
  </si>
  <si>
    <t>2719 | M and E</t>
  </si>
  <si>
    <t>2693 | M and E</t>
  </si>
  <si>
    <t>2659 | M and E</t>
  </si>
  <si>
    <t>2658 | M and E</t>
  </si>
  <si>
    <t>2656 | M and E</t>
  </si>
  <si>
    <t>2655 | M and E</t>
  </si>
  <si>
    <t>2610 | M and E</t>
  </si>
  <si>
    <t>M and E-Extension Officer</t>
  </si>
  <si>
    <t>2609 | M and E</t>
  </si>
  <si>
    <t>2606 | M and E</t>
  </si>
  <si>
    <t>2603 | M and E</t>
  </si>
  <si>
    <t>2602 | M and E</t>
  </si>
  <si>
    <t>2496 | M and E</t>
  </si>
  <si>
    <t>2492 | M and E</t>
  </si>
  <si>
    <t>2469 | M and E</t>
  </si>
  <si>
    <t>2464 | M and E</t>
  </si>
  <si>
    <t>2432 | M and E</t>
  </si>
  <si>
    <t>2344 | M and E</t>
  </si>
  <si>
    <t>2209 | M and E</t>
  </si>
  <si>
    <t>2206 | M and E</t>
  </si>
  <si>
    <t>2188 | M and E</t>
  </si>
  <si>
    <t>2186 | M and E</t>
  </si>
  <si>
    <t>2185 | M and E</t>
  </si>
  <si>
    <t>2077 | M and E</t>
  </si>
  <si>
    <t>2016 | M and E</t>
  </si>
  <si>
    <t>2013 | M and E</t>
  </si>
  <si>
    <t>1944 | M and E</t>
  </si>
  <si>
    <t>1922 | M and E</t>
  </si>
  <si>
    <t>1834 | M and E</t>
  </si>
  <si>
    <t>1789 | M and E</t>
  </si>
  <si>
    <t>1786 | M and E</t>
  </si>
  <si>
    <t>1783 | M and E</t>
  </si>
  <si>
    <t>1769 | M and E</t>
  </si>
  <si>
    <t>1762 | M and E</t>
  </si>
  <si>
    <t>1725 | M and E</t>
  </si>
  <si>
    <t>1723 | M and E</t>
  </si>
  <si>
    <t>1622 | M and E</t>
  </si>
  <si>
    <t>1607 | M and E</t>
  </si>
  <si>
    <t>1606 | M and E</t>
  </si>
  <si>
    <t>1605 | M and E</t>
  </si>
  <si>
    <t>1601 | M and E</t>
  </si>
  <si>
    <t>1479 | M and E</t>
  </si>
  <si>
    <t>1379 | M and E</t>
  </si>
  <si>
    <t>1377 | M and E</t>
  </si>
  <si>
    <t>1350 | M and E</t>
  </si>
  <si>
    <t>1347 | M and E</t>
  </si>
  <si>
    <t>1346 | M and E</t>
  </si>
  <si>
    <t>1341 | M and E</t>
  </si>
  <si>
    <t>1095 | M and E</t>
  </si>
  <si>
    <t>1053 | M and E</t>
  </si>
  <si>
    <t>1002 | M and E</t>
  </si>
  <si>
    <t>984 | M and E</t>
  </si>
  <si>
    <t>880 | M and E</t>
  </si>
  <si>
    <t>758 | M and E</t>
  </si>
  <si>
    <t>755 | M and E</t>
  </si>
  <si>
    <t>754 | M and E</t>
  </si>
  <si>
    <t>692 | M and E</t>
  </si>
  <si>
    <t>559 | M and E</t>
  </si>
  <si>
    <t>553 | M and E</t>
  </si>
  <si>
    <t>552 | M and E</t>
  </si>
  <si>
    <t>551 | M and E</t>
  </si>
  <si>
    <t>547 | M and E</t>
  </si>
  <si>
    <t>545 | M and E</t>
  </si>
  <si>
    <t>541 | M and E</t>
  </si>
  <si>
    <t>2982 | M and E</t>
  </si>
  <si>
    <t>M and E - Executive</t>
  </si>
  <si>
    <t>2462 | M and E</t>
  </si>
  <si>
    <t>2341 | M and E</t>
  </si>
  <si>
    <t>2291 | M and E</t>
  </si>
  <si>
    <t>2201 | M and E</t>
  </si>
  <si>
    <t>2078 | M and E</t>
  </si>
  <si>
    <t>2073 | M and E</t>
  </si>
  <si>
    <t>2050 | M and E</t>
  </si>
  <si>
    <t>1929 | M and E</t>
  </si>
  <si>
    <t>875 | M and E</t>
  </si>
  <si>
    <t>756 | M and E</t>
  </si>
  <si>
    <t>697 | M and E</t>
  </si>
  <si>
    <t>649 | M and E</t>
  </si>
  <si>
    <t>Associate Director</t>
  </si>
  <si>
    <t>M and E-Associate Director</t>
  </si>
  <si>
    <t>647 | M and E</t>
  </si>
  <si>
    <t>582 | M and E</t>
  </si>
  <si>
    <t>560 | M and E</t>
  </si>
  <si>
    <t>556 | M and E</t>
  </si>
  <si>
    <t>544 | M and E</t>
  </si>
  <si>
    <t>2878 | M and E</t>
  </si>
  <si>
    <t>M and E - Associate</t>
  </si>
  <si>
    <t>2874 | M and E</t>
  </si>
  <si>
    <t>2818 | M and E</t>
  </si>
  <si>
    <t>2815 | M and E</t>
  </si>
  <si>
    <t>2717 | M and E</t>
  </si>
  <si>
    <t>2716 | M and E</t>
  </si>
  <si>
    <t>2713 | M and E</t>
  </si>
  <si>
    <t>2699 | M and E</t>
  </si>
  <si>
    <t>2694 | M and E</t>
  </si>
  <si>
    <t>2660 | M and E</t>
  </si>
  <si>
    <t>M and E-Officer</t>
  </si>
  <si>
    <t>2657 | M and E</t>
  </si>
  <si>
    <t>2653 | M and E</t>
  </si>
  <si>
    <t>2604 | M and E</t>
  </si>
  <si>
    <t>2601 | M and E</t>
  </si>
  <si>
    <t>2497 | M and E</t>
  </si>
  <si>
    <t>2493 | M and E</t>
  </si>
  <si>
    <t>2491 | M and E</t>
  </si>
  <si>
    <t>2467 | M and E</t>
  </si>
  <si>
    <t>2463 | M and E</t>
  </si>
  <si>
    <t>2440 | M and E</t>
  </si>
  <si>
    <t>2439 | M and E</t>
  </si>
  <si>
    <t>2438 | M and E</t>
  </si>
  <si>
    <t>2437 | M and E</t>
  </si>
  <si>
    <t>2436 | M and E</t>
  </si>
  <si>
    <t>2349 | M and E</t>
  </si>
  <si>
    <t>2300 | M and E</t>
  </si>
  <si>
    <t>2296 | M and E</t>
  </si>
  <si>
    <t>2293 | M and E</t>
  </si>
  <si>
    <t>2292 | M and E</t>
  </si>
  <si>
    <t>2204 | M and E</t>
  </si>
  <si>
    <t>2202 | M and E</t>
  </si>
  <si>
    <t>2187 | M and E</t>
  </si>
  <si>
    <t>2072 | M and E</t>
  </si>
  <si>
    <t>2047 | M and E</t>
  </si>
  <si>
    <t>2015 | M and E</t>
  </si>
  <si>
    <t>1943 | M and E</t>
  </si>
  <si>
    <t>1926 | M and E</t>
  </si>
  <si>
    <t>1924 | M and E</t>
  </si>
  <si>
    <t>1835 | M and E</t>
  </si>
  <si>
    <t>1833 | M and E</t>
  </si>
  <si>
    <t>1787 | M and E</t>
  </si>
  <si>
    <t>1730 | M and E</t>
  </si>
  <si>
    <t>M and E-Controller</t>
  </si>
  <si>
    <t>1726 | M and E</t>
  </si>
  <si>
    <t>1658 | M and E</t>
  </si>
  <si>
    <t>1656 | M and E</t>
  </si>
  <si>
    <t>1654 | M and E</t>
  </si>
  <si>
    <t>1628 | M and E</t>
  </si>
  <si>
    <t>1625 | M and E</t>
  </si>
  <si>
    <t>1623 | M and E</t>
  </si>
  <si>
    <t>1602 | M and E</t>
  </si>
  <si>
    <t>1478 | M and E</t>
  </si>
  <si>
    <t>1343 | M and E</t>
  </si>
  <si>
    <t>1096 | M and E</t>
  </si>
  <si>
    <t>1093 | M and E</t>
  </si>
  <si>
    <t>1060 | M and E</t>
  </si>
  <si>
    <t>1059 | M and E</t>
  </si>
  <si>
    <t>1057 | M and E</t>
  </si>
  <si>
    <t>1056 | M and E</t>
  </si>
  <si>
    <t>1009 | M and E</t>
  </si>
  <si>
    <t>1008 | M and E</t>
  </si>
  <si>
    <t>987 | M and E</t>
  </si>
  <si>
    <t>981 | M and E</t>
  </si>
  <si>
    <t>872 | M and E</t>
  </si>
  <si>
    <t>760 | M and E</t>
  </si>
  <si>
    <t>757 | M and E</t>
  </si>
  <si>
    <t>751 | M and E</t>
  </si>
  <si>
    <t>694 | M and E</t>
  </si>
  <si>
    <t>650 | M and E</t>
  </si>
  <si>
    <t>588 | M and E</t>
  </si>
  <si>
    <t>587 | M and E</t>
  </si>
  <si>
    <t>583 | M and E</t>
  </si>
  <si>
    <t>557 | M and E</t>
  </si>
  <si>
    <t>549 | M and E</t>
  </si>
  <si>
    <t>548 | M and E</t>
  </si>
  <si>
    <t>530 | M and E</t>
  </si>
  <si>
    <t>2947 | HR</t>
  </si>
  <si>
    <t>IT</t>
  </si>
  <si>
    <t>IT - Senior Management</t>
  </si>
  <si>
    <t>IT-Senior Manager</t>
  </si>
  <si>
    <t>2943 | HR</t>
  </si>
  <si>
    <t>2896 | HR</t>
  </si>
  <si>
    <t>2723 | HR</t>
  </si>
  <si>
    <t>2583 | HR</t>
  </si>
  <si>
    <t>2581 | HR</t>
  </si>
  <si>
    <t>2377 | HR</t>
  </si>
  <si>
    <t>2254 | HR</t>
  </si>
  <si>
    <t>2055 | HR</t>
  </si>
  <si>
    <t>1958 | HR</t>
  </si>
  <si>
    <t>1957 | HR</t>
  </si>
  <si>
    <t>1918 | HR</t>
  </si>
  <si>
    <t>1916 | HR</t>
  </si>
  <si>
    <t>1645 | HR</t>
  </si>
  <si>
    <t>1452 | HR</t>
  </si>
  <si>
    <t>1273 | HR</t>
  </si>
  <si>
    <t>1220 | HR</t>
  </si>
  <si>
    <t>1165 | HR</t>
  </si>
  <si>
    <t>1089 | HR</t>
  </si>
  <si>
    <t>1050 | HR</t>
  </si>
  <si>
    <t>1029 | HR</t>
  </si>
  <si>
    <t>2942 | HR</t>
  </si>
  <si>
    <t>IT - Senior</t>
  </si>
  <si>
    <t>Quality Assurance</t>
  </si>
  <si>
    <t>IT-Quality Assurance</t>
  </si>
  <si>
    <t>2900 | HR</t>
  </si>
  <si>
    <t>2584 | HR</t>
  </si>
  <si>
    <t>2582 | HR</t>
  </si>
  <si>
    <t>2415 | HR</t>
  </si>
  <si>
    <t>2412 | HR</t>
  </si>
  <si>
    <t>2374 | HR</t>
  </si>
  <si>
    <t>2339 | HR</t>
  </si>
  <si>
    <t>2337 | HR</t>
  </si>
  <si>
    <t>2256 | HR</t>
  </si>
  <si>
    <t>2252 | HR</t>
  </si>
  <si>
    <t>2251 | HR</t>
  </si>
  <si>
    <t>1954 | HR</t>
  </si>
  <si>
    <t>1951 | HR</t>
  </si>
  <si>
    <t>1915 | HR</t>
  </si>
  <si>
    <t>1914 | HR</t>
  </si>
  <si>
    <t>1909 | HR</t>
  </si>
  <si>
    <t>1905 | HR</t>
  </si>
  <si>
    <t>1777 | HR</t>
  </si>
  <si>
    <t>1649 | HR</t>
  </si>
  <si>
    <t>1591 | HR</t>
  </si>
  <si>
    <t>IT-Analyst</t>
  </si>
  <si>
    <t>1531 | HR</t>
  </si>
  <si>
    <t>1510 | HR</t>
  </si>
  <si>
    <t>1491 | HR</t>
  </si>
  <si>
    <t>1460 | HR</t>
  </si>
  <si>
    <t>1456 | HR</t>
  </si>
  <si>
    <t>1429 | HR</t>
  </si>
  <si>
    <t>1424 | HR</t>
  </si>
  <si>
    <t>1370 | HR</t>
  </si>
  <si>
    <t>1367 | HR</t>
  </si>
  <si>
    <t>1312 | HR</t>
  </si>
  <si>
    <t>1280 | HR</t>
  </si>
  <si>
    <t>1276 | HR</t>
  </si>
  <si>
    <t>1214 | HR</t>
  </si>
  <si>
    <t>1188 | HR</t>
  </si>
  <si>
    <t>1168 | HR</t>
  </si>
  <si>
    <t>1163 | HR</t>
  </si>
  <si>
    <t>1135 | HR</t>
  </si>
  <si>
    <t>1128 | HR</t>
  </si>
  <si>
    <t>1081 | HR</t>
  </si>
  <si>
    <t>1049 | HR</t>
  </si>
  <si>
    <t>1044 | HR</t>
  </si>
  <si>
    <t>1041 | HR</t>
  </si>
  <si>
    <t>1024 | HR</t>
  </si>
  <si>
    <t>2950 | HR</t>
  </si>
  <si>
    <t>IT - Manager Level</t>
  </si>
  <si>
    <t>IT-Manager</t>
  </si>
  <si>
    <t>2893 | HR</t>
  </si>
  <si>
    <t>2588 | HR</t>
  </si>
  <si>
    <t>2419 | HR</t>
  </si>
  <si>
    <t>2411 | HR</t>
  </si>
  <si>
    <t>1960 | HR</t>
  </si>
  <si>
    <t>1902 | HR</t>
  </si>
  <si>
    <t>1896 | HR</t>
  </si>
  <si>
    <t>1891 | HR</t>
  </si>
  <si>
    <t>1780 | HR</t>
  </si>
  <si>
    <t>1776 | HR</t>
  </si>
  <si>
    <t>1748 | HR</t>
  </si>
  <si>
    <t>1619 | HR</t>
  </si>
  <si>
    <t>1574 | HR</t>
  </si>
  <si>
    <t>1532 | HR</t>
  </si>
  <si>
    <t>1459 | HR</t>
  </si>
  <si>
    <t>1453 | HR</t>
  </si>
  <si>
    <t>1426 | HR</t>
  </si>
  <si>
    <t>1316 | HR</t>
  </si>
  <si>
    <t>1314 | HR</t>
  </si>
  <si>
    <t>1275 | HR</t>
  </si>
  <si>
    <t>1042 | HR</t>
  </si>
  <si>
    <t>1026 | HR</t>
  </si>
  <si>
    <t>2661 | HR</t>
  </si>
  <si>
    <t>HR</t>
  </si>
  <si>
    <t>HR - Manager Level</t>
  </si>
  <si>
    <t>Specialist</t>
  </si>
  <si>
    <t>HR-Specialist</t>
  </si>
  <si>
    <t>2649 | HR</t>
  </si>
  <si>
    <t>2643 | HR</t>
  </si>
  <si>
    <t>2642 | HR</t>
  </si>
  <si>
    <t>2375 | HR</t>
  </si>
  <si>
    <t>2340 | HR</t>
  </si>
  <si>
    <t>2338 | HR</t>
  </si>
  <si>
    <t>2259 | HR</t>
  </si>
  <si>
    <t>2148 | HR</t>
  </si>
  <si>
    <t>2059 | HR</t>
  </si>
  <si>
    <t>1953 | HR</t>
  </si>
  <si>
    <t>1917 | HR</t>
  </si>
  <si>
    <t>1620 | HR</t>
  </si>
  <si>
    <t>1617 | HR</t>
  </si>
  <si>
    <t>1614 | HR</t>
  </si>
  <si>
    <t>1600 | HR</t>
  </si>
  <si>
    <t>HR-Manager</t>
  </si>
  <si>
    <t>1598 | HR</t>
  </si>
  <si>
    <t>1580 | HR</t>
  </si>
  <si>
    <t>1571 | HR</t>
  </si>
  <si>
    <t>1537 | HR</t>
  </si>
  <si>
    <t>1535 | HR</t>
  </si>
  <si>
    <t>1496 | HR</t>
  </si>
  <si>
    <t>1493 | HR</t>
  </si>
  <si>
    <t>1492 | HR</t>
  </si>
  <si>
    <t>1362 | HR</t>
  </si>
  <si>
    <t>1361 | HR</t>
  </si>
  <si>
    <t>1218 | HR</t>
  </si>
  <si>
    <t>1190 | HR</t>
  </si>
  <si>
    <t>1187 | HR</t>
  </si>
  <si>
    <t>1121 | HR</t>
  </si>
  <si>
    <t>1083 | HR</t>
  </si>
  <si>
    <t>2949 | HR</t>
  </si>
  <si>
    <t>HR - Junior</t>
  </si>
  <si>
    <t>Screening Associate</t>
  </si>
  <si>
    <t>HR-Screening Associate</t>
  </si>
  <si>
    <t>2945 | HR</t>
  </si>
  <si>
    <t>2944 | HR</t>
  </si>
  <si>
    <t>2899 | HR</t>
  </si>
  <si>
    <t>2898 | HR</t>
  </si>
  <si>
    <t>2727 | HR</t>
  </si>
  <si>
    <t>2722 | HR</t>
  </si>
  <si>
    <t>2646 | HR</t>
  </si>
  <si>
    <t>2586 | HR</t>
  </si>
  <si>
    <t>2414 | HR</t>
  </si>
  <si>
    <t>2145 | HR</t>
  </si>
  <si>
    <t>1912 | HR</t>
  </si>
  <si>
    <t>1908 | HR</t>
  </si>
  <si>
    <t>1741 | HR</t>
  </si>
  <si>
    <t>1611 | HR</t>
  </si>
  <si>
    <t>1540 | HR</t>
  </si>
  <si>
    <t>1508 | HR</t>
  </si>
  <si>
    <t>1505 | HR</t>
  </si>
  <si>
    <t>1500 | HR</t>
  </si>
  <si>
    <t>1499 | HR</t>
  </si>
  <si>
    <t>1451 | HR</t>
  </si>
  <si>
    <t>1366 | HR</t>
  </si>
  <si>
    <t>1319 | HR</t>
  </si>
  <si>
    <t>1311 | HR</t>
  </si>
  <si>
    <t>1279 | HR</t>
  </si>
  <si>
    <t>1169 | HR</t>
  </si>
  <si>
    <t>1166 | HR</t>
  </si>
  <si>
    <t>1137 | HR</t>
  </si>
  <si>
    <t>1133 | HR</t>
  </si>
  <si>
    <t>1125 | HR</t>
  </si>
  <si>
    <t>1124 | HR</t>
  </si>
  <si>
    <t>HR-Analyst</t>
  </si>
  <si>
    <t>1090 | HR</t>
  </si>
  <si>
    <t>1086 | HR</t>
  </si>
  <si>
    <t>1045 | HR</t>
  </si>
  <si>
    <t>1025 | HR</t>
  </si>
  <si>
    <t>1021 | HR</t>
  </si>
  <si>
    <t>2894 | HR</t>
  </si>
  <si>
    <t>HR - Associate</t>
  </si>
  <si>
    <t>HR-Quality Assurance</t>
  </si>
  <si>
    <t>2891 | HR</t>
  </si>
  <si>
    <t>2729 | HR</t>
  </si>
  <si>
    <t>2668 | HR</t>
  </si>
  <si>
    <t>2662 | HR</t>
  </si>
  <si>
    <t>2650 | HR</t>
  </si>
  <si>
    <t>2378 | HR</t>
  </si>
  <si>
    <t>2373 | HR</t>
  </si>
  <si>
    <t>2258 | HR</t>
  </si>
  <si>
    <t>2257 | HR</t>
  </si>
  <si>
    <t>2051 | HR</t>
  </si>
  <si>
    <t>1959 | HR</t>
  </si>
  <si>
    <t>1904 | HR</t>
  </si>
  <si>
    <t>1895 | HR</t>
  </si>
  <si>
    <t>1774 | HR</t>
  </si>
  <si>
    <t>1743 | HR</t>
  </si>
  <si>
    <t>1648 | HR</t>
  </si>
  <si>
    <t>1643 | HR</t>
  </si>
  <si>
    <t>1618 | HR</t>
  </si>
  <si>
    <t>1593 | HR</t>
  </si>
  <si>
    <t>1536 | HR</t>
  </si>
  <si>
    <t>1502 | HR</t>
  </si>
  <si>
    <t>1501 | HR</t>
  </si>
  <si>
    <t>1495 | HR</t>
  </si>
  <si>
    <t>1458 | HR</t>
  </si>
  <si>
    <t>1455 | HR</t>
  </si>
  <si>
    <t>1427 | HR</t>
  </si>
  <si>
    <t>1421 | HR</t>
  </si>
  <si>
    <t>1363 | HR</t>
  </si>
  <si>
    <t>1318 | HR</t>
  </si>
  <si>
    <t>1277 | HR</t>
  </si>
  <si>
    <t>1271 | HR</t>
  </si>
  <si>
    <t>1217 | HR</t>
  </si>
  <si>
    <t>1184 | HR</t>
  </si>
  <si>
    <t>1183 | HR</t>
  </si>
  <si>
    <t>HR-Business Partner</t>
  </si>
  <si>
    <t>1181 | HR</t>
  </si>
  <si>
    <t>1167 | HR</t>
  </si>
  <si>
    <t>1162 | HR</t>
  </si>
  <si>
    <t>1132 | HR</t>
  </si>
  <si>
    <t>1087 | HR</t>
  </si>
  <si>
    <t>1048 | HR</t>
  </si>
  <si>
    <t>1043 | HR</t>
  </si>
  <si>
    <t>1028 | HR</t>
  </si>
  <si>
    <t>1027 | HR</t>
  </si>
  <si>
    <t>2993 | Fundraising</t>
  </si>
  <si>
    <t>Fundraising</t>
  </si>
  <si>
    <t>Fundraising - Senior Management</t>
  </si>
  <si>
    <t>Fundraising-Senior Manager</t>
  </si>
  <si>
    <t>2830 | Fundraising</t>
  </si>
  <si>
    <t>2801 | Fundraising</t>
  </si>
  <si>
    <t>2767 | Fundraising</t>
  </si>
  <si>
    <t>2762 | Fundraising</t>
  </si>
  <si>
    <t>2629 | Fundraising</t>
  </si>
  <si>
    <t>2486 | Fundraising</t>
  </si>
  <si>
    <t>2482 | Fundraising</t>
  </si>
  <si>
    <t>1874 | Fundraising</t>
  </si>
  <si>
    <t>1692 | Fundraising</t>
  </si>
  <si>
    <t>1551 | Fundraising</t>
  </si>
  <si>
    <t>1489 | Fundraising</t>
  </si>
  <si>
    <t>1486 | Fundraising</t>
  </si>
  <si>
    <t>1481 | Fundraising</t>
  </si>
  <si>
    <t>1466 | Fundraising</t>
  </si>
  <si>
    <t>1359 | Fundraising</t>
  </si>
  <si>
    <t>1353 | Fundraising</t>
  </si>
  <si>
    <t>1243 | Fundraising</t>
  </si>
  <si>
    <t>1209 | Fundraising</t>
  </si>
  <si>
    <t>1205 | Fundraising</t>
  </si>
  <si>
    <t>1198 | Fundraising</t>
  </si>
  <si>
    <t>1177 | Fundraising</t>
  </si>
  <si>
    <t>1110 | Fundraising</t>
  </si>
  <si>
    <t>1104 | Fundraising</t>
  </si>
  <si>
    <t>1080 | Fundraising</t>
  </si>
  <si>
    <t>2939 | Fundraising</t>
  </si>
  <si>
    <t>Fundraising - Senior</t>
  </si>
  <si>
    <t>Fund Administrator</t>
  </si>
  <si>
    <t>Fundraising-Fund Administrator</t>
  </si>
  <si>
    <t>2936 | Fundraising</t>
  </si>
  <si>
    <t>2932 | Fundraising</t>
  </si>
  <si>
    <t>2924 | Fundraising</t>
  </si>
  <si>
    <t>2921 | Fundraising</t>
  </si>
  <si>
    <t>2823 | Fundraising</t>
  </si>
  <si>
    <t>2810 | Fundraising</t>
  </si>
  <si>
    <t>2799 | Fundraising</t>
  </si>
  <si>
    <t>2792 | Fundraising</t>
  </si>
  <si>
    <t>2764 | Fundraising</t>
  </si>
  <si>
    <t>2746 | Fundraising</t>
  </si>
  <si>
    <t>2745 | Fundraising</t>
  </si>
  <si>
    <t>2635 | Fundraising</t>
  </si>
  <si>
    <t>2624 | Fundraising</t>
  </si>
  <si>
    <t>2618 | Fundraising</t>
  </si>
  <si>
    <t>2617 | Fundraising</t>
  </si>
  <si>
    <t>2597 | Fundraising</t>
  </si>
  <si>
    <t>2593 | Fundraising</t>
  </si>
  <si>
    <t>2574 | Fundraising</t>
  </si>
  <si>
    <t>2429 | Fundraising</t>
  </si>
  <si>
    <t>2424 | Fundraising</t>
  </si>
  <si>
    <t>2400 | Fundraising</t>
  </si>
  <si>
    <t>2392 | Fundraising</t>
  </si>
  <si>
    <t>2391 | Fundraising</t>
  </si>
  <si>
    <t>2040 | Fundraising</t>
  </si>
  <si>
    <t>2036 | Fundraising</t>
  </si>
  <si>
    <t>2035 | Fundraising</t>
  </si>
  <si>
    <t>2033 | Fundraising</t>
  </si>
  <si>
    <t>1933 | Fundraising</t>
  </si>
  <si>
    <t>1873 | Fundraising</t>
  </si>
  <si>
    <t>1719 | Fundraising</t>
  </si>
  <si>
    <t>1711 | Fundraising</t>
  </si>
  <si>
    <t>1698 | Fundraising</t>
  </si>
  <si>
    <t>1559 | Fundraising</t>
  </si>
  <si>
    <t>1557 | Fundraising</t>
  </si>
  <si>
    <t>1553 | Fundraising</t>
  </si>
  <si>
    <t>1490 | Fundraising</t>
  </si>
  <si>
    <t>1483 | Fundraising</t>
  </si>
  <si>
    <t>1470 | Fundraising</t>
  </si>
  <si>
    <t>1462 | Fundraising</t>
  </si>
  <si>
    <t>1245 | Fundraising</t>
  </si>
  <si>
    <t>1242 | Fundraising</t>
  </si>
  <si>
    <t>1236 | Fundraising</t>
  </si>
  <si>
    <t>1234 | Fundraising</t>
  </si>
  <si>
    <t>1229 | Fundraising</t>
  </si>
  <si>
    <t>1223 | Fundraising</t>
  </si>
  <si>
    <t>1222 | Fundraising</t>
  </si>
  <si>
    <t>1208 | Fundraising</t>
  </si>
  <si>
    <t>1191 | Fundraising</t>
  </si>
  <si>
    <t>1179 | Fundraising</t>
  </si>
  <si>
    <t>1105 | Fundraising</t>
  </si>
  <si>
    <t>1101 | Fundraising</t>
  </si>
  <si>
    <t>2998 | Fundraising</t>
  </si>
  <si>
    <t>Fundraising - Manager Level</t>
  </si>
  <si>
    <t>Fundraising-Manager</t>
  </si>
  <si>
    <t>2996 | Fundraising</t>
  </si>
  <si>
    <t>2791 | Fundraising</t>
  </si>
  <si>
    <t>2769 | Fundraising</t>
  </si>
  <si>
    <t>2742 | Fundraising</t>
  </si>
  <si>
    <t>2622 | Fundraising</t>
  </si>
  <si>
    <t>2619 | Fundraising</t>
  </si>
  <si>
    <t>2592 | Fundraising</t>
  </si>
  <si>
    <t>2571 | Fundraising</t>
  </si>
  <si>
    <t>2525 | Fundraising</t>
  </si>
  <si>
    <t>2521 | Fundraising</t>
  </si>
  <si>
    <t>2399 | Fundraising</t>
  </si>
  <si>
    <t>2139 | Fundraising</t>
  </si>
  <si>
    <t>2131 | Fundraising</t>
  </si>
  <si>
    <t>2108 | Fundraising</t>
  </si>
  <si>
    <t>2094 | Fundraising</t>
  </si>
  <si>
    <t>1937 | Fundraising</t>
  </si>
  <si>
    <t>1936 | Fundraising</t>
  </si>
  <si>
    <t>1879 | Fundraising</t>
  </si>
  <si>
    <t>1877 | Fundraising</t>
  </si>
  <si>
    <t>1712 | Fundraising</t>
  </si>
  <si>
    <t>1554 | Fundraising</t>
  </si>
  <si>
    <t>1360 | Fundraising</t>
  </si>
  <si>
    <t>1357 | Fundraising</t>
  </si>
  <si>
    <t>1352 | Fundraising</t>
  </si>
  <si>
    <t>1235 | Fundraising</t>
  </si>
  <si>
    <t>1232 | Fundraising</t>
  </si>
  <si>
    <t>1228 | Fundraising</t>
  </si>
  <si>
    <t>1202 | Fundraising</t>
  </si>
  <si>
    <t>1197 | Fundraising</t>
  </si>
  <si>
    <t>1196 | Fundraising</t>
  </si>
  <si>
    <t>1106 | Fundraising</t>
  </si>
  <si>
    <t>1077 | Fundraising</t>
  </si>
  <si>
    <t>1073 | Fundraising</t>
  </si>
  <si>
    <t>2994 | Fundraising</t>
  </si>
  <si>
    <t>Fundraising - Junior</t>
  </si>
  <si>
    <t>Fundraising-Business Partner</t>
  </si>
  <si>
    <t>2958 | Fundraising</t>
  </si>
  <si>
    <t>2955 | Fundraising</t>
  </si>
  <si>
    <t>2938 | Fundraising</t>
  </si>
  <si>
    <t>2937 | Fundraising</t>
  </si>
  <si>
    <t>2935 | Fundraising</t>
  </si>
  <si>
    <t>2931 | Fundraising</t>
  </si>
  <si>
    <t>2928 | Fundraising</t>
  </si>
  <si>
    <t>2923 | Fundraising</t>
  </si>
  <si>
    <t>2912 | Fundraising</t>
  </si>
  <si>
    <t>2828 | Fundraising</t>
  </si>
  <si>
    <t>2826 | Fundraising</t>
  </si>
  <si>
    <t>2821 | Fundraising</t>
  </si>
  <si>
    <t>2807 | Fundraising</t>
  </si>
  <si>
    <t>2794 | Fundraising</t>
  </si>
  <si>
    <t>2747 | Fundraising</t>
  </si>
  <si>
    <t>2709 | Fundraising</t>
  </si>
  <si>
    <t>2634 | Fundraising</t>
  </si>
  <si>
    <t>2632 | Fundraising</t>
  </si>
  <si>
    <t>2631 | Fundraising</t>
  </si>
  <si>
    <t>2626 | Fundraising</t>
  </si>
  <si>
    <t>2620 | Fundraising</t>
  </si>
  <si>
    <t>2573 | Fundraising</t>
  </si>
  <si>
    <t>2572 | Fundraising</t>
  </si>
  <si>
    <t>2489 | Fundraising</t>
  </si>
  <si>
    <t>2487 | Fundraising</t>
  </si>
  <si>
    <t>2484 | Fundraising</t>
  </si>
  <si>
    <t>2398 | Fundraising</t>
  </si>
  <si>
    <t>2397 | Fundraising</t>
  </si>
  <si>
    <t>2396 | Fundraising</t>
  </si>
  <si>
    <t>2133 | Fundraising</t>
  </si>
  <si>
    <t>2106 | Fundraising</t>
  </si>
  <si>
    <t>2037 | Fundraising</t>
  </si>
  <si>
    <t>1940 | Fundraising</t>
  </si>
  <si>
    <t>1876 | Fundraising</t>
  </si>
  <si>
    <t>1720 | Fundraising</t>
  </si>
  <si>
    <t>Review Associate</t>
  </si>
  <si>
    <t>Fundraising-Review Associate</t>
  </si>
  <si>
    <t>1717 | Fundraising</t>
  </si>
  <si>
    <t>1700 | Fundraising</t>
  </si>
  <si>
    <t>1485 | Fundraising</t>
  </si>
  <si>
    <t>1469 | Fundraising</t>
  </si>
  <si>
    <t>1468 | Fundraising</t>
  </si>
  <si>
    <t>1465 | Fundraising</t>
  </si>
  <si>
    <t>1351 | Fundraising</t>
  </si>
  <si>
    <t>1250 | Fundraising</t>
  </si>
  <si>
    <t>1239 | Fundraising</t>
  </si>
  <si>
    <t>1224 | Fundraising</t>
  </si>
  <si>
    <t>1210 | Fundraising</t>
  </si>
  <si>
    <t>1201 | Fundraising</t>
  </si>
  <si>
    <t>1194 | Fundraising</t>
  </si>
  <si>
    <t>1171 | Fundraising</t>
  </si>
  <si>
    <t>2954 | Fundraising</t>
  </si>
  <si>
    <t>Fundraising - Associate</t>
  </si>
  <si>
    <t>Fundraising-Analyst</t>
  </si>
  <si>
    <t>2916 | Fundraising</t>
  </si>
  <si>
    <t>2829 | Fundraising</t>
  </si>
  <si>
    <t>2809 | Fundraising</t>
  </si>
  <si>
    <t>2802 | Fundraising</t>
  </si>
  <si>
    <t>2800 | Fundraising</t>
  </si>
  <si>
    <t>2710 | Fundraising</t>
  </si>
  <si>
    <t>2708 | Fundraising</t>
  </si>
  <si>
    <t>2706 | Fundraising</t>
  </si>
  <si>
    <t>2621 | Fundraising</t>
  </si>
  <si>
    <t>2599 | Fundraising</t>
  </si>
  <si>
    <t>2596 | Fundraising</t>
  </si>
  <si>
    <t>2594 | Fundraising</t>
  </si>
  <si>
    <t>2490 | Fundraising</t>
  </si>
  <si>
    <t>2423 | Fundraising</t>
  </si>
  <si>
    <t>2104 | Fundraising</t>
  </si>
  <si>
    <t>2098 | Fundraising</t>
  </si>
  <si>
    <t>2091 | Fundraising</t>
  </si>
  <si>
    <t>2032 | Fundraising</t>
  </si>
  <si>
    <t>2031 | Fundraising</t>
  </si>
  <si>
    <t>1934 | Fundraising</t>
  </si>
  <si>
    <t>Fundraising-Auditor</t>
  </si>
  <si>
    <t>1878 | Fundraising</t>
  </si>
  <si>
    <t>1715 | Fundraising</t>
  </si>
  <si>
    <t>1696 | Fundraising</t>
  </si>
  <si>
    <t>1695 | Fundraising</t>
  </si>
  <si>
    <t>1555 | Fundraising</t>
  </si>
  <si>
    <t>1358 | Fundraising</t>
  </si>
  <si>
    <t>1356 | Fundraising</t>
  </si>
  <si>
    <t>1355 | Fundraising</t>
  </si>
  <si>
    <t>1249 | Fundraising</t>
  </si>
  <si>
    <t>1248 | Fundraising</t>
  </si>
  <si>
    <t>1221 | Fundraising</t>
  </si>
  <si>
    <t>1204 | Fundraising</t>
  </si>
  <si>
    <t>1195 | Fundraising</t>
  </si>
  <si>
    <t>1180 | Fundraising</t>
  </si>
  <si>
    <t>1173 | Fundraising</t>
  </si>
  <si>
    <t>1109 | Fundraising</t>
  </si>
  <si>
    <t>1075 | Fundraising</t>
  </si>
  <si>
    <t>1071 | Fundraising</t>
  </si>
  <si>
    <t>2849 | Finance</t>
  </si>
  <si>
    <t>Finance</t>
  </si>
  <si>
    <t>Finance - Senior Management</t>
  </si>
  <si>
    <t>Finance-Senior Manager</t>
  </si>
  <si>
    <t>2772 | Finance</t>
  </si>
  <si>
    <t>2690 | Finance</t>
  </si>
  <si>
    <t>2685 | Finance</t>
  </si>
  <si>
    <t>2323 | Finance</t>
  </si>
  <si>
    <t>2278 | Finance</t>
  </si>
  <si>
    <t>2223 | Finance</t>
  </si>
  <si>
    <t>2180 | Finance</t>
  </si>
  <si>
    <t>2175 | Finance</t>
  </si>
  <si>
    <t>2084 | Finance</t>
  </si>
  <si>
    <t>1890 | Finance</t>
  </si>
  <si>
    <t>1883 | Finance</t>
  </si>
  <si>
    <t>1845 | Finance</t>
  </si>
  <si>
    <t>1757 | Finance</t>
  </si>
  <si>
    <t>1702 | Finance</t>
  </si>
  <si>
    <t>1677 | Finance</t>
  </si>
  <si>
    <t>1635 | Finance</t>
  </si>
  <si>
    <t>1585 | Finance</t>
  </si>
  <si>
    <t>1581 | Finance</t>
  </si>
  <si>
    <t>1568 | Finance</t>
  </si>
  <si>
    <t>1524 | Finance</t>
  </si>
  <si>
    <t>1514 | Finance</t>
  </si>
  <si>
    <t>1434 | Finance</t>
  </si>
  <si>
    <t>1288 | Finance</t>
  </si>
  <si>
    <t>1262 | Finance</t>
  </si>
  <si>
    <t>1256 | Finance</t>
  </si>
  <si>
    <t>1150 | Finance</t>
  </si>
  <si>
    <t>1120 | Finance</t>
  </si>
  <si>
    <t>1112 | Finance</t>
  </si>
  <si>
    <t>1068 | Finance</t>
  </si>
  <si>
    <t>1067 | Finance</t>
  </si>
  <si>
    <t>1032 | Finance</t>
  </si>
  <si>
    <t>1019 | Finance</t>
  </si>
  <si>
    <t>210 | Finance</t>
  </si>
  <si>
    <t>203 | Finance</t>
  </si>
  <si>
    <t>176 | Finance</t>
  </si>
  <si>
    <t>171 | Finance</t>
  </si>
  <si>
    <t>110 | Finance</t>
  </si>
  <si>
    <t>109 | Finance</t>
  </si>
  <si>
    <t>104 | Finance</t>
  </si>
  <si>
    <t>98 | Finance</t>
  </si>
  <si>
    <t>94 | Finance</t>
  </si>
  <si>
    <t>28 | Finance</t>
  </si>
  <si>
    <t>22 | Finance</t>
  </si>
  <si>
    <t>16 | Finance</t>
  </si>
  <si>
    <t>14 | Finance</t>
  </si>
  <si>
    <t>2850 | Finance</t>
  </si>
  <si>
    <t>Finance - Senior</t>
  </si>
  <si>
    <t>Finance-Fund Administrator</t>
  </si>
  <si>
    <t>2846 | Finance</t>
  </si>
  <si>
    <t>2842 | Finance</t>
  </si>
  <si>
    <t>2841 | Finance</t>
  </si>
  <si>
    <t>2754 | Finance</t>
  </si>
  <si>
    <t>2753 | Finance</t>
  </si>
  <si>
    <t>2751 | Finance</t>
  </si>
  <si>
    <t>2688 | Finance</t>
  </si>
  <si>
    <t>2681 | Finance</t>
  </si>
  <si>
    <t>2674 | Finance</t>
  </si>
  <si>
    <t>2671 | Finance</t>
  </si>
  <si>
    <t>2545 | Finance</t>
  </si>
  <si>
    <t>2541 | Finance</t>
  </si>
  <si>
    <t>2479 | Finance</t>
  </si>
  <si>
    <t>2471 | Finance</t>
  </si>
  <si>
    <t>2355 | Finance</t>
  </si>
  <si>
    <t>2354 | Finance</t>
  </si>
  <si>
    <t>2309 | Finance</t>
  </si>
  <si>
    <t>2283 | Finance</t>
  </si>
  <si>
    <t>2234 | Finance</t>
  </si>
  <si>
    <t>2224 | Finance</t>
  </si>
  <si>
    <t>2171 | Finance</t>
  </si>
  <si>
    <t>2088 | Finance</t>
  </si>
  <si>
    <t>2023 | Finance</t>
  </si>
  <si>
    <t>2000 | Finance</t>
  </si>
  <si>
    <t>1998 | Finance</t>
  </si>
  <si>
    <t>1997 | Finance</t>
  </si>
  <si>
    <t>1995 | Finance</t>
  </si>
  <si>
    <t>1993 | Finance</t>
  </si>
  <si>
    <t>1870 | Finance</t>
  </si>
  <si>
    <t>1866 | Finance</t>
  </si>
  <si>
    <t>1861 | Finance</t>
  </si>
  <si>
    <t>1850 | Finance</t>
  </si>
  <si>
    <t>1848 | Finance</t>
  </si>
  <si>
    <t>1844 | Finance</t>
  </si>
  <si>
    <t>1760 | Finance</t>
  </si>
  <si>
    <t>1756 | Finance</t>
  </si>
  <si>
    <t>1740 | Finance</t>
  </si>
  <si>
    <t>1737 | Finance</t>
  </si>
  <si>
    <t>1736 | Finance</t>
  </si>
  <si>
    <t>1735 | Finance</t>
  </si>
  <si>
    <t>1708 | Finance</t>
  </si>
  <si>
    <t>1703 | Finance</t>
  </si>
  <si>
    <t>1701 | Finance</t>
  </si>
  <si>
    <t>1678 | Finance</t>
  </si>
  <si>
    <t>1675 | Finance</t>
  </si>
  <si>
    <t>1638 | Finance</t>
  </si>
  <si>
    <t>1636 | Finance</t>
  </si>
  <si>
    <t>1633 | Finance</t>
  </si>
  <si>
    <t>1567 | Finance</t>
  </si>
  <si>
    <t>1564 | Finance</t>
  </si>
  <si>
    <t>1562 | Finance</t>
  </si>
  <si>
    <t>1549 | Finance</t>
  </si>
  <si>
    <t>1542 | Finance</t>
  </si>
  <si>
    <t>1526 | Finance</t>
  </si>
  <si>
    <t>1521 | Finance</t>
  </si>
  <si>
    <t>1517 | Finance</t>
  </si>
  <si>
    <t>1400 | Finance</t>
  </si>
  <si>
    <t>1396 | Finance</t>
  </si>
  <si>
    <t>1340 | Finance</t>
  </si>
  <si>
    <t>1337 | Finance</t>
  </si>
  <si>
    <t>1309 | Finance</t>
  </si>
  <si>
    <t>1270 | Finance</t>
  </si>
  <si>
    <t>1269 | Finance</t>
  </si>
  <si>
    <t>1268 | Finance</t>
  </si>
  <si>
    <t>1264 | Finance</t>
  </si>
  <si>
    <t>1259 | Finance</t>
  </si>
  <si>
    <t>1254 | Finance</t>
  </si>
  <si>
    <t>1251 | Finance</t>
  </si>
  <si>
    <t>1144 | Finance</t>
  </si>
  <si>
    <t>1142 | Finance</t>
  </si>
  <si>
    <t>1141 | Finance</t>
  </si>
  <si>
    <t>1116 | Finance</t>
  </si>
  <si>
    <t>1066 | Finance</t>
  </si>
  <si>
    <t>1015 | Finance</t>
  </si>
  <si>
    <t>1014 | Finance</t>
  </si>
  <si>
    <t>980 | Finance</t>
  </si>
  <si>
    <t>976 | Finance</t>
  </si>
  <si>
    <t>973 | Finance</t>
  </si>
  <si>
    <t>968 | Finance</t>
  </si>
  <si>
    <t>967 | Finance</t>
  </si>
  <si>
    <t>962 | Finance</t>
  </si>
  <si>
    <t>892 | Finance</t>
  </si>
  <si>
    <t>890 | Finance</t>
  </si>
  <si>
    <t>889 | Finance</t>
  </si>
  <si>
    <t>885 | Finance</t>
  </si>
  <si>
    <t>865 | Finance</t>
  </si>
  <si>
    <t>860 | Finance</t>
  </si>
  <si>
    <t>858 | Finance</t>
  </si>
  <si>
    <t>748 | Finance</t>
  </si>
  <si>
    <t>745 | Finance</t>
  </si>
  <si>
    <t>705 | Finance</t>
  </si>
  <si>
    <t>701 | Finance</t>
  </si>
  <si>
    <t>608 | Finance</t>
  </si>
  <si>
    <t>606 | Finance</t>
  </si>
  <si>
    <t>605 | Finance</t>
  </si>
  <si>
    <t>597 | Finance</t>
  </si>
  <si>
    <t>594 | Finance</t>
  </si>
  <si>
    <t>591 | Finance</t>
  </si>
  <si>
    <t>459 | Finance</t>
  </si>
  <si>
    <t>455 | Finance</t>
  </si>
  <si>
    <t>452 | Finance</t>
  </si>
  <si>
    <t>400 | Finance</t>
  </si>
  <si>
    <t>393 | Finance</t>
  </si>
  <si>
    <t>345 | Finance</t>
  </si>
  <si>
    <t>341 | Finance</t>
  </si>
  <si>
    <t>285 | Finance</t>
  </si>
  <si>
    <t>284 | Finance</t>
  </si>
  <si>
    <t>207 | Finance</t>
  </si>
  <si>
    <t>177 | Finance</t>
  </si>
  <si>
    <t>175 | Finance</t>
  </si>
  <si>
    <t>173 | Finance</t>
  </si>
  <si>
    <t>95 | Finance</t>
  </si>
  <si>
    <t>Finance-Business Partner</t>
  </si>
  <si>
    <t>93 | Finance</t>
  </si>
  <si>
    <t>80 | Finance</t>
  </si>
  <si>
    <t>29 | Finance</t>
  </si>
  <si>
    <t>18 | Finance</t>
  </si>
  <si>
    <t>2843 | Finance</t>
  </si>
  <si>
    <t>Finance - Manager Level</t>
  </si>
  <si>
    <t>Finance-Manager</t>
  </si>
  <si>
    <t>2780 | Finance</t>
  </si>
  <si>
    <t>2778 | Finance</t>
  </si>
  <si>
    <t>2752 | Finance</t>
  </si>
  <si>
    <t>2677 | Finance</t>
  </si>
  <si>
    <t>2676 | Finance</t>
  </si>
  <si>
    <t>2675 | Finance</t>
  </si>
  <si>
    <t>2673 | Finance</t>
  </si>
  <si>
    <t>2550 | Finance</t>
  </si>
  <si>
    <t>2544 | Finance</t>
  </si>
  <si>
    <t>2506 | Finance</t>
  </si>
  <si>
    <t>2503 | Finance</t>
  </si>
  <si>
    <t>2502 | Finance</t>
  </si>
  <si>
    <t>2480 | Finance</t>
  </si>
  <si>
    <t>2472 | Finance</t>
  </si>
  <si>
    <t>2359 | Finance</t>
  </si>
  <si>
    <t>2356 | Finance</t>
  </si>
  <si>
    <t>2330 | Finance</t>
  </si>
  <si>
    <t>2308 | Finance</t>
  </si>
  <si>
    <t>2279 | Finance</t>
  </si>
  <si>
    <t>2230 | Finance</t>
  </si>
  <si>
    <t>2226 | Finance</t>
  </si>
  <si>
    <t>2222 | Finance</t>
  </si>
  <si>
    <t>2172 | Finance</t>
  </si>
  <si>
    <t>2156 | Finance</t>
  </si>
  <si>
    <t>2154 | Finance</t>
  </si>
  <si>
    <t>2083 | Finance</t>
  </si>
  <si>
    <t>2030 | Finance</t>
  </si>
  <si>
    <t>2021 | Finance</t>
  </si>
  <si>
    <t>1996 | Finance</t>
  </si>
  <si>
    <t>1889 | Finance</t>
  </si>
  <si>
    <t>1887 | Finance</t>
  </si>
  <si>
    <t>1886 | Finance</t>
  </si>
  <si>
    <t>1885 | Finance</t>
  </si>
  <si>
    <t>1884 | Finance</t>
  </si>
  <si>
    <t>1843 | Finance</t>
  </si>
  <si>
    <t>1842 | Finance</t>
  </si>
  <si>
    <t>1828 | Finance</t>
  </si>
  <si>
    <t>1827 | Finance</t>
  </si>
  <si>
    <t>1825 | Finance</t>
  </si>
  <si>
    <t>1824 | Finance</t>
  </si>
  <si>
    <t>1755 | Finance</t>
  </si>
  <si>
    <t>1753 | Finance</t>
  </si>
  <si>
    <t>1739 | Finance</t>
  </si>
  <si>
    <t>1710 | Finance</t>
  </si>
  <si>
    <t>1676 | Finance</t>
  </si>
  <si>
    <t>1673 | Finance</t>
  </si>
  <si>
    <t>1587 | Finance</t>
  </si>
  <si>
    <t>1566 | Finance</t>
  </si>
  <si>
    <t>1565 | Finance</t>
  </si>
  <si>
    <t>1561 | Finance</t>
  </si>
  <si>
    <t>1541 | Finance</t>
  </si>
  <si>
    <t>1530 | Finance</t>
  </si>
  <si>
    <t>1440 | Finance</t>
  </si>
  <si>
    <t>1437 | Finance</t>
  </si>
  <si>
    <t>1432 | Finance</t>
  </si>
  <si>
    <t>1399 | Finance</t>
  </si>
  <si>
    <t>1397 | Finance</t>
  </si>
  <si>
    <t>1394 | Finance</t>
  </si>
  <si>
    <t>1393 | Finance</t>
  </si>
  <si>
    <t>1339 | Finance</t>
  </si>
  <si>
    <t>1338 | Finance</t>
  </si>
  <si>
    <t>1336 | Finance</t>
  </si>
  <si>
    <t>1289 | Finance</t>
  </si>
  <si>
    <t>1284 | Finance</t>
  </si>
  <si>
    <t>1281 | Finance</t>
  </si>
  <si>
    <t>1267 | Finance</t>
  </si>
  <si>
    <t>1261 | Finance</t>
  </si>
  <si>
    <t>1146 | Finance</t>
  </si>
  <si>
    <t>1118 | Finance</t>
  </si>
  <si>
    <t>1113 | Finance</t>
  </si>
  <si>
    <t>1070 | Finance</t>
  </si>
  <si>
    <t>1069 | Finance</t>
  </si>
  <si>
    <t>1035 | Finance</t>
  </si>
  <si>
    <t>1020 | Finance</t>
  </si>
  <si>
    <t>1011 | Finance</t>
  </si>
  <si>
    <t>979 | Finance</t>
  </si>
  <si>
    <t>975 | Finance</t>
  </si>
  <si>
    <t>971 | Finance</t>
  </si>
  <si>
    <t>970 | Finance</t>
  </si>
  <si>
    <t>899 | Finance</t>
  </si>
  <si>
    <t>886 | Finance</t>
  </si>
  <si>
    <t>866 | Finance</t>
  </si>
  <si>
    <t>862 | Finance</t>
  </si>
  <si>
    <t>861 | Finance</t>
  </si>
  <si>
    <t>750 | Finance</t>
  </si>
  <si>
    <t>747 | Finance</t>
  </si>
  <si>
    <t>704 | Finance</t>
  </si>
  <si>
    <t>609 | Finance</t>
  </si>
  <si>
    <t>600 | Finance</t>
  </si>
  <si>
    <t>595 | Finance</t>
  </si>
  <si>
    <t>451 | Finance</t>
  </si>
  <si>
    <t>392 | Finance</t>
  </si>
  <si>
    <t>349 | Finance</t>
  </si>
  <si>
    <t>347 | Finance</t>
  </si>
  <si>
    <t>346 | Finance</t>
  </si>
  <si>
    <t>342 | Finance</t>
  </si>
  <si>
    <t>287 | Finance</t>
  </si>
  <si>
    <t>Contoller</t>
  </si>
  <si>
    <t>Finance-Contoller</t>
  </si>
  <si>
    <t>282 | Finance</t>
  </si>
  <si>
    <t>202 | Finance</t>
  </si>
  <si>
    <t>179 | Finance</t>
  </si>
  <si>
    <t>174 | Finance</t>
  </si>
  <si>
    <t>172 | Finance</t>
  </si>
  <si>
    <t>103 | Finance</t>
  </si>
  <si>
    <t>102 | Finance</t>
  </si>
  <si>
    <t>99 | Finance</t>
  </si>
  <si>
    <t>97 | Finance</t>
  </si>
  <si>
    <t>92 | Finance</t>
  </si>
  <si>
    <t>79 | Finance</t>
  </si>
  <si>
    <t>76 | Finance</t>
  </si>
  <si>
    <t>24 | Finance</t>
  </si>
  <si>
    <t>17 | Finance</t>
  </si>
  <si>
    <t>2848 | Finance</t>
  </si>
  <si>
    <t>Finance - Junior</t>
  </si>
  <si>
    <t>Finance-Analyst</t>
  </si>
  <si>
    <t>2845 | Finance</t>
  </si>
  <si>
    <t>2775 | Finance</t>
  </si>
  <si>
    <t>2773 | Finance</t>
  </si>
  <si>
    <t>2759 | Finance</t>
  </si>
  <si>
    <t>2689 | Finance</t>
  </si>
  <si>
    <t>2687 | Finance</t>
  </si>
  <si>
    <t>2683 | Finance</t>
  </si>
  <si>
    <t>2682 | Finance</t>
  </si>
  <si>
    <t>2680 | Finance</t>
  </si>
  <si>
    <t>2678 | Finance</t>
  </si>
  <si>
    <t>2549 | Finance</t>
  </si>
  <si>
    <t>2543 | Finance</t>
  </si>
  <si>
    <t>2510 | Finance</t>
  </si>
  <si>
    <t>2507 | Finance</t>
  </si>
  <si>
    <t>2477 | Finance</t>
  </si>
  <si>
    <t>2473 | Finance</t>
  </si>
  <si>
    <t>2358 | Finance</t>
  </si>
  <si>
    <t>2352 | Finance</t>
  </si>
  <si>
    <t>2329 | Finance</t>
  </si>
  <si>
    <t>2327 | Finance</t>
  </si>
  <si>
    <t>2324 | Finance</t>
  </si>
  <si>
    <t>2322 | Finance</t>
  </si>
  <si>
    <t>2310 | Finance</t>
  </si>
  <si>
    <t>2303 | Finance</t>
  </si>
  <si>
    <t>2289 | Finance</t>
  </si>
  <si>
    <t>2288 | Finance</t>
  </si>
  <si>
    <t>2284 | Finance</t>
  </si>
  <si>
    <t>2280 | Finance</t>
  </si>
  <si>
    <t>2277 | Finance</t>
  </si>
  <si>
    <t>2276 | Finance</t>
  </si>
  <si>
    <t>2236 | Finance</t>
  </si>
  <si>
    <t>2232 | Finance</t>
  </si>
  <si>
    <t>2179 | Finance</t>
  </si>
  <si>
    <t>2176 | Finance</t>
  </si>
  <si>
    <t>2158 | Finance</t>
  </si>
  <si>
    <t>2155 | Finance</t>
  </si>
  <si>
    <t>2086 | Finance</t>
  </si>
  <si>
    <t>2082 | Finance</t>
  </si>
  <si>
    <t>1994 | Finance</t>
  </si>
  <si>
    <t>1882 | Finance</t>
  </si>
  <si>
    <t>1881 | Finance</t>
  </si>
  <si>
    <t>Billing Officer</t>
  </si>
  <si>
    <t>Finance-Billing Officer</t>
  </si>
  <si>
    <t>1869 | Finance</t>
  </si>
  <si>
    <t>1868 | Finance</t>
  </si>
  <si>
    <t>1849 | Finance</t>
  </si>
  <si>
    <t>1847 | Finance</t>
  </si>
  <si>
    <t>1821 | Finance</t>
  </si>
  <si>
    <t>1733 | Finance</t>
  </si>
  <si>
    <t>1707 | Finance</t>
  </si>
  <si>
    <t>1634 | Finance</t>
  </si>
  <si>
    <t>1589 | Finance</t>
  </si>
  <si>
    <t>1582 | Finance</t>
  </si>
  <si>
    <t>1570 | Finance</t>
  </si>
  <si>
    <t>1548 | Finance</t>
  </si>
  <si>
    <t>1543 | Finance</t>
  </si>
  <si>
    <t>1520 | Finance</t>
  </si>
  <si>
    <t>1511 | Finance</t>
  </si>
  <si>
    <t>1439 | Finance</t>
  </si>
  <si>
    <t>1438 | Finance</t>
  </si>
  <si>
    <t>1431 | Finance</t>
  </si>
  <si>
    <t>1333 | Finance</t>
  </si>
  <si>
    <t>1331 | Finance</t>
  </si>
  <si>
    <t>1310 | Finance</t>
  </si>
  <si>
    <t>1304 | Finance</t>
  </si>
  <si>
    <t>1303 | Finance</t>
  </si>
  <si>
    <t>1286 | Finance</t>
  </si>
  <si>
    <t>1282 | Finance</t>
  </si>
  <si>
    <t>1266 | Finance</t>
  </si>
  <si>
    <t>1265 | Finance</t>
  </si>
  <si>
    <t>1252 | Finance</t>
  </si>
  <si>
    <t>1038 | Finance</t>
  </si>
  <si>
    <t>1033 | Finance</t>
  </si>
  <si>
    <t>1017 | Finance</t>
  </si>
  <si>
    <t>1016 | Finance</t>
  </si>
  <si>
    <t>966 | Finance</t>
  </si>
  <si>
    <t>965 | Finance</t>
  </si>
  <si>
    <t>887 | Finance</t>
  </si>
  <si>
    <t>864 | Finance</t>
  </si>
  <si>
    <t>851 | Finance</t>
  </si>
  <si>
    <t>746 | Finance</t>
  </si>
  <si>
    <t>743 | Finance</t>
  </si>
  <si>
    <t>703 | Finance</t>
  </si>
  <si>
    <t>702 | Finance</t>
  </si>
  <si>
    <t>607 | Finance</t>
  </si>
  <si>
    <t>601 | Finance</t>
  </si>
  <si>
    <t>599 | Finance</t>
  </si>
  <si>
    <t>460 | Finance</t>
  </si>
  <si>
    <t>454 | Finance</t>
  </si>
  <si>
    <t>453 | Finance</t>
  </si>
  <si>
    <t>394 | Finance</t>
  </si>
  <si>
    <t>350 | Finance</t>
  </si>
  <si>
    <t>290 | Finance</t>
  </si>
  <si>
    <t>288 | Finance</t>
  </si>
  <si>
    <t>208 | Finance</t>
  </si>
  <si>
    <t>206 | Finance</t>
  </si>
  <si>
    <t>205 | Finance</t>
  </si>
  <si>
    <t>180 | Finance</t>
  </si>
  <si>
    <t>108 | Finance</t>
  </si>
  <si>
    <t>78 | Finance</t>
  </si>
  <si>
    <t>77 | Finance</t>
  </si>
  <si>
    <t>74 | Finance</t>
  </si>
  <si>
    <t>72 | Finance</t>
  </si>
  <si>
    <t>15 | Finance</t>
  </si>
  <si>
    <t>2290 | Finance</t>
  </si>
  <si>
    <t>Finance - Executive</t>
  </si>
  <si>
    <t>Finance-Associate Director</t>
  </si>
  <si>
    <t>2028 | Finance</t>
  </si>
  <si>
    <t>1829 | Finance</t>
  </si>
  <si>
    <t>1759 | Finance</t>
  </si>
  <si>
    <t>1632 | Finance</t>
  </si>
  <si>
    <t>1516 | Finance</t>
  </si>
  <si>
    <t>1435 | Finance</t>
  </si>
  <si>
    <t>1149 | Finance</t>
  </si>
  <si>
    <t>1034 | Finance</t>
  </si>
  <si>
    <t>974 | Finance</t>
  </si>
  <si>
    <t>961 | Finance</t>
  </si>
  <si>
    <t>900 | Finance</t>
  </si>
  <si>
    <t>896 | Finance</t>
  </si>
  <si>
    <t>893 | Finance</t>
  </si>
  <si>
    <t>Principal Officer</t>
  </si>
  <si>
    <t>Finance-Principal Officer</t>
  </si>
  <si>
    <t>891 | Finance</t>
  </si>
  <si>
    <t>888 | Finance</t>
  </si>
  <si>
    <t>883 | Finance</t>
  </si>
  <si>
    <t>882 | Finance</t>
  </si>
  <si>
    <t>869 | Finance</t>
  </si>
  <si>
    <t>868 | Finance</t>
  </si>
  <si>
    <t>867 | Finance</t>
  </si>
  <si>
    <t>857 | Finance</t>
  </si>
  <si>
    <t>854 | Finance</t>
  </si>
  <si>
    <t>853 | Finance</t>
  </si>
  <si>
    <t>742 | Finance</t>
  </si>
  <si>
    <t>741 | Finance</t>
  </si>
  <si>
    <t>709 | Finance</t>
  </si>
  <si>
    <t>708 | Finance</t>
  </si>
  <si>
    <t>706 | Finance</t>
  </si>
  <si>
    <t>604 | Finance</t>
  </si>
  <si>
    <t>603 | Finance</t>
  </si>
  <si>
    <t>602 | Finance</t>
  </si>
  <si>
    <t>598 | Finance</t>
  </si>
  <si>
    <t>596 | Finance</t>
  </si>
  <si>
    <t>593 | Finance</t>
  </si>
  <si>
    <t>592 | Finance</t>
  </si>
  <si>
    <t>457 | Finance</t>
  </si>
  <si>
    <t>398 | Finance</t>
  </si>
  <si>
    <t>397 | Finance</t>
  </si>
  <si>
    <t>391 | Finance</t>
  </si>
  <si>
    <t>348 | Finance</t>
  </si>
  <si>
    <t>344 | Finance</t>
  </si>
  <si>
    <t>343 | Finance</t>
  </si>
  <si>
    <t>289 | Finance</t>
  </si>
  <si>
    <t>281 | Finance</t>
  </si>
  <si>
    <t>Finance-Director</t>
  </si>
  <si>
    <t>209 | Finance</t>
  </si>
  <si>
    <t>201 | Finance</t>
  </si>
  <si>
    <t>107 | Finance</t>
  </si>
  <si>
    <t>96 | Finance</t>
  </si>
  <si>
    <t>75 | Finance</t>
  </si>
  <si>
    <t>73 | Finance</t>
  </si>
  <si>
    <t>71 | Finance</t>
  </si>
  <si>
    <t>27 | Finance</t>
  </si>
  <si>
    <t>26 | Finance</t>
  </si>
  <si>
    <t>25 | Finance</t>
  </si>
  <si>
    <t>19 | Finance</t>
  </si>
  <si>
    <t>13 | Finance</t>
  </si>
  <si>
    <t>11 | Finance</t>
  </si>
  <si>
    <t>2760 | Finance</t>
  </si>
  <si>
    <t>Finance - Associate</t>
  </si>
  <si>
    <t>Revenue Recorgnition</t>
  </si>
  <si>
    <t>Finance-Revenue Recorgnition</t>
  </si>
  <si>
    <t>2684 | Finance</t>
  </si>
  <si>
    <t>2679 | Finance</t>
  </si>
  <si>
    <t>2672 | Finance</t>
  </si>
  <si>
    <t>2548 | Finance</t>
  </si>
  <si>
    <t>2546 | Finance</t>
  </si>
  <si>
    <t>2509 | Finance</t>
  </si>
  <si>
    <t>2504 | Finance</t>
  </si>
  <si>
    <t>2501 | Finance</t>
  </si>
  <si>
    <t>2475 | Finance</t>
  </si>
  <si>
    <t>2353 | Finance</t>
  </si>
  <si>
    <t>2351 | Finance</t>
  </si>
  <si>
    <t>2326 | Finance</t>
  </si>
  <si>
    <t>2321 | Finance</t>
  </si>
  <si>
    <t>2306 | Finance</t>
  </si>
  <si>
    <t>2302 | Finance</t>
  </si>
  <si>
    <t>2271 | Finance</t>
  </si>
  <si>
    <t>2229 | Finance</t>
  </si>
  <si>
    <t>2227 | Finance</t>
  </si>
  <si>
    <t>2221 | Finance</t>
  </si>
  <si>
    <t>2178 | Finance</t>
  </si>
  <si>
    <t>2177 | Finance</t>
  </si>
  <si>
    <t>2159 | Finance</t>
  </si>
  <si>
    <t>2157 | Finance</t>
  </si>
  <si>
    <t>2085 | Finance</t>
  </si>
  <si>
    <t>2024 | Finance</t>
  </si>
  <si>
    <t>1888 | Finance</t>
  </si>
  <si>
    <t>1830 | Finance</t>
  </si>
  <si>
    <t>1826 | Finance</t>
  </si>
  <si>
    <t>1823 | Finance</t>
  </si>
  <si>
    <t>1754 | Finance</t>
  </si>
  <si>
    <t>1751 | Finance</t>
  </si>
  <si>
    <t>1732 | Finance</t>
  </si>
  <si>
    <t>1706 | Finance</t>
  </si>
  <si>
    <t>1704 | Finance</t>
  </si>
  <si>
    <t>1674 | Finance</t>
  </si>
  <si>
    <t>1672 | Finance</t>
  </si>
  <si>
    <t>1671 | Finance</t>
  </si>
  <si>
    <t>1640 | Finance</t>
  </si>
  <si>
    <t>1590 | Finance</t>
  </si>
  <si>
    <t>1588 | Finance</t>
  </si>
  <si>
    <t>1584 | Finance</t>
  </si>
  <si>
    <t>1583 | Finance</t>
  </si>
  <si>
    <t>1563 | Finance</t>
  </si>
  <si>
    <t>1550 | Finance</t>
  </si>
  <si>
    <t>1545 | Finance</t>
  </si>
  <si>
    <t>1528 | Finance</t>
  </si>
  <si>
    <t>1525 | Finance</t>
  </si>
  <si>
    <t>1523 | Finance</t>
  </si>
  <si>
    <t>1515 | Finance</t>
  </si>
  <si>
    <t>1513 | Finance</t>
  </si>
  <si>
    <t>1433 | Finance</t>
  </si>
  <si>
    <t>1392 | Finance</t>
  </si>
  <si>
    <t>1335 | Finance</t>
  </si>
  <si>
    <t>1305 | Finance</t>
  </si>
  <si>
    <t>1290 | Finance</t>
  </si>
  <si>
    <t>1257 | Finance</t>
  </si>
  <si>
    <t>1255 | Finance</t>
  </si>
  <si>
    <t>1253 | Finance</t>
  </si>
  <si>
    <t>1148 | Finance</t>
  </si>
  <si>
    <t>1145 | Finance</t>
  </si>
  <si>
    <t>1119 | Finance</t>
  </si>
  <si>
    <t>1114 | Finance</t>
  </si>
  <si>
    <t>1064 | Finance</t>
  </si>
  <si>
    <t>1062 | Finance</t>
  </si>
  <si>
    <t>1036 | Finance</t>
  </si>
  <si>
    <t>1031 | Finance</t>
  </si>
  <si>
    <t>1018 | Finance</t>
  </si>
  <si>
    <t>1012 | Finance</t>
  </si>
  <si>
    <t>977 | Finance</t>
  </si>
  <si>
    <t>969 | Finance</t>
  </si>
  <si>
    <t>963 | Finance</t>
  </si>
  <si>
    <t>898 | Finance</t>
  </si>
  <si>
    <t>897 | Finance</t>
  </si>
  <si>
    <t>895 | Finance</t>
  </si>
  <si>
    <t>884 | Finance</t>
  </si>
  <si>
    <t>881 | Finance</t>
  </si>
  <si>
    <t>855 | Finance</t>
  </si>
  <si>
    <t>852 | Finance</t>
  </si>
  <si>
    <t>749 | Finance</t>
  </si>
  <si>
    <t>744 | Finance</t>
  </si>
  <si>
    <t>610 | Finance</t>
  </si>
  <si>
    <t>458 | Finance</t>
  </si>
  <si>
    <t>456 | Finance</t>
  </si>
  <si>
    <t>399 | Finance</t>
  </si>
  <si>
    <t>396 | Finance</t>
  </si>
  <si>
    <t>Collections Officer</t>
  </si>
  <si>
    <t>Finance-Collections Officer</t>
  </si>
  <si>
    <t>395 | Finance</t>
  </si>
  <si>
    <t>286 | Finance</t>
  </si>
  <si>
    <t>283 | Finance</t>
  </si>
  <si>
    <t>204 | Finance</t>
  </si>
  <si>
    <t>178 | Finance</t>
  </si>
  <si>
    <t>106 | Finance</t>
  </si>
  <si>
    <t>105 | Finance</t>
  </si>
  <si>
    <t>101 | Finance</t>
  </si>
  <si>
    <t>100 | Finance</t>
  </si>
  <si>
    <t>91 | Finance</t>
  </si>
  <si>
    <t>30 | Finance</t>
  </si>
  <si>
    <t>23 | Finance</t>
  </si>
  <si>
    <t>21 | Finance</t>
  </si>
  <si>
    <t>20 | Finance</t>
  </si>
  <si>
    <t>12 | Finance</t>
  </si>
  <si>
    <t>439 | Communication and Advocacy</t>
  </si>
  <si>
    <t>Communication and Advocacy</t>
  </si>
  <si>
    <t>Communication and Advocacy - Senior Management</t>
  </si>
  <si>
    <t>Communication and Advocacy-Senior Manager</t>
  </si>
  <si>
    <t>432 | Communication and Advocacy</t>
  </si>
  <si>
    <t>365 | Communication and Advocacy</t>
  </si>
  <si>
    <t>364 | Communication and Advocacy</t>
  </si>
  <si>
    <t>360 | Communication and Advocacy</t>
  </si>
  <si>
    <t>358 | Communication and Advocacy</t>
  </si>
  <si>
    <t>354 | Communication and Advocacy</t>
  </si>
  <si>
    <t>326 | Communication and Advocacy</t>
  </si>
  <si>
    <t>324 | Communication and Advocacy</t>
  </si>
  <si>
    <t>323 | Communication and Advocacy</t>
  </si>
  <si>
    <t>297 | Communication and Advocacy</t>
  </si>
  <si>
    <t>279 | Communication and Advocacy</t>
  </si>
  <si>
    <t>278 | Communication and Advocacy</t>
  </si>
  <si>
    <t>271 | Communication and Advocacy</t>
  </si>
  <si>
    <t>249 | Communication and Advocacy</t>
  </si>
  <si>
    <t>247 | Communication and Advocacy</t>
  </si>
  <si>
    <t>242 | Communication and Advocacy</t>
  </si>
  <si>
    <t>126 | Communication and Advocacy</t>
  </si>
  <si>
    <t>123 | Communication and Advocacy</t>
  </si>
  <si>
    <t>88 | Communication and Advocacy</t>
  </si>
  <si>
    <t>86 | Communication and Advocacy</t>
  </si>
  <si>
    <t>43 | Communication and Advocacy</t>
  </si>
  <si>
    <t>41 | Communication and Advocacy</t>
  </si>
  <si>
    <t>2724 | Communication and Advocacy</t>
  </si>
  <si>
    <t>Communication and Advocacy - Senior</t>
  </si>
  <si>
    <t>Communication and Advocacy-Extension Officer</t>
  </si>
  <si>
    <t>2648 | Communication and Advocacy</t>
  </si>
  <si>
    <t>2371 | Communication and Advocacy</t>
  </si>
  <si>
    <t>2331 | Communication and Advocacy</t>
  </si>
  <si>
    <t>2141 | Communication and Advocacy</t>
  </si>
  <si>
    <t>2057 | Communication and Advocacy</t>
  </si>
  <si>
    <t>1955 | Communication and Advocacy</t>
  </si>
  <si>
    <t>1920 | Communication and Advocacy</t>
  </si>
  <si>
    <t>1750 | Communication and Advocacy</t>
  </si>
  <si>
    <t>1749 | Communication and Advocacy</t>
  </si>
  <si>
    <t>1742 | Communication and Advocacy</t>
  </si>
  <si>
    <t>1650 | Communication and Advocacy</t>
  </si>
  <si>
    <t>1533 | Communication and Advocacy</t>
  </si>
  <si>
    <t>1503 | Communication and Advocacy</t>
  </si>
  <si>
    <t>1497 | Communication and Advocacy</t>
  </si>
  <si>
    <t>1368 | Communication and Advocacy</t>
  </si>
  <si>
    <t>1213 | Communication and Advocacy</t>
  </si>
  <si>
    <t>1131 | Communication and Advocacy</t>
  </si>
  <si>
    <t>1085 | Communication and Advocacy</t>
  </si>
  <si>
    <t>1047 | Communication and Advocacy</t>
  </si>
  <si>
    <t>1030 | Communication and Advocacy</t>
  </si>
  <si>
    <t>938 | Communication and Advocacy</t>
  </si>
  <si>
    <t>931 | Communication and Advocacy</t>
  </si>
  <si>
    <t>849 | Communication and Advocacy</t>
  </si>
  <si>
    <t>843 | Communication and Advocacy</t>
  </si>
  <si>
    <t>820 | Communication and Advocacy</t>
  </si>
  <si>
    <t>816 | Communication and Advocacy</t>
  </si>
  <si>
    <t>787 | Communication and Advocacy</t>
  </si>
  <si>
    <t>739 | Communication and Advocacy</t>
  </si>
  <si>
    <t>734 | Communication and Advocacy</t>
  </si>
  <si>
    <t>688 | Communication and Advocacy</t>
  </si>
  <si>
    <t>682 | Communication and Advocacy</t>
  </si>
  <si>
    <t>567 | Communication and Advocacy</t>
  </si>
  <si>
    <t>369 | Communication and Advocacy</t>
  </si>
  <si>
    <t>366 | Communication and Advocacy</t>
  </si>
  <si>
    <t>363 | Communication and Advocacy</t>
  </si>
  <si>
    <t>357 | Communication and Advocacy</t>
  </si>
  <si>
    <t>329 | Communication and Advocacy</t>
  </si>
  <si>
    <t>Communication and Advocacy-Quality Assurance</t>
  </si>
  <si>
    <t>293 | Communication and Advocacy</t>
  </si>
  <si>
    <t>274 | Communication and Advocacy</t>
  </si>
  <si>
    <t>199 | Communication and Advocacy</t>
  </si>
  <si>
    <t>194 | Communication and Advocacy</t>
  </si>
  <si>
    <t>169 | Communication and Advocacy</t>
  </si>
  <si>
    <t>167 | Communication and Advocacy</t>
  </si>
  <si>
    <t>166 | Communication and Advocacy</t>
  </si>
  <si>
    <t>163 | Communication and Advocacy</t>
  </si>
  <si>
    <t>125 | Communication and Advocacy</t>
  </si>
  <si>
    <t>85 | Communication and Advocacy</t>
  </si>
  <si>
    <t>84 | Communication and Advocacy</t>
  </si>
  <si>
    <t>49 | Communication and Advocacy</t>
  </si>
  <si>
    <t>48 | Communication and Advocacy</t>
  </si>
  <si>
    <t>42 | Communication and Advocacy</t>
  </si>
  <si>
    <t>2948 | Communication and Advocacy</t>
  </si>
  <si>
    <t>Communication and Advocacy - Manager Level</t>
  </si>
  <si>
    <t>Communication and Advocacy-Manager</t>
  </si>
  <si>
    <t>2941 | Communication and Advocacy</t>
  </si>
  <si>
    <t>2336 | Communication and Advocacy</t>
  </si>
  <si>
    <t>2335 | Communication and Advocacy</t>
  </si>
  <si>
    <t>2058 | Communication and Advocacy</t>
  </si>
  <si>
    <t>2056 | Communication and Advocacy</t>
  </si>
  <si>
    <t>2054 | Communication and Advocacy</t>
  </si>
  <si>
    <t>1911 | Communication and Advocacy</t>
  </si>
  <si>
    <t>1745 | Communication and Advocacy</t>
  </si>
  <si>
    <t>1597 | Communication and Advocacy</t>
  </si>
  <si>
    <t>1579 | Communication and Advocacy</t>
  </si>
  <si>
    <t>1576 | Communication and Advocacy</t>
  </si>
  <si>
    <t>1504 | Communication and Advocacy</t>
  </si>
  <si>
    <t>1494 | Communication and Advocacy</t>
  </si>
  <si>
    <t>1315 | Communication and Advocacy</t>
  </si>
  <si>
    <t>1023 | Communication and Advocacy</t>
  </si>
  <si>
    <t>841 | Communication and Advocacy</t>
  </si>
  <si>
    <t>789 | Communication and Advocacy</t>
  </si>
  <si>
    <t>738 | Communication and Advocacy</t>
  </si>
  <si>
    <t>737 | Communication and Advocacy</t>
  </si>
  <si>
    <t>735 | Communication and Advocacy</t>
  </si>
  <si>
    <t>689 | Communication and Advocacy</t>
  </si>
  <si>
    <t>687 | Communication and Advocacy</t>
  </si>
  <si>
    <t>685 | Communication and Advocacy</t>
  </si>
  <si>
    <t>570 | Communication and Advocacy</t>
  </si>
  <si>
    <t>566 | Communication and Advocacy</t>
  </si>
  <si>
    <t>563 | Communication and Advocacy</t>
  </si>
  <si>
    <t>437 | Communication and Advocacy</t>
  </si>
  <si>
    <t>434 | Communication and Advocacy</t>
  </si>
  <si>
    <t>353 | Communication and Advocacy</t>
  </si>
  <si>
    <t>352 | Communication and Advocacy</t>
  </si>
  <si>
    <t>327 | Communication and Advocacy</t>
  </si>
  <si>
    <t>298 | Communication and Advocacy</t>
  </si>
  <si>
    <t>280 | Communication and Advocacy</t>
  </si>
  <si>
    <t>272 | Communication and Advocacy</t>
  </si>
  <si>
    <t>244 | Communication and Advocacy</t>
  </si>
  <si>
    <t>241 | Communication and Advocacy</t>
  </si>
  <si>
    <t>197 | Communication and Advocacy</t>
  </si>
  <si>
    <t>192 | Communication and Advocacy</t>
  </si>
  <si>
    <t>168 | Communication and Advocacy</t>
  </si>
  <si>
    <t>124 | Communication and Advocacy</t>
  </si>
  <si>
    <t>50 | Communication and Advocacy</t>
  </si>
  <si>
    <t>44 | Communication and Advocacy</t>
  </si>
  <si>
    <t>355 | Communication and Advocacy</t>
  </si>
  <si>
    <t>Communication and Advocacy - Junior</t>
  </si>
  <si>
    <t>Communication and Advocacy-Analyst</t>
  </si>
  <si>
    <t>330 | Communication and Advocacy</t>
  </si>
  <si>
    <t>296 | Communication and Advocacy</t>
  </si>
  <si>
    <t>277 | Communication and Advocacy</t>
  </si>
  <si>
    <t>273 | Communication and Advocacy</t>
  </si>
  <si>
    <t>196 | Communication and Advocacy</t>
  </si>
  <si>
    <t>170 | Communication and Advocacy</t>
  </si>
  <si>
    <t>165 | Communication and Advocacy</t>
  </si>
  <si>
    <t>130 | Communication and Advocacy</t>
  </si>
  <si>
    <t>129 | Communication and Advocacy</t>
  </si>
  <si>
    <t>128 | Communication and Advocacy</t>
  </si>
  <si>
    <t>127 | Communication and Advocacy</t>
  </si>
  <si>
    <t>122 | Communication and Advocacy</t>
  </si>
  <si>
    <t>90 | Communication and Advocacy</t>
  </si>
  <si>
    <t>87 | Communication and Advocacy</t>
  </si>
  <si>
    <t>81 | Communication and Advocacy</t>
  </si>
  <si>
    <t>47 | Communication and Advocacy</t>
  </si>
  <si>
    <t>508 | Capacity Building</t>
  </si>
  <si>
    <t>Capacity Building</t>
  </si>
  <si>
    <t>Capacity Building - Senior Management</t>
  </si>
  <si>
    <t>Capacity Building-Senior Manager</t>
  </si>
  <si>
    <t>506 | Capacity Building</t>
  </si>
  <si>
    <t>503 | Capacity Building</t>
  </si>
  <si>
    <t>502 | Capacity Building</t>
  </si>
  <si>
    <t>416 | Capacity Building</t>
  </si>
  <si>
    <t>413 | Capacity Building</t>
  </si>
  <si>
    <t>412 | Capacity Building</t>
  </si>
  <si>
    <t>265 | Capacity Building</t>
  </si>
  <si>
    <t>264 | Capacity Building</t>
  </si>
  <si>
    <t>258 | Capacity Building</t>
  </si>
  <si>
    <t>236 | Capacity Building</t>
  </si>
  <si>
    <t>235 | Capacity Building</t>
  </si>
  <si>
    <t>233 | Capacity Building</t>
  </si>
  <si>
    <t>160 | Capacity Building</t>
  </si>
  <si>
    <t>157 | Capacity Building</t>
  </si>
  <si>
    <t>144 | Capacity Building</t>
  </si>
  <si>
    <t>119 | Capacity Building</t>
  </si>
  <si>
    <t>113 | Capacity Building</t>
  </si>
  <si>
    <t>53 | Capacity Building</t>
  </si>
  <si>
    <t>3000 | Capacity Building</t>
  </si>
  <si>
    <t>Capacity Building - Senior</t>
  </si>
  <si>
    <t>Capacity Building-Extension Officer</t>
  </si>
  <si>
    <t>2925 | Capacity Building</t>
  </si>
  <si>
    <t>2915 | Capacity Building</t>
  </si>
  <si>
    <t>2825 | Capacity Building</t>
  </si>
  <si>
    <t>2703 | Capacity Building</t>
  </si>
  <si>
    <t>2636 | Capacity Building</t>
  </si>
  <si>
    <t>2580 | Capacity Building</t>
  </si>
  <si>
    <t>2140 | Capacity Building</t>
  </si>
  <si>
    <t>2107 | Capacity Building</t>
  </si>
  <si>
    <t>2100 | Capacity Building</t>
  </si>
  <si>
    <t>1714 | Capacity Building</t>
  </si>
  <si>
    <t>1693 | Capacity Building</t>
  </si>
  <si>
    <t>1552 | Capacity Building</t>
  </si>
  <si>
    <t>1200 | Capacity Building</t>
  </si>
  <si>
    <t>1178 | Capacity Building</t>
  </si>
  <si>
    <t>1103 | Capacity Building</t>
  </si>
  <si>
    <t>1074 | Capacity Building</t>
  </si>
  <si>
    <t>923 | Capacity Building</t>
  </si>
  <si>
    <t>922 | Capacity Building</t>
  </si>
  <si>
    <t>921 | Capacity Building</t>
  </si>
  <si>
    <t>808 | Capacity Building</t>
  </si>
  <si>
    <t>803 | Capacity Building</t>
  </si>
  <si>
    <t>802 | Capacity Building</t>
  </si>
  <si>
    <t>771 | Capacity Building</t>
  </si>
  <si>
    <t>666 | Capacity Building</t>
  </si>
  <si>
    <t>Capacity Building-Quality Assurance</t>
  </si>
  <si>
    <t>665 | Capacity Building</t>
  </si>
  <si>
    <t>625 | Capacity Building</t>
  </si>
  <si>
    <t>624 | Capacity Building</t>
  </si>
  <si>
    <t>540 | Capacity Building</t>
  </si>
  <si>
    <t>536 | Capacity Building</t>
  </si>
  <si>
    <t>533 | Capacity Building</t>
  </si>
  <si>
    <t>501 | Capacity Building</t>
  </si>
  <si>
    <t>429 | Capacity Building</t>
  </si>
  <si>
    <t>422 | Capacity Building</t>
  </si>
  <si>
    <t>411 | Capacity Building</t>
  </si>
  <si>
    <t>269 | Capacity Building</t>
  </si>
  <si>
    <t>266 | Capacity Building</t>
  </si>
  <si>
    <t>256 | Capacity Building</t>
  </si>
  <si>
    <t>254 | Capacity Building</t>
  </si>
  <si>
    <t>251 | Capacity Building</t>
  </si>
  <si>
    <t>231 | Capacity Building</t>
  </si>
  <si>
    <t>224 | Capacity Building</t>
  </si>
  <si>
    <t>223 | Capacity Building</t>
  </si>
  <si>
    <t>158 | Capacity Building</t>
  </si>
  <si>
    <t>153 | Capacity Building</t>
  </si>
  <si>
    <t>142 | Capacity Building</t>
  </si>
  <si>
    <t>Capacity Building-Auditor</t>
  </si>
  <si>
    <t>115 | Capacity Building</t>
  </si>
  <si>
    <t>112 | Capacity Building</t>
  </si>
  <si>
    <t>60 | Capacity Building</t>
  </si>
  <si>
    <t>59 | Capacity Building</t>
  </si>
  <si>
    <t>51 | Capacity Building</t>
  </si>
  <si>
    <t>2952 | Capacity Building</t>
  </si>
  <si>
    <t>Capacity Building - Manager Level</t>
  </si>
  <si>
    <t>Capacity Building-Manager</t>
  </si>
  <si>
    <t>2934 | Capacity Building</t>
  </si>
  <si>
    <t>2805 | Capacity Building</t>
  </si>
  <si>
    <t>2798 | Capacity Building</t>
  </si>
  <si>
    <t>2766 | Capacity Building</t>
  </si>
  <si>
    <t>2705 | Capacity Building</t>
  </si>
  <si>
    <t>2615 | Capacity Building</t>
  </si>
  <si>
    <t>2611 | Capacity Building</t>
  </si>
  <si>
    <t>2575 | Capacity Building</t>
  </si>
  <si>
    <t>2523 | Capacity Building</t>
  </si>
  <si>
    <t>2134 | Capacity Building</t>
  </si>
  <si>
    <t>2102 | Capacity Building</t>
  </si>
  <si>
    <t>2039 | Capacity Building</t>
  </si>
  <si>
    <t>1718 | Capacity Building</t>
  </si>
  <si>
    <t>1716 | Capacity Building</t>
  </si>
  <si>
    <t>1713 | Capacity Building</t>
  </si>
  <si>
    <t>1461 | Capacity Building</t>
  </si>
  <si>
    <t>1246 | Capacity Building</t>
  </si>
  <si>
    <t>1241 | Capacity Building</t>
  </si>
  <si>
    <t>1102 | Capacity Building</t>
  </si>
  <si>
    <t>1079 | Capacity Building</t>
  </si>
  <si>
    <t>928 | Capacity Building</t>
  </si>
  <si>
    <t>924 | Capacity Building</t>
  </si>
  <si>
    <t>806 | Capacity Building</t>
  </si>
  <si>
    <t>804 | Capacity Building</t>
  </si>
  <si>
    <t>775 | Capacity Building</t>
  </si>
  <si>
    <t>772 | Capacity Building</t>
  </si>
  <si>
    <t>669 | Capacity Building</t>
  </si>
  <si>
    <t>630 | Capacity Building</t>
  </si>
  <si>
    <t>629 | Capacity Building</t>
  </si>
  <si>
    <t>623 | Capacity Building</t>
  </si>
  <si>
    <t>622 | Capacity Building</t>
  </si>
  <si>
    <t>428 | Capacity Building</t>
  </si>
  <si>
    <t>423 | Capacity Building</t>
  </si>
  <si>
    <t>421 | Capacity Building</t>
  </si>
  <si>
    <t>267 | Capacity Building</t>
  </si>
  <si>
    <t>263 | Capacity Building</t>
  </si>
  <si>
    <t>261 | Capacity Building</t>
  </si>
  <si>
    <t>260 | Capacity Building</t>
  </si>
  <si>
    <t>240 | Capacity Building</t>
  </si>
  <si>
    <t>232 | Capacity Building</t>
  </si>
  <si>
    <t>225 | Capacity Building</t>
  </si>
  <si>
    <t>221 | Capacity Building</t>
  </si>
  <si>
    <t>152 | Capacity Building</t>
  </si>
  <si>
    <t>120 | Capacity Building</t>
  </si>
  <si>
    <t>117 | Capacity Building</t>
  </si>
  <si>
    <t>57 | Capacity Building</t>
  </si>
  <si>
    <t>2999 | Capacity Building</t>
  </si>
  <si>
    <t>Capacity Building - Junior</t>
  </si>
  <si>
    <t>Training Associate</t>
  </si>
  <si>
    <t>Capacity Building-Training Associate</t>
  </si>
  <si>
    <t>2953 | Capacity Building</t>
  </si>
  <si>
    <t>2911 | Capacity Building</t>
  </si>
  <si>
    <t>2797 | Capacity Building</t>
  </si>
  <si>
    <t>2741 | Capacity Building</t>
  </si>
  <si>
    <t>2707 | Capacity Building</t>
  </si>
  <si>
    <t>2701 | Capacity Building</t>
  </si>
  <si>
    <t>2640 | Capacity Building</t>
  </si>
  <si>
    <t>2638 | Capacity Building</t>
  </si>
  <si>
    <t>2627 | Capacity Building</t>
  </si>
  <si>
    <t>2595 | Capacity Building</t>
  </si>
  <si>
    <t>2578 | Capacity Building</t>
  </si>
  <si>
    <t>2425 | Capacity Building</t>
  </si>
  <si>
    <t>2395 | Capacity Building</t>
  </si>
  <si>
    <t>2038 | Capacity Building</t>
  </si>
  <si>
    <t>1871 | Capacity Building</t>
  </si>
  <si>
    <t>1487 | Capacity Building</t>
  </si>
  <si>
    <t>1247 | Capacity Building</t>
  </si>
  <si>
    <t>1244 | Capacity Building</t>
  </si>
  <si>
    <t>1238 | Capacity Building</t>
  </si>
  <si>
    <t>1226 | Capacity Building</t>
  </si>
  <si>
    <t>1174 | Capacity Building</t>
  </si>
  <si>
    <t>1107 | Capacity Building</t>
  </si>
  <si>
    <t>1072 | Capacity Building</t>
  </si>
  <si>
    <t>810 | Capacity Building</t>
  </si>
  <si>
    <t>779 | Capacity Building</t>
  </si>
  <si>
    <t>773 | Capacity Building</t>
  </si>
  <si>
    <t>664 | Capacity Building</t>
  </si>
  <si>
    <t>661 | Capacity Building</t>
  </si>
  <si>
    <t>626 | Capacity Building</t>
  </si>
  <si>
    <t>539 | Capacity Building</t>
  </si>
  <si>
    <t>532 | Capacity Building</t>
  </si>
  <si>
    <t>509 | Capacity Building</t>
  </si>
  <si>
    <t>507 | Capacity Building</t>
  </si>
  <si>
    <t>505 | Capacity Building</t>
  </si>
  <si>
    <t>504 | Capacity Building</t>
  </si>
  <si>
    <t>427 | Capacity Building</t>
  </si>
  <si>
    <t>415 | Capacity Building</t>
  </si>
  <si>
    <t>255 | Capacity Building</t>
  </si>
  <si>
    <t>252 | Capacity Building</t>
  </si>
  <si>
    <t>230 | Capacity Building</t>
  </si>
  <si>
    <t>228 | Capacity Building</t>
  </si>
  <si>
    <t>226 | Capacity Building</t>
  </si>
  <si>
    <t>Capacity Building-Analyst</t>
  </si>
  <si>
    <t>154 | Capacity Building</t>
  </si>
  <si>
    <t>151 | Capacity Building</t>
  </si>
  <si>
    <t>150 | Capacity Building</t>
  </si>
  <si>
    <t>145 | Capacity Building</t>
  </si>
  <si>
    <t>141 | Capacity Building</t>
  </si>
  <si>
    <t>114 | Capacity Building</t>
  </si>
  <si>
    <t>58 | Capacity Building</t>
  </si>
  <si>
    <t>55 | Capacity Building</t>
  </si>
  <si>
    <t>2992 | Capacity Building</t>
  </si>
  <si>
    <t>Capacity Building - Executive</t>
  </si>
  <si>
    <t>Capacity Building-Associate Director</t>
  </si>
  <si>
    <t>2768 | Capacity Building</t>
  </si>
  <si>
    <t>2633 | Capacity Building</t>
  </si>
  <si>
    <t>2576 | Capacity Building</t>
  </si>
  <si>
    <t>2529 | Capacity Building</t>
  </si>
  <si>
    <t>2092 | Capacity Building</t>
  </si>
  <si>
    <t>1939 | Capacity Building</t>
  </si>
  <si>
    <t>1192 | Capacity Building</t>
  </si>
  <si>
    <t>929 | Capacity Building</t>
  </si>
  <si>
    <t>927 | Capacity Building</t>
  </si>
  <si>
    <t>Capacity Building-Principal Officer</t>
  </si>
  <si>
    <t>809 | Capacity Building</t>
  </si>
  <si>
    <t>805 | Capacity Building</t>
  </si>
  <si>
    <t>801 | Capacity Building</t>
  </si>
  <si>
    <t>777 | Capacity Building</t>
  </si>
  <si>
    <t>776 | Capacity Building</t>
  </si>
  <si>
    <t>670 | Capacity Building</t>
  </si>
  <si>
    <t>663 | Capacity Building</t>
  </si>
  <si>
    <t>662 | Capacity Building</t>
  </si>
  <si>
    <t>628 | Capacity Building</t>
  </si>
  <si>
    <t>538 | Capacity Building</t>
  </si>
  <si>
    <t>537 | Capacity Building</t>
  </si>
  <si>
    <t>426 | Capacity Building</t>
  </si>
  <si>
    <t>424 | Capacity Building</t>
  </si>
  <si>
    <t>420 | Capacity Building</t>
  </si>
  <si>
    <t>417 | Capacity Building</t>
  </si>
  <si>
    <t>414 | Capacity Building</t>
  </si>
  <si>
    <t>268 | Capacity Building</t>
  </si>
  <si>
    <t>262 | Capacity Building</t>
  </si>
  <si>
    <t>257 | Capacity Building</t>
  </si>
  <si>
    <t>239 | Capacity Building</t>
  </si>
  <si>
    <t>237 | Capacity Building</t>
  </si>
  <si>
    <t>229 | Capacity Building</t>
  </si>
  <si>
    <t>222 | Capacity Building</t>
  </si>
  <si>
    <t>159 | Capacity Building</t>
  </si>
  <si>
    <t>156 | Capacity Building</t>
  </si>
  <si>
    <t>155 | Capacity Building</t>
  </si>
  <si>
    <t>149 | Capacity Building</t>
  </si>
  <si>
    <t>148 | Capacity Building</t>
  </si>
  <si>
    <t>146 | Capacity Building</t>
  </si>
  <si>
    <t>111 | Capacity Building</t>
  </si>
  <si>
    <t>52 | Capacity Building</t>
  </si>
  <si>
    <t>Capacity Building-Director</t>
  </si>
  <si>
    <t>2997 | Capacity Building</t>
  </si>
  <si>
    <t>Capacity Building - Associate</t>
  </si>
  <si>
    <t>2930 | Capacity Building</t>
  </si>
  <si>
    <t>2919 | Capacity Building</t>
  </si>
  <si>
    <t>2824 | Capacity Building</t>
  </si>
  <si>
    <t>2770 | Capacity Building</t>
  </si>
  <si>
    <t>2628 | Capacity Building</t>
  </si>
  <si>
    <t>2530 | Capacity Building</t>
  </si>
  <si>
    <t>2528 | Capacity Building</t>
  </si>
  <si>
    <t>2430 | Capacity Building</t>
  </si>
  <si>
    <t>2427 | Capacity Building</t>
  </si>
  <si>
    <t>2137 | Capacity Building</t>
  </si>
  <si>
    <t>2103 | Capacity Building</t>
  </si>
  <si>
    <t>2099 | Capacity Building</t>
  </si>
  <si>
    <t>2097 | Capacity Building</t>
  </si>
  <si>
    <t>2034 | Capacity Building</t>
  </si>
  <si>
    <t>1931 | Capacity Building</t>
  </si>
  <si>
    <t>1691 | Capacity Building</t>
  </si>
  <si>
    <t>1556 | Capacity Building</t>
  </si>
  <si>
    <t>1233 | Capacity Building</t>
  </si>
  <si>
    <t>1230 | Capacity Building</t>
  </si>
  <si>
    <t>1206 | Capacity Building</t>
  </si>
  <si>
    <t>1193 | Capacity Building</t>
  </si>
  <si>
    <t>1175 | Capacity Building</t>
  </si>
  <si>
    <t>1172 | Capacity Building</t>
  </si>
  <si>
    <t>925 | Capacity Building</t>
  </si>
  <si>
    <t>807 | Capacity Building</t>
  </si>
  <si>
    <t>780 | Capacity Building</t>
  </si>
  <si>
    <t>667 | Capacity Building</t>
  </si>
  <si>
    <t>627 | Capacity Building</t>
  </si>
  <si>
    <t>621 | Capacity Building</t>
  </si>
  <si>
    <t>531 | Capacity Building</t>
  </si>
  <si>
    <t>510 | Capacity Building</t>
  </si>
  <si>
    <t>430 | Capacity Building</t>
  </si>
  <si>
    <t>425 | Capacity Building</t>
  </si>
  <si>
    <t>419 | Capacity Building</t>
  </si>
  <si>
    <t>418 | Capacity Building</t>
  </si>
  <si>
    <t>270 | Capacity Building</t>
  </si>
  <si>
    <t>259 | Capacity Building</t>
  </si>
  <si>
    <t>253 | Capacity Building</t>
  </si>
  <si>
    <t>238 | Capacity Building</t>
  </si>
  <si>
    <t>234 | Capacity Building</t>
  </si>
  <si>
    <t>227 | Capacity Building</t>
  </si>
  <si>
    <t>147 | Capacity Building</t>
  </si>
  <si>
    <t>143 | Capacity Building</t>
  </si>
  <si>
    <t>118 | Capacity Building</t>
  </si>
  <si>
    <t>116 | Capacity Building</t>
  </si>
  <si>
    <t>56 | Capacity Building</t>
  </si>
  <si>
    <t>54 | Capacity Building</t>
  </si>
  <si>
    <t>448 | Administation</t>
  </si>
  <si>
    <t>Administation</t>
  </si>
  <si>
    <t>Administation - Senior Management</t>
  </si>
  <si>
    <t>Administation-Senior Manager</t>
  </si>
  <si>
    <t>441 | Administation</t>
  </si>
  <si>
    <t>337 | Administation</t>
  </si>
  <si>
    <t>336 | Administation</t>
  </si>
  <si>
    <t>333 | Administation</t>
  </si>
  <si>
    <t>310 | Administation</t>
  </si>
  <si>
    <t>40 | Administation</t>
  </si>
  <si>
    <t>38 | Administation</t>
  </si>
  <si>
    <t>523 | Administation</t>
  </si>
  <si>
    <t>Administation - Senior</t>
  </si>
  <si>
    <t>Administation-Billing Officer</t>
  </si>
  <si>
    <t>520 | Administation</t>
  </si>
  <si>
    <t>514 | Administation</t>
  </si>
  <si>
    <t>468 | Administation</t>
  </si>
  <si>
    <t>464 | Administation</t>
  </si>
  <si>
    <t>463 | Administation</t>
  </si>
  <si>
    <t>447 | Administation</t>
  </si>
  <si>
    <t>443 | Administation</t>
  </si>
  <si>
    <t>402 | Administation</t>
  </si>
  <si>
    <t>332 | Administation</t>
  </si>
  <si>
    <t>331 | Administation</t>
  </si>
  <si>
    <t>308 | Administation</t>
  </si>
  <si>
    <t>Administation-Supervisor</t>
  </si>
  <si>
    <t>307 | Administation</t>
  </si>
  <si>
    <t>302 | Administation</t>
  </si>
  <si>
    <t>301 | Administation</t>
  </si>
  <si>
    <t>217 | Administation</t>
  </si>
  <si>
    <t>39 | Administation</t>
  </si>
  <si>
    <t>31 | Administation</t>
  </si>
  <si>
    <t>521 | Administation</t>
  </si>
  <si>
    <t>Administation - Manager Level</t>
  </si>
  <si>
    <t>516 | Administation</t>
  </si>
  <si>
    <t>513 | Administation</t>
  </si>
  <si>
    <t>465 | Administation</t>
  </si>
  <si>
    <t>450 | Administation</t>
  </si>
  <si>
    <t>446 | Administation</t>
  </si>
  <si>
    <t>445 | Administation</t>
  </si>
  <si>
    <t>406 | Administation</t>
  </si>
  <si>
    <t>340 | Administation</t>
  </si>
  <si>
    <t>334 | Administation</t>
  </si>
  <si>
    <t>309 | Administation</t>
  </si>
  <si>
    <t>Administation-Manager</t>
  </si>
  <si>
    <t>303 | Administation</t>
  </si>
  <si>
    <t>218 | Administation</t>
  </si>
  <si>
    <t>214 | Administation</t>
  </si>
  <si>
    <t>213 | Administation</t>
  </si>
  <si>
    <t>212 | Administation</t>
  </si>
  <si>
    <t>36 | Administation</t>
  </si>
  <si>
    <t>Administation - Junior</t>
  </si>
  <si>
    <t>Administation-Analyst</t>
  </si>
  <si>
    <t>Time to aprove requisition</t>
  </si>
  <si>
    <t>From Application to Interview</t>
  </si>
  <si>
    <t>Open Days</t>
  </si>
  <si>
    <t>Time to Hire</t>
  </si>
  <si>
    <t>Time between Interview and Candidate Reporting</t>
  </si>
  <si>
    <t>End of Probation Date</t>
  </si>
  <si>
    <t>Time between Onboarding to File Opening</t>
  </si>
  <si>
    <t>Time to close Employee File</t>
  </si>
  <si>
    <t>Time to Inclusion to Benefits</t>
  </si>
  <si>
    <t xml:space="preserve">Metric </t>
  </si>
  <si>
    <t>Time to Approve Requisition</t>
  </si>
  <si>
    <t>Interview to Reporting</t>
  </si>
  <si>
    <t>Onboarding to File Opening</t>
  </si>
  <si>
    <t>Time from Inclusion to Benefits</t>
  </si>
  <si>
    <t>Time to Close Employee File</t>
  </si>
  <si>
    <t>Total Applied</t>
  </si>
  <si>
    <t>Shortlisted</t>
  </si>
  <si>
    <t>Interviewed</t>
  </si>
  <si>
    <t>Offrered</t>
  </si>
  <si>
    <t>SUMMARY</t>
  </si>
  <si>
    <t>Grand Total</t>
  </si>
  <si>
    <t>Average of Hired</t>
  </si>
  <si>
    <t>Departments</t>
  </si>
  <si>
    <t>Rejection reason</t>
  </si>
  <si>
    <t>Rejection Reasons</t>
  </si>
  <si>
    <t>Number of people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</si>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</sst>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1" fontId="1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25">
    <dxf>
      <numFmt numFmtId="13" formatCode="0%"/>
    </dxf>
    <dxf>
      <numFmt numFmtId="13" formatCode="0%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[Job Cycle Dashboard.xlsx]Raw 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Hire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Data'!$AV$2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'Raw Data'!$AU$3:$AU$14</c:f>
              <c:strCache>
                <c:ptCount val="11"/>
                <c:pt idx="0">
                  <c:v>Administation</c:v>
                </c:pt>
                <c:pt idx="1">
                  <c:v>Capacity Building</c:v>
                </c:pt>
                <c:pt idx="2">
                  <c:v>Communication and Advocacy</c:v>
                </c:pt>
                <c:pt idx="3">
                  <c:v>Finance</c:v>
                </c:pt>
                <c:pt idx="4">
                  <c:v>Fundraising</c:v>
                </c:pt>
                <c:pt idx="5">
                  <c:v>HR</c:v>
                </c:pt>
                <c:pt idx="6">
                  <c:v>IT</c:v>
                </c:pt>
                <c:pt idx="7">
                  <c:v>M and E</c:v>
                </c:pt>
                <c:pt idx="8">
                  <c:v>Operations</c:v>
                </c:pt>
                <c:pt idx="9">
                  <c:v>Program Office</c:v>
                </c:pt>
                <c:pt idx="10">
                  <c:v>Risk Management</c:v>
                </c:pt>
              </c:strCache>
            </c:strRef>
          </c:cat>
          <c:val>
            <c:numRef>
              <c:f>'Raw Data'!$AV$3:$AV$14</c:f>
              <c:numCache>
                <c:formatCode>0%</c:formatCode>
                <c:ptCount val="11"/>
                <c:pt idx="0">
                  <c:v>0.2558139534883721</c:v>
                </c:pt>
                <c:pt idx="1">
                  <c:v>0.26459143968871596</c:v>
                </c:pt>
                <c:pt idx="2">
                  <c:v>0.24444444444444444</c:v>
                </c:pt>
                <c:pt idx="3">
                  <c:v>0.18808193668528864</c:v>
                </c:pt>
                <c:pt idx="4">
                  <c:v>2.5000000000000001E-2</c:v>
                </c:pt>
                <c:pt idx="5">
                  <c:v>9.0090090090090086E-2</c:v>
                </c:pt>
                <c:pt idx="6">
                  <c:v>5.6818181818181816E-2</c:v>
                </c:pt>
                <c:pt idx="7">
                  <c:v>0.16088328075709779</c:v>
                </c:pt>
                <c:pt idx="8">
                  <c:v>0.11764705882352941</c:v>
                </c:pt>
                <c:pt idx="9">
                  <c:v>0.16666666666666666</c:v>
                </c:pt>
                <c:pt idx="10">
                  <c:v>0.17073170731707318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8-469F-9837-30C106E0D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176432"/>
        <c:axId val="1241174512"/>
      </c:barChart>
      <c:catAx>
        <c:axId val="124117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74512"/>
        <c:crosses val="autoZero"/>
        <c:auto val="1"/>
        <c:lblAlgn val="ctr"/>
        <c:lblOffset val="100"/>
        <c:noMultiLvlLbl val="0"/>
      </c:catAx>
      <c:valAx>
        <c:axId val="12411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7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Cycle Dashboard.xlsx]Raw Data!PivotTable4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Rejection</a:t>
            </a:r>
            <a:r>
              <a:rPr lang="en-US" baseline="0"/>
              <a:t>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'Raw Data'!$BG$12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'Raw Data'!$BF$13:$BF$18</c:f>
              <c:strCache>
                <c:ptCount val="5"/>
                <c:pt idx="0">
                  <c:v>Didn't pass technical test</c:v>
                </c:pt>
                <c:pt idx="1">
                  <c:v>Not a culture fit</c:v>
                </c:pt>
                <c:pt idx="2">
                  <c:v>Other</c:v>
                </c:pt>
                <c:pt idx="3">
                  <c:v>Position filled by another</c:v>
                </c:pt>
                <c:pt idx="4">
                  <c:v>Salary expectation too high</c:v>
                </c:pt>
              </c:strCache>
            </c:strRef>
          </c:cat>
          <c:val>
            <c:numRef>
              <c:f>'Raw Data'!$BG$13:$BG$18</c:f>
              <c:numCache>
                <c:formatCode>General</c:formatCode>
                <c:ptCount val="5"/>
                <c:pt idx="0">
                  <c:v>192</c:v>
                </c:pt>
                <c:pt idx="1">
                  <c:v>223</c:v>
                </c:pt>
                <c:pt idx="2">
                  <c:v>238</c:v>
                </c:pt>
                <c:pt idx="3">
                  <c:v>211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E-414E-998A-3A7BD739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1190624</xdr:colOff>
      <xdr:row>0</xdr:row>
      <xdr:rowOff>119062</xdr:rowOff>
    </xdr:from>
    <xdr:to>
      <xdr:col>54</xdr:col>
      <xdr:colOff>361949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A09C0-79C7-DA9D-9224-5C6CC1B6A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1238250</xdr:colOff>
      <xdr:row>15</xdr:row>
      <xdr:rowOff>90487</xdr:rowOff>
    </xdr:from>
    <xdr:to>
      <xdr:col>54</xdr:col>
      <xdr:colOff>400050</xdr:colOff>
      <xdr:row>29</xdr:row>
      <xdr:rowOff>166687</xdr:rowOff>
    </xdr:to>
    <xdr:graphicFrame macro="">
      <xdr:nvGraphicFramePr>
        <xdr:cNvPr id="3" name="Rejection Reasons">
          <a:extLst>
            <a:ext uri="{FF2B5EF4-FFF2-40B4-BE49-F238E27FC236}">
              <a16:creationId xmlns:a16="http://schemas.microsoft.com/office/drawing/2014/main" id="{D041B77D-3887-6419-B917-8EAA61BDD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lene" refreshedDate="46181.667958217593" createdVersion="8" refreshedVersion="8" minRefreshableVersion="3" recordCount="2401" xr:uid="{A067433B-53CC-41EC-850D-0888699ECB4E}">
  <cacheSource type="worksheet">
    <worksheetSource ref="A1:AT1048576" sheet="Raw Data"/>
  </cacheSource>
  <cacheFields count="47">
    <cacheField name="Open position" numFmtId="0">
      <sharedItems containsString="0" containsBlank="1" containsNumber="1" containsInteger="1" minValue="1" maxValue="3000"/>
    </cacheField>
    <cacheField name="Position ID" numFmtId="0">
      <sharedItems containsBlank="1"/>
    </cacheField>
    <cacheField name="Department " numFmtId="0">
      <sharedItems containsBlank="1" count="12">
        <s v="Risk Management"/>
        <s v="Program Office"/>
        <s v="Operations"/>
        <s v="M and E"/>
        <s v="IT"/>
        <s v="HR"/>
        <s v="Fundraising"/>
        <s v="Finance"/>
        <s v="Communication and Advocacy"/>
        <s v="Capacity Building"/>
        <s v="Administation"/>
        <m/>
      </sharedItems>
    </cacheField>
    <cacheField name="Role" numFmtId="0">
      <sharedItems containsBlank="1"/>
    </cacheField>
    <cacheField name="Designation" numFmtId="0">
      <sharedItems containsBlank="1"/>
    </cacheField>
    <cacheField name="Job Vacancy" numFmtId="0">
      <sharedItems containsBlank="1"/>
    </cacheField>
    <cacheField name="Level/Band" numFmtId="0">
      <sharedItems containsBlank="1"/>
    </cacheField>
    <cacheField name="Position Requisition Date" numFmtId="0">
      <sharedItems containsNonDate="0" containsDate="1" containsString="0" containsBlank="1" minDate="2021-12-30T19:39:24" maxDate="2023-09-17T20:10:47"/>
    </cacheField>
    <cacheField name="Vacancy approval date" numFmtId="0">
      <sharedItems containsNonDate="0" containsDate="1" containsString="0" containsBlank="1" minDate="2022-01-02T15:13:53" maxDate="2023-09-18T20:10:47"/>
    </cacheField>
    <cacheField name="Shortlisted Status" numFmtId="0">
      <sharedItems containsBlank="1"/>
    </cacheField>
    <cacheField name="Interview date" numFmtId="0">
      <sharedItems containsNonDate="0" containsDate="1" containsString="0" containsBlank="1" minDate="2022-01-10T19:39:24" maxDate="2023-10-03T20:10:47"/>
    </cacheField>
    <cacheField name="Hire Status" numFmtId="0">
      <sharedItems containsBlank="1"/>
    </cacheField>
    <cacheField name="Rejection Reason" numFmtId="0">
      <sharedItems containsBlank="1"/>
    </cacheField>
    <cacheField name="Date job offer" numFmtId="14">
      <sharedItems containsNonDate="0" containsDate="1" containsString="0" containsBlank="1" minDate="2022-01-13T19:39:24" maxDate="2023-10-09T20:10:47"/>
    </cacheField>
    <cacheField name="Offer Status" numFmtId="0">
      <sharedItems containsBlank="1"/>
    </cacheField>
    <cacheField name="Date contract prepared" numFmtId="14">
      <sharedItems containsNonDate="0" containsDate="1" containsString="0" containsBlank="1" minDate="2022-01-12T19:39:24" maxDate="2023-09-26T09:16:50"/>
    </cacheField>
    <cacheField name="Date contract issued " numFmtId="14">
      <sharedItems containsNonDate="0" containsDate="1" containsString="0" containsBlank="1" minDate="2022-01-16T19:39:24" maxDate="2023-09-28T20:10:47"/>
    </cacheField>
    <cacheField name="Reporting date " numFmtId="14">
      <sharedItems containsNonDate="0" containsDate="1" containsString="0" containsBlank="1" minDate="2022-01-12T19:39:24" maxDate="2023-10-06T20:10:47"/>
    </cacheField>
    <cacheField name="Date of induction/onboarding " numFmtId="14">
      <sharedItems containsNonDate="0" containsDate="1" containsString="0" containsBlank="1" minDate="2022-01-22T19:39:24" maxDate="2023-10-05T20:10:47"/>
    </cacheField>
    <cacheField name="Hired" numFmtId="0">
      <sharedItems containsString="0" containsBlank="1" containsNumber="1" containsInteger="1" minValue="0" maxValue="1"/>
    </cacheField>
    <cacheField name="Date e-file opened" numFmtId="14">
      <sharedItems containsNonDate="0" containsDate="1" containsString="0" containsBlank="1" minDate="2022-01-26T19:39:24" maxDate="2023-10-08T20:10:47"/>
    </cacheField>
    <cacheField name="Date physical file open " numFmtId="14">
      <sharedItems containsNonDate="0" containsDate="1" containsString="0" containsBlank="1" minDate="2022-01-28T19:39:24" maxDate="2023-10-11T20:10:47"/>
    </cacheField>
    <cacheField name="Date of inclusion to benefits " numFmtId="14">
      <sharedItems containsNonDate="0" containsDate="1" containsString="0" containsBlank="1" minDate="2022-01-30T04:53:52" maxDate="2023-10-13T20:10:47"/>
    </cacheField>
    <cacheField name="Comments" numFmtId="0">
      <sharedItems containsNonDate="0" containsString="0" containsBlank="1"/>
    </cacheField>
    <cacheField name="Rejected By" numFmtId="0">
      <sharedItems containsBlank="1"/>
    </cacheField>
    <cacheField name="Date of File Closure" numFmtId="14">
      <sharedItems containsNonDate="0" containsDate="1" containsString="0" containsBlank="1" minDate="2022-02-12T19:39:24" maxDate="2023-10-28T09:16:50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Time to aprove requisition" numFmtId="1">
      <sharedItems containsString="0" containsBlank="1" containsNumber="1" containsInteger="1" minValue="1" maxValue="4"/>
    </cacheField>
    <cacheField name="From Application to Interview" numFmtId="1">
      <sharedItems containsBlank="1" containsMixedTypes="1" containsNumber="1" containsInteger="1" minValue="4" maxValue="27"/>
    </cacheField>
    <cacheField name="Open Days" numFmtId="1">
      <sharedItems containsBlank="1" containsMixedTypes="1" containsNumber="1" containsInteger="1" minValue="3" maxValue="24"/>
    </cacheField>
    <cacheField name="Time to Hire" numFmtId="1">
      <sharedItems containsBlank="1" containsMixedTypes="1" containsNumber="1" containsInteger="1" minValue="5" maxValue="31" count="29">
        <s v=""/>
        <n v="14"/>
        <n v="5"/>
        <n v="23"/>
        <n v="9"/>
        <n v="7"/>
        <n v="28"/>
        <n v="22"/>
        <n v="13"/>
        <n v="11"/>
        <n v="8"/>
        <n v="25"/>
        <n v="18"/>
        <n v="19"/>
        <n v="17"/>
        <n v="20"/>
        <n v="15"/>
        <n v="31"/>
        <n v="27"/>
        <n v="21"/>
        <n v="16"/>
        <n v="24"/>
        <n v="10"/>
        <n v="29"/>
        <n v="12"/>
        <n v="26"/>
        <n v="30"/>
        <n v="6"/>
        <m/>
      </sharedItems>
    </cacheField>
    <cacheField name="Time between Interview and Candidate Reporting" numFmtId="1">
      <sharedItems containsBlank="1" containsMixedTypes="1" containsNumber="1" containsInteger="1" minValue="1" maxValue="4"/>
    </cacheField>
    <cacheField name="End of Probation Date" numFmtId="0">
      <sharedItems containsDate="1" containsBlank="1" containsMixedTypes="1" minDate="2022-04-12T19:39:24" maxDate="2024-01-04T20:10:47"/>
    </cacheField>
    <cacheField name="Time between Onboarding to File Opening" numFmtId="1">
      <sharedItems containsBlank="1" containsMixedTypes="1" containsNumber="1" containsInteger="1" minValue="1" maxValue="4"/>
    </cacheField>
    <cacheField name="Time to close Employee File" numFmtId="1">
      <sharedItems containsBlank="1" containsMixedTypes="1" containsNumber="1" containsInteger="1" minValue="16" maxValue="41"/>
    </cacheField>
    <cacheField name="Time to Inclusion to Benefits" numFmtId="1">
      <sharedItems containsBlank="1" containsMixedTypes="1" containsNumber="1" containsInteger="1" minValue="4" maxValue="20"/>
    </cacheField>
    <cacheField name="Field38" caption="Field38" numFmtId="0">
      <sharedItems containsNonDate="0" containsString="0" containsBlank="1"/>
    </cacheField>
    <cacheField name="SUMMARY" numFmtId="0">
      <sharedItems containsNonDate="0" containsString="0" containsBlank="1"/>
    </cacheField>
    <cacheField name="Metric " numFmtId="0">
      <sharedItems containsBlank="1"/>
    </cacheField>
    <cacheField name="Average(Days)" numFmtId="0">
      <sharedItems containsNonDate="0" containsString="0" containsBlank="1"/>
    </cacheField>
    <cacheField name="Formula" numFmtId="0">
      <sharedItems containsString="0" containsBlank="1" containsNumber="1" minValue="2.5008333333333335" maxValue="27.241813602015114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Blank="1"/>
    </cacheField>
    <cacheField name="Field46" caption="Field46" numFmtId="0">
      <sharedItems containsString="0" containsBlank="1" containsNumber="1" containsInteger="1" minValue="397" maxValue="2400"/>
    </cacheField>
    <cacheField name="Field47" caption="Field4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lene" refreshedDate="46181.712726041667" createdVersion="8" refreshedVersion="8" minRefreshableVersion="3" recordCount="16" xr:uid="{1C4BDFA3-2FE7-4B2D-AE14-005B7BA848CB}">
  <cacheSource type="worksheet">
    <worksheetSource ref="BE1:BF1048576" sheet="Raw Data"/>
  </cacheSource>
  <cacheFields count="2">
    <cacheField name="Field1" caption="Field1" numFmtId="0">
      <sharedItems containsBlank="1" count="7">
        <m/>
        <s v="Rejection reason"/>
        <s v="Not a culture fit"/>
        <s v="Other"/>
        <s v="Didn't pass technical test"/>
        <s v="Position filled by another"/>
        <s v="Salary expectation too high"/>
      </sharedItems>
    </cacheField>
    <cacheField name="Field2" caption="Field2" numFmtId="0">
      <sharedItems containsString="0" containsBlank="1" containsNumber="1" containsInteger="1" minValue="192" maxValue="238" count="6">
        <m/>
        <n v="223"/>
        <n v="238"/>
        <n v="192"/>
        <n v="211"/>
        <n v="2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n v="525"/>
    <s v="525 | Administation"/>
    <x v="0"/>
    <s v="Risk Management - Junior"/>
    <s v="Analyst"/>
    <s v="Risk Management-Analyst"/>
    <s v="Junior"/>
    <d v="2022-02-10T20:00:49"/>
    <d v="2022-02-13T20:00:49"/>
    <s v="Yes"/>
    <d v="2022-02-24T20:00:49"/>
    <s v="Failed"/>
    <s v="Other"/>
    <m/>
    <m/>
    <m/>
    <m/>
    <m/>
    <m/>
    <n v="0"/>
    <m/>
    <m/>
    <m/>
    <m/>
    <s v="Company"/>
    <m/>
    <m/>
    <m/>
    <n v="3"/>
    <n v="14"/>
    <n v="11"/>
    <x v="0"/>
    <s v=""/>
    <s v=""/>
    <s v=""/>
    <s v=""/>
    <s v=""/>
    <m/>
    <m/>
    <s v="Time to Approve Requisition"/>
    <m/>
    <n v="2.5008333333333335"/>
    <m/>
    <m/>
    <s v="Total Applied"/>
    <n v="2400"/>
    <m/>
  </r>
  <r>
    <n v="524"/>
    <s v="524 | Administation"/>
    <x v="0"/>
    <s v="Risk Management - Associate"/>
    <s v="Analyst"/>
    <s v="Risk Management-Analyst"/>
    <s v="Associate"/>
    <d v="2022-02-13T20:00:49"/>
    <d v="2022-02-16T20:00:49"/>
    <s v="Yes"/>
    <d v="2022-02-25T20:00:49"/>
    <s v="Declined"/>
    <m/>
    <d v="2022-03-02T20:00:49"/>
    <s v="Declined"/>
    <m/>
    <m/>
    <d v="2022-02-27T20:00:49"/>
    <m/>
    <n v="0"/>
    <m/>
    <m/>
    <m/>
    <m/>
    <m/>
    <m/>
    <m/>
    <m/>
    <n v="3"/>
    <n v="12"/>
    <n v="9"/>
    <x v="1"/>
    <n v="2"/>
    <d v="2022-05-28T20:00:49"/>
    <s v=""/>
    <s v=""/>
    <s v=""/>
    <m/>
    <m/>
    <s v="From Application to Interview"/>
    <m/>
    <n v="15.43467336683417"/>
    <m/>
    <m/>
    <s v="Shortlisted"/>
    <n v="1990"/>
    <m/>
  </r>
  <r>
    <n v="522"/>
    <s v="522 | Administation"/>
    <x v="0"/>
    <s v="Risk Management - Associate"/>
    <s v="Analyst"/>
    <s v="Risk Management-Analyst"/>
    <s v="Associate"/>
    <d v="2022-02-17T20:00:49"/>
    <d v="2022-02-18T20:00:49"/>
    <s v="Yes"/>
    <d v="2022-02-21T20:00:49"/>
    <s v="Declined"/>
    <m/>
    <d v="2022-02-26T20:00:49"/>
    <s v="Declined"/>
    <m/>
    <m/>
    <d v="2022-02-22T20:00:49"/>
    <m/>
    <n v="0"/>
    <m/>
    <m/>
    <m/>
    <m/>
    <m/>
    <m/>
    <m/>
    <m/>
    <n v="1"/>
    <n v="4"/>
    <n v="3"/>
    <x v="2"/>
    <n v="1"/>
    <d v="2022-05-23T20:00:49"/>
    <s v=""/>
    <s v=""/>
    <s v=""/>
    <m/>
    <m/>
    <s v="Open Days"/>
    <m/>
    <n v="12.940201005025125"/>
    <m/>
    <m/>
    <s v="Interviewed"/>
    <n v="1990"/>
    <m/>
  </r>
  <r>
    <n v="407"/>
    <s v="407 | Administation"/>
    <x v="0"/>
    <s v="Risk Management - Associate"/>
    <s v="Supervisor"/>
    <s v="Risk Management-Supervisor"/>
    <s v="Associate"/>
    <d v="2022-02-20T05:03:33"/>
    <d v="2022-02-24T05:03:3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s v="Time to Hire"/>
    <m/>
    <n v="18.028649386084584"/>
    <m/>
    <m/>
    <s v="Offrered"/>
    <n v="911"/>
    <m/>
  </r>
  <r>
    <n v="401"/>
    <s v="401 | Administation"/>
    <x v="0"/>
    <s v="Risk Management - Executive"/>
    <s v="Director"/>
    <s v="Risk Management-Director"/>
    <s v="Executive"/>
    <d v="2022-02-21T05:03:33"/>
    <d v="2022-02-24T05:03:33"/>
    <s v="Yes"/>
    <d v="2022-03-06T05:03:33"/>
    <s v="Declined"/>
    <m/>
    <d v="2022-03-10T05:03:33"/>
    <s v="Declined"/>
    <m/>
    <m/>
    <d v="2022-03-07T05:03:33"/>
    <m/>
    <n v="0"/>
    <m/>
    <m/>
    <m/>
    <m/>
    <m/>
    <m/>
    <m/>
    <m/>
    <n v="3"/>
    <n v="13"/>
    <n v="10"/>
    <x v="1"/>
    <n v="1"/>
    <d v="2022-06-05T05:03:33"/>
    <s v=""/>
    <s v=""/>
    <s v=""/>
    <m/>
    <m/>
    <s v="Interview to Reporting"/>
    <m/>
    <n v="2.5150068212824013"/>
    <m/>
    <m/>
    <s v="Hired"/>
    <n v="397"/>
    <m/>
  </r>
  <r>
    <n v="404"/>
    <s v="404 | Administation"/>
    <x v="0"/>
    <s v="Risk Management - Executive"/>
    <s v="Director"/>
    <s v="Risk Management-Director"/>
    <s v="Executive"/>
    <d v="2022-02-22T05:03:33"/>
    <d v="2022-02-24T05:03:33"/>
    <s v="Yes"/>
    <d v="2022-03-14T05:03:33"/>
    <s v="Failed"/>
    <s v="Not a culture fit"/>
    <m/>
    <m/>
    <m/>
    <m/>
    <d v="2022-03-17T05:03:33"/>
    <m/>
    <n v="0"/>
    <m/>
    <m/>
    <m/>
    <m/>
    <s v="Company"/>
    <m/>
    <m/>
    <m/>
    <n v="2"/>
    <n v="20"/>
    <n v="18"/>
    <x v="3"/>
    <n v="3"/>
    <d v="2022-06-15T05:03:33"/>
    <s v=""/>
    <s v=""/>
    <s v=""/>
    <m/>
    <m/>
    <s v="Onboarding to File Opening"/>
    <m/>
    <n v="2.5012594458438286"/>
    <m/>
    <m/>
    <m/>
    <m/>
    <m/>
  </r>
  <r>
    <n v="403"/>
    <s v="403 | Administation"/>
    <x v="0"/>
    <s v="Risk Management - Executive"/>
    <s v="Director"/>
    <s v="Risk Management-Director"/>
    <s v="Executive"/>
    <d v="2022-02-24T05:03:33"/>
    <d v="2022-02-27T05:03:33"/>
    <s v="Yes"/>
    <d v="2022-03-09T05:03:33"/>
    <s v="Failed"/>
    <s v="Not a culture fi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s v="Time from Inclusion to Benefits"/>
    <m/>
    <n v="12.060453400503778"/>
    <m/>
    <m/>
    <m/>
    <m/>
    <m/>
  </r>
  <r>
    <n v="408"/>
    <s v="408 | Administation"/>
    <x v="0"/>
    <s v="Risk Management - Junior"/>
    <s v="Analyst"/>
    <s v="Risk Management-Analyst"/>
    <s v="Junior"/>
    <d v="2022-02-25T05:03:33"/>
    <d v="2022-02-28T05:03:33"/>
    <s v="Yes"/>
    <d v="2022-03-07T05:03:33"/>
    <s v="Declined"/>
    <m/>
    <d v="2022-03-14T05:03:33"/>
    <s v="Declined"/>
    <m/>
    <m/>
    <d v="2022-03-11T05:03:33"/>
    <m/>
    <n v="0"/>
    <m/>
    <m/>
    <m/>
    <m/>
    <m/>
    <m/>
    <m/>
    <m/>
    <n v="3"/>
    <n v="10"/>
    <n v="7"/>
    <x v="1"/>
    <n v="4"/>
    <d v="2022-06-09T05:03:33"/>
    <s v=""/>
    <s v=""/>
    <s v=""/>
    <m/>
    <m/>
    <s v="Time to Close Employee File"/>
    <m/>
    <n v="27.241813602015114"/>
    <m/>
    <m/>
    <m/>
    <m/>
    <m/>
  </r>
  <r>
    <n v="409"/>
    <s v="409 | Administation"/>
    <x v="0"/>
    <s v="Risk Management - Executive"/>
    <s v="Director"/>
    <s v="Risk Management-Director"/>
    <s v="Executive"/>
    <d v="2022-02-25T05:03:33"/>
    <d v="2022-02-28T05:03:33"/>
    <s v="Yes"/>
    <d v="2022-03-09T05:03:33"/>
    <s v="Failed"/>
    <s v="Other"/>
    <m/>
    <m/>
    <m/>
    <m/>
    <m/>
    <m/>
    <n v="0"/>
    <m/>
    <m/>
    <m/>
    <m/>
    <s v="Candidate"/>
    <m/>
    <m/>
    <m/>
    <n v="3"/>
    <n v="12"/>
    <n v="9"/>
    <x v="0"/>
    <s v=""/>
    <s v=""/>
    <s v=""/>
    <s v=""/>
    <s v=""/>
    <m/>
    <m/>
    <m/>
    <m/>
    <m/>
    <m/>
    <m/>
    <m/>
    <m/>
    <m/>
  </r>
  <r>
    <n v="405"/>
    <s v="405 | Administation"/>
    <x v="0"/>
    <s v="Risk Management - Executive"/>
    <s v="Director"/>
    <s v="Risk Management-Director"/>
    <s v="Executive"/>
    <d v="2022-02-25T05:03:33"/>
    <d v="2022-02-28T05:03:33"/>
    <s v="Yes"/>
    <d v="2022-03-05T05:03:33"/>
    <s v="Accepted"/>
    <m/>
    <d v="2022-03-07T05:03:33"/>
    <s v="Accepted"/>
    <d v="2022-03-06T05:03:33"/>
    <d v="2022-03-09T05:03:33"/>
    <d v="2022-03-06T05:03:33"/>
    <d v="2022-03-08T05:03:33"/>
    <n v="1"/>
    <d v="2022-03-11T05:03:33"/>
    <d v="2022-03-13T05:03:33"/>
    <d v="2022-03-16T05:03:33"/>
    <m/>
    <m/>
    <d v="2022-03-28T05:03:33"/>
    <m/>
    <m/>
    <n v="3"/>
    <n v="8"/>
    <n v="5"/>
    <x v="4"/>
    <n v="1"/>
    <d v="2022-06-04T05:03:33"/>
    <n v="3"/>
    <n v="22"/>
    <n v="10"/>
    <m/>
    <m/>
    <m/>
    <m/>
    <m/>
    <m/>
    <m/>
    <m/>
    <m/>
    <m/>
  </r>
  <r>
    <n v="410"/>
    <s v="410 | Administation"/>
    <x v="0"/>
    <s v="Risk Management - Associate"/>
    <s v="Supervisor"/>
    <s v="Risk Management-Supervisor"/>
    <s v="Associate"/>
    <d v="2022-02-26T05:03:33"/>
    <d v="2022-02-28T05:03:33"/>
    <s v="Yes"/>
    <d v="2022-03-04T05:03:33"/>
    <s v="Declined"/>
    <m/>
    <d v="2022-03-08T05:03:33"/>
    <s v="Declined"/>
    <m/>
    <m/>
    <d v="2022-03-05T05:03:33"/>
    <m/>
    <n v="0"/>
    <m/>
    <m/>
    <m/>
    <m/>
    <m/>
    <m/>
    <m/>
    <m/>
    <n v="2"/>
    <n v="6"/>
    <n v="4"/>
    <x v="5"/>
    <n v="1"/>
    <d v="2022-06-03T05:03:33"/>
    <s v=""/>
    <s v=""/>
    <s v=""/>
    <m/>
    <m/>
    <m/>
    <m/>
    <m/>
    <m/>
    <m/>
    <m/>
    <m/>
    <m/>
  </r>
  <r>
    <n v="211"/>
    <s v="211 | Administation"/>
    <x v="0"/>
    <s v="Risk Management - Junior"/>
    <s v="Analyst"/>
    <s v="Risk Management-Analyst"/>
    <s v="Junior"/>
    <d v="2022-04-06T07:57:47"/>
    <d v="2022-04-10T07:57:47"/>
    <s v="Yes"/>
    <d v="2022-05-01T07:57:47"/>
    <s v="Accepted"/>
    <m/>
    <d v="2022-05-07T07:57:47"/>
    <s v="Accepted"/>
    <d v="2022-05-02T07:57:47"/>
    <d v="2022-05-05T07:57:47"/>
    <d v="2022-05-04T07:57:47"/>
    <d v="2022-05-11T07:57:47"/>
    <n v="1"/>
    <d v="2022-05-13T07:57:47"/>
    <d v="2022-05-15T07:57:47"/>
    <d v="2022-05-17T07:57:47"/>
    <m/>
    <m/>
    <d v="2022-06-02T07:57:47"/>
    <m/>
    <m/>
    <n v="4"/>
    <n v="25"/>
    <n v="21"/>
    <x v="6"/>
    <n v="3"/>
    <d v="2022-08-02T07:57:47"/>
    <n v="2"/>
    <n v="29"/>
    <n v="13"/>
    <m/>
    <m/>
    <m/>
    <m/>
    <m/>
    <m/>
    <m/>
    <m/>
    <m/>
    <m/>
  </r>
  <r>
    <n v="219"/>
    <s v="219 | Administation"/>
    <x v="0"/>
    <s v="Risk Management - Associate"/>
    <s v="Supervisor"/>
    <s v="Risk Management-Supervisor"/>
    <s v="Associate"/>
    <d v="2022-04-06T07:57:47"/>
    <d v="2022-04-09T07:57:47"/>
    <s v="Yes"/>
    <d v="2022-04-24T07:57:47"/>
    <s v="Declined"/>
    <m/>
    <d v="2022-04-30T07:57:47"/>
    <s v="Declined"/>
    <m/>
    <m/>
    <d v="2022-04-28T07:57:47"/>
    <m/>
    <n v="0"/>
    <m/>
    <m/>
    <m/>
    <m/>
    <m/>
    <m/>
    <m/>
    <m/>
    <n v="3"/>
    <n v="18"/>
    <n v="15"/>
    <x v="7"/>
    <n v="4"/>
    <d v="2022-07-27T07:57:47"/>
    <s v=""/>
    <s v=""/>
    <s v=""/>
    <m/>
    <m/>
    <m/>
    <m/>
    <m/>
    <m/>
    <m/>
    <m/>
    <m/>
    <m/>
  </r>
  <r>
    <n v="220"/>
    <s v="220 | Administation"/>
    <x v="0"/>
    <s v="Risk Management - Executive"/>
    <s v="Head of Department"/>
    <s v="Risk Management-Head of Department"/>
    <s v="Executive"/>
    <d v="2022-04-11T07:57:47"/>
    <d v="2022-04-14T07:57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16"/>
    <s v="216 | Administation"/>
    <x v="0"/>
    <s v="Risk Management - Associate"/>
    <s v="Supervisor"/>
    <s v="Risk Management-Supervisor"/>
    <s v="Associate"/>
    <d v="2022-04-12T07:57:47"/>
    <d v="2022-04-13T07:57:47"/>
    <s v="Yes"/>
    <d v="2022-04-24T07:57:47"/>
    <s v="Accepted"/>
    <m/>
    <d v="2022-04-28T07:57:47"/>
    <s v="Accepted"/>
    <d v="2022-04-26T07:57:47"/>
    <d v="2022-04-29T07:57:47"/>
    <d v="2022-04-25T07:57:47"/>
    <d v="2022-04-26T07:57:47"/>
    <n v="1"/>
    <d v="2022-04-28T07:57:47"/>
    <d v="2022-05-01T07:57:47"/>
    <d v="2022-05-03T07:57:47"/>
    <m/>
    <m/>
    <d v="2022-05-21T07:57:47"/>
    <m/>
    <m/>
    <n v="1"/>
    <n v="12"/>
    <n v="11"/>
    <x v="8"/>
    <n v="1"/>
    <d v="2022-07-24T07:57:47"/>
    <n v="2"/>
    <n v="26"/>
    <n v="8"/>
    <m/>
    <m/>
    <m/>
    <m/>
    <m/>
    <m/>
    <m/>
    <m/>
    <m/>
    <m/>
  </r>
  <r>
    <n v="215"/>
    <s v="215 | Administation"/>
    <x v="0"/>
    <s v="Risk Management - Executive"/>
    <s v="Head of Department"/>
    <s v="Risk Management-Head of Department"/>
    <s v="Executive"/>
    <d v="2022-04-13T07:57:47"/>
    <d v="2022-04-14T07:57:47"/>
    <s v="Yes"/>
    <d v="2022-04-28T07:57:47"/>
    <s v="Failed"/>
    <s v="Other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339"/>
    <s v="339 | Administation"/>
    <x v="0"/>
    <s v="Risk Management - Junior"/>
    <s v="Analyst"/>
    <s v="Risk Management-Analyst"/>
    <s v="Junior"/>
    <d v="2022-06-07T19:43:59"/>
    <d v="2022-06-11T19:43:59"/>
    <s v="Yes"/>
    <d v="2022-06-25T19:43:59"/>
    <s v="Failed"/>
    <s v="Salary expectation too high"/>
    <m/>
    <m/>
    <m/>
    <m/>
    <m/>
    <m/>
    <n v="0"/>
    <m/>
    <m/>
    <m/>
    <m/>
    <s v="Company"/>
    <m/>
    <m/>
    <m/>
    <n v="4"/>
    <n v="18"/>
    <n v="14"/>
    <x v="0"/>
    <s v=""/>
    <s v=""/>
    <s v=""/>
    <s v=""/>
    <s v=""/>
    <m/>
    <m/>
    <m/>
    <m/>
    <m/>
    <m/>
    <m/>
    <m/>
    <m/>
    <m/>
  </r>
  <r>
    <n v="338"/>
    <s v="338 | Administation"/>
    <x v="0"/>
    <s v="Risk Management - Associate"/>
    <s v="Supervisor"/>
    <s v="Risk Management-Supervisor"/>
    <s v="Associate"/>
    <d v="2022-06-08T19:43:59"/>
    <d v="2022-06-10T19:43:59"/>
    <s v="Yes"/>
    <d v="2022-06-17T19:43:59"/>
    <s v="Declined"/>
    <m/>
    <d v="2022-06-20T19:43:59"/>
    <s v="Declined"/>
    <m/>
    <m/>
    <d v="2022-06-19T19:43:59"/>
    <m/>
    <n v="0"/>
    <m/>
    <m/>
    <m/>
    <m/>
    <m/>
    <m/>
    <m/>
    <m/>
    <n v="2"/>
    <n v="9"/>
    <n v="7"/>
    <x v="9"/>
    <n v="2"/>
    <d v="2022-09-17T19:43:59"/>
    <s v=""/>
    <s v=""/>
    <s v=""/>
    <m/>
    <m/>
    <m/>
    <m/>
    <m/>
    <m/>
    <m/>
    <m/>
    <m/>
    <m/>
  </r>
  <r>
    <n v="335"/>
    <s v="335 | Administation"/>
    <x v="0"/>
    <s v="Risk Management - Executive"/>
    <s v="Director"/>
    <s v="Risk Management-Director"/>
    <s v="Executive"/>
    <d v="2022-06-11T19:43:59"/>
    <d v="2022-06-12T19:43:59"/>
    <s v="Yes"/>
    <d v="2022-06-17T19:43:59"/>
    <s v="Declined"/>
    <m/>
    <d v="2022-06-22T19:43:59"/>
    <s v="Declined"/>
    <m/>
    <m/>
    <d v="2022-06-19T19:43:59"/>
    <m/>
    <n v="0"/>
    <m/>
    <m/>
    <m/>
    <m/>
    <m/>
    <m/>
    <m/>
    <m/>
    <n v="1"/>
    <n v="6"/>
    <n v="5"/>
    <x v="10"/>
    <n v="2"/>
    <d v="2022-09-17T19:43:59"/>
    <s v=""/>
    <s v=""/>
    <s v=""/>
    <m/>
    <m/>
    <m/>
    <m/>
    <m/>
    <m/>
    <m/>
    <m/>
    <m/>
    <m/>
  </r>
  <r>
    <n v="35"/>
    <s v="35 | Administation"/>
    <x v="0"/>
    <s v="Risk Management - Executive"/>
    <s v="Head of Department"/>
    <s v="Risk Management-Head of Department"/>
    <s v="Executive"/>
    <d v="2022-07-27T12:40:37"/>
    <d v="2022-07-31T12:40:37"/>
    <s v="Yes"/>
    <d v="2022-08-19T12:40:37"/>
    <s v="Failed"/>
    <s v="Not a culture fit"/>
    <m/>
    <m/>
    <m/>
    <m/>
    <d v="2022-08-21T12:40:37"/>
    <m/>
    <n v="0"/>
    <m/>
    <m/>
    <m/>
    <m/>
    <s v="Candidate"/>
    <m/>
    <m/>
    <m/>
    <n v="4"/>
    <n v="23"/>
    <n v="19"/>
    <x v="11"/>
    <n v="2"/>
    <d v="2022-11-19T12:40:37"/>
    <s v=""/>
    <s v=""/>
    <s v=""/>
    <m/>
    <m/>
    <m/>
    <m/>
    <m/>
    <m/>
    <m/>
    <m/>
    <m/>
    <m/>
  </r>
  <r>
    <n v="33"/>
    <s v="33 | Administation"/>
    <x v="0"/>
    <s v="Risk Management - Executive"/>
    <s v="Head of Department"/>
    <s v="Risk Management-Head of Department"/>
    <s v="Executive"/>
    <d v="2022-07-31T12:40:37"/>
    <d v="2022-08-03T12:40:37"/>
    <s v="Yes"/>
    <d v="2022-08-15T12:40:37"/>
    <s v="Declined"/>
    <m/>
    <d v="2022-08-22T12:40:37"/>
    <s v="Declined"/>
    <m/>
    <m/>
    <d v="2022-08-18T12:40:37"/>
    <m/>
    <n v="0"/>
    <m/>
    <m/>
    <m/>
    <m/>
    <m/>
    <m/>
    <m/>
    <m/>
    <n v="3"/>
    <n v="15"/>
    <n v="12"/>
    <x v="12"/>
    <n v="3"/>
    <d v="2022-11-16T12:40:37"/>
    <s v=""/>
    <s v=""/>
    <s v=""/>
    <m/>
    <m/>
    <m/>
    <m/>
    <m/>
    <m/>
    <m/>
    <m/>
    <m/>
    <m/>
  </r>
  <r>
    <n v="34"/>
    <s v="34 | Administation"/>
    <x v="0"/>
    <s v="Risk Management - Executive"/>
    <s v="Head of Department"/>
    <s v="Risk Management-Head of Department"/>
    <s v="Executive"/>
    <d v="2022-08-01T12:40:37"/>
    <d v="2022-08-04T12:40:37"/>
    <s v="Yes"/>
    <d v="2022-08-19T12:40:37"/>
    <s v="Declined"/>
    <m/>
    <d v="2022-08-24T12:40:37"/>
    <s v="Declined"/>
    <m/>
    <m/>
    <d v="2022-08-20T12:40:37"/>
    <m/>
    <n v="0"/>
    <m/>
    <m/>
    <m/>
    <m/>
    <m/>
    <m/>
    <m/>
    <m/>
    <n v="3"/>
    <n v="18"/>
    <n v="15"/>
    <x v="13"/>
    <n v="1"/>
    <d v="2022-11-18T12:40:37"/>
    <s v=""/>
    <s v=""/>
    <s v=""/>
    <m/>
    <m/>
    <m/>
    <m/>
    <m/>
    <m/>
    <m/>
    <m/>
    <m/>
    <m/>
  </r>
  <r>
    <n v="32"/>
    <s v="32 | Administation"/>
    <x v="0"/>
    <s v="Risk Management - Executive"/>
    <s v="Head of Department"/>
    <s v="Risk Management-Head of Department"/>
    <s v="Executive"/>
    <d v="2022-08-01T12:40:37"/>
    <d v="2022-08-04T12:40:37"/>
    <s v="Yes"/>
    <d v="2022-08-14T12:40:37"/>
    <s v="Accepted"/>
    <m/>
    <d v="2022-08-22T12:40:37"/>
    <s v="Accepted"/>
    <d v="2022-08-16T12:40:37"/>
    <d v="2022-08-20T12:40:37"/>
    <d v="2022-08-18T12:40:37"/>
    <d v="2022-08-27T12:40:37"/>
    <n v="1"/>
    <d v="2022-08-30T12:40:37"/>
    <d v="2022-09-02T12:40:37"/>
    <d v="2022-09-03T12:40:37"/>
    <m/>
    <m/>
    <d v="2022-09-21T12:40:37"/>
    <m/>
    <m/>
    <n v="3"/>
    <n v="13"/>
    <n v="10"/>
    <x v="14"/>
    <n v="4"/>
    <d v="2022-11-16T12:40:37"/>
    <n v="3"/>
    <n v="34"/>
    <n v="16"/>
    <m/>
    <m/>
    <m/>
    <m/>
    <m/>
    <m/>
    <m/>
    <m/>
    <m/>
    <m/>
  </r>
  <r>
    <n v="37"/>
    <s v="37 | Administation"/>
    <x v="0"/>
    <s v="Risk Management - Associate"/>
    <s v="Supervisor"/>
    <s v="Risk Management-Supervisor"/>
    <s v="Associate"/>
    <d v="2022-08-01T12:40:37"/>
    <d v="2022-08-04T12:40:37"/>
    <s v="Yes"/>
    <d v="2022-08-11T12:40:37"/>
    <s v="Failed"/>
    <s v="Salary expectation too high"/>
    <m/>
    <m/>
    <m/>
    <m/>
    <m/>
    <m/>
    <n v="0"/>
    <m/>
    <m/>
    <m/>
    <m/>
    <s v="Company"/>
    <m/>
    <m/>
    <m/>
    <n v="3"/>
    <n v="10"/>
    <n v="7"/>
    <x v="0"/>
    <s v=""/>
    <s v=""/>
    <s v=""/>
    <s v=""/>
    <s v=""/>
    <m/>
    <m/>
    <m/>
    <m/>
    <m/>
    <m/>
    <m/>
    <m/>
    <m/>
    <m/>
  </r>
  <r>
    <n v="518"/>
    <s v="518 | Administation"/>
    <x v="0"/>
    <s v="Risk Management - Associate"/>
    <s v="Analyst"/>
    <s v="Risk Management-Analyst"/>
    <s v="Associate"/>
    <d v="2022-10-12T22:12:48"/>
    <d v="2022-10-16T22:12:48"/>
    <s v="Yes"/>
    <d v="2022-11-06T22:12:48"/>
    <s v="Declined"/>
    <m/>
    <d v="2022-11-10T22:12:48"/>
    <s v="Declined"/>
    <m/>
    <m/>
    <d v="2022-11-09T22:12:48"/>
    <m/>
    <n v="0"/>
    <m/>
    <m/>
    <m/>
    <m/>
    <m/>
    <m/>
    <m/>
    <m/>
    <n v="4"/>
    <n v="25"/>
    <n v="21"/>
    <x v="6"/>
    <n v="3"/>
    <d v="2023-02-07T22:12:48"/>
    <s v=""/>
    <s v=""/>
    <s v=""/>
    <m/>
    <m/>
    <m/>
    <m/>
    <m/>
    <m/>
    <m/>
    <m/>
    <m/>
    <m/>
  </r>
  <r>
    <n v="511"/>
    <s v="511 | Administation"/>
    <x v="0"/>
    <s v="Risk Management - Associate"/>
    <s v="Analyst"/>
    <s v="Risk Management-Analyst"/>
    <s v="Associate"/>
    <d v="2022-10-14T22:12:48"/>
    <d v="2022-10-17T22:12:48"/>
    <s v="Yes"/>
    <d v="2022-10-26T22:12:48"/>
    <s v="Failed"/>
    <s v="Salary expectation too high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519"/>
    <s v="519 | Administation"/>
    <x v="0"/>
    <s v="Risk Management - Junior"/>
    <s v="Analyst"/>
    <s v="Risk Management-Analyst"/>
    <s v="Junior"/>
    <d v="2022-10-16T22:12:48"/>
    <d v="2022-10-20T22:12:48"/>
    <s v="Yes"/>
    <d v="2022-11-01T22:12:48"/>
    <s v="Declined"/>
    <m/>
    <d v="2022-11-06T22:12:48"/>
    <s v="Declined"/>
    <m/>
    <m/>
    <d v="2022-11-05T22:12:48"/>
    <m/>
    <n v="0"/>
    <m/>
    <m/>
    <m/>
    <m/>
    <m/>
    <m/>
    <m/>
    <m/>
    <n v="4"/>
    <n v="16"/>
    <n v="12"/>
    <x v="15"/>
    <n v="4"/>
    <d v="2023-02-03T22:12:48"/>
    <s v=""/>
    <s v=""/>
    <s v=""/>
    <m/>
    <m/>
    <m/>
    <m/>
    <m/>
    <m/>
    <m/>
    <m/>
    <m/>
    <m/>
  </r>
  <r>
    <n v="512"/>
    <s v="512 | Administation"/>
    <x v="0"/>
    <s v="Risk Management - Junior"/>
    <s v="Analyst"/>
    <s v="Risk Management-Analyst"/>
    <s v="Junior"/>
    <d v="2022-10-17T22:12:48"/>
    <d v="2022-10-20T22:12:48"/>
    <s v="Yes"/>
    <d v="2022-11-04T22:12:48"/>
    <s v="Declined"/>
    <m/>
    <d v="2022-11-09T22:12:48"/>
    <s v="Declined"/>
    <m/>
    <m/>
    <d v="2022-11-05T22:12:48"/>
    <m/>
    <n v="0"/>
    <m/>
    <m/>
    <m/>
    <m/>
    <m/>
    <m/>
    <m/>
    <m/>
    <n v="3"/>
    <n v="18"/>
    <n v="15"/>
    <x v="13"/>
    <n v="1"/>
    <d v="2023-02-03T22:12:48"/>
    <s v=""/>
    <s v=""/>
    <s v=""/>
    <m/>
    <m/>
    <m/>
    <m/>
    <m/>
    <m/>
    <m/>
    <m/>
    <m/>
    <m/>
  </r>
  <r>
    <n v="515"/>
    <s v="515 | Administation"/>
    <x v="0"/>
    <s v="Risk Management - Associate"/>
    <s v="Analyst"/>
    <s v="Risk Management-Analyst"/>
    <s v="Associate"/>
    <d v="2022-10-18T22:12:48"/>
    <d v="2022-10-20T22:12:48"/>
    <s v="Yes"/>
    <d v="2022-11-06T22:12:48"/>
    <s v="Accepted"/>
    <m/>
    <d v="2022-11-12T22:12:48"/>
    <s v="Accepted"/>
    <d v="2022-11-08T22:12:48"/>
    <d v="2022-11-12T22:12:48"/>
    <d v="2022-11-09T22:12:48"/>
    <d v="2022-11-10T22:12:48"/>
    <n v="1"/>
    <d v="2022-11-13T22:12:48"/>
    <d v="2022-11-16T22:12:48"/>
    <d v="2022-11-18T22:12:48"/>
    <m/>
    <m/>
    <d v="2022-12-06T22:12:48"/>
    <m/>
    <m/>
    <n v="2"/>
    <n v="19"/>
    <n v="17"/>
    <x v="7"/>
    <n v="3"/>
    <d v="2023-02-07T22:12:48"/>
    <n v="3"/>
    <n v="27"/>
    <n v="9"/>
    <m/>
    <m/>
    <m/>
    <m/>
    <m/>
    <m/>
    <m/>
    <m/>
    <m/>
    <m/>
  </r>
  <r>
    <n v="442"/>
    <s v="442 | Administation"/>
    <x v="0"/>
    <s v="Risk Management - Junior"/>
    <s v="Analyst"/>
    <s v="Risk Management-Analyst"/>
    <s v="Junior"/>
    <d v="2022-11-22T02:36:01"/>
    <d v="2022-11-25T02:36:01"/>
    <s v="Yes"/>
    <d v="2022-12-03T02:36:01"/>
    <s v="Failed"/>
    <s v="Salary expectation too high"/>
    <m/>
    <m/>
    <m/>
    <m/>
    <d v="2022-12-07T02:36:01"/>
    <m/>
    <n v="0"/>
    <m/>
    <m/>
    <m/>
    <m/>
    <s v="Candidate"/>
    <m/>
    <m/>
    <m/>
    <n v="3"/>
    <n v="11"/>
    <n v="8"/>
    <x v="16"/>
    <n v="4"/>
    <d v="2023-03-07T02:36:01"/>
    <s v=""/>
    <s v=""/>
    <s v=""/>
    <m/>
    <m/>
    <m/>
    <m/>
    <m/>
    <m/>
    <m/>
    <m/>
    <m/>
    <m/>
  </r>
  <r>
    <n v="449"/>
    <s v="449 | Administation"/>
    <x v="0"/>
    <s v="Risk Management - Junior"/>
    <s v="Analyst"/>
    <s v="Risk Management-Analyst"/>
    <s v="Junior"/>
    <d v="2022-11-24T02:36:01"/>
    <d v="2022-11-28T02:36:01"/>
    <s v="Yes"/>
    <d v="2022-12-15T02:36:01"/>
    <s v="Accepted"/>
    <m/>
    <d v="2022-12-17T02:36:01"/>
    <s v="Accepted"/>
    <d v="2022-12-17T02:36:01"/>
    <d v="2022-12-20T02:36:01"/>
    <d v="2022-12-16T02:36:01"/>
    <d v="2022-12-25T02:36:01"/>
    <n v="1"/>
    <d v="2022-12-28T02:36:01"/>
    <d v="2022-12-30T02:36:01"/>
    <d v="2022-12-31T02:36:01"/>
    <m/>
    <m/>
    <d v="2023-01-15T02:36:01"/>
    <m/>
    <m/>
    <n v="4"/>
    <n v="21"/>
    <n v="17"/>
    <x v="7"/>
    <n v="1"/>
    <d v="2023-03-16T02:36:01"/>
    <n v="3"/>
    <n v="30"/>
    <n v="15"/>
    <m/>
    <m/>
    <m/>
    <m/>
    <m/>
    <m/>
    <m/>
    <m/>
    <m/>
    <m/>
  </r>
  <r>
    <n v="444"/>
    <s v="444 | Administation"/>
    <x v="0"/>
    <s v="Risk Management - Junior"/>
    <s v="Analyst"/>
    <s v="Risk Management-Analyst"/>
    <s v="Junior"/>
    <d v="2022-11-24T02:36:01"/>
    <d v="2022-11-28T02:36:01"/>
    <s v="Yes"/>
    <d v="2022-12-11T02:36:01"/>
    <s v="Failed"/>
    <s v="Not a culture fit"/>
    <m/>
    <m/>
    <m/>
    <m/>
    <d v="2022-12-13T02:36:01"/>
    <m/>
    <n v="0"/>
    <m/>
    <m/>
    <m/>
    <m/>
    <s v="Candidate"/>
    <m/>
    <m/>
    <m/>
    <n v="4"/>
    <n v="17"/>
    <n v="13"/>
    <x v="13"/>
    <n v="2"/>
    <d v="2023-03-13T02:36:01"/>
    <s v=""/>
    <s v=""/>
    <s v=""/>
    <m/>
    <m/>
    <m/>
    <m/>
    <m/>
    <m/>
    <m/>
    <m/>
    <m/>
    <m/>
  </r>
  <r>
    <n v="462"/>
    <s v="462 | Administation"/>
    <x v="0"/>
    <s v="Risk Management - Associate"/>
    <s v="Analyst"/>
    <s v="Risk Management-Analyst"/>
    <s v="Associate"/>
    <d v="2023-02-12T10:11:16"/>
    <d v="2023-02-16T10:11:16"/>
    <s v="Yes"/>
    <d v="2023-03-11T10:11:16"/>
    <s v="Accepted"/>
    <m/>
    <d v="2023-03-16T10:11:16"/>
    <s v="Accepted"/>
    <d v="2023-03-13T10:11:16"/>
    <d v="2023-03-16T10:11:16"/>
    <d v="2023-03-15T10:11:16"/>
    <d v="2023-03-19T10:11:16"/>
    <n v="1"/>
    <d v="2023-03-20T10:11:16"/>
    <d v="2023-03-23T10:11:16"/>
    <d v="2023-03-25T10:11:16"/>
    <m/>
    <m/>
    <d v="2023-04-12T10:11:16"/>
    <m/>
    <m/>
    <n v="4"/>
    <n v="27"/>
    <n v="23"/>
    <x v="17"/>
    <n v="4"/>
    <d v="2023-06-13T10:11:16"/>
    <n v="1"/>
    <n v="28"/>
    <n v="10"/>
    <m/>
    <m/>
    <m/>
    <m/>
    <m/>
    <m/>
    <m/>
    <m/>
    <m/>
    <m/>
  </r>
  <r>
    <n v="467"/>
    <s v="467 | Administation"/>
    <x v="0"/>
    <s v="Risk Management - Executive"/>
    <s v="Director"/>
    <s v="Risk Management-Director"/>
    <s v="Executive"/>
    <d v="2023-02-14T10:11:16"/>
    <d v="2023-02-16T10:11:16"/>
    <s v="Yes"/>
    <d v="2023-03-02T10:11:16"/>
    <s v="Failed"/>
    <s v="Not a culture fit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466"/>
    <s v="466 | Administation"/>
    <x v="0"/>
    <s v="Risk Management - Associate"/>
    <s v="Analyst"/>
    <s v="Risk Management-Analyst"/>
    <s v="Associate"/>
    <d v="2023-02-14T10:11:16"/>
    <d v="2023-02-16T10:11:16"/>
    <s v="Yes"/>
    <d v="2023-03-10T10:11:16"/>
    <s v="Failed"/>
    <s v="Not a culture fit"/>
    <m/>
    <m/>
    <m/>
    <m/>
    <m/>
    <m/>
    <n v="0"/>
    <m/>
    <m/>
    <m/>
    <m/>
    <s v="Candidate"/>
    <m/>
    <m/>
    <m/>
    <n v="2"/>
    <n v="24"/>
    <n v="22"/>
    <x v="0"/>
    <s v=""/>
    <s v=""/>
    <s v=""/>
    <s v=""/>
    <s v=""/>
    <m/>
    <m/>
    <m/>
    <m/>
    <m/>
    <m/>
    <m/>
    <m/>
    <m/>
    <m/>
  </r>
  <r>
    <n v="461"/>
    <s v="461 | Administation"/>
    <x v="0"/>
    <s v="Risk Management - Junior"/>
    <s v="Analyst"/>
    <s v="Risk Management-Analyst"/>
    <s v="Junior"/>
    <d v="2023-02-17T10:11:16"/>
    <d v="2023-02-20T10:11:16"/>
    <s v="Yes"/>
    <d v="2023-03-12T10:11:16"/>
    <s v="Failed"/>
    <s v="Salary expectation too high"/>
    <m/>
    <m/>
    <m/>
    <m/>
    <d v="2023-03-16T10:11:16"/>
    <m/>
    <n v="0"/>
    <m/>
    <m/>
    <m/>
    <m/>
    <s v="Candidate"/>
    <m/>
    <m/>
    <m/>
    <n v="3"/>
    <n v="23"/>
    <n v="20"/>
    <x v="18"/>
    <n v="4"/>
    <d v="2023-06-14T10:11:16"/>
    <s v=""/>
    <s v=""/>
    <s v=""/>
    <m/>
    <m/>
    <m/>
    <m/>
    <m/>
    <m/>
    <m/>
    <m/>
    <m/>
    <m/>
  </r>
  <r>
    <n v="469"/>
    <s v="469 | Administation"/>
    <x v="0"/>
    <s v="Risk Management - Associate"/>
    <s v="Analyst"/>
    <s v="Risk Management-Analyst"/>
    <s v="Associate"/>
    <d v="2023-02-17T10:11:16"/>
    <d v="2023-02-18T10:11:16"/>
    <s v="Yes"/>
    <d v="2023-03-02T10:11:16"/>
    <s v="Failed"/>
    <s v="Other"/>
    <m/>
    <m/>
    <m/>
    <m/>
    <d v="2023-03-06T10:11:16"/>
    <m/>
    <n v="0"/>
    <m/>
    <m/>
    <m/>
    <m/>
    <s v="Candidate"/>
    <m/>
    <m/>
    <m/>
    <n v="1"/>
    <n v="13"/>
    <n v="12"/>
    <x v="14"/>
    <n v="4"/>
    <d v="2023-06-04T10:11:16"/>
    <s v=""/>
    <s v=""/>
    <s v=""/>
    <m/>
    <m/>
    <m/>
    <m/>
    <m/>
    <m/>
    <m/>
    <m/>
    <m/>
    <m/>
  </r>
  <r>
    <n v="470"/>
    <s v="470 | Administation"/>
    <x v="0"/>
    <s v="Risk Management - Executive"/>
    <s v="Director"/>
    <s v="Risk Management-Director"/>
    <s v="Executive"/>
    <d v="2023-02-18T10:11:16"/>
    <d v="2023-02-21T10:11:16"/>
    <s v="Yes"/>
    <d v="2023-03-09T10:11:16"/>
    <s v="Declined"/>
    <m/>
    <d v="2023-03-15T10:11:16"/>
    <s v="Declined"/>
    <m/>
    <m/>
    <d v="2023-03-11T10:11:16"/>
    <m/>
    <n v="0"/>
    <m/>
    <m/>
    <m/>
    <m/>
    <m/>
    <m/>
    <m/>
    <m/>
    <n v="3"/>
    <n v="19"/>
    <n v="16"/>
    <x v="19"/>
    <n v="2"/>
    <d v="2023-06-09T10:11:16"/>
    <s v=""/>
    <s v=""/>
    <s v=""/>
    <m/>
    <m/>
    <m/>
    <m/>
    <m/>
    <m/>
    <m/>
    <m/>
    <m/>
    <m/>
  </r>
  <r>
    <n v="306"/>
    <s v="306 | Administation"/>
    <x v="0"/>
    <s v="Risk Management - Executive"/>
    <s v="Director"/>
    <s v="Risk Management-Director"/>
    <s v="Executive"/>
    <d v="2023-04-10T21:25:25"/>
    <d v="2023-04-13T21:25:25"/>
    <s v="Yes"/>
    <d v="2023-04-25T21:25:25"/>
    <s v="Failed"/>
    <s v="Not a culture fit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304"/>
    <s v="304 | Administation"/>
    <x v="0"/>
    <s v="Risk Management - Executive"/>
    <s v="Head of Department"/>
    <s v="Risk Management-Head of Department"/>
    <s v="Executive"/>
    <d v="2023-04-11T21:25:25"/>
    <d v="2023-04-15T21:25:25"/>
    <s v="Yes"/>
    <d v="2023-04-24T21:25:25"/>
    <s v="Failed"/>
    <s v="Not a culture fit"/>
    <m/>
    <m/>
    <m/>
    <m/>
    <d v="2023-04-26T21:25:25"/>
    <m/>
    <n v="0"/>
    <m/>
    <m/>
    <m/>
    <m/>
    <s v="Candidate"/>
    <m/>
    <m/>
    <m/>
    <n v="4"/>
    <n v="13"/>
    <n v="9"/>
    <x v="16"/>
    <n v="2"/>
    <d v="2023-07-25T21:25:25"/>
    <s v=""/>
    <s v=""/>
    <s v=""/>
    <m/>
    <m/>
    <m/>
    <m/>
    <m/>
    <m/>
    <m/>
    <m/>
    <m/>
    <m/>
  </r>
  <r>
    <n v="305"/>
    <s v="305 | Administation"/>
    <x v="0"/>
    <s v="Risk Management - Junior"/>
    <s v="Analyst"/>
    <s v="Risk Management-Analyst"/>
    <s v="Junior"/>
    <d v="2023-04-12T21:25:25"/>
    <d v="2023-04-15T21:25:25"/>
    <s v="Yes"/>
    <d v="2023-05-03T21:25:25"/>
    <s v="Failed"/>
    <s v="Position filled by another"/>
    <m/>
    <m/>
    <m/>
    <m/>
    <m/>
    <m/>
    <n v="0"/>
    <m/>
    <m/>
    <m/>
    <m/>
    <s v="Candidate"/>
    <m/>
    <m/>
    <m/>
    <n v="3"/>
    <n v="21"/>
    <n v="18"/>
    <x v="0"/>
    <s v=""/>
    <s v=""/>
    <s v=""/>
    <s v=""/>
    <s v=""/>
    <m/>
    <m/>
    <m/>
    <m/>
    <m/>
    <m/>
    <m/>
    <m/>
    <m/>
    <m/>
  </r>
  <r>
    <n v="2975"/>
    <s v="2975 | Program Office"/>
    <x v="1"/>
    <s v="Program Office - Senior Management"/>
    <s v="Senior Manager"/>
    <s v="Program Office-Senior Manager"/>
    <s v="Senior Management"/>
    <d v="2022-07-20T15:16:58"/>
    <d v="2022-07-23T15:16:58"/>
    <s v="Yes"/>
    <d v="2022-08-03T15:16:58"/>
    <s v="Failed"/>
    <s v="Salary expectation too high"/>
    <m/>
    <m/>
    <m/>
    <m/>
    <d v="2022-08-07T15:16:58"/>
    <m/>
    <n v="0"/>
    <m/>
    <m/>
    <m/>
    <m/>
    <s v="Company"/>
    <m/>
    <m/>
    <m/>
    <n v="3"/>
    <n v="14"/>
    <n v="11"/>
    <x v="12"/>
    <n v="4"/>
    <d v="2022-11-05T15:16:58"/>
    <s v=""/>
    <s v=""/>
    <s v=""/>
    <m/>
    <m/>
    <m/>
    <m/>
    <m/>
    <m/>
    <m/>
    <m/>
    <m/>
    <m/>
  </r>
  <r>
    <n v="2970"/>
    <s v="2970 | Program Office"/>
    <x v="1"/>
    <s v="Program Office - Senior Management"/>
    <s v="Senior Manager"/>
    <s v="Program Office-Senior Manager"/>
    <s v="Senior Management"/>
    <d v="2022-05-20T06:38:26"/>
    <d v="2022-05-22T06:38:26"/>
    <s v="Yes"/>
    <d v="2022-05-31T06:38:26"/>
    <s v="Failed"/>
    <s v="Other"/>
    <m/>
    <m/>
    <m/>
    <m/>
    <m/>
    <m/>
    <n v="0"/>
    <m/>
    <m/>
    <m/>
    <m/>
    <s v="Candidate"/>
    <m/>
    <m/>
    <m/>
    <n v="2"/>
    <n v="11"/>
    <n v="9"/>
    <x v="0"/>
    <s v=""/>
    <s v=""/>
    <s v=""/>
    <s v=""/>
    <s v=""/>
    <m/>
    <m/>
    <m/>
    <m/>
    <m/>
    <m/>
    <m/>
    <m/>
    <m/>
    <m/>
  </r>
  <r>
    <n v="2888"/>
    <s v="2888 | Program Office"/>
    <x v="1"/>
    <s v="Program Office - Senior Management"/>
    <s v="Senior Manager"/>
    <s v="Program Office-Senior Manager"/>
    <s v="Senior Management"/>
    <d v="2022-10-21T01:36:27"/>
    <d v="2022-10-24T01:36:27"/>
    <s v="Yes"/>
    <d v="2022-11-06T01:36:27"/>
    <s v="Failed"/>
    <s v="Other"/>
    <m/>
    <m/>
    <m/>
    <m/>
    <d v="2022-11-07T01:36:27"/>
    <m/>
    <n v="0"/>
    <m/>
    <m/>
    <m/>
    <m/>
    <s v="Company"/>
    <m/>
    <m/>
    <m/>
    <n v="3"/>
    <n v="16"/>
    <n v="13"/>
    <x v="14"/>
    <n v="1"/>
    <d v="2023-02-05T01:36:27"/>
    <s v=""/>
    <s v=""/>
    <s v=""/>
    <m/>
    <m/>
    <m/>
    <m/>
    <m/>
    <m/>
    <m/>
    <m/>
    <m/>
    <m/>
  </r>
  <r>
    <n v="2869"/>
    <s v="2869 | Program Office"/>
    <x v="1"/>
    <s v="Program Office - Senior Management"/>
    <s v="Senior Manager"/>
    <s v="Program Office-Senior Manager"/>
    <s v="Senior Management"/>
    <d v="2022-10-17T06:23:31"/>
    <d v="2022-10-18T06:23:31"/>
    <s v="Yes"/>
    <d v="2022-10-25T06:23:31"/>
    <s v="Failed"/>
    <s v="Other"/>
    <m/>
    <m/>
    <m/>
    <m/>
    <d v="2022-10-26T06:23:31"/>
    <m/>
    <n v="0"/>
    <m/>
    <m/>
    <m/>
    <m/>
    <s v="Company"/>
    <m/>
    <m/>
    <m/>
    <n v="1"/>
    <n v="8"/>
    <n v="7"/>
    <x v="4"/>
    <n v="1"/>
    <d v="2023-01-24T06:23:31"/>
    <s v=""/>
    <s v=""/>
    <s v=""/>
    <m/>
    <m/>
    <m/>
    <m/>
    <m/>
    <m/>
    <m/>
    <m/>
    <m/>
    <m/>
  </r>
  <r>
    <n v="2861"/>
    <s v="2861 | Program Office"/>
    <x v="1"/>
    <s v="Program Office - Senior Management"/>
    <s v="Senior Manager"/>
    <s v="Program Office-Senior Manager"/>
    <s v="Senior Management"/>
    <d v="2022-10-15T06:23:31"/>
    <d v="2022-10-19T06:23:31"/>
    <s v="Yes"/>
    <d v="2022-10-30T06:23:31"/>
    <s v="Failed"/>
    <s v="Not a culture fit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2731"/>
    <s v="2731 | Program Office"/>
    <x v="1"/>
    <s v="Program Office - Senior Management"/>
    <s v="Senior Manager"/>
    <s v="Program Office-Senior Manager"/>
    <s v="Senior Management"/>
    <d v="2022-07-11T23:32:45"/>
    <d v="2022-07-14T23:32:45"/>
    <s v="Yes"/>
    <d v="2022-07-28T23:32:45"/>
    <s v="Failed"/>
    <s v="Not a culture fit"/>
    <m/>
    <m/>
    <m/>
    <m/>
    <d v="2022-07-30T23:32:45"/>
    <m/>
    <n v="0"/>
    <m/>
    <m/>
    <m/>
    <m/>
    <s v="Candidate"/>
    <m/>
    <m/>
    <m/>
    <n v="3"/>
    <n v="17"/>
    <n v="14"/>
    <x v="13"/>
    <n v="2"/>
    <d v="2022-10-28T23:32:45"/>
    <s v=""/>
    <s v=""/>
    <s v=""/>
    <m/>
    <m/>
    <m/>
    <m/>
    <m/>
    <m/>
    <m/>
    <m/>
    <m/>
    <m/>
  </r>
  <r>
    <n v="2555"/>
    <s v="2555 | Program Office"/>
    <x v="1"/>
    <s v="Program Office - Senior Management"/>
    <s v="Senior Manager"/>
    <s v="Program Office-Senior Manager"/>
    <s v="Senior Management"/>
    <d v="2023-08-07T17:10:04"/>
    <d v="2023-08-09T17:10:04"/>
    <s v="Yes"/>
    <d v="2023-08-21T17:10:04"/>
    <s v="Failed"/>
    <s v="Position filled by another"/>
    <m/>
    <m/>
    <m/>
    <m/>
    <m/>
    <m/>
    <n v="0"/>
    <m/>
    <m/>
    <m/>
    <m/>
    <s v="Company"/>
    <m/>
    <m/>
    <m/>
    <n v="2"/>
    <n v="14"/>
    <n v="12"/>
    <x v="0"/>
    <s v=""/>
    <s v=""/>
    <s v=""/>
    <s v=""/>
    <s v=""/>
    <m/>
    <m/>
    <m/>
    <m/>
    <m/>
    <m/>
    <m/>
    <m/>
    <m/>
    <m/>
  </r>
  <r>
    <n v="2536"/>
    <s v="2536 | Program Office"/>
    <x v="1"/>
    <s v="Program Office - Senior Management"/>
    <s v="Senior Manager"/>
    <s v="Program Office-Senior Manager"/>
    <s v="Senior Management"/>
    <d v="2022-04-30T01:23:53"/>
    <d v="2022-05-03T01:23:53"/>
    <s v="Yes"/>
    <d v="2022-05-14T01:23:53"/>
    <s v="Failed"/>
    <s v="Not a culture fit"/>
    <m/>
    <m/>
    <m/>
    <m/>
    <d v="2022-05-15T01:23:53"/>
    <m/>
    <n v="0"/>
    <m/>
    <m/>
    <m/>
    <m/>
    <s v="Company"/>
    <m/>
    <m/>
    <m/>
    <n v="3"/>
    <n v="14"/>
    <n v="11"/>
    <x v="16"/>
    <n v="1"/>
    <d v="2022-08-13T01:23:53"/>
    <s v=""/>
    <s v=""/>
    <s v=""/>
    <m/>
    <m/>
    <m/>
    <m/>
    <m/>
    <m/>
    <m/>
    <m/>
    <m/>
    <m/>
  </r>
  <r>
    <n v="2519"/>
    <s v="2519 | Program Office"/>
    <x v="1"/>
    <s v="Program Office - Senior Management"/>
    <s v="Senior Manager"/>
    <s v="Program Office-Senior Manager"/>
    <s v="Senior Management"/>
    <d v="2023-09-03T03:11:54"/>
    <d v="2023-09-06T03:11:54"/>
    <s v="Yes"/>
    <d v="2023-09-19T03:11:54"/>
    <s v="Failed"/>
    <s v="Salary expectation too high"/>
    <m/>
    <m/>
    <m/>
    <m/>
    <d v="2023-09-20T03:11:54"/>
    <m/>
    <n v="0"/>
    <m/>
    <m/>
    <m/>
    <m/>
    <s v="Company"/>
    <m/>
    <m/>
    <m/>
    <n v="3"/>
    <n v="16"/>
    <n v="13"/>
    <x v="14"/>
    <n v="1"/>
    <d v="2023-12-19T03:11:54"/>
    <s v=""/>
    <s v=""/>
    <s v=""/>
    <m/>
    <m/>
    <m/>
    <m/>
    <m/>
    <m/>
    <m/>
    <m/>
    <m/>
    <m/>
  </r>
  <r>
    <n v="2366"/>
    <s v="2366 | Program Office"/>
    <x v="1"/>
    <s v="Program Office - Senior Management"/>
    <s v="Senior Manager"/>
    <s v="Program Office-Senior Manager"/>
    <s v="Senior Management"/>
    <d v="2023-02-17T06:26:17"/>
    <d v="2023-02-19T06:26:17"/>
    <s v="Yes"/>
    <d v="2023-03-01T06:26:17"/>
    <s v="Failed"/>
    <s v="Didn't pass technical test"/>
    <m/>
    <m/>
    <m/>
    <m/>
    <d v="2023-03-04T06:26:17"/>
    <m/>
    <n v="0"/>
    <m/>
    <m/>
    <m/>
    <m/>
    <s v="Company"/>
    <m/>
    <m/>
    <m/>
    <n v="2"/>
    <n v="12"/>
    <n v="10"/>
    <x v="16"/>
    <n v="3"/>
    <d v="2023-06-02T06:26:17"/>
    <s v=""/>
    <s v=""/>
    <s v=""/>
    <m/>
    <m/>
    <m/>
    <m/>
    <m/>
    <m/>
    <m/>
    <m/>
    <m/>
    <m/>
  </r>
  <r>
    <n v="2315"/>
    <s v="2315 | Program Office"/>
    <x v="1"/>
    <s v="Program Office - Senior Management"/>
    <s v="Senior Manager"/>
    <s v="Program Office-Senior Manager"/>
    <s v="Senior Management"/>
    <d v="2022-04-21T00:53:43"/>
    <d v="2022-04-23T00:53:43"/>
    <s v="Yes"/>
    <d v="2022-05-05T00:53:43"/>
    <s v="Failed"/>
    <s v="Not a culture fit"/>
    <m/>
    <m/>
    <m/>
    <m/>
    <m/>
    <m/>
    <n v="0"/>
    <m/>
    <m/>
    <m/>
    <m/>
    <s v="Company"/>
    <m/>
    <m/>
    <m/>
    <n v="2"/>
    <n v="14"/>
    <n v="12"/>
    <x v="0"/>
    <s v=""/>
    <s v=""/>
    <s v=""/>
    <s v=""/>
    <s v=""/>
    <m/>
    <m/>
    <m/>
    <m/>
    <m/>
    <m/>
    <m/>
    <m/>
    <m/>
    <m/>
  </r>
  <r>
    <n v="2250"/>
    <s v="2250 | Program Office"/>
    <x v="1"/>
    <s v="Program Office - Senior Management"/>
    <s v="Senior Manager"/>
    <s v="Program Office-Senior Manager"/>
    <s v="Senior Management"/>
    <d v="2022-12-25T14:26:31"/>
    <d v="2022-12-28T14:26:31"/>
    <s v="Yes"/>
    <d v="2023-01-06T14:26:31"/>
    <s v="Failed"/>
    <s v="Other"/>
    <m/>
    <m/>
    <m/>
    <m/>
    <d v="2023-01-07T14:26:31"/>
    <m/>
    <n v="0"/>
    <m/>
    <m/>
    <m/>
    <m/>
    <s v="Company"/>
    <m/>
    <m/>
    <m/>
    <n v="3"/>
    <n v="12"/>
    <n v="9"/>
    <x v="8"/>
    <n v="1"/>
    <d v="2023-04-07T14:26:31"/>
    <s v=""/>
    <s v=""/>
    <s v=""/>
    <m/>
    <m/>
    <m/>
    <m/>
    <m/>
    <m/>
    <m/>
    <m/>
    <m/>
    <m/>
  </r>
  <r>
    <n v="2241"/>
    <s v="2241 | Program Office"/>
    <x v="1"/>
    <s v="Program Office - Senior Management"/>
    <s v="Senior Manager"/>
    <s v="Program Office-Senior Manager"/>
    <s v="Senior Management"/>
    <d v="2022-12-29T14:26:31"/>
    <d v="2022-12-31T14:26:31"/>
    <s v="Yes"/>
    <d v="2023-01-12T14:26:31"/>
    <s v="Failed"/>
    <s v="Not a culture fit"/>
    <m/>
    <m/>
    <m/>
    <m/>
    <d v="2023-01-14T14:26:31"/>
    <m/>
    <n v="0"/>
    <m/>
    <m/>
    <m/>
    <m/>
    <s v="Candidate"/>
    <m/>
    <m/>
    <m/>
    <n v="2"/>
    <n v="14"/>
    <n v="12"/>
    <x v="20"/>
    <n v="2"/>
    <d v="2023-04-14T14:26:31"/>
    <s v=""/>
    <s v=""/>
    <s v=""/>
    <m/>
    <m/>
    <m/>
    <m/>
    <m/>
    <m/>
    <m/>
    <m/>
    <m/>
    <m/>
  </r>
  <r>
    <n v="2125"/>
    <s v="2125 | Program Office"/>
    <x v="1"/>
    <s v="Program Office - Senior Management"/>
    <s v="Senior Manager"/>
    <s v="Program Office-Senior Manager"/>
    <s v="Senior Management"/>
    <d v="2023-01-01T11:21:38"/>
    <d v="2023-01-04T11:21:38"/>
    <s v="Yes"/>
    <d v="2023-01-20T11:21:38"/>
    <s v="Failed"/>
    <s v="Position filled by another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2122"/>
    <s v="2122 | Program Office"/>
    <x v="1"/>
    <s v="Program Office - Senior Management"/>
    <s v="Senior Manager"/>
    <s v="Program Office-Senior Manager"/>
    <s v="Senior Management"/>
    <d v="2023-01-03T11:21:38"/>
    <d v="2023-01-07T11:21:38"/>
    <s v="Yes"/>
    <d v="2023-01-15T11:21:38"/>
    <s v="Failed"/>
    <s v="Salary expectation too high"/>
    <m/>
    <m/>
    <m/>
    <m/>
    <m/>
    <m/>
    <n v="0"/>
    <m/>
    <m/>
    <m/>
    <m/>
    <s v="Company"/>
    <m/>
    <m/>
    <m/>
    <n v="4"/>
    <n v="12"/>
    <n v="8"/>
    <x v="0"/>
    <s v=""/>
    <s v=""/>
    <s v=""/>
    <s v=""/>
    <s v=""/>
    <m/>
    <m/>
    <m/>
    <m/>
    <m/>
    <m/>
    <m/>
    <m/>
    <m/>
    <m/>
  </r>
  <r>
    <n v="2070"/>
    <s v="2070 | Program Office"/>
    <x v="1"/>
    <s v="Program Office - Senior Management"/>
    <s v="Senior Manager"/>
    <s v="Program Office-Senior Manager"/>
    <s v="Senior Management"/>
    <d v="2022-11-02T18:46:55"/>
    <d v="2022-11-04T18:46:55"/>
    <s v="Yes"/>
    <d v="2022-11-22T18:46:55"/>
    <s v="Failed"/>
    <s v="Salary expectation too high"/>
    <m/>
    <m/>
    <m/>
    <m/>
    <d v="2022-11-26T18:46:55"/>
    <m/>
    <n v="0"/>
    <m/>
    <m/>
    <m/>
    <m/>
    <s v="Candidate"/>
    <m/>
    <m/>
    <m/>
    <n v="2"/>
    <n v="20"/>
    <n v="18"/>
    <x v="21"/>
    <n v="4"/>
    <d v="2023-02-24T18:46:55"/>
    <s v=""/>
    <s v=""/>
    <s v=""/>
    <m/>
    <m/>
    <m/>
    <m/>
    <m/>
    <m/>
    <m/>
    <m/>
    <m/>
    <m/>
  </r>
  <r>
    <n v="1980"/>
    <s v="1980 | Program Office"/>
    <x v="1"/>
    <s v="Program Office - Senior Management"/>
    <s v="Senior Manager"/>
    <s v="Program Office-Senior Manager"/>
    <s v="Senior Management"/>
    <d v="2022-10-23T11:57:41"/>
    <d v="2022-10-24T11:57:41"/>
    <s v="Yes"/>
    <d v="2022-10-27T11:57:41"/>
    <s v="Failed"/>
    <s v="Position filled by another"/>
    <m/>
    <m/>
    <m/>
    <m/>
    <d v="2022-10-30T11:57:41"/>
    <m/>
    <n v="0"/>
    <m/>
    <m/>
    <m/>
    <m/>
    <s v="Company"/>
    <m/>
    <m/>
    <m/>
    <n v="1"/>
    <n v="4"/>
    <n v="3"/>
    <x v="5"/>
    <n v="3"/>
    <d v="2023-01-28T11:57:41"/>
    <s v=""/>
    <s v=""/>
    <s v=""/>
    <m/>
    <m/>
    <m/>
    <m/>
    <m/>
    <m/>
    <m/>
    <m/>
    <m/>
    <m/>
  </r>
  <r>
    <n v="1815"/>
    <s v="1815 | Program Office"/>
    <x v="1"/>
    <s v="Program Office - Senior Management"/>
    <s v="Senior Manager"/>
    <s v="Program Office-Senior Manager"/>
    <s v="Senior Management"/>
    <d v="2022-09-20T04:28:24"/>
    <d v="2022-09-24T04:28:24"/>
    <s v="Yes"/>
    <d v="2022-10-09T04:28:24"/>
    <s v="Failed"/>
    <s v="Salary expectation too high"/>
    <m/>
    <m/>
    <m/>
    <m/>
    <m/>
    <m/>
    <n v="0"/>
    <m/>
    <m/>
    <m/>
    <m/>
    <s v="Candidate"/>
    <m/>
    <m/>
    <m/>
    <n v="4"/>
    <n v="19"/>
    <n v="15"/>
    <x v="0"/>
    <s v=""/>
    <s v=""/>
    <s v=""/>
    <s v=""/>
    <s v=""/>
    <m/>
    <m/>
    <m/>
    <m/>
    <m/>
    <m/>
    <m/>
    <m/>
    <m/>
    <m/>
  </r>
  <r>
    <n v="1807"/>
    <s v="1807 | Program Office"/>
    <x v="1"/>
    <s v="Program Office - Senior Management"/>
    <s v="Senior Manager"/>
    <s v="Program Office-Senior Manager"/>
    <s v="Senior Management"/>
    <d v="2023-07-14T00:25:30"/>
    <d v="2023-07-16T00:25:30"/>
    <s v="Yes"/>
    <d v="2023-07-29T00:25:30"/>
    <s v="Failed"/>
    <s v="Not a culture fit"/>
    <m/>
    <m/>
    <m/>
    <m/>
    <d v="2023-08-01T00:25:30"/>
    <m/>
    <n v="0"/>
    <m/>
    <m/>
    <m/>
    <m/>
    <s v="Company"/>
    <m/>
    <m/>
    <m/>
    <n v="2"/>
    <n v="15"/>
    <n v="13"/>
    <x v="12"/>
    <n v="3"/>
    <d v="2023-10-30T00:25:30"/>
    <s v=""/>
    <s v=""/>
    <s v=""/>
    <m/>
    <m/>
    <m/>
    <m/>
    <m/>
    <m/>
    <m/>
    <m/>
    <m/>
    <m/>
  </r>
  <r>
    <n v="1801"/>
    <s v="1801 | Program Office"/>
    <x v="1"/>
    <s v="Program Office - Senior Management"/>
    <s v="Senior Manager"/>
    <s v="Program Office-Senior Manager"/>
    <s v="Senior Management"/>
    <d v="2023-07-15T00:25:30"/>
    <d v="2023-07-17T00:25:30"/>
    <s v="Yes"/>
    <d v="2023-08-07T00:25:30"/>
    <s v="Failed"/>
    <s v="Didn't pass technical test"/>
    <m/>
    <m/>
    <m/>
    <m/>
    <d v="2023-08-11T00:25:30"/>
    <m/>
    <n v="0"/>
    <m/>
    <m/>
    <m/>
    <m/>
    <s v="Candidate"/>
    <m/>
    <m/>
    <m/>
    <n v="2"/>
    <n v="23"/>
    <n v="21"/>
    <x v="18"/>
    <n v="4"/>
    <d v="2023-11-09T00:25:30"/>
    <s v=""/>
    <s v=""/>
    <s v=""/>
    <m/>
    <m/>
    <m/>
    <m/>
    <m/>
    <m/>
    <m/>
    <m/>
    <m/>
    <m/>
  </r>
  <r>
    <n v="1687"/>
    <s v="1687 | Program Office"/>
    <x v="1"/>
    <s v="Program Office - Senior Management"/>
    <s v="Senior Manager"/>
    <s v="Program Office-Senior Manager"/>
    <s v="Senior Management"/>
    <d v="2022-04-12T06:44:01"/>
    <d v="2022-04-14T06:44:01"/>
    <s v="Yes"/>
    <d v="2022-04-22T06:44:01"/>
    <s v="Failed"/>
    <s v="Salary expectation too high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1405"/>
    <s v="1405 | Program Office"/>
    <x v="1"/>
    <s v="Program Office - Senior Management"/>
    <s v="Senior Manager"/>
    <s v="Program Office-Senior Manager"/>
    <s v="Senior Management"/>
    <d v="2022-02-24T07:21:21"/>
    <d v="2022-02-25T07:21:21"/>
    <s v="Yes"/>
    <d v="2022-03-03T07:21:21"/>
    <s v="Failed"/>
    <s v="Other"/>
    <m/>
    <m/>
    <m/>
    <m/>
    <d v="2022-03-06T07:21:21"/>
    <m/>
    <n v="0"/>
    <m/>
    <m/>
    <m/>
    <m/>
    <s v="Company"/>
    <m/>
    <m/>
    <m/>
    <n v="1"/>
    <n v="7"/>
    <n v="6"/>
    <x v="22"/>
    <n v="3"/>
    <d v="2022-06-04T07:21:21"/>
    <s v=""/>
    <s v=""/>
    <s v=""/>
    <m/>
    <m/>
    <m/>
    <m/>
    <m/>
    <m/>
    <m/>
    <m/>
    <m/>
    <m/>
  </r>
  <r>
    <n v="1385"/>
    <s v="1385 | Program Office"/>
    <x v="1"/>
    <s v="Program Office - Senior Management"/>
    <s v="Senior Manager"/>
    <s v="Program Office-Senior Manager"/>
    <s v="Senior Management"/>
    <d v="2023-04-26T17:36:15"/>
    <d v="2023-04-27T17:36:15"/>
    <s v="Yes"/>
    <d v="2023-05-09T17:36:15"/>
    <s v="Failed"/>
    <s v="Didn't pass technical test"/>
    <m/>
    <m/>
    <m/>
    <m/>
    <d v="2023-05-13T17:36:15"/>
    <m/>
    <n v="0"/>
    <m/>
    <m/>
    <m/>
    <m/>
    <s v="Company"/>
    <m/>
    <m/>
    <m/>
    <n v="1"/>
    <n v="13"/>
    <n v="12"/>
    <x v="14"/>
    <n v="4"/>
    <d v="2023-08-11T17:36:15"/>
    <s v=""/>
    <s v=""/>
    <s v=""/>
    <m/>
    <m/>
    <m/>
    <m/>
    <m/>
    <m/>
    <m/>
    <m/>
    <m/>
    <m/>
  </r>
  <r>
    <n v="1381"/>
    <s v="1381 | Program Office"/>
    <x v="1"/>
    <s v="Program Office - Senior Management"/>
    <s v="Senior Manager"/>
    <s v="Program Office-Senior Manager"/>
    <s v="Senior Management"/>
    <d v="2023-04-27T17:36:15"/>
    <d v="2023-04-29T17:36:15"/>
    <s v="Yes"/>
    <d v="2023-05-04T17:36:15"/>
    <s v="Failed"/>
    <s v="Other"/>
    <m/>
    <m/>
    <m/>
    <m/>
    <d v="2023-05-07T17:36:15"/>
    <m/>
    <n v="0"/>
    <m/>
    <m/>
    <m/>
    <m/>
    <s v="Company"/>
    <m/>
    <m/>
    <m/>
    <n v="2"/>
    <n v="7"/>
    <n v="5"/>
    <x v="22"/>
    <n v="3"/>
    <d v="2023-08-05T17:36:15"/>
    <s v=""/>
    <s v=""/>
    <s v=""/>
    <m/>
    <m/>
    <m/>
    <m/>
    <m/>
    <m/>
    <m/>
    <m/>
    <m/>
    <m/>
  </r>
  <r>
    <n v="1322"/>
    <s v="1322 | Program Office"/>
    <x v="1"/>
    <s v="Program Office - Senior Management"/>
    <s v="Senior Manager"/>
    <s v="Program Office-Senior Manager"/>
    <s v="Senior Management"/>
    <d v="2023-08-22T04:29:27"/>
    <d v="2023-08-26T04:29:27"/>
    <s v="Yes"/>
    <d v="2023-09-10T04:29:27"/>
    <s v="Failed"/>
    <s v="Other"/>
    <m/>
    <m/>
    <m/>
    <m/>
    <d v="2023-09-11T04:29:27"/>
    <m/>
    <n v="0"/>
    <m/>
    <m/>
    <m/>
    <m/>
    <s v="Company"/>
    <m/>
    <m/>
    <m/>
    <n v="4"/>
    <n v="19"/>
    <n v="15"/>
    <x v="15"/>
    <n v="1"/>
    <d v="2023-12-10T04:29:27"/>
    <s v=""/>
    <s v=""/>
    <s v=""/>
    <m/>
    <m/>
    <m/>
    <m/>
    <m/>
    <m/>
    <m/>
    <m/>
    <m/>
    <m/>
  </r>
  <r>
    <n v="1294"/>
    <s v="1294 | Program Office"/>
    <x v="1"/>
    <s v="Program Office - Senior Management"/>
    <s v="Senior Manager"/>
    <s v="Program Office-Senior Manager"/>
    <s v="Senior Management"/>
    <d v="2023-06-14T16:08:44"/>
    <d v="2023-06-16T16:08:44"/>
    <s v="Yes"/>
    <d v="2023-06-28T16:08:44"/>
    <s v="Failed"/>
    <s v="Salary expectation too high"/>
    <m/>
    <m/>
    <m/>
    <m/>
    <m/>
    <m/>
    <n v="0"/>
    <m/>
    <m/>
    <m/>
    <m/>
    <s v="Candidate"/>
    <m/>
    <m/>
    <m/>
    <n v="2"/>
    <n v="14"/>
    <n v="12"/>
    <x v="0"/>
    <s v=""/>
    <s v=""/>
    <s v=""/>
    <s v=""/>
    <s v=""/>
    <m/>
    <m/>
    <m/>
    <m/>
    <m/>
    <m/>
    <m/>
    <m/>
    <m/>
    <m/>
  </r>
  <r>
    <n v="498"/>
    <s v="498 | Program Office"/>
    <x v="1"/>
    <s v="Program Office - Senior Management"/>
    <s v="Senior Manager"/>
    <s v="Program Office-Senior Manager"/>
    <s v="Senior Management"/>
    <d v="2023-09-01T09:52:53"/>
    <d v="2023-09-02T09:52:53"/>
    <s v="Yes"/>
    <d v="2023-09-13T09:52:53"/>
    <s v="Failed"/>
    <s v="Position filled by another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496"/>
    <s v="496 | Program Office"/>
    <x v="1"/>
    <s v="Program Office - Senior Management"/>
    <s v="Senior Supervisory Manager"/>
    <s v="Program Office-Senior Supervisory Manager"/>
    <s v="Senior Management"/>
    <d v="2023-08-29T09:52:53"/>
    <d v="2023-09-01T09:52:53"/>
    <s v="Yes"/>
    <d v="2023-09-19T09:52:53"/>
    <s v="Declined"/>
    <m/>
    <d v="2023-09-27T09:52:53"/>
    <s v="Declined"/>
    <m/>
    <m/>
    <d v="2023-09-23T09:52:53"/>
    <m/>
    <n v="0"/>
    <m/>
    <m/>
    <m/>
    <m/>
    <m/>
    <m/>
    <m/>
    <m/>
    <n v="3"/>
    <n v="21"/>
    <n v="18"/>
    <x v="11"/>
    <n v="4"/>
    <d v="2023-12-22T09:52:53"/>
    <s v=""/>
    <s v=""/>
    <s v=""/>
    <m/>
    <m/>
    <m/>
    <m/>
    <m/>
    <m/>
    <m/>
    <m/>
    <m/>
    <m/>
  </r>
  <r>
    <n v="486"/>
    <s v="486 | Program Office"/>
    <x v="1"/>
    <s v="Program Office - Senior Management"/>
    <s v="Senior Supervisory Manager"/>
    <s v="Program Office-Senior Supervisory Manager"/>
    <s v="Senior Management"/>
    <d v="2023-01-10T13:36:04"/>
    <d v="2023-01-11T13:36:04"/>
    <s v="Yes"/>
    <d v="2023-01-30T13:36:04"/>
    <s v="Declined"/>
    <m/>
    <d v="2023-02-03T13:36:04"/>
    <s v="Declined"/>
    <m/>
    <m/>
    <d v="2023-02-02T13:36:04"/>
    <m/>
    <n v="0"/>
    <m/>
    <m/>
    <m/>
    <m/>
    <m/>
    <m/>
    <m/>
    <m/>
    <n v="1"/>
    <n v="20"/>
    <n v="19"/>
    <x v="3"/>
    <n v="3"/>
    <d v="2023-05-03T13:36:04"/>
    <s v=""/>
    <s v=""/>
    <s v=""/>
    <m/>
    <m/>
    <m/>
    <m/>
    <m/>
    <m/>
    <m/>
    <m/>
    <m/>
    <m/>
  </r>
  <r>
    <n v="481"/>
    <s v="481 | Program Office"/>
    <x v="1"/>
    <s v="Program Office - Senior Management"/>
    <s v="Senior Supervisory Manager"/>
    <s v="Program Office-Senior Supervisory Manager"/>
    <s v="Senior Management"/>
    <d v="2023-01-04T13:36:04"/>
    <d v="2023-01-08T13:36:04"/>
    <s v="Yes"/>
    <d v="2023-01-19T13:36:04"/>
    <s v="Accepted"/>
    <m/>
    <d v="2023-01-25T13:36:04"/>
    <s v="Accepted"/>
    <d v="2023-01-20T13:36:04"/>
    <d v="2023-01-22T13:36:04"/>
    <d v="2023-01-23T13:36:04"/>
    <d v="2023-01-31T13:36:04"/>
    <n v="1"/>
    <d v="2023-02-01T13:36:04"/>
    <d v="2023-02-02T13:36:04"/>
    <d v="2023-02-04T13:36:04"/>
    <m/>
    <m/>
    <d v="2023-02-13T13:36:04"/>
    <m/>
    <m/>
    <n v="4"/>
    <n v="15"/>
    <n v="11"/>
    <x v="13"/>
    <n v="4"/>
    <d v="2023-04-23T13:36:04"/>
    <n v="1"/>
    <n v="21"/>
    <n v="12"/>
    <m/>
    <m/>
    <m/>
    <m/>
    <m/>
    <m/>
    <m/>
    <m/>
    <m/>
    <m/>
  </r>
  <r>
    <n v="478"/>
    <s v="478 | Program Office"/>
    <x v="1"/>
    <s v="Program Office - Senior Management"/>
    <s v="Senior Supervisory Manager"/>
    <s v="Program Office-Senior Supervisory Manager"/>
    <s v="Senior Management"/>
    <d v="2022-04-22T01:49:05"/>
    <d v="2022-04-25T01:49:05"/>
    <s v="Yes"/>
    <d v="2022-05-12T01:49:05"/>
    <s v="Failed"/>
    <s v="Not a culture fit"/>
    <m/>
    <m/>
    <m/>
    <m/>
    <m/>
    <m/>
    <n v="0"/>
    <m/>
    <m/>
    <m/>
    <m/>
    <s v="Candidate"/>
    <m/>
    <m/>
    <m/>
    <n v="3"/>
    <n v="20"/>
    <n v="17"/>
    <x v="0"/>
    <s v=""/>
    <s v=""/>
    <s v=""/>
    <s v=""/>
    <s v=""/>
    <m/>
    <m/>
    <m/>
    <m/>
    <m/>
    <m/>
    <m/>
    <m/>
    <m/>
    <m/>
  </r>
  <r>
    <n v="384"/>
    <s v="384 | Program Office"/>
    <x v="1"/>
    <s v="Program Office - Senior Management"/>
    <s v="Senior Supervisory Manager"/>
    <s v="Program Office-Senior Supervisory Manager"/>
    <s v="Senior Management"/>
    <d v="2022-11-07T09:11:38"/>
    <d v="2022-11-10T09:11:38"/>
    <s v="Yes"/>
    <d v="2022-11-20T09:11:38"/>
    <s v="Failed"/>
    <s v="Not a culture fi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377"/>
    <s v="377 | Program Office"/>
    <x v="1"/>
    <s v="Program Office - Senior Management"/>
    <s v="Senior Supervisory Manager"/>
    <s v="Program Office-Senior Supervisory Manager"/>
    <s v="Senior Management"/>
    <d v="2022-04-12T08:33:40"/>
    <d v="2022-04-15T08:33:40"/>
    <s v="Yes"/>
    <d v="2022-04-29T08:33:40"/>
    <s v="Failed"/>
    <s v="Other"/>
    <m/>
    <m/>
    <m/>
    <m/>
    <d v="2022-05-01T08:33:40"/>
    <m/>
    <n v="0"/>
    <m/>
    <m/>
    <m/>
    <m/>
    <s v="Company"/>
    <m/>
    <m/>
    <m/>
    <n v="3"/>
    <n v="17"/>
    <n v="14"/>
    <x v="13"/>
    <n v="2"/>
    <d v="2022-07-30T08:33:40"/>
    <s v=""/>
    <s v=""/>
    <s v=""/>
    <m/>
    <m/>
    <m/>
    <m/>
    <m/>
    <m/>
    <m/>
    <m/>
    <m/>
    <m/>
  </r>
  <r>
    <n v="311"/>
    <s v="311 | Program Office"/>
    <x v="1"/>
    <s v="Program Office - Senior Management"/>
    <s v="Senior Supervisory Manager"/>
    <s v="Program Office-Senior Supervisory Manager"/>
    <s v="Senior Management"/>
    <d v="2023-02-24T14:36:53"/>
    <d v="2023-02-28T14:36:53"/>
    <s v="Yes"/>
    <d v="2023-03-22T14:36:53"/>
    <s v="Accepted"/>
    <m/>
    <d v="2023-03-29T14:36:53"/>
    <s v="Accepted"/>
    <d v="2023-03-24T14:36:53"/>
    <d v="2023-03-28T14:36:53"/>
    <d v="2023-03-25T14:36:53"/>
    <d v="2023-03-28T14:36:53"/>
    <n v="1"/>
    <d v="2023-03-30T14:36:53"/>
    <d v="2023-04-02T14:36:53"/>
    <d v="2023-04-05T14:36:53"/>
    <m/>
    <m/>
    <d v="2023-04-12T14:36:53"/>
    <m/>
    <m/>
    <n v="4"/>
    <n v="26"/>
    <n v="22"/>
    <x v="23"/>
    <n v="3"/>
    <d v="2023-06-23T14:36:53"/>
    <n v="2"/>
    <n v="18"/>
    <n v="11"/>
    <m/>
    <m/>
    <m/>
    <m/>
    <m/>
    <m/>
    <m/>
    <m/>
    <m/>
    <m/>
  </r>
  <r>
    <n v="185"/>
    <s v="185 | Program Office"/>
    <x v="1"/>
    <s v="Program Office - Senior Management"/>
    <s v="Senior Supervisory Manager"/>
    <s v="Program Office-Senior Supervisory Manager"/>
    <s v="Senior Management"/>
    <d v="2022-09-26T07:13:58"/>
    <d v="2022-09-30T07:13:58"/>
    <s v="Yes"/>
    <d v="2022-10-16T07:13:58"/>
    <s v="Failed"/>
    <s v="Didn't pass technical test"/>
    <m/>
    <m/>
    <m/>
    <m/>
    <d v="2022-10-19T07:13:58"/>
    <m/>
    <n v="0"/>
    <m/>
    <m/>
    <m/>
    <m/>
    <s v="Company"/>
    <m/>
    <m/>
    <m/>
    <n v="4"/>
    <n v="20"/>
    <n v="16"/>
    <x v="3"/>
    <n v="3"/>
    <d v="2023-01-17T07:13:58"/>
    <s v=""/>
    <s v=""/>
    <s v=""/>
    <m/>
    <m/>
    <m/>
    <m/>
    <m/>
    <m/>
    <m/>
    <m/>
    <m/>
    <m/>
  </r>
  <r>
    <n v="184"/>
    <s v="184 | Program Office"/>
    <x v="1"/>
    <s v="Program Office - Senior Management"/>
    <s v="Senior Supervisory Manager"/>
    <s v="Program Office-Senior Supervisory Manager"/>
    <s v="Senior Management"/>
    <d v="2022-09-21T07:13:58"/>
    <d v="2022-09-25T07:13:58"/>
    <s v="Yes"/>
    <d v="2022-10-13T07:13:58"/>
    <s v="Failed"/>
    <s v="Salary expectation too high"/>
    <m/>
    <m/>
    <m/>
    <m/>
    <m/>
    <m/>
    <n v="0"/>
    <m/>
    <m/>
    <m/>
    <m/>
    <s v="Company"/>
    <m/>
    <m/>
    <m/>
    <n v="4"/>
    <n v="22"/>
    <n v="18"/>
    <x v="0"/>
    <s v=""/>
    <s v=""/>
    <s v=""/>
    <s v=""/>
    <s v=""/>
    <m/>
    <m/>
    <m/>
    <m/>
    <m/>
    <m/>
    <m/>
    <m/>
    <m/>
    <m/>
  </r>
  <r>
    <n v="182"/>
    <s v="182 | Program Office"/>
    <x v="1"/>
    <s v="Program Office - Senior Management"/>
    <s v="Senior Supervisory Manager"/>
    <s v="Program Office-Senior Supervisory Manager"/>
    <s v="Senior Management"/>
    <d v="2022-09-26T07:13:58"/>
    <d v="2022-09-30T07:13:58"/>
    <s v="Yes"/>
    <d v="2022-10-05T07:13:58"/>
    <s v="Failed"/>
    <s v="Didn't pass technical test"/>
    <m/>
    <m/>
    <m/>
    <m/>
    <d v="2022-10-07T07:13:58"/>
    <m/>
    <n v="0"/>
    <m/>
    <m/>
    <m/>
    <m/>
    <s v="Candidate"/>
    <m/>
    <m/>
    <m/>
    <n v="4"/>
    <n v="9"/>
    <n v="5"/>
    <x v="9"/>
    <n v="2"/>
    <d v="2023-01-05T07:13:58"/>
    <s v=""/>
    <s v=""/>
    <s v=""/>
    <m/>
    <m/>
    <m/>
    <m/>
    <m/>
    <m/>
    <m/>
    <m/>
    <m/>
    <m/>
  </r>
  <r>
    <n v="138"/>
    <s v="138 | Program Office"/>
    <x v="1"/>
    <s v="Program Office - Senior Management"/>
    <s v="Senior Supervisory Manager"/>
    <s v="Program Office-Senior Supervisory Manager"/>
    <s v="Senior Management"/>
    <d v="2022-07-22T19:16:15"/>
    <d v="2022-07-26T19:16:15"/>
    <s v="Yes"/>
    <d v="2022-08-01T19:16:15"/>
    <s v="Accepted"/>
    <m/>
    <d v="2022-08-05T19:16:15"/>
    <s v="Accepted"/>
    <d v="2022-08-02T19:16:15"/>
    <d v="2022-08-04T19:16:15"/>
    <d v="2022-08-02T19:16:15"/>
    <d v="2022-08-04T19:16:15"/>
    <n v="1"/>
    <d v="2022-08-05T19:16:15"/>
    <d v="2022-08-08T19:16:15"/>
    <d v="2022-08-09T19:16:15"/>
    <m/>
    <m/>
    <d v="2022-08-28T19:16:15"/>
    <m/>
    <m/>
    <n v="4"/>
    <n v="10"/>
    <n v="6"/>
    <x v="9"/>
    <n v="1"/>
    <d v="2022-10-31T19:16:15"/>
    <n v="1"/>
    <n v="26"/>
    <n v="7"/>
    <m/>
    <m/>
    <m/>
    <m/>
    <m/>
    <m/>
    <m/>
    <m/>
    <m/>
    <m/>
  </r>
  <r>
    <n v="9"/>
    <s v="9 | Program Office"/>
    <x v="1"/>
    <s v="Program Office - Senior Management"/>
    <s v="Senior Supervisory Manager"/>
    <s v="Program Office-Senior Supervisory Manager"/>
    <s v="Senior Management"/>
    <d v="2023-06-02T08:55:46"/>
    <d v="2023-06-04T08:55:46"/>
    <s v="Yes"/>
    <d v="2023-06-12T08:55:46"/>
    <s v="Failed"/>
    <s v="Position filled by another"/>
    <m/>
    <m/>
    <m/>
    <m/>
    <m/>
    <m/>
    <n v="0"/>
    <m/>
    <m/>
    <m/>
    <m/>
    <s v="Candidate"/>
    <m/>
    <m/>
    <m/>
    <n v="2"/>
    <n v="10"/>
    <n v="8"/>
    <x v="0"/>
    <s v=""/>
    <s v=""/>
    <s v=""/>
    <s v=""/>
    <s v=""/>
    <m/>
    <m/>
    <m/>
    <m/>
    <m/>
    <m/>
    <m/>
    <m/>
    <m/>
    <m/>
  </r>
  <r>
    <n v="7"/>
    <s v="7 | Program Office"/>
    <x v="1"/>
    <s v="Program Office - Senior Management"/>
    <s v="Senior Supervisory Manager"/>
    <s v="Program Office-Senior Supervisory Manager"/>
    <s v="Senior Management"/>
    <d v="2023-05-28T08:55:46"/>
    <d v="2023-05-31T08:55:46"/>
    <s v="Yes"/>
    <d v="2023-06-15T08:55:46"/>
    <s v="Failed"/>
    <s v="Salary expectation too high"/>
    <m/>
    <m/>
    <m/>
    <m/>
    <d v="2023-06-16T08:55:46"/>
    <m/>
    <n v="0"/>
    <m/>
    <m/>
    <m/>
    <m/>
    <s v="Candidate"/>
    <m/>
    <m/>
    <m/>
    <n v="3"/>
    <n v="18"/>
    <n v="15"/>
    <x v="13"/>
    <n v="1"/>
    <d v="2023-09-14T08:55:46"/>
    <s v=""/>
    <s v=""/>
    <s v=""/>
    <m/>
    <m/>
    <m/>
    <m/>
    <m/>
    <m/>
    <m/>
    <m/>
    <m/>
    <m/>
  </r>
  <r>
    <n v="2973"/>
    <s v="2973 | Program Office"/>
    <x v="1"/>
    <s v="Program Office - Senior"/>
    <s v="Analyst"/>
    <s v="Program Office-Analyst"/>
    <s v="Senior"/>
    <d v="2022-07-15T15:16:58"/>
    <d v="2022-07-19T15:16:58"/>
    <s v="Yes"/>
    <d v="2022-07-31T15:16:58"/>
    <s v="Accepted"/>
    <m/>
    <d v="2022-08-03T15:16:58"/>
    <s v="Accepted"/>
    <d v="2022-08-01T15:16:58"/>
    <d v="2022-08-02T15:16:58"/>
    <d v="2022-08-01T15:16:58"/>
    <d v="2022-08-08T15:16:58"/>
    <n v="1"/>
    <d v="2022-08-09T15:16:58"/>
    <d v="2022-08-11T15:16:58"/>
    <d v="2022-08-14T15:16:58"/>
    <m/>
    <m/>
    <d v="2022-08-28T15:16:58"/>
    <m/>
    <m/>
    <n v="4"/>
    <n v="16"/>
    <n v="12"/>
    <x v="14"/>
    <n v="1"/>
    <d v="2022-10-30T15:16:58"/>
    <n v="1"/>
    <n v="27"/>
    <n v="13"/>
    <m/>
    <m/>
    <m/>
    <m/>
    <m/>
    <m/>
    <m/>
    <m/>
    <m/>
    <m/>
  </r>
  <r>
    <n v="2966"/>
    <s v="2966 | Program Office"/>
    <x v="1"/>
    <s v="Program Office - Senior"/>
    <s v="Analyst"/>
    <s v="Program Office-Analyst"/>
    <s v="Senior"/>
    <d v="2022-05-16T06:38:26"/>
    <d v="2022-05-19T06:38:26"/>
    <s v="Yes"/>
    <d v="2022-05-30T06:38:26"/>
    <s v="Failed"/>
    <s v="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2964"/>
    <s v="2964 | Program Office"/>
    <x v="1"/>
    <s v="Program Office - Senior"/>
    <s v="Analyst"/>
    <s v="Program Office-Analyst"/>
    <s v="Senior"/>
    <d v="2022-05-16T06:38:26"/>
    <d v="2022-05-18T06:38:26"/>
    <s v="Yes"/>
    <d v="2022-06-07T06:38:26"/>
    <s v="Failed"/>
    <s v="Not a culture fit"/>
    <m/>
    <m/>
    <m/>
    <m/>
    <d v="2022-06-08T06:38:26"/>
    <m/>
    <n v="0"/>
    <m/>
    <m/>
    <m/>
    <m/>
    <s v="Company"/>
    <m/>
    <m/>
    <m/>
    <n v="2"/>
    <n v="22"/>
    <n v="20"/>
    <x v="3"/>
    <n v="1"/>
    <d v="2022-09-06T06:38:26"/>
    <s v=""/>
    <s v=""/>
    <s v=""/>
    <m/>
    <m/>
    <m/>
    <m/>
    <m/>
    <m/>
    <m/>
    <m/>
    <m/>
    <m/>
  </r>
  <r>
    <n v="2961"/>
    <s v="2961 | Program Office"/>
    <x v="1"/>
    <s v="Program Office - Senior"/>
    <s v="Analyst"/>
    <s v="Program Office-Analyst"/>
    <s v="Senior"/>
    <d v="2022-05-18T06:38:26"/>
    <d v="2022-05-19T06:38:26"/>
    <s v="Yes"/>
    <d v="2022-05-30T06:38:26"/>
    <s v="Failed"/>
    <s v="Not a culture fit"/>
    <m/>
    <m/>
    <m/>
    <m/>
    <d v="2022-06-01T06:38:26"/>
    <m/>
    <n v="0"/>
    <m/>
    <m/>
    <m/>
    <m/>
    <s v="Candidate"/>
    <m/>
    <m/>
    <m/>
    <n v="1"/>
    <n v="12"/>
    <n v="11"/>
    <x v="1"/>
    <n v="2"/>
    <d v="2022-08-30T06:38:26"/>
    <s v=""/>
    <s v=""/>
    <s v=""/>
    <m/>
    <m/>
    <m/>
    <m/>
    <m/>
    <m/>
    <m/>
    <m/>
    <m/>
    <m/>
  </r>
  <r>
    <n v="2886"/>
    <s v="2886 | Program Office"/>
    <x v="1"/>
    <s v="Program Office - Senior"/>
    <s v="Analyst"/>
    <s v="Program Office-Analyst"/>
    <s v="Senior"/>
    <d v="2022-10-23T01:36:27"/>
    <d v="2022-10-26T01:36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882"/>
    <s v="2882 | Program Office"/>
    <x v="1"/>
    <s v="Program Office - Senior"/>
    <s v="Analyst"/>
    <s v="Program Office-Analyst"/>
    <s v="Senior"/>
    <d v="2022-10-27T01:36:27"/>
    <d v="2022-10-28T01:36:27"/>
    <s v="Yes"/>
    <d v="2022-11-05T01:36:27"/>
    <s v="Failed"/>
    <s v="Salary expectation too high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2868"/>
    <s v="2868 | Program Office"/>
    <x v="1"/>
    <s v="Program Office - Senior"/>
    <s v="Analyst"/>
    <s v="Program Office-Analyst"/>
    <s v="Senior"/>
    <d v="2022-10-13T06:23:31"/>
    <d v="2022-10-17T06:23:3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867"/>
    <s v="2867 | Program Office"/>
    <x v="1"/>
    <s v="Program Office - Senior"/>
    <s v="Analyst"/>
    <s v="Program Office-Analyst"/>
    <s v="Senior"/>
    <d v="2022-10-15T06:23:31"/>
    <d v="2022-10-19T06:23:31"/>
    <s v="Yes"/>
    <d v="2022-11-03T06:23:31"/>
    <s v="Accepted"/>
    <m/>
    <d v="2022-11-08T06:23:31"/>
    <s v="Accepted"/>
    <d v="2022-11-05T06:23:31"/>
    <d v="2022-11-09T06:23:31"/>
    <d v="2022-11-04T06:23:31"/>
    <d v="2022-11-14T06:23:31"/>
    <n v="1"/>
    <d v="2022-11-18T06:23:31"/>
    <d v="2022-11-19T06:23:31"/>
    <d v="2022-11-20T06:23:31"/>
    <m/>
    <m/>
    <d v="2022-12-06T06:23:31"/>
    <m/>
    <m/>
    <n v="4"/>
    <n v="19"/>
    <n v="15"/>
    <x v="15"/>
    <n v="1"/>
    <d v="2023-02-02T06:23:31"/>
    <n v="4"/>
    <n v="32"/>
    <n v="16"/>
    <m/>
    <m/>
    <m/>
    <m/>
    <m/>
    <m/>
    <m/>
    <m/>
    <m/>
    <m/>
  </r>
  <r>
    <n v="2862"/>
    <s v="2862 | Program Office"/>
    <x v="1"/>
    <s v="Program Office - Senior"/>
    <s v="Analyst"/>
    <s v="Program Office-Analyst"/>
    <s v="Senior"/>
    <d v="2022-10-14T06:23:31"/>
    <d v="2022-10-18T06:23:3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859"/>
    <s v="2859 | Program Office"/>
    <x v="1"/>
    <s v="Program Office - Senior"/>
    <s v="Analyst"/>
    <s v="Program Office-Analyst"/>
    <s v="Senior"/>
    <d v="2023-04-19T11:59:33"/>
    <d v="2023-04-22T11:59:33"/>
    <s v="Yes"/>
    <d v="2023-04-29T11:59:33"/>
    <s v="Failed"/>
    <s v="Didn't pass technical test"/>
    <m/>
    <m/>
    <m/>
    <m/>
    <d v="2023-05-01T11:59:33"/>
    <m/>
    <n v="0"/>
    <m/>
    <m/>
    <m/>
    <m/>
    <s v="Company"/>
    <m/>
    <m/>
    <m/>
    <n v="3"/>
    <n v="10"/>
    <n v="7"/>
    <x v="24"/>
    <n v="2"/>
    <d v="2023-07-30T11:59:33"/>
    <s v=""/>
    <s v=""/>
    <s v=""/>
    <m/>
    <m/>
    <m/>
    <m/>
    <m/>
    <m/>
    <m/>
    <m/>
    <m/>
    <m/>
  </r>
  <r>
    <n v="2855"/>
    <s v="2855 | Program Office"/>
    <x v="1"/>
    <s v="Program Office - Senior"/>
    <s v="Analyst"/>
    <s v="Program Office-Analyst"/>
    <s v="Senior"/>
    <d v="2023-04-17T11:59:33"/>
    <d v="2023-04-19T11:59:33"/>
    <s v="Yes"/>
    <d v="2023-04-29T11:59:33"/>
    <s v="Accepted"/>
    <m/>
    <d v="2023-05-04T11:59:33"/>
    <s v="Accepted"/>
    <d v="2023-05-01T11:59:33"/>
    <d v="2023-05-02T11:59:33"/>
    <d v="2023-05-02T11:59:33"/>
    <d v="2023-05-11T11:59:33"/>
    <n v="1"/>
    <d v="2023-05-13T11:59:33"/>
    <d v="2023-05-15T11:59:33"/>
    <d v="2023-05-17T11:59:33"/>
    <m/>
    <m/>
    <d v="2023-06-06T11:59:33"/>
    <m/>
    <m/>
    <n v="2"/>
    <n v="12"/>
    <n v="10"/>
    <x v="16"/>
    <n v="3"/>
    <d v="2023-07-31T11:59:33"/>
    <n v="2"/>
    <n v="35"/>
    <n v="15"/>
    <m/>
    <m/>
    <m/>
    <m/>
    <m/>
    <m/>
    <m/>
    <m/>
    <m/>
    <m/>
  </r>
  <r>
    <n v="2851"/>
    <s v="2851 | Program Office"/>
    <x v="1"/>
    <s v="Program Office - Senior"/>
    <s v="Analyst"/>
    <s v="Program Office-Analyst"/>
    <s v="Senior"/>
    <d v="2023-04-22T11:59:33"/>
    <d v="2023-04-24T11:59:33"/>
    <s v="Yes"/>
    <d v="2023-05-10T11:59:33"/>
    <s v="Accepted"/>
    <m/>
    <d v="2023-05-12T11:59:33"/>
    <s v="Accepted"/>
    <d v="2023-05-11T11:59:33"/>
    <d v="2023-05-15T11:59:33"/>
    <d v="2023-05-11T11:59:33"/>
    <d v="2023-05-21T11:59:33"/>
    <n v="1"/>
    <d v="2023-05-25T11:59:33"/>
    <d v="2023-05-26T11:59:33"/>
    <d v="2023-05-27T11:59:33"/>
    <m/>
    <m/>
    <d v="2023-06-14T11:59:33"/>
    <m/>
    <m/>
    <n v="2"/>
    <n v="18"/>
    <n v="16"/>
    <x v="13"/>
    <n v="1"/>
    <d v="2023-08-09T11:59:33"/>
    <n v="4"/>
    <n v="34"/>
    <n v="16"/>
    <m/>
    <m/>
    <m/>
    <m/>
    <m/>
    <m/>
    <m/>
    <m/>
    <m/>
    <m/>
  </r>
  <r>
    <n v="2790"/>
    <s v="2790 | Program Office"/>
    <x v="1"/>
    <s v="Program Office - Senior"/>
    <s v="Analyst"/>
    <s v="Program Office-Analyst"/>
    <s v="Senior"/>
    <d v="2023-06-29T19:35:56"/>
    <d v="2023-06-30T19:35:5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789"/>
    <s v="2789 | Program Office"/>
    <x v="1"/>
    <s v="Program Office - Senior"/>
    <s v="Analyst"/>
    <s v="Program Office-Analyst"/>
    <s v="Senior"/>
    <d v="2023-06-30T19:35:56"/>
    <d v="2023-07-01T19:35:56"/>
    <s v="Yes"/>
    <d v="2023-07-09T19:35:56"/>
    <s v="Failed"/>
    <s v="Other"/>
    <m/>
    <m/>
    <m/>
    <m/>
    <d v="2023-07-10T19:35:56"/>
    <m/>
    <n v="0"/>
    <m/>
    <m/>
    <m/>
    <m/>
    <s v="Company"/>
    <m/>
    <m/>
    <m/>
    <n v="1"/>
    <n v="9"/>
    <n v="8"/>
    <x v="22"/>
    <n v="1"/>
    <d v="2023-10-08T19:35:56"/>
    <s v=""/>
    <s v=""/>
    <s v=""/>
    <m/>
    <m/>
    <m/>
    <m/>
    <m/>
    <m/>
    <m/>
    <m/>
    <m/>
    <m/>
  </r>
  <r>
    <n v="2788"/>
    <s v="2788 | Program Office"/>
    <x v="1"/>
    <s v="Program Office - Senior"/>
    <s v="Analyst"/>
    <s v="Program Office-Analyst"/>
    <s v="Senior"/>
    <d v="2023-06-27T19:35:56"/>
    <d v="2023-06-28T19:35:56"/>
    <s v="Yes"/>
    <d v="2023-07-09T19:35:56"/>
    <s v="Declined"/>
    <m/>
    <d v="2023-07-16T19:35:56"/>
    <s v="Declined"/>
    <m/>
    <m/>
    <d v="2023-07-12T19:35:56"/>
    <m/>
    <n v="0"/>
    <m/>
    <m/>
    <m/>
    <m/>
    <m/>
    <m/>
    <m/>
    <m/>
    <n v="1"/>
    <n v="12"/>
    <n v="11"/>
    <x v="16"/>
    <n v="3"/>
    <d v="2023-10-10T19:35:56"/>
    <s v=""/>
    <s v=""/>
    <s v=""/>
    <m/>
    <m/>
    <m/>
    <m/>
    <m/>
    <m/>
    <m/>
    <m/>
    <m/>
    <m/>
  </r>
  <r>
    <n v="2740"/>
    <s v="2740 | Program Office"/>
    <x v="1"/>
    <s v="Program Office - Senior"/>
    <s v="Analyst"/>
    <s v="Program Office-Analyst"/>
    <s v="Senior"/>
    <d v="2022-07-09T23:32:45"/>
    <d v="2022-07-10T23:32:4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569"/>
    <s v="2569 | Program Office"/>
    <x v="1"/>
    <s v="Program Office - Senior"/>
    <s v="Analyst"/>
    <s v="Program Office-Analyst"/>
    <s v="Senior"/>
    <d v="2022-11-20T06:58:42"/>
    <d v="2022-11-23T06:58:42"/>
    <s v="Yes"/>
    <d v="2022-12-03T06:58:42"/>
    <s v="Failed"/>
    <s v="Didn't pass technical tes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2567"/>
    <s v="2567 | Program Office"/>
    <x v="1"/>
    <s v="Program Office - Senior"/>
    <s v="Analyst"/>
    <s v="Program Office-Analyst"/>
    <s v="Senior"/>
    <d v="2022-11-22T06:58:42"/>
    <d v="2022-11-24T06:58:42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557"/>
    <s v="2557 | Program Office"/>
    <x v="1"/>
    <s v="Program Office - Senior"/>
    <s v="Analyst"/>
    <s v="Program Office-Analyst"/>
    <s v="Senior"/>
    <d v="2023-08-06T17:10:04"/>
    <d v="2023-08-07T17:10:04"/>
    <s v="Yes"/>
    <d v="2023-08-14T17:10:04"/>
    <s v="Accepted"/>
    <m/>
    <d v="2023-08-19T17:10:04"/>
    <s v="Accepted"/>
    <d v="2023-08-15T17:10:04"/>
    <d v="2023-08-16T17:10:04"/>
    <d v="2023-08-15T17:10:04"/>
    <d v="2023-08-20T17:10:04"/>
    <n v="1"/>
    <d v="2023-08-21T17:10:04"/>
    <d v="2023-08-22T17:10:04"/>
    <d v="2023-08-24T17:10:04"/>
    <m/>
    <m/>
    <d v="2023-09-12T17:10:04"/>
    <m/>
    <m/>
    <n v="1"/>
    <n v="8"/>
    <n v="7"/>
    <x v="4"/>
    <n v="1"/>
    <d v="2023-11-13T17:10:04"/>
    <n v="1"/>
    <n v="28"/>
    <n v="9"/>
    <m/>
    <m/>
    <m/>
    <m/>
    <m/>
    <m/>
    <m/>
    <m/>
    <m/>
    <m/>
  </r>
  <r>
    <n v="2551"/>
    <s v="2551 | Program Office"/>
    <x v="1"/>
    <s v="Program Office - Senior"/>
    <s v="Analyst"/>
    <s v="Program Office-Analyst"/>
    <s v="Senior"/>
    <d v="2023-08-03T17:10:04"/>
    <d v="2023-08-04T17:10:04"/>
    <s v="Yes"/>
    <d v="2023-08-14T17:10:04"/>
    <s v="Pending"/>
    <m/>
    <d v="2023-08-19T17:10:04"/>
    <s v="Pending"/>
    <m/>
    <m/>
    <d v="2023-08-17T17:10:04"/>
    <m/>
    <n v="0"/>
    <m/>
    <m/>
    <m/>
    <m/>
    <m/>
    <m/>
    <m/>
    <m/>
    <n v="1"/>
    <n v="11"/>
    <n v="10"/>
    <x v="1"/>
    <n v="3"/>
    <d v="2023-11-15T17:10:04"/>
    <s v=""/>
    <s v=""/>
    <s v=""/>
    <m/>
    <m/>
    <m/>
    <m/>
    <m/>
    <m/>
    <m/>
    <m/>
    <m/>
    <m/>
  </r>
  <r>
    <n v="2457"/>
    <s v="2457 | Program Office"/>
    <x v="1"/>
    <s v="Program Office - Senior"/>
    <s v="Analyst"/>
    <s v="Program Office-Analyst"/>
    <s v="Senior"/>
    <d v="2023-08-24T01:40:33"/>
    <d v="2023-08-27T01:40:33"/>
    <s v="Yes"/>
    <d v="2023-09-11T01:40:33"/>
    <s v="Failed"/>
    <s v="Not a culture fit"/>
    <m/>
    <m/>
    <m/>
    <m/>
    <d v="2023-09-12T01:40:33"/>
    <m/>
    <n v="0"/>
    <m/>
    <m/>
    <m/>
    <m/>
    <s v="Candidate"/>
    <m/>
    <m/>
    <m/>
    <n v="3"/>
    <n v="18"/>
    <n v="15"/>
    <x v="13"/>
    <n v="1"/>
    <d v="2023-12-11T01:40:33"/>
    <s v=""/>
    <s v=""/>
    <s v=""/>
    <m/>
    <m/>
    <m/>
    <m/>
    <m/>
    <m/>
    <m/>
    <m/>
    <m/>
    <m/>
  </r>
  <r>
    <n v="2406"/>
    <s v="2406 | Program Office"/>
    <x v="1"/>
    <s v="Program Office - Senior"/>
    <s v="Analyst"/>
    <s v="Program Office-Analyst"/>
    <s v="Senior"/>
    <d v="2023-03-29T02:03:49"/>
    <d v="2023-04-02T02:03:49"/>
    <s v="Yes"/>
    <d v="2023-04-17T02:03:49"/>
    <s v="Declined"/>
    <m/>
    <d v="2023-04-21T02:03:49"/>
    <s v="Declined"/>
    <m/>
    <m/>
    <d v="2023-04-18T02:03:49"/>
    <m/>
    <n v="0"/>
    <m/>
    <m/>
    <m/>
    <m/>
    <m/>
    <m/>
    <m/>
    <m/>
    <n v="4"/>
    <n v="19"/>
    <n v="15"/>
    <x v="15"/>
    <n v="1"/>
    <d v="2023-07-17T02:03:49"/>
    <s v=""/>
    <s v=""/>
    <s v=""/>
    <m/>
    <m/>
    <m/>
    <m/>
    <m/>
    <m/>
    <m/>
    <m/>
    <m/>
    <m/>
  </r>
  <r>
    <n v="2401"/>
    <s v="2401 | Program Office"/>
    <x v="1"/>
    <s v="Program Office - Senior"/>
    <s v="Analyst"/>
    <s v="Program Office-Analyst"/>
    <s v="Senior"/>
    <d v="2023-03-31T02:03:49"/>
    <d v="2023-04-03T02:03:49"/>
    <s v="Yes"/>
    <d v="2023-04-11T02:03:49"/>
    <s v="Declined"/>
    <m/>
    <d v="2023-04-18T02:03:49"/>
    <s v="Declined"/>
    <m/>
    <m/>
    <d v="2023-04-15T02:03:49"/>
    <m/>
    <n v="0"/>
    <m/>
    <m/>
    <m/>
    <m/>
    <m/>
    <m/>
    <m/>
    <m/>
    <n v="3"/>
    <n v="11"/>
    <n v="8"/>
    <x v="16"/>
    <n v="4"/>
    <d v="2023-07-14T02:03:49"/>
    <s v=""/>
    <s v=""/>
    <s v=""/>
    <m/>
    <m/>
    <m/>
    <m/>
    <m/>
    <m/>
    <m/>
    <m/>
    <m/>
    <m/>
  </r>
  <r>
    <n v="2384"/>
    <s v="2384 | Program Office"/>
    <x v="1"/>
    <s v="Program Office - Senior"/>
    <s v="Analyst"/>
    <s v="Program Office-Analyst"/>
    <s v="Senior"/>
    <d v="2023-04-13T12:42:32"/>
    <d v="2023-04-17T12:42:32"/>
    <s v="Yes"/>
    <d v="2023-05-04T12:42:32"/>
    <s v="Failed"/>
    <s v="Didn't pass technical test"/>
    <m/>
    <m/>
    <m/>
    <m/>
    <d v="2023-05-07T12:42:32"/>
    <m/>
    <n v="0"/>
    <m/>
    <m/>
    <m/>
    <m/>
    <s v="Candidate"/>
    <m/>
    <m/>
    <m/>
    <n v="4"/>
    <n v="21"/>
    <n v="17"/>
    <x v="21"/>
    <n v="3"/>
    <d v="2023-08-05T12:42:32"/>
    <s v=""/>
    <s v=""/>
    <s v=""/>
    <m/>
    <m/>
    <m/>
    <m/>
    <m/>
    <m/>
    <m/>
    <m/>
    <m/>
    <m/>
  </r>
  <r>
    <n v="2383"/>
    <s v="2383 | Program Office"/>
    <x v="1"/>
    <s v="Program Office - Senior"/>
    <s v="Analyst"/>
    <s v="Program Office-Analyst"/>
    <s v="Senior"/>
    <d v="2023-04-15T12:42:32"/>
    <d v="2023-04-18T12:42:32"/>
    <s v="Yes"/>
    <d v="2023-05-04T12:42:32"/>
    <s v="Accepted"/>
    <m/>
    <d v="2023-05-08T12:42:32"/>
    <s v="Accepted"/>
    <d v="2023-05-05T12:42:32"/>
    <d v="2023-05-09T12:42:32"/>
    <d v="2023-05-05T12:42:32"/>
    <d v="2023-05-10T12:42:32"/>
    <n v="1"/>
    <d v="2023-05-13T12:42:32"/>
    <d v="2023-05-15T12:42:32"/>
    <d v="2023-05-16T12:42:32"/>
    <m/>
    <m/>
    <d v="2023-06-04T12:42:32"/>
    <m/>
    <m/>
    <n v="3"/>
    <n v="19"/>
    <n v="16"/>
    <x v="15"/>
    <n v="1"/>
    <d v="2023-08-03T12:42:32"/>
    <n v="3"/>
    <n v="30"/>
    <n v="11"/>
    <m/>
    <m/>
    <m/>
    <m/>
    <m/>
    <m/>
    <m/>
    <m/>
    <m/>
    <m/>
  </r>
  <r>
    <n v="2370"/>
    <s v="2370 | Program Office"/>
    <x v="1"/>
    <s v="Program Office - Senior"/>
    <s v="Analyst"/>
    <s v="Program Office-Analyst"/>
    <s v="Senior"/>
    <d v="2023-02-16T06:26:17"/>
    <d v="2023-02-19T06:26:1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314"/>
    <s v="2314 | Program Office"/>
    <x v="1"/>
    <s v="Program Office - Senior"/>
    <s v="Analyst"/>
    <s v="Program Office-Analyst"/>
    <s v="Senior"/>
    <d v="2022-04-19T00:53:43"/>
    <d v="2022-04-20T00:53:43"/>
    <s v="Yes"/>
    <d v="2022-05-10T00:53:43"/>
    <s v="Failed"/>
    <s v="Didn't pass technical test"/>
    <m/>
    <m/>
    <m/>
    <m/>
    <d v="2022-05-13T00:53:43"/>
    <m/>
    <n v="0"/>
    <m/>
    <m/>
    <m/>
    <m/>
    <s v="Company"/>
    <m/>
    <m/>
    <m/>
    <n v="1"/>
    <n v="21"/>
    <n v="20"/>
    <x v="21"/>
    <n v="3"/>
    <d v="2022-08-11T00:53:43"/>
    <s v=""/>
    <s v=""/>
    <s v=""/>
    <m/>
    <m/>
    <m/>
    <m/>
    <m/>
    <m/>
    <m/>
    <m/>
    <m/>
    <m/>
  </r>
  <r>
    <n v="2313"/>
    <s v="2313 | Program Office"/>
    <x v="1"/>
    <s v="Program Office - Senior"/>
    <s v="Analyst"/>
    <s v="Program Office-Analyst"/>
    <s v="Senior"/>
    <d v="2022-04-19T00:53:43"/>
    <d v="2022-04-22T00:53:43"/>
    <s v="Yes"/>
    <d v="2022-05-07T00:53:43"/>
    <s v="Pending"/>
    <m/>
    <d v="2022-05-10T00:53:43"/>
    <s v="Pending"/>
    <m/>
    <m/>
    <d v="2022-05-08T00:53:43"/>
    <m/>
    <n v="0"/>
    <m/>
    <m/>
    <m/>
    <m/>
    <m/>
    <m/>
    <m/>
    <m/>
    <n v="3"/>
    <n v="18"/>
    <n v="15"/>
    <x v="13"/>
    <n v="1"/>
    <d v="2022-08-06T00:53:43"/>
    <s v=""/>
    <s v=""/>
    <s v=""/>
    <m/>
    <m/>
    <m/>
    <m/>
    <m/>
    <m/>
    <m/>
    <m/>
    <m/>
    <m/>
  </r>
  <r>
    <n v="2267"/>
    <s v="2267 | Program Office"/>
    <x v="1"/>
    <s v="Program Office - Senior"/>
    <s v="Analyst"/>
    <s v="Program Office-Analyst"/>
    <s v="Senior"/>
    <d v="2023-04-11T22:30:17"/>
    <d v="2023-04-14T22:30:17"/>
    <s v="Yes"/>
    <d v="2023-04-22T22:30:17"/>
    <s v="Failed"/>
    <s v="Salary expectation too high"/>
    <m/>
    <m/>
    <m/>
    <m/>
    <m/>
    <m/>
    <n v="0"/>
    <m/>
    <m/>
    <m/>
    <m/>
    <s v="Candidate"/>
    <m/>
    <m/>
    <m/>
    <n v="3"/>
    <n v="11"/>
    <n v="8"/>
    <x v="0"/>
    <s v=""/>
    <s v=""/>
    <s v=""/>
    <s v=""/>
    <s v=""/>
    <m/>
    <m/>
    <m/>
    <m/>
    <m/>
    <m/>
    <m/>
    <m/>
    <m/>
    <m/>
  </r>
  <r>
    <n v="2263"/>
    <s v="2263 | Program Office"/>
    <x v="1"/>
    <s v="Program Office - Senior"/>
    <s v="Analyst"/>
    <s v="Program Office-Analyst"/>
    <s v="Senior"/>
    <d v="2023-04-14T22:30:17"/>
    <d v="2023-04-18T22:30:17"/>
    <s v="Yes"/>
    <d v="2023-05-07T22:30:17"/>
    <s v="Declined"/>
    <m/>
    <d v="2023-05-13T22:30:17"/>
    <s v="Declined"/>
    <m/>
    <m/>
    <d v="2023-05-10T22:30:17"/>
    <m/>
    <n v="0"/>
    <m/>
    <m/>
    <m/>
    <m/>
    <m/>
    <m/>
    <m/>
    <m/>
    <n v="4"/>
    <n v="23"/>
    <n v="19"/>
    <x v="25"/>
    <n v="3"/>
    <d v="2023-08-08T22:30:17"/>
    <s v=""/>
    <s v=""/>
    <s v=""/>
    <m/>
    <m/>
    <m/>
    <m/>
    <m/>
    <m/>
    <m/>
    <m/>
    <m/>
    <m/>
  </r>
  <r>
    <n v="2216"/>
    <s v="2216 | Program Office"/>
    <x v="1"/>
    <s v="Program Office - Senior"/>
    <s v="Analyst"/>
    <s v="Program Office-Analyst"/>
    <s v="Senior"/>
    <d v="2022-03-21T20:57:24"/>
    <d v="2022-03-23T20:57:24"/>
    <s v="Yes"/>
    <d v="2022-04-06T20:57:24"/>
    <s v="Failed"/>
    <s v="Not a culture fit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2215"/>
    <s v="2215 | Program Office"/>
    <x v="1"/>
    <s v="Program Office - Senior"/>
    <s v="Analyst"/>
    <s v="Program Office-Analyst"/>
    <s v="Senior"/>
    <d v="2022-03-22T20:57:24"/>
    <d v="2022-03-24T20:57:24"/>
    <s v="Yes"/>
    <d v="2022-04-07T20:57:24"/>
    <s v="Failed"/>
    <s v="Didn't pass technical test"/>
    <m/>
    <m/>
    <m/>
    <m/>
    <d v="2022-04-11T20:57:24"/>
    <m/>
    <n v="0"/>
    <m/>
    <m/>
    <m/>
    <m/>
    <s v="Company"/>
    <m/>
    <m/>
    <m/>
    <n v="2"/>
    <n v="16"/>
    <n v="14"/>
    <x v="15"/>
    <n v="4"/>
    <d v="2022-07-10T20:57:24"/>
    <s v=""/>
    <s v=""/>
    <s v=""/>
    <m/>
    <m/>
    <m/>
    <m/>
    <m/>
    <m/>
    <m/>
    <m/>
    <m/>
    <m/>
  </r>
  <r>
    <n v="2213"/>
    <s v="2213 | Program Office"/>
    <x v="1"/>
    <s v="Program Office - Senior"/>
    <s v="Analyst"/>
    <s v="Program Office-Analyst"/>
    <s v="Senior"/>
    <d v="2022-03-21T20:57:24"/>
    <d v="2022-03-23T20:57:24"/>
    <s v="Yes"/>
    <d v="2022-04-11T20:57:24"/>
    <s v="Pending"/>
    <m/>
    <d v="2022-04-16T20:57:24"/>
    <s v="Pending"/>
    <m/>
    <m/>
    <d v="2022-04-15T20:57:24"/>
    <m/>
    <n v="0"/>
    <m/>
    <m/>
    <m/>
    <m/>
    <m/>
    <m/>
    <m/>
    <m/>
    <n v="2"/>
    <n v="21"/>
    <n v="19"/>
    <x v="11"/>
    <n v="4"/>
    <d v="2022-07-14T20:57:24"/>
    <s v=""/>
    <s v=""/>
    <s v=""/>
    <m/>
    <m/>
    <m/>
    <m/>
    <m/>
    <m/>
    <m/>
    <m/>
    <m/>
    <m/>
  </r>
  <r>
    <n v="2200"/>
    <s v="2200 | Program Office"/>
    <x v="1"/>
    <s v="Program Office - Senior"/>
    <s v="Analyst"/>
    <s v="Program Office-Analyst"/>
    <s v="Senior"/>
    <d v="2022-08-30T03:59:03"/>
    <d v="2022-08-31T03:59:03"/>
    <s v="Yes"/>
    <d v="2022-09-18T03:59:03"/>
    <s v="Pending"/>
    <m/>
    <d v="2022-09-26T03:59:03"/>
    <s v="Pending"/>
    <m/>
    <m/>
    <d v="2022-09-22T03:59:03"/>
    <m/>
    <n v="0"/>
    <m/>
    <m/>
    <m/>
    <m/>
    <m/>
    <m/>
    <m/>
    <m/>
    <n v="1"/>
    <n v="19"/>
    <n v="18"/>
    <x v="3"/>
    <n v="4"/>
    <d v="2022-12-21T03:59:03"/>
    <s v=""/>
    <s v=""/>
    <s v=""/>
    <m/>
    <m/>
    <m/>
    <m/>
    <m/>
    <m/>
    <m/>
    <m/>
    <m/>
    <m/>
  </r>
  <r>
    <n v="2197"/>
    <s v="2197 | Program Office"/>
    <x v="1"/>
    <s v="Program Office - Senior"/>
    <s v="Analyst"/>
    <s v="Program Office-Analyst"/>
    <s v="Senior"/>
    <d v="2022-08-27T03:59:03"/>
    <d v="2022-08-28T03:59:03"/>
    <s v="Yes"/>
    <d v="2022-09-18T03:59:03"/>
    <s v="Accepted"/>
    <m/>
    <d v="2022-09-23T03:59:03"/>
    <s v="Accepted"/>
    <d v="2022-09-19T03:59:03"/>
    <d v="2022-09-20T03:59:03"/>
    <d v="2022-09-22T03:59:03"/>
    <d v="2022-09-24T03:59:03"/>
    <n v="1"/>
    <d v="2022-09-25T03:59:03"/>
    <d v="2022-09-28T03:59:03"/>
    <d v="2022-10-01T03:59:03"/>
    <m/>
    <m/>
    <d v="2022-10-20T03:59:03"/>
    <m/>
    <m/>
    <n v="1"/>
    <n v="22"/>
    <n v="21"/>
    <x v="25"/>
    <n v="4"/>
    <d v="2022-12-21T03:59:03"/>
    <n v="1"/>
    <n v="28"/>
    <n v="9"/>
    <m/>
    <m/>
    <m/>
    <m/>
    <m/>
    <m/>
    <m/>
    <m/>
    <m/>
    <m/>
  </r>
  <r>
    <n v="2191"/>
    <s v="2191 | Program Office"/>
    <x v="1"/>
    <s v="Program Office - Senior"/>
    <s v="Analyst"/>
    <s v="Program Office-Analyst"/>
    <s v="Senior"/>
    <d v="2022-08-27T03:59:03"/>
    <d v="2022-08-30T03:59:03"/>
    <s v="Yes"/>
    <d v="2022-09-17T03:59:03"/>
    <s v="Pending"/>
    <m/>
    <d v="2022-09-21T03:59:03"/>
    <s v="Pending"/>
    <m/>
    <m/>
    <d v="2022-09-20T03:59:03"/>
    <m/>
    <n v="0"/>
    <m/>
    <m/>
    <m/>
    <m/>
    <m/>
    <m/>
    <m/>
    <m/>
    <n v="3"/>
    <n v="21"/>
    <n v="18"/>
    <x v="21"/>
    <n v="3"/>
    <d v="2022-12-19T03:59:03"/>
    <s v=""/>
    <s v=""/>
    <s v=""/>
    <m/>
    <m/>
    <m/>
    <m/>
    <m/>
    <m/>
    <m/>
    <m/>
    <m/>
    <m/>
  </r>
  <r>
    <n v="2129"/>
    <s v="2129 | Program Office"/>
    <x v="1"/>
    <s v="Program Office - Senior"/>
    <s v="Analyst"/>
    <s v="Program Office-Analyst"/>
    <s v="Senior"/>
    <d v="2023-01-04T11:21:38"/>
    <d v="2023-01-07T11:21:38"/>
    <s v="Yes"/>
    <d v="2023-01-14T11:21:38"/>
    <s v="Failed"/>
    <s v="Salary expectation too high"/>
    <m/>
    <m/>
    <m/>
    <m/>
    <d v="2023-01-18T11:21:38"/>
    <m/>
    <n v="0"/>
    <m/>
    <m/>
    <m/>
    <m/>
    <s v="Company"/>
    <m/>
    <m/>
    <m/>
    <n v="3"/>
    <n v="10"/>
    <n v="7"/>
    <x v="1"/>
    <n v="4"/>
    <d v="2023-04-18T11:21:38"/>
    <s v=""/>
    <s v=""/>
    <s v=""/>
    <m/>
    <m/>
    <m/>
    <m/>
    <m/>
    <m/>
    <m/>
    <m/>
    <m/>
    <m/>
  </r>
  <r>
    <n v="2114"/>
    <s v="2114 | Program Office"/>
    <x v="1"/>
    <s v="Program Office - Senior"/>
    <s v="Analyst"/>
    <s v="Program Office-Analyst"/>
    <s v="Senior"/>
    <d v="2023-04-18T01:19:50"/>
    <d v="2023-04-19T01:19:5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69"/>
    <s v="2069 | Program Office"/>
    <x v="1"/>
    <s v="Program Office - Senior"/>
    <s v="Analyst"/>
    <s v="Program Office-Analyst"/>
    <s v="Senior"/>
    <d v="2022-11-02T18:46:55"/>
    <d v="2022-11-04T18:46:55"/>
    <s v="Yes"/>
    <d v="2022-11-22T18:46:55"/>
    <s v="Accepted"/>
    <m/>
    <d v="2022-11-27T18:46:55"/>
    <s v="Accepted"/>
    <d v="2022-11-23T18:46:55"/>
    <d v="2022-11-26T18:46:55"/>
    <d v="2022-11-25T18:46:55"/>
    <d v="2022-11-30T18:46:55"/>
    <n v="1"/>
    <d v="2022-12-04T18:46:55"/>
    <d v="2022-12-05T18:46:55"/>
    <d v="2022-12-07T18:46:55"/>
    <m/>
    <m/>
    <d v="2022-12-22T18:46:55"/>
    <m/>
    <m/>
    <n v="2"/>
    <n v="20"/>
    <n v="18"/>
    <x v="3"/>
    <n v="3"/>
    <d v="2023-02-23T18:46:55"/>
    <n v="4"/>
    <n v="27"/>
    <n v="12"/>
    <m/>
    <m/>
    <m/>
    <m/>
    <m/>
    <m/>
    <m/>
    <m/>
    <m/>
    <m/>
  </r>
  <r>
    <n v="2068"/>
    <s v="2068 | Program Office"/>
    <x v="1"/>
    <s v="Program Office - Senior"/>
    <s v="Analyst"/>
    <s v="Program Office-Analyst"/>
    <s v="Senior"/>
    <d v="2022-11-05T18:46:55"/>
    <d v="2022-11-07T18:46:55"/>
    <s v="Yes"/>
    <d v="2022-11-12T18:46:55"/>
    <s v="Accepted"/>
    <m/>
    <d v="2022-11-17T18:46:55"/>
    <s v="Accepted"/>
    <d v="2022-11-14T18:46:55"/>
    <d v="2022-11-15T18:46:55"/>
    <d v="2022-11-15T18:46:55"/>
    <d v="2022-11-21T18:46:55"/>
    <n v="1"/>
    <d v="2022-11-24T18:46:55"/>
    <d v="2022-11-26T18:46:55"/>
    <d v="2022-11-29T18:46:55"/>
    <m/>
    <m/>
    <d v="2022-12-09T18:46:55"/>
    <m/>
    <m/>
    <n v="2"/>
    <n v="7"/>
    <n v="5"/>
    <x v="22"/>
    <n v="3"/>
    <d v="2023-02-13T18:46:55"/>
    <n v="3"/>
    <n v="24"/>
    <n v="14"/>
    <m/>
    <m/>
    <m/>
    <m/>
    <m/>
    <m/>
    <m/>
    <m/>
    <m/>
    <m/>
  </r>
  <r>
    <n v="2063"/>
    <s v="2063 | Program Office"/>
    <x v="1"/>
    <s v="Program Office - Senior"/>
    <s v="Analyst"/>
    <s v="Program Office-Analyst"/>
    <s v="Senior"/>
    <d v="2022-11-02T18:46:55"/>
    <d v="2022-11-04T18:46:55"/>
    <s v="Yes"/>
    <d v="2022-11-19T18:46:55"/>
    <s v="Failed"/>
    <s v="Salary expectation too high"/>
    <m/>
    <m/>
    <m/>
    <m/>
    <m/>
    <m/>
    <n v="0"/>
    <m/>
    <m/>
    <m/>
    <m/>
    <s v="Candidate"/>
    <m/>
    <m/>
    <m/>
    <n v="2"/>
    <n v="17"/>
    <n v="15"/>
    <x v="0"/>
    <s v=""/>
    <s v=""/>
    <s v=""/>
    <s v=""/>
    <s v=""/>
    <m/>
    <m/>
    <m/>
    <m/>
    <m/>
    <m/>
    <m/>
    <m/>
    <m/>
    <m/>
  </r>
  <r>
    <n v="1988"/>
    <s v="1988 | Program Office"/>
    <x v="1"/>
    <s v="Program Office - Senior"/>
    <s v="Analyst"/>
    <s v="Program Office-Analyst"/>
    <s v="Senior"/>
    <d v="2022-02-02T08:53:26"/>
    <d v="2022-02-03T08:53:26"/>
    <s v="Yes"/>
    <d v="2022-02-11T08:53:26"/>
    <s v="Failed"/>
    <s v="Not a culture fit"/>
    <m/>
    <m/>
    <m/>
    <m/>
    <d v="2022-02-13T08:53:26"/>
    <m/>
    <n v="0"/>
    <m/>
    <m/>
    <m/>
    <m/>
    <s v="Company"/>
    <m/>
    <m/>
    <m/>
    <n v="1"/>
    <n v="9"/>
    <n v="8"/>
    <x v="9"/>
    <n v="2"/>
    <d v="2022-05-14T08:53:26"/>
    <s v=""/>
    <s v=""/>
    <s v=""/>
    <m/>
    <m/>
    <m/>
    <m/>
    <m/>
    <m/>
    <m/>
    <m/>
    <m/>
    <m/>
  </r>
  <r>
    <n v="1986"/>
    <s v="1986 | Program Office"/>
    <x v="1"/>
    <s v="Program Office - Senior"/>
    <s v="Analyst"/>
    <s v="Program Office-Analyst"/>
    <s v="Senior"/>
    <d v="2022-02-03T08:53:26"/>
    <d v="2022-02-05T08:53:26"/>
    <s v="Yes"/>
    <d v="2022-02-22T08:53:26"/>
    <s v="Declined"/>
    <m/>
    <d v="2022-03-01T08:53:26"/>
    <s v="Declined"/>
    <m/>
    <m/>
    <d v="2022-02-25T08:53:26"/>
    <m/>
    <n v="0"/>
    <m/>
    <m/>
    <m/>
    <m/>
    <m/>
    <m/>
    <m/>
    <m/>
    <n v="2"/>
    <n v="19"/>
    <n v="17"/>
    <x v="7"/>
    <n v="3"/>
    <d v="2022-05-26T08:53:26"/>
    <s v=""/>
    <s v=""/>
    <s v=""/>
    <m/>
    <m/>
    <m/>
    <m/>
    <m/>
    <m/>
    <m/>
    <m/>
    <m/>
    <m/>
  </r>
  <r>
    <n v="1984"/>
    <s v="1984 | Program Office"/>
    <x v="1"/>
    <s v="Program Office - Senior"/>
    <s v="Analyst"/>
    <s v="Program Office-Analyst"/>
    <s v="Senior"/>
    <d v="2022-02-02T08:53:26"/>
    <d v="2022-02-04T08:53:26"/>
    <s v="Yes"/>
    <d v="2022-02-17T08:53:26"/>
    <s v="Declined"/>
    <m/>
    <d v="2022-02-22T08:53:26"/>
    <s v="Declined"/>
    <m/>
    <m/>
    <d v="2022-02-20T08:53:26"/>
    <m/>
    <n v="0"/>
    <m/>
    <m/>
    <m/>
    <m/>
    <m/>
    <m/>
    <m/>
    <m/>
    <n v="2"/>
    <n v="15"/>
    <n v="13"/>
    <x v="12"/>
    <n v="3"/>
    <d v="2022-05-21T08:53:26"/>
    <s v=""/>
    <s v=""/>
    <s v=""/>
    <m/>
    <m/>
    <m/>
    <m/>
    <m/>
    <m/>
    <m/>
    <m/>
    <m/>
    <m/>
  </r>
  <r>
    <n v="1982"/>
    <s v="1982 | Program Office"/>
    <x v="1"/>
    <s v="Program Office - Senior"/>
    <s v="Analyst"/>
    <s v="Program Office-Analyst"/>
    <s v="Senior"/>
    <d v="2022-01-31T08:53:26"/>
    <d v="2022-02-03T08:53:2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977"/>
    <s v="1977 | Program Office"/>
    <x v="1"/>
    <s v="Program Office - Senior"/>
    <s v="Analyst"/>
    <s v="Program Office-Analyst"/>
    <s v="Senior"/>
    <d v="2022-10-20T11:57:41"/>
    <d v="2022-10-23T11:57:41"/>
    <s v="Yes"/>
    <d v="2022-11-01T11:57:41"/>
    <s v="Declined"/>
    <m/>
    <d v="2022-11-07T11:57:41"/>
    <s v="Declined"/>
    <m/>
    <m/>
    <d v="2022-11-03T11:57:41"/>
    <m/>
    <n v="0"/>
    <m/>
    <m/>
    <m/>
    <m/>
    <m/>
    <m/>
    <m/>
    <m/>
    <n v="3"/>
    <n v="12"/>
    <n v="9"/>
    <x v="1"/>
    <n v="2"/>
    <d v="2023-02-01T11:57:41"/>
    <s v=""/>
    <s v=""/>
    <s v=""/>
    <m/>
    <m/>
    <m/>
    <m/>
    <m/>
    <m/>
    <m/>
    <m/>
    <m/>
    <m/>
  </r>
  <r>
    <n v="1975"/>
    <s v="1975 | Program Office"/>
    <x v="1"/>
    <s v="Program Office - Senior"/>
    <s v="Analyst"/>
    <s v="Program Office-Analyst"/>
    <s v="Senior"/>
    <d v="2022-10-17T11:57:41"/>
    <d v="2022-10-20T11:57:41"/>
    <s v="Yes"/>
    <d v="2022-11-01T11:57:41"/>
    <s v="Pending"/>
    <m/>
    <d v="2022-11-06T11:57:41"/>
    <s v="Pending"/>
    <m/>
    <m/>
    <d v="2022-11-04T11:57:41"/>
    <m/>
    <n v="0"/>
    <m/>
    <m/>
    <m/>
    <m/>
    <m/>
    <m/>
    <m/>
    <m/>
    <n v="3"/>
    <n v="15"/>
    <n v="12"/>
    <x v="12"/>
    <n v="3"/>
    <d v="2023-02-02T11:57:41"/>
    <s v=""/>
    <s v=""/>
    <s v=""/>
    <m/>
    <m/>
    <m/>
    <m/>
    <m/>
    <m/>
    <m/>
    <m/>
    <m/>
    <m/>
  </r>
  <r>
    <n v="1970"/>
    <s v="1970 | Program Office"/>
    <x v="1"/>
    <s v="Program Office - Senior"/>
    <s v="Analyst"/>
    <s v="Program Office-Analyst"/>
    <s v="Senior"/>
    <d v="2022-11-30T10:23:18"/>
    <d v="2022-12-03T10:23:18"/>
    <s v="Yes"/>
    <d v="2022-12-11T10:23:18"/>
    <s v="Declined"/>
    <m/>
    <d v="2022-12-17T10:23:18"/>
    <s v="Declined"/>
    <m/>
    <m/>
    <d v="2022-12-15T10:23:18"/>
    <m/>
    <n v="0"/>
    <m/>
    <m/>
    <m/>
    <m/>
    <m/>
    <m/>
    <m/>
    <m/>
    <n v="3"/>
    <n v="11"/>
    <n v="8"/>
    <x v="16"/>
    <n v="4"/>
    <d v="2023-03-15T10:23:18"/>
    <s v=""/>
    <s v=""/>
    <s v=""/>
    <m/>
    <m/>
    <m/>
    <m/>
    <m/>
    <m/>
    <m/>
    <m/>
    <m/>
    <m/>
  </r>
  <r>
    <n v="1968"/>
    <s v="1968 | Program Office"/>
    <x v="1"/>
    <s v="Program Office - Senior"/>
    <s v="Analyst"/>
    <s v="Program Office-Analyst"/>
    <s v="Senior"/>
    <d v="2022-12-01T10:23:18"/>
    <d v="2022-12-05T10:23:18"/>
    <s v="Yes"/>
    <d v="2022-12-17T10:23:18"/>
    <s v="Failed"/>
    <s v="Position filled by another"/>
    <m/>
    <m/>
    <m/>
    <m/>
    <m/>
    <m/>
    <n v="0"/>
    <m/>
    <m/>
    <m/>
    <m/>
    <s v="Candidate"/>
    <m/>
    <m/>
    <m/>
    <n v="4"/>
    <n v="16"/>
    <n v="12"/>
    <x v="0"/>
    <s v=""/>
    <s v=""/>
    <s v=""/>
    <s v=""/>
    <s v=""/>
    <m/>
    <m/>
    <m/>
    <m/>
    <m/>
    <m/>
    <m/>
    <m/>
    <m/>
    <m/>
  </r>
  <r>
    <n v="1860"/>
    <s v="1860 | Program Office"/>
    <x v="1"/>
    <s v="Program Office - Senior"/>
    <s v="Analyst"/>
    <s v="Program Office-Analyst"/>
    <s v="Senior"/>
    <d v="2022-11-09T01:50:58"/>
    <d v="2022-11-13T01:50:58"/>
    <s v="Yes"/>
    <d v="2022-11-29T01:50:58"/>
    <s v="Failed"/>
    <s v="Salary expectation too high"/>
    <m/>
    <m/>
    <m/>
    <m/>
    <m/>
    <m/>
    <n v="0"/>
    <m/>
    <m/>
    <m/>
    <m/>
    <s v="Company"/>
    <m/>
    <m/>
    <m/>
    <n v="4"/>
    <n v="20"/>
    <n v="16"/>
    <x v="0"/>
    <s v=""/>
    <s v=""/>
    <s v=""/>
    <s v=""/>
    <s v=""/>
    <m/>
    <m/>
    <m/>
    <m/>
    <m/>
    <m/>
    <m/>
    <m/>
    <m/>
    <m/>
  </r>
  <r>
    <n v="1858"/>
    <s v="1858 | Program Office"/>
    <x v="1"/>
    <s v="Program Office - Senior"/>
    <s v="Analyst"/>
    <s v="Program Office-Analyst"/>
    <s v="Senior"/>
    <d v="2022-11-09T01:50:58"/>
    <d v="2022-11-11T01:50:58"/>
    <s v="Yes"/>
    <d v="2022-11-29T01:50:58"/>
    <s v="Declined"/>
    <m/>
    <d v="2022-12-06T01:50:58"/>
    <s v="Declined"/>
    <m/>
    <m/>
    <d v="2022-12-03T01:50:58"/>
    <m/>
    <n v="0"/>
    <m/>
    <m/>
    <m/>
    <m/>
    <m/>
    <m/>
    <m/>
    <m/>
    <n v="2"/>
    <n v="20"/>
    <n v="18"/>
    <x v="21"/>
    <n v="4"/>
    <d v="2023-03-03T01:50:58"/>
    <s v=""/>
    <s v=""/>
    <s v=""/>
    <m/>
    <m/>
    <m/>
    <m/>
    <m/>
    <m/>
    <m/>
    <m/>
    <m/>
    <m/>
  </r>
  <r>
    <n v="1853"/>
    <s v="1853 | Program Office"/>
    <x v="1"/>
    <s v="Program Office - Senior"/>
    <s v="Analyst"/>
    <s v="Program Office-Analyst"/>
    <s v="Senior"/>
    <d v="2022-11-09T01:50:58"/>
    <d v="2022-11-13T01:50:58"/>
    <s v="Yes"/>
    <d v="2022-11-20T01:50:58"/>
    <s v="Failed"/>
    <s v="Didn't pass technical test"/>
    <m/>
    <m/>
    <m/>
    <m/>
    <d v="2022-11-21T01:50:58"/>
    <m/>
    <n v="0"/>
    <m/>
    <m/>
    <m/>
    <m/>
    <s v="Company"/>
    <m/>
    <m/>
    <m/>
    <n v="4"/>
    <n v="11"/>
    <n v="7"/>
    <x v="24"/>
    <n v="1"/>
    <d v="2023-02-19T01:50:58"/>
    <s v=""/>
    <s v=""/>
    <s v=""/>
    <m/>
    <m/>
    <m/>
    <m/>
    <m/>
    <m/>
    <m/>
    <m/>
    <m/>
    <m/>
  </r>
  <r>
    <n v="1796"/>
    <s v="1796 | Program Office"/>
    <x v="1"/>
    <s v="Program Office - Senior"/>
    <s v="Analyst"/>
    <s v="Program Office-Analyst"/>
    <s v="Senior"/>
    <d v="2022-09-24T11:30:38"/>
    <d v="2022-09-27T11:30:3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442"/>
    <s v="1442 | Program Office"/>
    <x v="1"/>
    <s v="Program Office - Senior"/>
    <s v="Analyst"/>
    <s v="Program Office-Analyst"/>
    <s v="Senior"/>
    <d v="2023-03-28T10:15:10"/>
    <d v="2023-03-29T10:15:10"/>
    <s v="Yes"/>
    <d v="2023-04-13T10:15:10"/>
    <s v="Accepted"/>
    <m/>
    <d v="2023-04-17T10:15:10"/>
    <s v="Accepted"/>
    <d v="2023-04-15T10:15:10"/>
    <d v="2023-04-16T10:15:10"/>
    <d v="2023-04-16T10:15:10"/>
    <d v="2023-04-23T10:15:10"/>
    <n v="1"/>
    <d v="2023-04-27T10:15:10"/>
    <d v="2023-04-30T10:15:10"/>
    <d v="2023-05-02T10:15:10"/>
    <m/>
    <m/>
    <d v="2023-05-15T10:15:10"/>
    <m/>
    <m/>
    <n v="1"/>
    <n v="16"/>
    <n v="15"/>
    <x v="13"/>
    <n v="3"/>
    <d v="2023-07-15T10:15:10"/>
    <n v="4"/>
    <n v="29"/>
    <n v="16"/>
    <m/>
    <m/>
    <m/>
    <m/>
    <m/>
    <m/>
    <m/>
    <m/>
    <m/>
    <m/>
  </r>
  <r>
    <n v="1441"/>
    <s v="1441 | Program Office"/>
    <x v="1"/>
    <s v="Program Office - Senior"/>
    <s v="Analyst"/>
    <s v="Program Office-Analyst"/>
    <s v="Senior"/>
    <d v="2023-03-30T10:15:10"/>
    <d v="2023-04-02T10:15:10"/>
    <s v="Yes"/>
    <d v="2023-04-19T10:15:10"/>
    <s v="Accepted"/>
    <m/>
    <d v="2023-04-24T10:15:10"/>
    <s v="Accepted"/>
    <d v="2023-04-21T10:15:10"/>
    <d v="2023-04-22T10:15:10"/>
    <d v="2023-04-22T10:15:10"/>
    <d v="2023-04-28T10:15:10"/>
    <n v="1"/>
    <d v="2023-05-01T10:15:10"/>
    <d v="2023-05-04T10:15:10"/>
    <d v="2023-05-06T10:15:10"/>
    <m/>
    <m/>
    <d v="2023-05-21T10:15:10"/>
    <m/>
    <m/>
    <n v="3"/>
    <n v="20"/>
    <n v="17"/>
    <x v="3"/>
    <n v="3"/>
    <d v="2023-07-21T10:15:10"/>
    <n v="3"/>
    <n v="29"/>
    <n v="14"/>
    <m/>
    <m/>
    <m/>
    <m/>
    <m/>
    <m/>
    <m/>
    <m/>
    <m/>
    <m/>
  </r>
  <r>
    <n v="1419"/>
    <s v="1419 | Program Office"/>
    <x v="1"/>
    <s v="Program Office - Senior"/>
    <s v="Analyst"/>
    <s v="Program Office-Analyst"/>
    <s v="Senior"/>
    <d v="2022-08-10T18:56:36"/>
    <d v="2022-08-12T18:56:3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414"/>
    <s v="1414 | Program Office"/>
    <x v="1"/>
    <s v="Program Office - Senior"/>
    <s v="Analyst"/>
    <s v="Program Office-Analyst"/>
    <s v="Senior"/>
    <d v="2022-08-04T18:56:36"/>
    <d v="2022-08-07T18:56:36"/>
    <s v="Yes"/>
    <d v="2022-08-26T18:56:36"/>
    <s v="Failed"/>
    <s v="Not a culture fit"/>
    <m/>
    <m/>
    <m/>
    <m/>
    <d v="2022-08-29T18:56:36"/>
    <m/>
    <n v="0"/>
    <m/>
    <m/>
    <m/>
    <m/>
    <s v="Candidate"/>
    <m/>
    <m/>
    <m/>
    <n v="3"/>
    <n v="22"/>
    <n v="19"/>
    <x v="11"/>
    <n v="3"/>
    <d v="2022-11-27T18:56:36"/>
    <s v=""/>
    <s v=""/>
    <s v=""/>
    <m/>
    <m/>
    <m/>
    <m/>
    <m/>
    <m/>
    <m/>
    <m/>
    <m/>
    <m/>
  </r>
  <r>
    <n v="1406"/>
    <s v="1406 | Program Office"/>
    <x v="1"/>
    <s v="Program Office - Senior"/>
    <s v="Analyst"/>
    <s v="Program Office-Analyst"/>
    <s v="Senior"/>
    <d v="2022-02-21T07:21:21"/>
    <d v="2022-02-24T07:21:21"/>
    <s v="Yes"/>
    <d v="2022-03-02T07:21:21"/>
    <s v="Failed"/>
    <s v="Other"/>
    <m/>
    <m/>
    <m/>
    <m/>
    <d v="2022-03-04T07:21:21"/>
    <m/>
    <n v="0"/>
    <m/>
    <m/>
    <m/>
    <m/>
    <s v="Company"/>
    <m/>
    <m/>
    <m/>
    <n v="3"/>
    <n v="9"/>
    <n v="6"/>
    <x v="9"/>
    <n v="2"/>
    <d v="2022-06-02T07:21:21"/>
    <s v=""/>
    <s v=""/>
    <s v=""/>
    <m/>
    <m/>
    <m/>
    <m/>
    <m/>
    <m/>
    <m/>
    <m/>
    <m/>
    <m/>
  </r>
  <r>
    <n v="1403"/>
    <s v="1403 | Program Office"/>
    <x v="1"/>
    <s v="Program Office - Senior"/>
    <s v="Analyst"/>
    <s v="Program Office-Analyst"/>
    <s v="Senior"/>
    <d v="2022-02-23T07:21:21"/>
    <d v="2022-02-24T07:21:21"/>
    <s v="Yes"/>
    <d v="2022-03-15T07:21:21"/>
    <s v="Failed"/>
    <s v="Other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1402"/>
    <s v="1402 | Program Office"/>
    <x v="1"/>
    <s v="Program Office - Senior"/>
    <s v="Analyst"/>
    <s v="Program Office-Analyst"/>
    <s v="Senior"/>
    <d v="2022-02-24T07:21:21"/>
    <d v="2022-02-26T07:21:21"/>
    <s v="Yes"/>
    <d v="2022-03-09T07:21:21"/>
    <s v="Accepted"/>
    <m/>
    <d v="2022-03-13T07:21:21"/>
    <s v="Accepted"/>
    <d v="2022-03-11T07:21:21"/>
    <d v="2022-03-14T07:21:21"/>
    <d v="2022-03-12T07:21:21"/>
    <d v="2022-03-14T07:21:21"/>
    <n v="1"/>
    <d v="2022-03-16T07:21:21"/>
    <d v="2022-03-19T07:21:21"/>
    <d v="2022-03-21T07:21:21"/>
    <m/>
    <m/>
    <d v="2022-04-09T07:21:21"/>
    <m/>
    <m/>
    <n v="2"/>
    <n v="13"/>
    <n v="11"/>
    <x v="20"/>
    <n v="3"/>
    <d v="2022-06-10T07:21:21"/>
    <n v="2"/>
    <n v="28"/>
    <n v="9"/>
    <m/>
    <m/>
    <m/>
    <m/>
    <m/>
    <m/>
    <m/>
    <m/>
    <m/>
    <m/>
  </r>
  <r>
    <n v="1383"/>
    <s v="1383 | Program Office"/>
    <x v="1"/>
    <s v="Program Office - Senior"/>
    <s v="Analyst"/>
    <s v="Program Office-Analyst"/>
    <s v="Senior"/>
    <d v="2023-04-24T17:36:15"/>
    <d v="2023-04-25T17:36:15"/>
    <s v="Yes"/>
    <d v="2023-05-14T17:36:15"/>
    <s v="Accepted"/>
    <m/>
    <d v="2023-05-18T17:36:15"/>
    <s v="Accepted"/>
    <d v="2023-05-15T17:36:15"/>
    <d v="2023-05-18T17:36:15"/>
    <d v="2023-05-17T17:36:15"/>
    <d v="2023-05-19T17:36:15"/>
    <n v="1"/>
    <d v="2023-05-21T17:36:15"/>
    <d v="2023-05-23T17:36:15"/>
    <d v="2023-05-26T17:36:15"/>
    <m/>
    <m/>
    <d v="2023-06-12T17:36:15"/>
    <m/>
    <m/>
    <n v="1"/>
    <n v="20"/>
    <n v="19"/>
    <x v="3"/>
    <n v="3"/>
    <d v="2023-08-15T17:36:15"/>
    <n v="2"/>
    <n v="26"/>
    <n v="9"/>
    <m/>
    <m/>
    <m/>
    <m/>
    <m/>
    <m/>
    <m/>
    <m/>
    <m/>
    <m/>
  </r>
  <r>
    <n v="1330"/>
    <s v="1330 | Program Office"/>
    <x v="1"/>
    <s v="Program Office - Senior"/>
    <s v="Analyst"/>
    <s v="Program Office-Analyst"/>
    <s v="Senior"/>
    <d v="2023-08-19T04:29:27"/>
    <d v="2023-08-23T04:29:27"/>
    <s v="Yes"/>
    <d v="2023-09-10T04:29:27"/>
    <s v="Pending"/>
    <m/>
    <d v="2023-09-12T04:29:27"/>
    <s v="Pending"/>
    <m/>
    <m/>
    <d v="2023-09-11T04:29:27"/>
    <m/>
    <n v="0"/>
    <m/>
    <m/>
    <m/>
    <m/>
    <m/>
    <m/>
    <m/>
    <m/>
    <n v="4"/>
    <n v="22"/>
    <n v="18"/>
    <x v="3"/>
    <n v="1"/>
    <d v="2023-12-10T04:29:27"/>
    <s v=""/>
    <s v=""/>
    <s v=""/>
    <m/>
    <m/>
    <m/>
    <m/>
    <m/>
    <m/>
    <m/>
    <m/>
    <m/>
    <m/>
  </r>
  <r>
    <n v="1324"/>
    <s v="1324 | Program Office"/>
    <x v="1"/>
    <s v="Program Office - Senior"/>
    <s v="Analyst"/>
    <s v="Program Office-Analyst"/>
    <s v="Senior"/>
    <d v="2023-08-24T04:29:27"/>
    <d v="2023-08-25T04:29:27"/>
    <s v="Yes"/>
    <d v="2023-08-31T04:29:27"/>
    <s v="Failed"/>
    <s v="Didn't pass technical test"/>
    <m/>
    <m/>
    <m/>
    <m/>
    <m/>
    <m/>
    <n v="0"/>
    <m/>
    <m/>
    <m/>
    <m/>
    <s v="Company"/>
    <m/>
    <m/>
    <m/>
    <n v="1"/>
    <n v="7"/>
    <n v="6"/>
    <x v="0"/>
    <s v=""/>
    <s v=""/>
    <s v=""/>
    <s v=""/>
    <s v=""/>
    <m/>
    <m/>
    <m/>
    <m/>
    <m/>
    <m/>
    <m/>
    <m/>
    <m/>
    <m/>
  </r>
  <r>
    <n v="1297"/>
    <s v="1297 | Program Office"/>
    <x v="1"/>
    <s v="Program Office - Senior"/>
    <s v="Analyst"/>
    <s v="Program Office-Analyst"/>
    <s v="Senior"/>
    <d v="2023-06-11T16:08:44"/>
    <d v="2023-06-15T16:08:44"/>
    <s v="Yes"/>
    <d v="2023-06-22T16:08:44"/>
    <s v="Failed"/>
    <s v="Salary expectation too high"/>
    <m/>
    <m/>
    <m/>
    <m/>
    <d v="2023-06-24T16:08:44"/>
    <m/>
    <n v="0"/>
    <m/>
    <m/>
    <m/>
    <m/>
    <s v="Company"/>
    <m/>
    <m/>
    <m/>
    <n v="4"/>
    <n v="11"/>
    <n v="7"/>
    <x v="8"/>
    <n v="2"/>
    <d v="2023-09-22T16:08:44"/>
    <s v=""/>
    <s v=""/>
    <s v=""/>
    <m/>
    <m/>
    <m/>
    <m/>
    <m/>
    <m/>
    <m/>
    <m/>
    <m/>
    <m/>
  </r>
  <r>
    <n v="1153"/>
    <s v="1153 | Program Office"/>
    <x v="1"/>
    <s v="Program Office - Senior"/>
    <s v="Analyst"/>
    <s v="Program Office-Analyst"/>
    <s v="Senior"/>
    <d v="2022-03-22T19:24:36"/>
    <d v="2022-03-23T19:24:36"/>
    <s v="Yes"/>
    <d v="2022-04-01T19:24:36"/>
    <s v="Failed"/>
    <s v="Didn't pass technical test"/>
    <m/>
    <m/>
    <m/>
    <m/>
    <m/>
    <m/>
    <n v="0"/>
    <m/>
    <m/>
    <m/>
    <m/>
    <s v="Candidate"/>
    <m/>
    <m/>
    <m/>
    <n v="1"/>
    <n v="10"/>
    <n v="9"/>
    <x v="0"/>
    <s v=""/>
    <s v=""/>
    <s v=""/>
    <s v=""/>
    <s v=""/>
    <m/>
    <m/>
    <m/>
    <m/>
    <m/>
    <m/>
    <m/>
    <m/>
    <m/>
    <m/>
  </r>
  <r>
    <n v="998"/>
    <s v="998 | Program Office"/>
    <x v="1"/>
    <s v="Program Office - Senior"/>
    <s v="Analyst"/>
    <s v="Program Office-Analyst"/>
    <s v="Senior"/>
    <d v="2023-03-27T20:36:08"/>
    <d v="2023-03-31T20:36:08"/>
    <s v="Yes"/>
    <d v="2023-04-12T20:36:08"/>
    <s v="Failed"/>
    <s v="Other"/>
    <m/>
    <m/>
    <m/>
    <m/>
    <m/>
    <m/>
    <n v="0"/>
    <m/>
    <m/>
    <m/>
    <m/>
    <s v="Candidate"/>
    <m/>
    <m/>
    <m/>
    <n v="4"/>
    <n v="16"/>
    <n v="12"/>
    <x v="0"/>
    <s v=""/>
    <s v=""/>
    <s v=""/>
    <s v=""/>
    <s v=""/>
    <m/>
    <m/>
    <m/>
    <m/>
    <m/>
    <m/>
    <m/>
    <m/>
    <m/>
    <m/>
  </r>
  <r>
    <n v="997"/>
    <s v="997 | Program Office"/>
    <x v="1"/>
    <s v="Program Office - Senior"/>
    <s v="Analyst"/>
    <s v="Program Office-Analyst"/>
    <s v="Senior"/>
    <d v="2023-03-30T20:36:08"/>
    <d v="2023-04-03T20:36:08"/>
    <s v="Yes"/>
    <d v="2023-04-08T20:36:08"/>
    <s v="Accepted"/>
    <m/>
    <d v="2023-04-14T20:36:08"/>
    <s v="Accepted"/>
    <d v="2023-04-09T20:36:08"/>
    <d v="2023-04-11T20:36:08"/>
    <d v="2023-04-10T20:36:08"/>
    <d v="2023-04-19T20:36:08"/>
    <n v="1"/>
    <d v="2023-04-23T20:36:08"/>
    <d v="2023-04-26T20:36:08"/>
    <d v="2023-04-28T20:36:08"/>
    <m/>
    <m/>
    <d v="2023-05-17T20:36:08"/>
    <m/>
    <m/>
    <n v="4"/>
    <n v="9"/>
    <n v="5"/>
    <x v="9"/>
    <n v="2"/>
    <d v="2023-07-09T20:36:08"/>
    <n v="4"/>
    <n v="37"/>
    <n v="18"/>
    <m/>
    <m/>
    <m/>
    <m/>
    <m/>
    <m/>
    <m/>
    <m/>
    <m/>
    <m/>
  </r>
  <r>
    <n v="958"/>
    <s v="958 | Program Office"/>
    <x v="1"/>
    <s v="Program Office - Senior"/>
    <s v="Analyst"/>
    <s v="Program Office-Analyst"/>
    <s v="Senior"/>
    <d v="2023-08-02T23:55:51"/>
    <d v="2023-08-05T23:55:51"/>
    <s v="Yes"/>
    <d v="2023-08-23T23:55:51"/>
    <s v="Failed"/>
    <s v="Salary expectation too high"/>
    <m/>
    <m/>
    <m/>
    <m/>
    <d v="2023-08-25T23:55:51"/>
    <m/>
    <n v="0"/>
    <m/>
    <m/>
    <m/>
    <m/>
    <s v="Candidate"/>
    <m/>
    <m/>
    <m/>
    <n v="3"/>
    <n v="21"/>
    <n v="18"/>
    <x v="3"/>
    <n v="2"/>
    <d v="2023-11-23T23:55:51"/>
    <s v=""/>
    <s v=""/>
    <s v=""/>
    <m/>
    <m/>
    <m/>
    <m/>
    <m/>
    <m/>
    <m/>
    <m/>
    <m/>
    <m/>
  </r>
  <r>
    <n v="953"/>
    <s v="953 | Program Office"/>
    <x v="1"/>
    <s v="Program Office - Senior"/>
    <s v="Analyst"/>
    <s v="Program Office-Analyst"/>
    <s v="Senior"/>
    <d v="2023-08-02T23:55:51"/>
    <d v="2023-08-04T23:55:51"/>
    <s v="Yes"/>
    <d v="2023-08-12T23:55:51"/>
    <s v="Failed"/>
    <s v="Not a culture fit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944"/>
    <s v="944 | Program Office"/>
    <x v="1"/>
    <s v="Program Office - Senior"/>
    <s v="Analyst"/>
    <s v="Program Office-Analyst"/>
    <s v="Senior"/>
    <d v="2022-10-25T01:02:01"/>
    <d v="2022-10-29T01:02:01"/>
    <s v="Yes"/>
    <d v="2022-11-19T01:02:01"/>
    <s v="Failed"/>
    <s v="Not a culture fit"/>
    <m/>
    <m/>
    <m/>
    <m/>
    <m/>
    <m/>
    <n v="0"/>
    <m/>
    <m/>
    <m/>
    <m/>
    <s v="Company"/>
    <m/>
    <m/>
    <m/>
    <n v="4"/>
    <n v="25"/>
    <n v="21"/>
    <x v="0"/>
    <s v=""/>
    <s v=""/>
    <s v=""/>
    <s v=""/>
    <s v=""/>
    <m/>
    <m/>
    <m/>
    <m/>
    <m/>
    <m/>
    <m/>
    <m/>
    <m/>
    <m/>
  </r>
  <r>
    <n v="919"/>
    <s v="919 | Program Office"/>
    <x v="1"/>
    <s v="Program Office - Senior"/>
    <s v="Analyst"/>
    <s v="Program Office-Analyst"/>
    <s v="Senior"/>
    <d v="2022-04-19T06:08:47"/>
    <d v="2022-04-22T06:08:47"/>
    <s v="Yes"/>
    <d v="2022-05-01T06:08:47"/>
    <s v="Accepted"/>
    <m/>
    <d v="2022-05-08T06:08:47"/>
    <s v="Accepted"/>
    <d v="2022-05-02T06:08:47"/>
    <d v="2022-05-03T06:08:47"/>
    <d v="2022-05-05T06:08:47"/>
    <d v="2022-05-06T06:08:47"/>
    <n v="1"/>
    <d v="2022-05-09T06:08:47"/>
    <d v="2022-05-12T06:08:47"/>
    <d v="2022-05-13T06:08:47"/>
    <m/>
    <m/>
    <d v="2022-05-29T06:08:47"/>
    <m/>
    <m/>
    <n v="3"/>
    <n v="12"/>
    <n v="9"/>
    <x v="20"/>
    <n v="4"/>
    <d v="2022-08-03T06:08:47"/>
    <n v="3"/>
    <n v="24"/>
    <n v="8"/>
    <m/>
    <m/>
    <m/>
    <m/>
    <m/>
    <m/>
    <m/>
    <m/>
    <m/>
    <m/>
  </r>
  <r>
    <n v="916"/>
    <s v="916 | Program Office"/>
    <x v="1"/>
    <s v="Program Office - Senior"/>
    <s v="Analyst"/>
    <s v="Program Office-Analyst"/>
    <s v="Senior"/>
    <d v="2022-04-15T06:08:47"/>
    <d v="2022-04-19T06:08:47"/>
    <s v="Yes"/>
    <d v="2022-05-10T06:08:47"/>
    <s v="Failed"/>
    <s v="Didn't pass technical test"/>
    <m/>
    <m/>
    <m/>
    <m/>
    <m/>
    <m/>
    <n v="0"/>
    <m/>
    <m/>
    <m/>
    <m/>
    <s v="Company"/>
    <m/>
    <m/>
    <m/>
    <n v="4"/>
    <n v="25"/>
    <n v="21"/>
    <x v="0"/>
    <s v=""/>
    <s v=""/>
    <s v=""/>
    <s v=""/>
    <s v=""/>
    <m/>
    <m/>
    <m/>
    <m/>
    <m/>
    <m/>
    <m/>
    <m/>
    <m/>
    <m/>
  </r>
  <r>
    <n v="912"/>
    <s v="912 | Program Office"/>
    <x v="1"/>
    <s v="Program Office - Senior"/>
    <s v="Analyst"/>
    <s v="Program Office-Analyst"/>
    <s v="Senior"/>
    <d v="2022-04-18T06:08:47"/>
    <d v="2022-04-21T06:08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911"/>
    <s v="911 | Program Office"/>
    <x v="1"/>
    <s v="Program Office - Senior"/>
    <s v="Analyst"/>
    <s v="Program Office-Analyst"/>
    <s v="Senior"/>
    <d v="2022-04-20T06:08:47"/>
    <d v="2022-04-21T06:08:47"/>
    <s v="Yes"/>
    <d v="2022-05-06T06:08:47"/>
    <s v="Failed"/>
    <s v="Salary expectation too high"/>
    <m/>
    <m/>
    <m/>
    <m/>
    <d v="2022-05-09T06:08:47"/>
    <m/>
    <n v="0"/>
    <m/>
    <m/>
    <m/>
    <m/>
    <s v="Candidate"/>
    <m/>
    <m/>
    <m/>
    <n v="1"/>
    <n v="16"/>
    <n v="15"/>
    <x v="13"/>
    <n v="3"/>
    <d v="2022-08-07T06:08:47"/>
    <s v=""/>
    <s v=""/>
    <s v=""/>
    <m/>
    <m/>
    <m/>
    <m/>
    <m/>
    <m/>
    <m/>
    <m/>
    <m/>
    <m/>
  </r>
  <r>
    <n v="910"/>
    <s v="910 | Program Office"/>
    <x v="1"/>
    <s v="Program Office - Senior"/>
    <s v="Analyst"/>
    <s v="Program Office-Analyst"/>
    <s v="Senior"/>
    <d v="2023-08-20T05:59:22"/>
    <d v="2023-08-24T05:59:22"/>
    <s v="Yes"/>
    <d v="2023-09-06T05:59:22"/>
    <s v="Declined"/>
    <m/>
    <d v="2023-09-08T05:59:22"/>
    <s v="Declined"/>
    <m/>
    <m/>
    <d v="2023-09-07T05:59:22"/>
    <m/>
    <n v="0"/>
    <m/>
    <m/>
    <m/>
    <m/>
    <m/>
    <m/>
    <m/>
    <m/>
    <n v="4"/>
    <n v="17"/>
    <n v="13"/>
    <x v="12"/>
    <n v="1"/>
    <d v="2023-12-06T05:59:22"/>
    <s v=""/>
    <s v=""/>
    <s v=""/>
    <m/>
    <m/>
    <m/>
    <m/>
    <m/>
    <m/>
    <m/>
    <m/>
    <m/>
    <m/>
  </r>
  <r>
    <n v="907"/>
    <s v="907 | Program Office"/>
    <x v="1"/>
    <s v="Program Office - Senior"/>
    <s v="Analyst"/>
    <s v="Program Office-Analyst"/>
    <s v="Senior"/>
    <d v="2023-08-19T05:59:22"/>
    <d v="2023-08-22T05:59:2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36"/>
    <s v="836 | Program Office"/>
    <x v="1"/>
    <s v="Program Office - Senior"/>
    <s v="Analyst"/>
    <s v="Program Office-Analyst"/>
    <s v="Senior"/>
    <d v="2022-07-13T16:58:11"/>
    <d v="2022-07-17T16:58:11"/>
    <s v="Yes"/>
    <d v="2022-07-24T16:58:11"/>
    <s v="Pending"/>
    <m/>
    <d v="2022-07-27T16:58:11"/>
    <s v="Pending"/>
    <m/>
    <m/>
    <d v="2022-07-26T16:58:11"/>
    <m/>
    <n v="0"/>
    <m/>
    <m/>
    <m/>
    <m/>
    <m/>
    <m/>
    <m/>
    <m/>
    <n v="4"/>
    <n v="11"/>
    <n v="7"/>
    <x v="8"/>
    <n v="2"/>
    <d v="2022-10-24T16:58:11"/>
    <s v=""/>
    <s v=""/>
    <s v=""/>
    <m/>
    <m/>
    <m/>
    <m/>
    <m/>
    <m/>
    <m/>
    <m/>
    <m/>
    <m/>
  </r>
  <r>
    <n v="827"/>
    <s v="827 | Program Office"/>
    <x v="1"/>
    <s v="Program Office - Senior"/>
    <s v="Analyst"/>
    <s v="Program Office-Analyst"/>
    <s v="Senior"/>
    <d v="2022-03-05T15:00:29"/>
    <d v="2022-03-07T15:00:2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825"/>
    <s v="825 | Program Office"/>
    <x v="1"/>
    <s v="Program Office - Senior"/>
    <s v="Analyst"/>
    <s v="Program Office-Analyst"/>
    <s v="Senior"/>
    <d v="2022-03-08T15:00:29"/>
    <d v="2022-03-09T15:00:29"/>
    <s v="Yes"/>
    <d v="2022-03-27T15:00:29"/>
    <s v="Accepted"/>
    <m/>
    <d v="2022-04-01T15:00:29"/>
    <s v="Accepted"/>
    <d v="2022-03-29T15:00:29"/>
    <d v="2022-03-31T15:00:29"/>
    <d v="2022-03-30T15:00:29"/>
    <d v="2022-04-08T15:00:29"/>
    <n v="1"/>
    <d v="2022-04-11T15:00:29"/>
    <d v="2022-04-13T15:00:29"/>
    <d v="2022-04-14T15:00:29"/>
    <m/>
    <m/>
    <d v="2022-04-28T15:00:29"/>
    <m/>
    <m/>
    <n v="1"/>
    <n v="19"/>
    <n v="18"/>
    <x v="7"/>
    <n v="3"/>
    <d v="2022-06-28T15:00:29"/>
    <n v="3"/>
    <n v="29"/>
    <n v="15"/>
    <m/>
    <m/>
    <m/>
    <m/>
    <m/>
    <m/>
    <m/>
    <m/>
    <m/>
    <m/>
  </r>
  <r>
    <n v="824"/>
    <s v="824 | Program Office"/>
    <x v="1"/>
    <s v="Program Office - Senior"/>
    <s v="Analyst"/>
    <s v="Program Office-Analyst"/>
    <s v="Senior"/>
    <d v="2022-03-01T15:00:29"/>
    <d v="2022-03-05T15:00:29"/>
    <s v="Yes"/>
    <d v="2022-03-21T15:00:29"/>
    <s v="Failed"/>
    <s v="Salary expectation too high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821"/>
    <s v="821 | Program Office"/>
    <x v="1"/>
    <s v="Program Office - Senior"/>
    <s v="Analyst"/>
    <s v="Program Office-Analyst"/>
    <s v="Senior"/>
    <d v="2022-03-04T15:00:29"/>
    <d v="2022-03-05T15:00:29"/>
    <s v="Yes"/>
    <d v="2022-03-23T15:00:29"/>
    <s v="Failed"/>
    <s v="Position filled by another"/>
    <m/>
    <m/>
    <m/>
    <m/>
    <d v="2022-03-27T15:00:29"/>
    <m/>
    <n v="0"/>
    <m/>
    <m/>
    <m/>
    <m/>
    <s v="Company"/>
    <m/>
    <m/>
    <m/>
    <n v="1"/>
    <n v="19"/>
    <n v="18"/>
    <x v="3"/>
    <n v="4"/>
    <d v="2022-06-25T15:00:29"/>
    <s v=""/>
    <s v=""/>
    <s v=""/>
    <m/>
    <m/>
    <m/>
    <m/>
    <m/>
    <m/>
    <m/>
    <m/>
    <m/>
    <m/>
  </r>
  <r>
    <n v="798"/>
    <s v="798 | Program Office"/>
    <x v="1"/>
    <s v="Program Office - Senior"/>
    <s v="Analyst"/>
    <s v="Program Office-Analyst"/>
    <s v="Senior"/>
    <d v="2022-12-10T16:11:24"/>
    <d v="2022-12-11T16:11:24"/>
    <s v="Yes"/>
    <d v="2022-12-23T16:11:24"/>
    <s v="Failed"/>
    <s v="Not a culture fit"/>
    <m/>
    <m/>
    <m/>
    <m/>
    <d v="2022-12-25T16:11:24"/>
    <m/>
    <n v="0"/>
    <m/>
    <m/>
    <m/>
    <m/>
    <s v="Company"/>
    <m/>
    <m/>
    <m/>
    <n v="1"/>
    <n v="13"/>
    <n v="12"/>
    <x v="16"/>
    <n v="2"/>
    <d v="2023-03-25T16:11:24"/>
    <s v=""/>
    <s v=""/>
    <s v=""/>
    <m/>
    <m/>
    <m/>
    <m/>
    <m/>
    <m/>
    <m/>
    <m/>
    <m/>
    <m/>
  </r>
  <r>
    <n v="797"/>
    <s v="797 | Program Office"/>
    <x v="1"/>
    <s v="Program Office - Senior"/>
    <s v="Analyst"/>
    <s v="Program Office-Analyst"/>
    <s v="Senior"/>
    <d v="2022-12-14T16:11:24"/>
    <d v="2022-12-15T16:11:2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795"/>
    <s v="795 | Program Office"/>
    <x v="1"/>
    <s v="Program Office - Senior"/>
    <s v="Analyst"/>
    <s v="Program Office-Analyst"/>
    <s v="Senior"/>
    <d v="2022-12-11T16:11:24"/>
    <d v="2022-12-12T16:11:24"/>
    <s v="Yes"/>
    <d v="2023-01-01T16:11:24"/>
    <s v="Failed"/>
    <s v="Salary expectation too high"/>
    <m/>
    <m/>
    <m/>
    <m/>
    <d v="2023-01-03T16:11:24"/>
    <m/>
    <n v="0"/>
    <m/>
    <m/>
    <m/>
    <m/>
    <s v="Candidate"/>
    <m/>
    <m/>
    <m/>
    <n v="1"/>
    <n v="21"/>
    <n v="20"/>
    <x v="3"/>
    <n v="2"/>
    <d v="2023-04-03T16:11:24"/>
    <s v=""/>
    <s v=""/>
    <s v=""/>
    <m/>
    <m/>
    <m/>
    <m/>
    <m/>
    <m/>
    <m/>
    <m/>
    <m/>
    <m/>
  </r>
  <r>
    <n v="793"/>
    <s v="793 | Program Office"/>
    <x v="1"/>
    <s v="Program Office - Senior"/>
    <s v="Analyst"/>
    <s v="Program Office-Analyst"/>
    <s v="Senior"/>
    <d v="2022-12-12T16:11:24"/>
    <d v="2022-12-16T16:11:24"/>
    <s v="Yes"/>
    <d v="2022-12-28T16:11:24"/>
    <s v="Pending"/>
    <m/>
    <d v="2023-01-02T16:11:24"/>
    <s v="Pending"/>
    <m/>
    <m/>
    <d v="2022-12-31T16:11:24"/>
    <m/>
    <n v="0"/>
    <m/>
    <m/>
    <m/>
    <m/>
    <m/>
    <m/>
    <m/>
    <m/>
    <n v="4"/>
    <n v="16"/>
    <n v="12"/>
    <x v="13"/>
    <n v="3"/>
    <d v="2023-03-31T16:11:24"/>
    <s v=""/>
    <s v=""/>
    <s v=""/>
    <m/>
    <m/>
    <m/>
    <m/>
    <m/>
    <m/>
    <m/>
    <m/>
    <m/>
    <m/>
  </r>
  <r>
    <n v="767"/>
    <s v="767 | Program Office"/>
    <x v="1"/>
    <s v="Program Office - Senior"/>
    <s v="Analyst"/>
    <s v="Program Office-Analyst"/>
    <s v="Senior"/>
    <d v="2022-06-14T17:40:03"/>
    <d v="2022-06-15T17:40:03"/>
    <s v="Yes"/>
    <d v="2022-07-04T17:40:03"/>
    <s v="Failed"/>
    <s v="Salary expectation too high"/>
    <m/>
    <m/>
    <m/>
    <m/>
    <d v="2022-07-05T17:40:03"/>
    <m/>
    <n v="0"/>
    <m/>
    <m/>
    <m/>
    <m/>
    <s v="Candidate"/>
    <m/>
    <m/>
    <m/>
    <n v="1"/>
    <n v="20"/>
    <n v="19"/>
    <x v="19"/>
    <n v="1"/>
    <d v="2022-10-03T17:40:03"/>
    <s v=""/>
    <s v=""/>
    <s v=""/>
    <m/>
    <m/>
    <m/>
    <m/>
    <m/>
    <m/>
    <m/>
    <m/>
    <m/>
    <m/>
  </r>
  <r>
    <n v="762"/>
    <s v="762 | Program Office"/>
    <x v="1"/>
    <s v="Program Office - Senior"/>
    <s v="Analyst"/>
    <s v="Program Office-Analyst"/>
    <s v="Senior"/>
    <d v="2022-06-16T17:40:03"/>
    <d v="2022-06-17T17:40:03"/>
    <s v="Yes"/>
    <d v="2022-07-02T17:40:03"/>
    <s v="Accepted"/>
    <m/>
    <d v="2022-07-07T17:40:03"/>
    <s v="Accepted"/>
    <d v="2022-07-04T17:40:03"/>
    <d v="2022-07-08T17:40:03"/>
    <d v="2022-07-03T17:40:03"/>
    <d v="2022-07-09T17:40:03"/>
    <n v="1"/>
    <d v="2022-07-13T17:40:03"/>
    <d v="2022-07-14T17:40:03"/>
    <d v="2022-07-17T17:40:03"/>
    <m/>
    <m/>
    <d v="2022-08-05T17:40:03"/>
    <m/>
    <m/>
    <n v="1"/>
    <n v="16"/>
    <n v="15"/>
    <x v="14"/>
    <n v="1"/>
    <d v="2022-10-01T17:40:03"/>
    <n v="4"/>
    <n v="33"/>
    <n v="14"/>
    <m/>
    <m/>
    <m/>
    <m/>
    <m/>
    <m/>
    <m/>
    <m/>
    <m/>
    <m/>
  </r>
  <r>
    <n v="729"/>
    <s v="729 | Program Office"/>
    <x v="1"/>
    <s v="Program Office - Senior"/>
    <s v="Analyst"/>
    <s v="Program Office-Analyst"/>
    <s v="Senior"/>
    <d v="2022-02-16T15:51:14"/>
    <d v="2022-02-18T15:51:14"/>
    <s v="Yes"/>
    <d v="2022-02-27T15:51:14"/>
    <s v="Accepted"/>
    <m/>
    <d v="2022-03-04T15:51:14"/>
    <s v="Accepted"/>
    <d v="2022-02-28T15:51:14"/>
    <d v="2022-03-03T15:51:14"/>
    <d v="2022-03-01T15:51:14"/>
    <d v="2022-03-03T15:51:14"/>
    <n v="1"/>
    <d v="2022-03-04T15:51:14"/>
    <d v="2022-03-07T15:51:14"/>
    <d v="2022-03-09T15:51:14"/>
    <m/>
    <m/>
    <d v="2022-03-19T15:51:14"/>
    <m/>
    <m/>
    <n v="2"/>
    <n v="11"/>
    <n v="9"/>
    <x v="8"/>
    <n v="2"/>
    <d v="2022-05-30T15:51:14"/>
    <n v="1"/>
    <n v="18"/>
    <n v="8"/>
    <m/>
    <m/>
    <m/>
    <m/>
    <m/>
    <m/>
    <m/>
    <m/>
    <m/>
    <m/>
  </r>
  <r>
    <n v="726"/>
    <s v="726 | Program Office"/>
    <x v="1"/>
    <s v="Program Office - Senior"/>
    <s v="Analyst"/>
    <s v="Program Office-Analyst"/>
    <s v="Senior"/>
    <d v="2022-02-11T15:51:14"/>
    <d v="2022-02-15T15:51:14"/>
    <s v="Yes"/>
    <d v="2022-02-24T15:51:14"/>
    <s v="Declined"/>
    <m/>
    <d v="2022-02-28T15:51:14"/>
    <s v="Declined"/>
    <m/>
    <m/>
    <d v="2022-02-26T15:51:14"/>
    <m/>
    <n v="0"/>
    <m/>
    <m/>
    <m/>
    <m/>
    <m/>
    <m/>
    <m/>
    <m/>
    <n v="4"/>
    <n v="13"/>
    <n v="9"/>
    <x v="16"/>
    <n v="2"/>
    <d v="2022-05-27T15:51:14"/>
    <s v=""/>
    <s v=""/>
    <s v=""/>
    <m/>
    <m/>
    <m/>
    <m/>
    <m/>
    <m/>
    <m/>
    <m/>
    <m/>
    <m/>
  </r>
  <r>
    <n v="715"/>
    <s v="715 | Program Office"/>
    <x v="1"/>
    <s v="Program Office - Senior"/>
    <s v="Analyst"/>
    <s v="Program Office-Analyst"/>
    <s v="Senior"/>
    <d v="2022-03-06T16:28:19"/>
    <d v="2022-03-08T16:28:19"/>
    <s v="Yes"/>
    <d v="2022-03-20T16:28:19"/>
    <s v="Failed"/>
    <s v="Other"/>
    <m/>
    <m/>
    <m/>
    <m/>
    <m/>
    <m/>
    <n v="0"/>
    <m/>
    <m/>
    <m/>
    <m/>
    <s v="Candidate"/>
    <m/>
    <m/>
    <m/>
    <n v="2"/>
    <n v="14"/>
    <n v="12"/>
    <x v="0"/>
    <s v=""/>
    <s v=""/>
    <s v=""/>
    <s v=""/>
    <s v=""/>
    <m/>
    <m/>
    <m/>
    <m/>
    <m/>
    <m/>
    <m/>
    <m/>
    <m/>
    <m/>
  </r>
  <r>
    <n v="711"/>
    <s v="711 | Program Office"/>
    <x v="1"/>
    <s v="Program Office - Senior"/>
    <s v="Analyst"/>
    <s v="Program Office-Analyst"/>
    <s v="Senior"/>
    <d v="2022-03-05T16:28:19"/>
    <d v="2022-03-09T16:28:19"/>
    <s v="Yes"/>
    <d v="2022-03-25T16:28:19"/>
    <s v="Accepted"/>
    <m/>
    <d v="2022-03-28T16:28:19"/>
    <s v="Accepted"/>
    <d v="2022-03-27T16:28:19"/>
    <d v="2022-03-30T16:28:19"/>
    <d v="2022-03-26T16:28:19"/>
    <d v="2022-04-01T16:28:19"/>
    <n v="1"/>
    <d v="2022-04-02T16:28:19"/>
    <d v="2022-04-05T16:28:19"/>
    <d v="2022-04-08T16:28:19"/>
    <m/>
    <m/>
    <d v="2022-04-16T16:28:19"/>
    <m/>
    <m/>
    <n v="4"/>
    <n v="20"/>
    <n v="16"/>
    <x v="19"/>
    <n v="1"/>
    <d v="2022-06-24T16:28:19"/>
    <n v="1"/>
    <n v="21"/>
    <n v="13"/>
    <m/>
    <m/>
    <m/>
    <m/>
    <m/>
    <m/>
    <m/>
    <m/>
    <m/>
    <m/>
  </r>
  <r>
    <n v="678"/>
    <s v="678 | Program Office"/>
    <x v="1"/>
    <s v="Program Office - Senior"/>
    <s v="Analyst"/>
    <s v="Program Office-Analyst"/>
    <s v="Senior"/>
    <d v="2023-08-05T21:15:22"/>
    <d v="2023-08-07T21:15:22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677"/>
    <s v="677 | Program Office"/>
    <x v="1"/>
    <s v="Program Office - Senior"/>
    <s v="Analyst"/>
    <s v="Program Office-Analyst"/>
    <s v="Senior"/>
    <d v="2023-08-03T21:15:22"/>
    <d v="2023-08-05T21:15:22"/>
    <s v="Yes"/>
    <d v="2023-08-23T21:15:22"/>
    <s v="Declined"/>
    <m/>
    <d v="2023-08-26T21:15:22"/>
    <s v="Declined"/>
    <m/>
    <m/>
    <d v="2023-08-25T21:15:22"/>
    <m/>
    <n v="0"/>
    <m/>
    <m/>
    <m/>
    <m/>
    <m/>
    <m/>
    <m/>
    <m/>
    <n v="2"/>
    <n v="20"/>
    <n v="18"/>
    <x v="7"/>
    <n v="2"/>
    <d v="2023-11-23T21:15:22"/>
    <s v=""/>
    <s v=""/>
    <s v=""/>
    <m/>
    <m/>
    <m/>
    <m/>
    <m/>
    <m/>
    <m/>
    <m/>
    <m/>
    <m/>
  </r>
  <r>
    <n v="657"/>
    <s v="657 | Program Office"/>
    <x v="1"/>
    <s v="Program Office - Senior"/>
    <s v="Analyst"/>
    <s v="Program Office-Analyst"/>
    <s v="Senior"/>
    <d v="2022-12-23T00:23:46"/>
    <d v="2022-12-26T00:23:4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54"/>
    <s v="654 | Program Office"/>
    <x v="1"/>
    <s v="Program Office - Senior"/>
    <s v="Analyst"/>
    <s v="Program Office-Analyst"/>
    <s v="Senior"/>
    <d v="2022-12-22T00:23:46"/>
    <d v="2022-12-23T00:23:46"/>
    <s v="Yes"/>
    <d v="2023-01-10T00:23:46"/>
    <s v="Failed"/>
    <s v="Not a culture fit"/>
    <m/>
    <m/>
    <m/>
    <m/>
    <m/>
    <m/>
    <n v="0"/>
    <m/>
    <m/>
    <m/>
    <m/>
    <s v="Company"/>
    <m/>
    <m/>
    <m/>
    <n v="1"/>
    <n v="19"/>
    <n v="18"/>
    <x v="0"/>
    <s v=""/>
    <s v=""/>
    <s v=""/>
    <s v=""/>
    <s v=""/>
    <m/>
    <m/>
    <m/>
    <m/>
    <m/>
    <m/>
    <m/>
    <m/>
    <m/>
    <m/>
  </r>
  <r>
    <n v="651"/>
    <s v="651 | Program Office"/>
    <x v="1"/>
    <s v="Program Office - Senior"/>
    <s v="Analyst"/>
    <s v="Program Office-Analyst"/>
    <s v="Senior"/>
    <d v="2022-12-22T00:23:46"/>
    <d v="2022-12-25T00:23:46"/>
    <s v="Yes"/>
    <d v="2023-01-05T00:23:46"/>
    <s v="Failed"/>
    <s v="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640"/>
    <s v="640 | Program Office"/>
    <x v="1"/>
    <s v="Program Office - Senior"/>
    <s v="Analyst"/>
    <s v="Program Office-Analyst"/>
    <s v="Senior"/>
    <d v="2022-09-24T07:15:57"/>
    <d v="2022-09-28T07:15:57"/>
    <s v="Yes"/>
    <d v="2022-10-07T07:15:57"/>
    <s v="Failed"/>
    <s v="Not a culture fit"/>
    <m/>
    <m/>
    <m/>
    <m/>
    <d v="2022-10-11T07:15:57"/>
    <m/>
    <n v="0"/>
    <m/>
    <m/>
    <m/>
    <m/>
    <s v="Candidate"/>
    <m/>
    <m/>
    <m/>
    <n v="4"/>
    <n v="13"/>
    <n v="9"/>
    <x v="14"/>
    <n v="4"/>
    <d v="2023-01-09T07:15:57"/>
    <s v=""/>
    <s v=""/>
    <s v=""/>
    <m/>
    <m/>
    <m/>
    <m/>
    <m/>
    <m/>
    <m/>
    <m/>
    <m/>
    <m/>
  </r>
  <r>
    <n v="633"/>
    <s v="633 | Program Office"/>
    <x v="1"/>
    <s v="Program Office - Senior"/>
    <s v="Analyst"/>
    <s v="Program Office-Analyst"/>
    <s v="Senior"/>
    <d v="2022-09-24T07:15:57"/>
    <d v="2022-09-28T07:15:5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580"/>
    <s v="580 | Program Office"/>
    <x v="1"/>
    <s v="Program Office - Senior"/>
    <s v="Analyst"/>
    <s v="Program Office-Analyst"/>
    <s v="Senior"/>
    <d v="2022-12-14T02:09:30"/>
    <d v="2022-12-17T02:09:30"/>
    <s v="Yes"/>
    <d v="2022-12-27T02:09:30"/>
    <s v="Pending"/>
    <m/>
    <d v="2022-12-31T02:09:30"/>
    <s v="Pending"/>
    <m/>
    <m/>
    <d v="2022-12-28T02:09:30"/>
    <m/>
    <n v="0"/>
    <m/>
    <m/>
    <m/>
    <m/>
    <m/>
    <m/>
    <m/>
    <m/>
    <n v="3"/>
    <n v="13"/>
    <n v="10"/>
    <x v="1"/>
    <n v="1"/>
    <d v="2023-03-28T02:09:30"/>
    <s v=""/>
    <s v=""/>
    <s v=""/>
    <m/>
    <m/>
    <m/>
    <m/>
    <m/>
    <m/>
    <m/>
    <m/>
    <m/>
    <m/>
  </r>
  <r>
    <n v="574"/>
    <s v="574 | Program Office"/>
    <x v="1"/>
    <s v="Program Office - Senior"/>
    <s v="Analyst"/>
    <s v="Program Office-Analyst"/>
    <s v="Senior"/>
    <d v="2022-12-13T02:09:30"/>
    <d v="2022-12-17T02:09:3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500"/>
    <s v="500 | Program Office"/>
    <x v="1"/>
    <s v="Program Office - Senior"/>
    <s v="Analyst"/>
    <s v="Program Office-Analyst"/>
    <s v="Senior"/>
    <d v="2023-09-01T09:52:53"/>
    <d v="2023-09-03T09:52:53"/>
    <s v="Yes"/>
    <d v="2023-09-16T09:52:53"/>
    <s v="Failed"/>
    <s v="Salary expectation too high"/>
    <m/>
    <m/>
    <m/>
    <m/>
    <m/>
    <m/>
    <n v="0"/>
    <m/>
    <m/>
    <m/>
    <m/>
    <s v="Company"/>
    <m/>
    <m/>
    <m/>
    <n v="2"/>
    <n v="15"/>
    <n v="13"/>
    <x v="0"/>
    <s v=""/>
    <s v=""/>
    <s v=""/>
    <s v=""/>
    <s v=""/>
    <m/>
    <m/>
    <m/>
    <m/>
    <m/>
    <m/>
    <m/>
    <m/>
    <m/>
    <m/>
  </r>
  <r>
    <n v="497"/>
    <s v="497 | Program Office"/>
    <x v="1"/>
    <s v="Program Office - Senior"/>
    <s v="Analyst"/>
    <s v="Program Office-Analyst"/>
    <s v="Senior"/>
    <d v="2023-09-01T09:52:53"/>
    <d v="2023-09-03T09:52:53"/>
    <s v="Yes"/>
    <d v="2023-09-11T09:52:53"/>
    <s v="Failed"/>
    <s v="Not a culture fit"/>
    <m/>
    <m/>
    <m/>
    <m/>
    <d v="2023-09-13T09:52:53"/>
    <m/>
    <n v="0"/>
    <m/>
    <m/>
    <m/>
    <m/>
    <s v="Company"/>
    <m/>
    <m/>
    <m/>
    <n v="2"/>
    <n v="10"/>
    <n v="8"/>
    <x v="24"/>
    <n v="2"/>
    <d v="2023-12-12T09:52:53"/>
    <s v=""/>
    <s v=""/>
    <s v=""/>
    <m/>
    <m/>
    <m/>
    <m/>
    <m/>
    <m/>
    <m/>
    <m/>
    <m/>
    <m/>
  </r>
  <r>
    <n v="490"/>
    <s v="490 | Program Office"/>
    <x v="1"/>
    <s v="Program Office - Senior"/>
    <s v="Analyst"/>
    <s v="Program Office-Analyst"/>
    <s v="Senior"/>
    <d v="2023-01-10T13:36:04"/>
    <d v="2023-01-11T13:36:0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87"/>
    <s v="487 | Program Office"/>
    <x v="1"/>
    <s v="Program Office - Senior"/>
    <s v="Analyst"/>
    <s v="Program Office-Analyst"/>
    <s v="Senior"/>
    <d v="2023-01-04T13:36:04"/>
    <d v="2023-01-07T13:36:04"/>
    <s v="Yes"/>
    <d v="2023-01-25T13:36:04"/>
    <s v="Declined"/>
    <m/>
    <d v="2023-01-30T13:36:04"/>
    <s v="Declined"/>
    <m/>
    <m/>
    <d v="2023-01-28T13:36:04"/>
    <m/>
    <n v="0"/>
    <m/>
    <m/>
    <m/>
    <m/>
    <m/>
    <m/>
    <m/>
    <m/>
    <n v="3"/>
    <n v="21"/>
    <n v="18"/>
    <x v="21"/>
    <n v="3"/>
    <d v="2023-04-28T13:36:04"/>
    <s v=""/>
    <s v=""/>
    <s v=""/>
    <m/>
    <m/>
    <m/>
    <m/>
    <m/>
    <m/>
    <m/>
    <m/>
    <m/>
    <m/>
  </r>
  <r>
    <n v="479"/>
    <s v="479 | Program Office"/>
    <x v="1"/>
    <s v="Program Office - Senior"/>
    <s v="Analyst"/>
    <s v="Program Office-Analyst"/>
    <s v="Senior"/>
    <d v="2022-04-26T01:49:05"/>
    <d v="2022-04-27T01:49:05"/>
    <s v="Yes"/>
    <d v="2022-05-13T01:49:05"/>
    <s v="Failed"/>
    <s v="Other"/>
    <m/>
    <m/>
    <m/>
    <m/>
    <d v="2022-05-15T01:49:05"/>
    <m/>
    <n v="0"/>
    <m/>
    <m/>
    <m/>
    <m/>
    <s v="Company"/>
    <m/>
    <m/>
    <m/>
    <n v="1"/>
    <n v="17"/>
    <n v="16"/>
    <x v="13"/>
    <n v="2"/>
    <d v="2022-08-13T01:49:05"/>
    <s v=""/>
    <s v=""/>
    <s v=""/>
    <m/>
    <m/>
    <m/>
    <m/>
    <m/>
    <m/>
    <m/>
    <m/>
    <m/>
    <m/>
  </r>
  <r>
    <n v="389"/>
    <s v="389 | Program Office"/>
    <x v="1"/>
    <s v="Program Office - Senior"/>
    <s v="Analyst"/>
    <s v="Program Office-Analyst"/>
    <s v="Senior"/>
    <d v="2022-11-08T09:11:38"/>
    <d v="2022-11-11T09:11:38"/>
    <s v="Yes"/>
    <d v="2022-11-17T09:11:38"/>
    <s v="Accepted"/>
    <m/>
    <d v="2022-11-19T09:11:38"/>
    <s v="Accepted"/>
    <d v="2022-11-19T09:11:38"/>
    <d v="2022-11-20T09:11:38"/>
    <d v="2022-11-18T09:11:38"/>
    <d v="2022-11-23T09:11:38"/>
    <n v="1"/>
    <d v="2022-11-26T09:11:38"/>
    <d v="2022-11-28T09:11:38"/>
    <d v="2022-11-30T09:11:38"/>
    <m/>
    <m/>
    <d v="2022-12-11T09:11:38"/>
    <m/>
    <m/>
    <n v="3"/>
    <n v="9"/>
    <n v="6"/>
    <x v="22"/>
    <n v="1"/>
    <d v="2023-02-16T09:11:38"/>
    <n v="3"/>
    <n v="23"/>
    <n v="12"/>
    <m/>
    <m/>
    <m/>
    <m/>
    <m/>
    <m/>
    <m/>
    <m/>
    <m/>
    <m/>
  </r>
  <r>
    <n v="380"/>
    <s v="380 | Program Office"/>
    <x v="1"/>
    <s v="Program Office - Senior"/>
    <s v="Analyst"/>
    <s v="Program Office-Analyst"/>
    <s v="Senior"/>
    <d v="2022-04-13T08:33:40"/>
    <d v="2022-04-15T08:33:40"/>
    <s v="Yes"/>
    <d v="2022-04-27T08:33:40"/>
    <s v="Failed"/>
    <s v="Not a culture fit"/>
    <m/>
    <m/>
    <m/>
    <m/>
    <m/>
    <m/>
    <n v="0"/>
    <m/>
    <m/>
    <m/>
    <m/>
    <s v="Company"/>
    <m/>
    <m/>
    <m/>
    <n v="2"/>
    <n v="14"/>
    <n v="12"/>
    <x v="0"/>
    <s v=""/>
    <s v=""/>
    <s v=""/>
    <s v=""/>
    <s v=""/>
    <m/>
    <m/>
    <m/>
    <m/>
    <m/>
    <m/>
    <m/>
    <m/>
    <m/>
    <m/>
  </r>
  <r>
    <n v="376"/>
    <s v="376 | Program Office"/>
    <x v="1"/>
    <s v="Program Office - Senior"/>
    <s v="Supervisor"/>
    <s v="Program Office-Supervisor"/>
    <s v="Senior"/>
    <d v="2022-04-10T08:33:40"/>
    <d v="2022-04-13T08:33:4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320"/>
    <s v="320 | Program Office"/>
    <x v="1"/>
    <s v="Program Office - Senior"/>
    <s v="Supervisor"/>
    <s v="Program Office-Supervisor"/>
    <s v="Senior"/>
    <d v="2023-03-02T14:36:53"/>
    <d v="2023-03-05T14:36:5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319"/>
    <s v="319 | Program Office"/>
    <x v="1"/>
    <s v="Program Office - Senior"/>
    <s v="Supervisor"/>
    <s v="Program Office-Supervisor"/>
    <s v="Senior"/>
    <d v="2023-03-01T14:36:53"/>
    <d v="2023-03-05T14:36:53"/>
    <s v="Yes"/>
    <d v="2023-03-20T14:36:53"/>
    <s v="Failed"/>
    <s v="Other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317"/>
    <s v="317 | Program Office"/>
    <x v="1"/>
    <s v="Program Office - Senior"/>
    <s v="Supervisor"/>
    <s v="Program Office-Supervisor"/>
    <s v="Senior"/>
    <d v="2023-02-27T14:36:53"/>
    <d v="2023-03-02T14:36:53"/>
    <s v="Yes"/>
    <d v="2023-03-15T14:36:53"/>
    <s v="Declined"/>
    <m/>
    <d v="2023-03-20T14:36:53"/>
    <s v="Declined"/>
    <m/>
    <m/>
    <d v="2023-03-19T14:36:53"/>
    <m/>
    <n v="0"/>
    <m/>
    <m/>
    <m/>
    <m/>
    <m/>
    <m/>
    <m/>
    <m/>
    <n v="3"/>
    <n v="16"/>
    <n v="13"/>
    <x v="15"/>
    <n v="4"/>
    <d v="2023-06-17T14:36:53"/>
    <s v=""/>
    <s v=""/>
    <s v=""/>
    <m/>
    <m/>
    <m/>
    <m/>
    <m/>
    <m/>
    <m/>
    <m/>
    <m/>
    <m/>
  </r>
  <r>
    <n v="188"/>
    <s v="188 | Program Office"/>
    <x v="1"/>
    <s v="Program Office - Senior"/>
    <s v="Supervisor"/>
    <s v="Program Office-Supervisor"/>
    <s v="Senior"/>
    <d v="2022-09-28T07:13:58"/>
    <d v="2022-09-29T07:13:58"/>
    <s v="Yes"/>
    <d v="2022-10-03T07:13:58"/>
    <s v="Declined"/>
    <m/>
    <d v="2022-10-07T07:13:58"/>
    <s v="Declined"/>
    <m/>
    <m/>
    <d v="2022-10-06T07:13:58"/>
    <m/>
    <n v="0"/>
    <m/>
    <m/>
    <m/>
    <m/>
    <m/>
    <m/>
    <m/>
    <m/>
    <n v="1"/>
    <n v="5"/>
    <n v="4"/>
    <x v="10"/>
    <n v="3"/>
    <d v="2023-01-04T07:13:58"/>
    <s v=""/>
    <s v=""/>
    <s v=""/>
    <m/>
    <m/>
    <m/>
    <m/>
    <m/>
    <m/>
    <m/>
    <m/>
    <m/>
    <m/>
  </r>
  <r>
    <n v="135"/>
    <s v="135 | Program Office"/>
    <x v="1"/>
    <s v="Program Office - Senior"/>
    <s v="Supervisor"/>
    <s v="Program Office-Supervisor"/>
    <s v="Senior"/>
    <d v="2022-07-22T19:16:15"/>
    <d v="2022-07-23T19:16:15"/>
    <s v="Yes"/>
    <d v="2022-08-02T19:16:15"/>
    <s v="Failed"/>
    <s v="Other"/>
    <m/>
    <m/>
    <m/>
    <m/>
    <m/>
    <m/>
    <n v="0"/>
    <m/>
    <m/>
    <m/>
    <m/>
    <s v="Candidate"/>
    <m/>
    <m/>
    <m/>
    <n v="1"/>
    <n v="11"/>
    <n v="10"/>
    <x v="0"/>
    <s v=""/>
    <s v=""/>
    <s v=""/>
    <s v=""/>
    <s v=""/>
    <m/>
    <m/>
    <m/>
    <m/>
    <m/>
    <m/>
    <m/>
    <m/>
    <m/>
    <m/>
  </r>
  <r>
    <n v="65"/>
    <s v="65 | Program Office"/>
    <x v="1"/>
    <s v="Program Office - Senior"/>
    <s v="Supervisor"/>
    <s v="Program Office-Supervisor"/>
    <s v="Senior"/>
    <d v="2023-08-29T18:08:34"/>
    <d v="2023-08-30T18:08:34"/>
    <s v="Yes"/>
    <d v="2023-09-06T18:08:34"/>
    <s v="Pending"/>
    <m/>
    <d v="2023-09-13T18:08:34"/>
    <s v="Pending"/>
    <m/>
    <m/>
    <d v="2023-09-10T18:08:34"/>
    <m/>
    <n v="0"/>
    <m/>
    <m/>
    <m/>
    <m/>
    <m/>
    <m/>
    <m/>
    <m/>
    <n v="1"/>
    <n v="8"/>
    <n v="7"/>
    <x v="24"/>
    <n v="4"/>
    <d v="2023-12-09T18:08:34"/>
    <s v=""/>
    <s v=""/>
    <s v=""/>
    <m/>
    <m/>
    <m/>
    <m/>
    <m/>
    <m/>
    <m/>
    <m/>
    <m/>
    <m/>
  </r>
  <r>
    <n v="64"/>
    <s v="64 | Program Office"/>
    <x v="1"/>
    <s v="Program Office - Senior"/>
    <s v="Supervisor"/>
    <s v="Program Office-Supervisor"/>
    <s v="Senior"/>
    <d v="2023-08-25T18:08:34"/>
    <d v="2023-08-26T18:08:3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1"/>
    <s v="61 | Program Office"/>
    <x v="1"/>
    <s v="Program Office - Senior"/>
    <s v="Supervisor"/>
    <s v="Program Office-Supervisor"/>
    <s v="Senior"/>
    <d v="2023-08-24T18:08:34"/>
    <d v="2023-08-27T18:08:34"/>
    <s v="Yes"/>
    <d v="2023-09-12T18:08:34"/>
    <s v="Failed"/>
    <s v="Salary expectation too high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5"/>
    <s v="5 | Program Office"/>
    <x v="1"/>
    <s v="Program Office - Senior"/>
    <s v="Supervisor"/>
    <s v="Program Office-Supervisor"/>
    <s v="Senior"/>
    <d v="2023-05-29T08:55:46"/>
    <d v="2023-06-01T08:55:46"/>
    <s v="Yes"/>
    <d v="2023-06-18T08:55:46"/>
    <s v="Declined"/>
    <m/>
    <d v="2023-06-23T08:55:46"/>
    <s v="Declined"/>
    <m/>
    <m/>
    <d v="2023-06-22T08:55:46"/>
    <m/>
    <n v="0"/>
    <m/>
    <m/>
    <m/>
    <m/>
    <m/>
    <m/>
    <m/>
    <m/>
    <n v="3"/>
    <n v="20"/>
    <n v="17"/>
    <x v="21"/>
    <n v="4"/>
    <d v="2023-09-20T08:55:46"/>
    <s v=""/>
    <s v=""/>
    <s v=""/>
    <m/>
    <m/>
    <m/>
    <m/>
    <m/>
    <m/>
    <m/>
    <m/>
    <m/>
    <m/>
  </r>
  <r>
    <n v="4"/>
    <s v="4 | Program Office"/>
    <x v="1"/>
    <s v="Program Office - Senior"/>
    <s v="Supervisor"/>
    <s v="Program Office-Supervisor"/>
    <s v="Senior"/>
    <d v="2023-05-29T08:55:46"/>
    <d v="2023-06-01T08:55:46"/>
    <s v="Yes"/>
    <d v="2023-06-15T08:55:46"/>
    <s v="Accepted"/>
    <m/>
    <d v="2023-06-20T08:55:46"/>
    <s v="Accepted"/>
    <d v="2023-06-17T08:55:46"/>
    <d v="2023-06-18T08:55:46"/>
    <d v="2023-06-18T08:55:46"/>
    <d v="2023-06-25T08:55:46"/>
    <n v="1"/>
    <d v="2023-06-26T08:55:46"/>
    <d v="2023-06-27T08:55:46"/>
    <d v="2023-06-28T08:55:46"/>
    <m/>
    <m/>
    <d v="2023-07-11T08:55:46"/>
    <m/>
    <m/>
    <n v="3"/>
    <n v="17"/>
    <n v="14"/>
    <x v="15"/>
    <n v="3"/>
    <d v="2023-09-16T08:55:46"/>
    <n v="1"/>
    <n v="23"/>
    <n v="10"/>
    <m/>
    <m/>
    <m/>
    <m/>
    <m/>
    <m/>
    <m/>
    <m/>
    <m/>
    <m/>
  </r>
  <r>
    <n v="2"/>
    <s v="2 | Program Office"/>
    <x v="1"/>
    <s v="Program Office - Senior"/>
    <s v="Supervisor"/>
    <s v="Program Office-Supervisor"/>
    <s v="Senior"/>
    <d v="2023-06-03T08:55:46"/>
    <d v="2023-06-05T08:55:46"/>
    <s v="Yes"/>
    <d v="2023-06-16T08:55:46"/>
    <s v="Accepted"/>
    <m/>
    <d v="2023-06-20T08:55:46"/>
    <s v="Accepted"/>
    <d v="2023-06-18T08:55:46"/>
    <d v="2023-06-22T08:55:46"/>
    <d v="2023-06-19T08:55:46"/>
    <d v="2023-06-25T08:55:46"/>
    <n v="1"/>
    <d v="2023-06-27T08:55:46"/>
    <d v="2023-06-29T08:55:46"/>
    <d v="2023-07-01T08:55:46"/>
    <m/>
    <m/>
    <d v="2023-07-15T08:55:46"/>
    <m/>
    <m/>
    <n v="2"/>
    <n v="13"/>
    <n v="11"/>
    <x v="20"/>
    <n v="3"/>
    <d v="2023-09-17T08:55:46"/>
    <n v="2"/>
    <n v="26"/>
    <n v="12"/>
    <m/>
    <m/>
    <m/>
    <m/>
    <m/>
    <m/>
    <m/>
    <m/>
    <m/>
    <m/>
  </r>
  <r>
    <n v="2965"/>
    <s v="2965 | Program Office"/>
    <x v="1"/>
    <s v="Program Office - Manager Level"/>
    <s v="Manager"/>
    <s v="Program Office-Manager"/>
    <s v="Manager Level"/>
    <d v="2022-05-19T06:38:26"/>
    <d v="2022-05-21T06:38:26"/>
    <s v="Yes"/>
    <d v="2022-05-28T06:38:26"/>
    <s v="Failed"/>
    <s v="Other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2866"/>
    <s v="2866 | Program Office"/>
    <x v="1"/>
    <s v="Program Office - Manager Level"/>
    <s v="Manager"/>
    <s v="Program Office-Manager"/>
    <s v="Manager Level"/>
    <d v="2022-10-15T06:23:31"/>
    <d v="2022-10-17T06:23:31"/>
    <s v="Yes"/>
    <d v="2022-10-27T06:23:31"/>
    <s v="Declined"/>
    <m/>
    <d v="2022-11-01T06:23:31"/>
    <s v="Declined"/>
    <m/>
    <m/>
    <d v="2022-10-31T06:23:31"/>
    <m/>
    <n v="0"/>
    <m/>
    <m/>
    <m/>
    <m/>
    <m/>
    <m/>
    <m/>
    <m/>
    <n v="2"/>
    <n v="12"/>
    <n v="10"/>
    <x v="20"/>
    <n v="4"/>
    <d v="2023-01-29T06:23:31"/>
    <s v=""/>
    <s v=""/>
    <s v=""/>
    <m/>
    <m/>
    <m/>
    <m/>
    <m/>
    <m/>
    <m/>
    <m/>
    <m/>
    <m/>
  </r>
  <r>
    <n v="2865"/>
    <s v="2865 | Program Office"/>
    <x v="1"/>
    <s v="Program Office - Manager Level"/>
    <s v="Manager"/>
    <s v="Program Office-Manager"/>
    <s v="Manager Level"/>
    <d v="2022-10-15T06:23:31"/>
    <d v="2022-10-16T06:23:31"/>
    <s v="Yes"/>
    <d v="2022-11-02T06:23:31"/>
    <s v="Declined"/>
    <m/>
    <d v="2022-11-07T06:23:31"/>
    <s v="Declined"/>
    <m/>
    <m/>
    <d v="2022-11-03T06:23:31"/>
    <m/>
    <n v="0"/>
    <m/>
    <m/>
    <m/>
    <m/>
    <m/>
    <m/>
    <m/>
    <m/>
    <n v="1"/>
    <n v="18"/>
    <n v="17"/>
    <x v="13"/>
    <n v="1"/>
    <d v="2023-02-01T06:23:31"/>
    <s v=""/>
    <s v=""/>
    <s v=""/>
    <m/>
    <m/>
    <m/>
    <m/>
    <m/>
    <m/>
    <m/>
    <m/>
    <m/>
    <m/>
  </r>
  <r>
    <n v="2856"/>
    <s v="2856 | Program Office"/>
    <x v="1"/>
    <s v="Program Office - Manager Level"/>
    <s v="Manager"/>
    <s v="Program Office-Manager"/>
    <s v="Manager Level"/>
    <d v="2023-04-18T11:59:33"/>
    <d v="2023-04-19T11:59:33"/>
    <s v="Yes"/>
    <d v="2023-04-30T11:59:33"/>
    <s v="Failed"/>
    <s v="Didn't pass technical test"/>
    <m/>
    <m/>
    <m/>
    <m/>
    <m/>
    <m/>
    <n v="0"/>
    <m/>
    <m/>
    <m/>
    <m/>
    <s v="Candidate"/>
    <m/>
    <m/>
    <m/>
    <n v="1"/>
    <n v="12"/>
    <n v="11"/>
    <x v="0"/>
    <s v=""/>
    <s v=""/>
    <s v=""/>
    <s v=""/>
    <s v=""/>
    <m/>
    <m/>
    <m/>
    <m/>
    <m/>
    <m/>
    <m/>
    <m/>
    <m/>
    <m/>
  </r>
  <r>
    <n v="2838"/>
    <s v="2838 | Program Office"/>
    <x v="1"/>
    <s v="Program Office - Manager Level"/>
    <s v="Manager"/>
    <s v="Program Office-Manager"/>
    <s v="Manager Level"/>
    <d v="2022-04-08T20:14:44"/>
    <d v="2022-04-09T20:14:44"/>
    <s v="Yes"/>
    <d v="2022-05-01T20:14:44"/>
    <s v="Failed"/>
    <s v="Not a culture fit"/>
    <m/>
    <m/>
    <m/>
    <m/>
    <d v="2022-05-02T20:14:44"/>
    <m/>
    <n v="0"/>
    <m/>
    <m/>
    <m/>
    <m/>
    <s v="Company"/>
    <m/>
    <m/>
    <m/>
    <n v="1"/>
    <n v="23"/>
    <n v="22"/>
    <x v="21"/>
    <n v="1"/>
    <d v="2022-07-31T20:14:44"/>
    <s v=""/>
    <s v=""/>
    <s v=""/>
    <m/>
    <m/>
    <m/>
    <m/>
    <m/>
    <m/>
    <m/>
    <m/>
    <m/>
    <m/>
  </r>
  <r>
    <n v="2832"/>
    <s v="2832 | Program Office"/>
    <x v="1"/>
    <s v="Program Office - Manager Level"/>
    <s v="Manager"/>
    <s v="Program Office-Manager"/>
    <s v="Manager Level"/>
    <d v="2022-04-12T20:14:44"/>
    <d v="2022-04-13T20:14:44"/>
    <s v="Yes"/>
    <d v="2022-05-02T20:14:44"/>
    <s v="Declined"/>
    <m/>
    <d v="2022-05-06T20:14:44"/>
    <s v="Declined"/>
    <m/>
    <m/>
    <d v="2022-05-04T20:14:44"/>
    <m/>
    <n v="0"/>
    <m/>
    <m/>
    <m/>
    <m/>
    <m/>
    <m/>
    <m/>
    <m/>
    <n v="1"/>
    <n v="20"/>
    <n v="19"/>
    <x v="7"/>
    <n v="2"/>
    <d v="2022-08-02T20:14:44"/>
    <s v=""/>
    <s v=""/>
    <s v=""/>
    <m/>
    <m/>
    <m/>
    <m/>
    <m/>
    <m/>
    <m/>
    <m/>
    <m/>
    <m/>
  </r>
  <r>
    <n v="2787"/>
    <s v="2787 | Program Office"/>
    <x v="1"/>
    <s v="Program Office - Manager Level"/>
    <s v="Manager"/>
    <s v="Program Office-Manager"/>
    <s v="Manager Level"/>
    <d v="2023-06-26T19:35:56"/>
    <d v="2023-06-29T19:35:56"/>
    <s v="Yes"/>
    <d v="2023-07-17T19:35:56"/>
    <s v="Failed"/>
    <s v="Salary expectation too high"/>
    <m/>
    <m/>
    <m/>
    <m/>
    <m/>
    <m/>
    <n v="0"/>
    <m/>
    <m/>
    <m/>
    <m/>
    <s v="Candidate"/>
    <m/>
    <m/>
    <m/>
    <n v="3"/>
    <n v="21"/>
    <n v="18"/>
    <x v="0"/>
    <s v=""/>
    <s v=""/>
    <s v=""/>
    <s v=""/>
    <s v=""/>
    <m/>
    <m/>
    <m/>
    <m/>
    <m/>
    <m/>
    <m/>
    <m/>
    <m/>
    <m/>
  </r>
  <r>
    <n v="2785"/>
    <s v="2785 | Program Office"/>
    <x v="1"/>
    <s v="Program Office - Manager Level"/>
    <s v="Manager"/>
    <s v="Program Office-Manager"/>
    <s v="Manager Level"/>
    <d v="2023-06-28T19:35:56"/>
    <d v="2023-07-01T19:35:56"/>
    <s v="Yes"/>
    <d v="2023-07-11T19:35:56"/>
    <s v="Failed"/>
    <s v="Salary expectation too high"/>
    <m/>
    <m/>
    <m/>
    <m/>
    <m/>
    <m/>
    <n v="0"/>
    <m/>
    <m/>
    <m/>
    <m/>
    <s v="Candidate"/>
    <m/>
    <m/>
    <m/>
    <n v="3"/>
    <n v="13"/>
    <n v="10"/>
    <x v="0"/>
    <s v=""/>
    <s v=""/>
    <s v=""/>
    <s v=""/>
    <s v=""/>
    <m/>
    <m/>
    <m/>
    <m/>
    <m/>
    <m/>
    <m/>
    <m/>
    <m/>
    <m/>
  </r>
  <r>
    <n v="2562"/>
    <s v="2562 | Program Office"/>
    <x v="1"/>
    <s v="Program Office - Manager Level"/>
    <s v="Manager"/>
    <s v="Program Office-Manager"/>
    <s v="Manager Level"/>
    <d v="2022-11-22T06:58:42"/>
    <d v="2022-11-26T06:58:42"/>
    <s v="Yes"/>
    <d v="2022-12-08T06:58:42"/>
    <s v="Declined"/>
    <m/>
    <d v="2022-12-16T06:58:42"/>
    <s v="Declined"/>
    <m/>
    <m/>
    <d v="2022-12-12T06:58:42"/>
    <m/>
    <n v="0"/>
    <m/>
    <m/>
    <m/>
    <m/>
    <m/>
    <m/>
    <m/>
    <m/>
    <n v="4"/>
    <n v="16"/>
    <n v="12"/>
    <x v="15"/>
    <n v="4"/>
    <d v="2023-03-12T06:58:42"/>
    <s v=""/>
    <s v=""/>
    <s v=""/>
    <m/>
    <m/>
    <m/>
    <m/>
    <m/>
    <m/>
    <m/>
    <m/>
    <m/>
    <m/>
  </r>
  <r>
    <n v="2561"/>
    <s v="2561 | Program Office"/>
    <x v="1"/>
    <s v="Program Office - Manager Level"/>
    <s v="Manager"/>
    <s v="Program Office-Manager"/>
    <s v="Manager Level"/>
    <d v="2022-11-21T06:58:42"/>
    <d v="2022-11-25T06:58:4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58"/>
    <s v="2558 | Program Office"/>
    <x v="1"/>
    <s v="Program Office - Manager Level"/>
    <s v="Manager"/>
    <s v="Program Office-Manager"/>
    <s v="Manager Level"/>
    <d v="2023-08-07T17:10:04"/>
    <d v="2023-08-08T17:10:04"/>
    <s v="Yes"/>
    <d v="2023-08-20T17:10:04"/>
    <s v="Failed"/>
    <s v="Position filled by another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2552"/>
    <s v="2552 | Program Office"/>
    <x v="1"/>
    <s v="Program Office - Manager Level"/>
    <s v="Manager"/>
    <s v="Program Office-Manager"/>
    <s v="Manager Level"/>
    <d v="2023-08-04T17:10:04"/>
    <d v="2023-08-08T17:10:04"/>
    <s v="Yes"/>
    <d v="2023-08-20T17:10:04"/>
    <s v="Accepted"/>
    <m/>
    <d v="2023-08-22T17:10:04"/>
    <s v="Accepted"/>
    <d v="2023-08-22T17:10:04"/>
    <d v="2023-08-24T17:10:04"/>
    <d v="2023-08-21T17:10:04"/>
    <d v="2023-08-24T17:10:04"/>
    <n v="1"/>
    <d v="2023-08-27T17:10:04"/>
    <d v="2023-08-29T17:10:04"/>
    <d v="2023-09-01T17:10:04"/>
    <m/>
    <m/>
    <d v="2023-09-15T17:10:04"/>
    <m/>
    <m/>
    <n v="4"/>
    <n v="16"/>
    <n v="12"/>
    <x v="14"/>
    <n v="1"/>
    <d v="2023-11-19T17:10:04"/>
    <n v="3"/>
    <n v="25"/>
    <n v="11"/>
    <m/>
    <m/>
    <m/>
    <m/>
    <m/>
    <m/>
    <m/>
    <m/>
    <m/>
    <m/>
  </r>
  <r>
    <n v="2511"/>
    <s v="2511 | Program Office"/>
    <x v="1"/>
    <s v="Program Office - Manager Level"/>
    <s v="Manager"/>
    <s v="Program Office-Manager"/>
    <s v="Manager Level"/>
    <d v="2023-09-05T03:11:54"/>
    <d v="2023-09-06T03:11:54"/>
    <s v="Yes"/>
    <d v="2023-09-13T03:11:54"/>
    <s v="Declined"/>
    <m/>
    <d v="2023-09-15T03:11:54"/>
    <s v="Declined"/>
    <m/>
    <m/>
    <d v="2023-09-14T03:11:54"/>
    <m/>
    <n v="0"/>
    <m/>
    <m/>
    <m/>
    <m/>
    <m/>
    <m/>
    <m/>
    <m/>
    <n v="1"/>
    <n v="8"/>
    <n v="7"/>
    <x v="4"/>
    <n v="1"/>
    <d v="2023-12-13T03:11:54"/>
    <s v=""/>
    <s v=""/>
    <s v=""/>
    <m/>
    <m/>
    <m/>
    <m/>
    <m/>
    <m/>
    <m/>
    <m/>
    <m/>
    <m/>
  </r>
  <r>
    <n v="2460"/>
    <s v="2460 | Program Office"/>
    <x v="1"/>
    <s v="Program Office - Manager Level"/>
    <s v="Manager"/>
    <s v="Program Office-Manager"/>
    <s v="Manager Level"/>
    <d v="2023-08-25T01:40:33"/>
    <d v="2023-08-28T01:40:33"/>
    <s v="Yes"/>
    <d v="2023-09-14T01:40:33"/>
    <s v="Declined"/>
    <m/>
    <d v="2023-09-18T01:40:33"/>
    <s v="Declined"/>
    <m/>
    <m/>
    <d v="2023-09-17T01:40:33"/>
    <m/>
    <n v="0"/>
    <m/>
    <m/>
    <m/>
    <m/>
    <m/>
    <m/>
    <m/>
    <m/>
    <n v="3"/>
    <n v="20"/>
    <n v="17"/>
    <x v="3"/>
    <n v="3"/>
    <d v="2023-12-16T01:40:33"/>
    <s v=""/>
    <s v=""/>
    <s v=""/>
    <m/>
    <m/>
    <m/>
    <m/>
    <m/>
    <m/>
    <m/>
    <m/>
    <m/>
    <m/>
  </r>
  <r>
    <n v="2444"/>
    <s v="2444 | Program Office"/>
    <x v="1"/>
    <s v="Program Office - Manager Level"/>
    <s v="Manager"/>
    <s v="Program Office-Manager"/>
    <s v="Manager Level"/>
    <d v="2022-11-03T18:32:00"/>
    <d v="2022-11-04T18:32:00"/>
    <s v="Yes"/>
    <d v="2022-11-23T18:32:00"/>
    <s v="Failed"/>
    <s v="Position filled by another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2410"/>
    <s v="2410 | Program Office"/>
    <x v="1"/>
    <s v="Program Office - Manager Level"/>
    <s v="Manager"/>
    <s v="Program Office-Manager"/>
    <s v="Manager Level"/>
    <d v="2023-03-28T02:03:49"/>
    <d v="2023-04-01T02:03:49"/>
    <s v="Yes"/>
    <d v="2023-04-07T02:03:49"/>
    <s v="Failed"/>
    <s v="Salary expectation too high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2405"/>
    <s v="2405 | Program Office"/>
    <x v="1"/>
    <s v="Program Office - Manager Level"/>
    <s v="Manager"/>
    <s v="Program Office-Manager"/>
    <s v="Manager Level"/>
    <d v="2023-03-30T02:03:49"/>
    <d v="2023-03-31T02:03:49"/>
    <s v="Yes"/>
    <d v="2023-04-13T02:03:49"/>
    <s v="Failed"/>
    <s v="Salary expectation too high"/>
    <m/>
    <m/>
    <m/>
    <m/>
    <m/>
    <m/>
    <n v="0"/>
    <m/>
    <m/>
    <m/>
    <m/>
    <s v="Candidate"/>
    <m/>
    <m/>
    <m/>
    <n v="1"/>
    <n v="14"/>
    <n v="13"/>
    <x v="0"/>
    <s v=""/>
    <s v=""/>
    <s v=""/>
    <s v=""/>
    <s v=""/>
    <m/>
    <m/>
    <m/>
    <m/>
    <m/>
    <m/>
    <m/>
    <m/>
    <m/>
    <m/>
  </r>
  <r>
    <n v="2388"/>
    <s v="2388 | Program Office"/>
    <x v="1"/>
    <s v="Program Office - Manager Level"/>
    <s v="Manager"/>
    <s v="Program Office-Manager"/>
    <s v="Manager Level"/>
    <d v="2023-04-13T12:42:32"/>
    <d v="2023-04-17T12:42:32"/>
    <s v="Yes"/>
    <d v="2023-04-30T12:42:32"/>
    <s v="Failed"/>
    <s v="Position filled by another"/>
    <m/>
    <m/>
    <m/>
    <m/>
    <d v="2023-05-04T12:42:32"/>
    <m/>
    <n v="0"/>
    <m/>
    <m/>
    <m/>
    <m/>
    <s v="Candidate"/>
    <m/>
    <m/>
    <m/>
    <n v="4"/>
    <n v="17"/>
    <n v="13"/>
    <x v="19"/>
    <n v="4"/>
    <d v="2023-08-02T12:42:32"/>
    <s v=""/>
    <s v=""/>
    <s v=""/>
    <m/>
    <m/>
    <m/>
    <m/>
    <m/>
    <m/>
    <m/>
    <m/>
    <m/>
    <m/>
  </r>
  <r>
    <n v="2320"/>
    <s v="2320 | Program Office"/>
    <x v="1"/>
    <s v="Program Office - Manager Level"/>
    <s v="Manager"/>
    <s v="Program Office-Manager"/>
    <s v="Manager Level"/>
    <d v="2022-04-21T00:53:43"/>
    <d v="2022-04-25T00:53:43"/>
    <s v="Yes"/>
    <d v="2022-05-11T00:53:43"/>
    <s v="Failed"/>
    <s v="Not a culture fit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2262"/>
    <s v="2262 | Program Office"/>
    <x v="1"/>
    <s v="Program Office - Manager Level"/>
    <s v="Manager"/>
    <s v="Program Office-Manager"/>
    <s v="Manager Level"/>
    <d v="2023-04-15T22:30:17"/>
    <d v="2023-04-19T22:30:1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249"/>
    <s v="2249 | Program Office"/>
    <x v="1"/>
    <s v="Program Office - Manager Level"/>
    <s v="Cordination Manager"/>
    <s v="Program Office-Cordination Manager"/>
    <s v="Manager Level"/>
    <d v="2022-12-24T14:26:31"/>
    <d v="2022-12-28T14:26:31"/>
    <s v="Yes"/>
    <d v="2023-01-13T14:26:31"/>
    <s v="Failed"/>
    <s v="Position filled by another"/>
    <m/>
    <m/>
    <m/>
    <m/>
    <d v="2023-01-15T14:26:31"/>
    <m/>
    <n v="0"/>
    <m/>
    <m/>
    <m/>
    <m/>
    <s v="Candidate"/>
    <m/>
    <m/>
    <m/>
    <n v="4"/>
    <n v="20"/>
    <n v="16"/>
    <x v="7"/>
    <n v="2"/>
    <d v="2023-04-15T14:26:31"/>
    <s v=""/>
    <s v=""/>
    <s v=""/>
    <m/>
    <m/>
    <m/>
    <m/>
    <m/>
    <m/>
    <m/>
    <m/>
    <m/>
    <m/>
  </r>
  <r>
    <n v="2248"/>
    <s v="2248 | Program Office"/>
    <x v="1"/>
    <s v="Program Office - Manager Level"/>
    <s v="Cordination Manager"/>
    <s v="Program Office-Cordination Manager"/>
    <s v="Manager Level"/>
    <d v="2022-12-26T14:26:31"/>
    <d v="2022-12-28T14:26:31"/>
    <s v="Yes"/>
    <d v="2023-01-11T14:26:31"/>
    <s v="Failed"/>
    <s v="Position filled by another"/>
    <m/>
    <m/>
    <m/>
    <m/>
    <d v="2023-01-12T14:26:31"/>
    <m/>
    <n v="0"/>
    <m/>
    <m/>
    <m/>
    <m/>
    <s v="Candidate"/>
    <m/>
    <m/>
    <m/>
    <n v="2"/>
    <n v="16"/>
    <n v="14"/>
    <x v="14"/>
    <n v="1"/>
    <d v="2023-04-12T14:26:31"/>
    <s v=""/>
    <s v=""/>
    <s v=""/>
    <m/>
    <m/>
    <m/>
    <m/>
    <m/>
    <m/>
    <m/>
    <m/>
    <m/>
    <m/>
  </r>
  <r>
    <n v="2244"/>
    <s v="2244 | Program Office"/>
    <x v="1"/>
    <s v="Program Office - Manager Level"/>
    <s v="Cordination Manager"/>
    <s v="Program Office-Cordination Manager"/>
    <s v="Manager Level"/>
    <d v="2022-12-29T14:26:31"/>
    <d v="2022-12-30T14:26:31"/>
    <s v="Yes"/>
    <d v="2023-01-15T14:26:31"/>
    <s v="Accepted"/>
    <m/>
    <d v="2023-01-23T14:26:31"/>
    <s v="Accepted"/>
    <d v="2023-01-16T14:26:31"/>
    <d v="2023-01-19T14:26:31"/>
    <d v="2023-01-19T14:26:31"/>
    <d v="2023-01-20T14:26:31"/>
    <n v="1"/>
    <d v="2023-01-24T14:26:31"/>
    <d v="2023-01-25T14:26:31"/>
    <d v="2023-01-28T14:26:31"/>
    <m/>
    <m/>
    <d v="2023-02-05T14:26:31"/>
    <m/>
    <m/>
    <n v="1"/>
    <n v="17"/>
    <n v="16"/>
    <x v="19"/>
    <n v="4"/>
    <d v="2023-04-19T14:26:31"/>
    <n v="4"/>
    <n v="17"/>
    <n v="9"/>
    <m/>
    <m/>
    <m/>
    <m/>
    <m/>
    <m/>
    <m/>
    <m/>
    <m/>
    <m/>
  </r>
  <r>
    <n v="2219"/>
    <s v="2219 | Program Office"/>
    <x v="1"/>
    <s v="Program Office - Manager Level"/>
    <s v="Cordination Manager"/>
    <s v="Program Office-Cordination Manager"/>
    <s v="Manager Level"/>
    <d v="2022-03-23T20:57:24"/>
    <d v="2022-03-24T20:57:24"/>
    <s v="Yes"/>
    <d v="2022-04-01T20:57:24"/>
    <s v="Accepted"/>
    <m/>
    <d v="2022-04-08T20:57:24"/>
    <s v="Accepted"/>
    <d v="2022-04-02T20:57:24"/>
    <d v="2022-04-03T20:57:24"/>
    <d v="2022-04-05T20:57:24"/>
    <d v="2022-04-10T20:57:24"/>
    <n v="1"/>
    <d v="2022-04-12T20:57:24"/>
    <d v="2022-04-13T20:57:24"/>
    <d v="2022-04-16T20:57:24"/>
    <m/>
    <m/>
    <d v="2022-04-25T20:57:24"/>
    <m/>
    <m/>
    <n v="1"/>
    <n v="9"/>
    <n v="8"/>
    <x v="8"/>
    <n v="4"/>
    <d v="2022-07-04T20:57:24"/>
    <n v="2"/>
    <n v="20"/>
    <n v="11"/>
    <m/>
    <m/>
    <m/>
    <m/>
    <m/>
    <m/>
    <m/>
    <m/>
    <m/>
    <m/>
  </r>
  <r>
    <n v="2218"/>
    <s v="2218 | Program Office"/>
    <x v="1"/>
    <s v="Program Office - Manager Level"/>
    <s v="Cordination Manager"/>
    <s v="Program Office-Cordination Manager"/>
    <s v="Manager Level"/>
    <d v="2022-03-24T20:57:24"/>
    <d v="2022-03-26T20:57:24"/>
    <s v="Yes"/>
    <d v="2022-03-31T20:57:24"/>
    <s v="Failed"/>
    <s v="Other"/>
    <m/>
    <m/>
    <m/>
    <m/>
    <d v="2022-04-04T20:57:24"/>
    <m/>
    <n v="0"/>
    <m/>
    <m/>
    <m/>
    <m/>
    <s v="Company"/>
    <m/>
    <m/>
    <m/>
    <n v="2"/>
    <n v="7"/>
    <n v="5"/>
    <x v="9"/>
    <n v="4"/>
    <d v="2022-07-03T20:57:24"/>
    <s v=""/>
    <s v=""/>
    <s v=""/>
    <m/>
    <m/>
    <m/>
    <m/>
    <m/>
    <m/>
    <m/>
    <m/>
    <m/>
    <m/>
  </r>
  <r>
    <n v="2212"/>
    <s v="2212 | Program Office"/>
    <x v="1"/>
    <s v="Program Office - Manager Level"/>
    <s v="Cordination Manager"/>
    <s v="Program Office-Cordination Manager"/>
    <s v="Manager Level"/>
    <d v="2022-03-25T20:57:24"/>
    <d v="2022-03-26T20:57:2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170"/>
    <s v="2170 | Program Office"/>
    <x v="1"/>
    <s v="Program Office - Manager Level"/>
    <s v="Cordination Manager"/>
    <s v="Program Office-Cordination Manager"/>
    <s v="Manager Level"/>
    <d v="2022-08-23T01:58:08"/>
    <d v="2022-08-25T01:58:08"/>
    <s v="Yes"/>
    <d v="2022-09-11T01:58:08"/>
    <s v="Pending"/>
    <m/>
    <d v="2022-09-17T01:58:08"/>
    <s v="Pending"/>
    <m/>
    <m/>
    <d v="2022-09-13T01:58:08"/>
    <m/>
    <n v="0"/>
    <m/>
    <m/>
    <m/>
    <m/>
    <m/>
    <m/>
    <m/>
    <m/>
    <n v="2"/>
    <n v="19"/>
    <n v="17"/>
    <x v="19"/>
    <n v="2"/>
    <d v="2022-12-12T01:58:08"/>
    <s v=""/>
    <s v=""/>
    <s v=""/>
    <m/>
    <m/>
    <m/>
    <m/>
    <m/>
    <m/>
    <m/>
    <m/>
    <m/>
    <m/>
  </r>
  <r>
    <n v="2168"/>
    <s v="2168 | Program Office"/>
    <x v="1"/>
    <s v="Program Office - Manager Level"/>
    <s v="Cordination Manager"/>
    <s v="Program Office-Cordination Manager"/>
    <s v="Manager Level"/>
    <d v="2022-08-21T01:58:08"/>
    <d v="2022-08-25T01:58:0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162"/>
    <s v="2162 | Program Office"/>
    <x v="1"/>
    <s v="Program Office - Manager Level"/>
    <s v="Cordination Manager"/>
    <s v="Program Office-Cordination Manager"/>
    <s v="Manager Level"/>
    <d v="2022-08-23T01:58:08"/>
    <d v="2022-08-25T01:58:08"/>
    <s v="Yes"/>
    <d v="2022-09-01T01:58:08"/>
    <s v="Declined"/>
    <m/>
    <d v="2022-09-09T01:58:08"/>
    <s v="Declined"/>
    <m/>
    <m/>
    <d v="2022-09-05T01:58:08"/>
    <m/>
    <n v="0"/>
    <m/>
    <m/>
    <m/>
    <m/>
    <m/>
    <m/>
    <m/>
    <m/>
    <n v="2"/>
    <n v="9"/>
    <n v="7"/>
    <x v="8"/>
    <n v="4"/>
    <d v="2022-12-04T01:58:08"/>
    <s v=""/>
    <s v=""/>
    <s v=""/>
    <m/>
    <m/>
    <m/>
    <m/>
    <m/>
    <m/>
    <m/>
    <m/>
    <m/>
    <m/>
  </r>
  <r>
    <n v="2124"/>
    <s v="2124 | Program Office"/>
    <x v="1"/>
    <s v="Program Office - Manager Level"/>
    <s v="Cordination Manager"/>
    <s v="Program Office-Cordination Manager"/>
    <s v="Manager Level"/>
    <d v="2023-01-01T11:21:38"/>
    <d v="2023-01-03T11:21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23"/>
    <s v="2123 | Program Office"/>
    <x v="1"/>
    <s v="Program Office - Manager Level"/>
    <s v="Cordination Manager"/>
    <s v="Program Office-Cordination Manager"/>
    <s v="Manager Level"/>
    <d v="2023-01-03T11:21:38"/>
    <d v="2023-01-05T11:21:38"/>
    <s v="Yes"/>
    <d v="2023-01-12T11:21:38"/>
    <s v="Declined"/>
    <m/>
    <d v="2023-01-19T11:21:38"/>
    <s v="Declined"/>
    <m/>
    <m/>
    <d v="2023-01-15T11:21:38"/>
    <m/>
    <n v="0"/>
    <m/>
    <m/>
    <m/>
    <m/>
    <m/>
    <m/>
    <m/>
    <m/>
    <n v="2"/>
    <n v="9"/>
    <n v="7"/>
    <x v="24"/>
    <n v="3"/>
    <d v="2023-04-15T11:21:38"/>
    <s v=""/>
    <s v=""/>
    <s v=""/>
    <m/>
    <m/>
    <m/>
    <m/>
    <m/>
    <m/>
    <m/>
    <m/>
    <m/>
    <m/>
  </r>
  <r>
    <n v="2121"/>
    <s v="2121 | Program Office"/>
    <x v="1"/>
    <s v="Program Office - Manager Level"/>
    <s v="Cordination Manager"/>
    <s v="Program Office-Cordination Manager"/>
    <s v="Manager Level"/>
    <d v="2022-12-31T11:21:38"/>
    <d v="2023-01-04T11:21:3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118"/>
    <s v="2118 | Program Office"/>
    <x v="1"/>
    <s v="Program Office - Manager Level"/>
    <s v="Cordination Manager"/>
    <s v="Program Office-Cordination Manager"/>
    <s v="Manager Level"/>
    <d v="2023-04-13T01:19:50"/>
    <d v="2023-04-17T01:19:50"/>
    <s v="Yes"/>
    <d v="2023-04-26T01:19:50"/>
    <s v="Failed"/>
    <s v="Salary expectation too high"/>
    <m/>
    <m/>
    <m/>
    <m/>
    <d v="2023-04-27T01:19:50"/>
    <m/>
    <n v="0"/>
    <m/>
    <m/>
    <m/>
    <m/>
    <s v="Company"/>
    <m/>
    <m/>
    <m/>
    <n v="4"/>
    <n v="13"/>
    <n v="9"/>
    <x v="1"/>
    <n v="1"/>
    <d v="2023-07-26T01:19:50"/>
    <s v=""/>
    <s v=""/>
    <s v=""/>
    <m/>
    <m/>
    <m/>
    <m/>
    <m/>
    <m/>
    <m/>
    <m/>
    <m/>
    <m/>
  </r>
  <r>
    <n v="2112"/>
    <s v="2112 | Program Office"/>
    <x v="1"/>
    <s v="Program Office - Manager Level"/>
    <s v="Cordination Manager"/>
    <s v="Program Office-Cordination Manager"/>
    <s v="Manager Level"/>
    <d v="2023-04-17T01:19:50"/>
    <d v="2023-04-20T01:19:50"/>
    <s v="Yes"/>
    <d v="2023-05-01T01:19:50"/>
    <s v="Failed"/>
    <s v="Not a culture fit"/>
    <m/>
    <m/>
    <m/>
    <m/>
    <m/>
    <m/>
    <n v="0"/>
    <m/>
    <m/>
    <m/>
    <m/>
    <s v="Company"/>
    <m/>
    <m/>
    <m/>
    <n v="3"/>
    <n v="14"/>
    <n v="11"/>
    <x v="0"/>
    <s v=""/>
    <s v=""/>
    <s v=""/>
    <s v=""/>
    <s v=""/>
    <m/>
    <m/>
    <m/>
    <m/>
    <m/>
    <m/>
    <m/>
    <m/>
    <m/>
    <m/>
  </r>
  <r>
    <n v="2061"/>
    <s v="2061 | Program Office"/>
    <x v="1"/>
    <s v="Program Office - Manager Level"/>
    <s v="Cordination Manager"/>
    <s v="Program Office-Cordination Manager"/>
    <s v="Manager Level"/>
    <d v="2022-11-01T18:46:55"/>
    <d v="2022-11-05T18:46:55"/>
    <s v="Yes"/>
    <d v="2022-11-13T18:46:55"/>
    <s v="Failed"/>
    <s v="Position filled by another"/>
    <m/>
    <m/>
    <m/>
    <m/>
    <m/>
    <m/>
    <n v="0"/>
    <m/>
    <m/>
    <m/>
    <m/>
    <s v="Company"/>
    <m/>
    <m/>
    <m/>
    <n v="4"/>
    <n v="12"/>
    <n v="8"/>
    <x v="0"/>
    <s v=""/>
    <s v=""/>
    <s v=""/>
    <s v=""/>
    <s v=""/>
    <m/>
    <m/>
    <m/>
    <m/>
    <m/>
    <m/>
    <m/>
    <m/>
    <m/>
    <m/>
  </r>
  <r>
    <n v="2009"/>
    <s v="2009 | Program Office"/>
    <x v="1"/>
    <s v="Program Office - Manager Level"/>
    <s v="Cordination Manager"/>
    <s v="Program Office-Cordination Manager"/>
    <s v="Manager Level"/>
    <d v="2022-07-06T03:08:50"/>
    <d v="2022-07-08T03:08:50"/>
    <s v="Yes"/>
    <d v="2022-07-27T03:08:50"/>
    <s v="Declined"/>
    <m/>
    <d v="2022-08-02T03:08:50"/>
    <s v="Declined"/>
    <m/>
    <m/>
    <d v="2022-07-30T03:08:50"/>
    <m/>
    <n v="0"/>
    <m/>
    <m/>
    <m/>
    <m/>
    <m/>
    <m/>
    <m/>
    <m/>
    <n v="2"/>
    <n v="21"/>
    <n v="19"/>
    <x v="21"/>
    <n v="3"/>
    <d v="2022-10-28T03:08:50"/>
    <s v=""/>
    <s v=""/>
    <s v=""/>
    <m/>
    <m/>
    <m/>
    <m/>
    <m/>
    <m/>
    <m/>
    <m/>
    <m/>
    <m/>
  </r>
  <r>
    <n v="2007"/>
    <s v="2007 | Program Office"/>
    <x v="1"/>
    <s v="Program Office - Manager Level"/>
    <s v="Cordination Manager"/>
    <s v="Program Office-Cordination Manager"/>
    <s v="Manager Level"/>
    <d v="2022-07-07T03:08:50"/>
    <d v="2022-07-08T03:08:50"/>
    <s v="Yes"/>
    <d v="2022-07-22T03:08:50"/>
    <s v="Accepted"/>
    <m/>
    <d v="2022-07-27T03:08:50"/>
    <s v="Accepted"/>
    <d v="2022-07-24T03:08:50"/>
    <d v="2022-07-26T03:08:50"/>
    <d v="2022-07-23T03:08:50"/>
    <d v="2022-08-01T03:08:50"/>
    <n v="1"/>
    <d v="2022-08-05T03:08:50"/>
    <d v="2022-08-07T03:08:50"/>
    <d v="2022-08-09T03:08:50"/>
    <m/>
    <m/>
    <d v="2022-08-29T03:08:50"/>
    <m/>
    <m/>
    <n v="1"/>
    <n v="15"/>
    <n v="14"/>
    <x v="20"/>
    <n v="1"/>
    <d v="2022-10-21T03:08:50"/>
    <n v="4"/>
    <n v="37"/>
    <n v="17"/>
    <m/>
    <m/>
    <m/>
    <m/>
    <m/>
    <m/>
    <m/>
    <m/>
    <m/>
    <m/>
  </r>
  <r>
    <n v="2003"/>
    <s v="2003 | Program Office"/>
    <x v="1"/>
    <s v="Program Office - Manager Level"/>
    <s v="Cordination Manager"/>
    <s v="Program Office-Cordination Manager"/>
    <s v="Manager Level"/>
    <d v="2022-07-08T03:08:50"/>
    <d v="2022-07-09T03:08:50"/>
    <s v="Yes"/>
    <d v="2022-07-20T03:08:50"/>
    <s v="Failed"/>
    <s v="Other"/>
    <m/>
    <m/>
    <m/>
    <m/>
    <d v="2022-07-24T03:08:50"/>
    <m/>
    <n v="0"/>
    <m/>
    <m/>
    <m/>
    <m/>
    <s v="Company"/>
    <m/>
    <m/>
    <m/>
    <n v="1"/>
    <n v="12"/>
    <n v="11"/>
    <x v="20"/>
    <n v="4"/>
    <d v="2022-10-22T03:08:50"/>
    <s v=""/>
    <s v=""/>
    <s v=""/>
    <m/>
    <m/>
    <m/>
    <m/>
    <m/>
    <m/>
    <m/>
    <m/>
    <m/>
    <m/>
  </r>
  <r>
    <n v="2002"/>
    <s v="2002 | Program Office"/>
    <x v="1"/>
    <s v="Program Office - Manager Level"/>
    <s v="Cordination Manager"/>
    <s v="Program Office-Cordination Manager"/>
    <s v="Manager Level"/>
    <d v="2022-07-09T03:08:50"/>
    <d v="2022-07-12T03:08:50"/>
    <s v="Yes"/>
    <d v="2022-07-23T03:08:50"/>
    <s v="Failed"/>
    <s v="Didn't pass technical test"/>
    <m/>
    <m/>
    <m/>
    <m/>
    <d v="2022-07-27T03:08:50"/>
    <m/>
    <n v="0"/>
    <m/>
    <m/>
    <m/>
    <m/>
    <s v="Candidate"/>
    <m/>
    <m/>
    <m/>
    <n v="3"/>
    <n v="14"/>
    <n v="11"/>
    <x v="12"/>
    <n v="4"/>
    <d v="2022-10-25T03:08:50"/>
    <s v=""/>
    <s v=""/>
    <s v=""/>
    <m/>
    <m/>
    <m/>
    <m/>
    <m/>
    <m/>
    <m/>
    <m/>
    <m/>
    <m/>
  </r>
  <r>
    <n v="1990"/>
    <s v="1990 | Program Office"/>
    <x v="1"/>
    <s v="Program Office - Manager Level"/>
    <s v="Cordination Manager"/>
    <s v="Program Office-Cordination Manager"/>
    <s v="Manager Level"/>
    <d v="2022-02-06T08:53:26"/>
    <d v="2022-02-08T08:53:26"/>
    <s v="Yes"/>
    <d v="2022-02-21T08:53:26"/>
    <s v="Failed"/>
    <s v="Salary expectation too high"/>
    <m/>
    <m/>
    <m/>
    <m/>
    <d v="2022-02-22T08:53:26"/>
    <m/>
    <n v="0"/>
    <m/>
    <m/>
    <m/>
    <m/>
    <s v="Company"/>
    <m/>
    <m/>
    <m/>
    <n v="2"/>
    <n v="15"/>
    <n v="13"/>
    <x v="20"/>
    <n v="1"/>
    <d v="2022-05-23T08:53:26"/>
    <s v=""/>
    <s v=""/>
    <s v=""/>
    <m/>
    <m/>
    <m/>
    <m/>
    <m/>
    <m/>
    <m/>
    <m/>
    <m/>
    <m/>
  </r>
  <r>
    <n v="1971"/>
    <s v="1971 | Program Office"/>
    <x v="1"/>
    <s v="Program Office - Manager Level"/>
    <s v="Cordination Manager"/>
    <s v="Program Office-Cordination Manager"/>
    <s v="Manager Level"/>
    <d v="2022-10-22T11:57:41"/>
    <d v="2022-10-23T11:57:41"/>
    <s v="Yes"/>
    <d v="2022-11-06T11:57:41"/>
    <s v="Failed"/>
    <s v="Salary expectation too high"/>
    <m/>
    <m/>
    <m/>
    <m/>
    <m/>
    <m/>
    <n v="0"/>
    <m/>
    <m/>
    <m/>
    <m/>
    <s v="Candidate"/>
    <m/>
    <m/>
    <m/>
    <n v="1"/>
    <n v="15"/>
    <n v="14"/>
    <x v="0"/>
    <s v=""/>
    <s v=""/>
    <s v=""/>
    <s v=""/>
    <s v=""/>
    <m/>
    <m/>
    <m/>
    <m/>
    <m/>
    <m/>
    <m/>
    <m/>
    <m/>
    <m/>
  </r>
  <r>
    <n v="1859"/>
    <s v="1859 | Program Office"/>
    <x v="1"/>
    <s v="Program Office - Manager Level"/>
    <s v="Cordination Manager"/>
    <s v="Program Office-Cordination Manager"/>
    <s v="Manager Level"/>
    <d v="2022-11-13T01:50:58"/>
    <d v="2022-11-14T01:50:58"/>
    <s v="Yes"/>
    <d v="2022-11-27T01:50:58"/>
    <s v="Failed"/>
    <s v="Position filled by another"/>
    <m/>
    <m/>
    <m/>
    <m/>
    <m/>
    <m/>
    <n v="0"/>
    <m/>
    <m/>
    <m/>
    <m/>
    <s v="Candidate"/>
    <m/>
    <m/>
    <m/>
    <n v="1"/>
    <n v="14"/>
    <n v="13"/>
    <x v="0"/>
    <s v=""/>
    <s v=""/>
    <s v=""/>
    <s v=""/>
    <s v=""/>
    <m/>
    <m/>
    <m/>
    <m/>
    <m/>
    <m/>
    <m/>
    <m/>
    <m/>
    <m/>
  </r>
  <r>
    <n v="1856"/>
    <s v="1856 | Program Office"/>
    <x v="1"/>
    <s v="Program Office - Manager Level"/>
    <s v="Cordination Manager"/>
    <s v="Program Office-Cordination Manager"/>
    <s v="Manager Level"/>
    <d v="2022-11-13T01:50:58"/>
    <d v="2022-11-16T01:50:58"/>
    <s v="Yes"/>
    <d v="2022-12-01T01:50:58"/>
    <s v="Accepted"/>
    <m/>
    <d v="2022-12-05T01:50:58"/>
    <s v="Accepted"/>
    <d v="2022-12-02T01:50:58"/>
    <d v="2022-12-03T01:50:58"/>
    <d v="2022-12-03T01:50:58"/>
    <d v="2022-12-08T01:50:58"/>
    <n v="1"/>
    <d v="2022-12-12T01:50:58"/>
    <d v="2022-12-13T01:50:58"/>
    <d v="2022-12-16T01:50:58"/>
    <m/>
    <m/>
    <d v="2022-12-23T01:50:58"/>
    <m/>
    <m/>
    <n v="3"/>
    <n v="18"/>
    <n v="15"/>
    <x v="15"/>
    <n v="2"/>
    <d v="2023-03-03T01:50:58"/>
    <n v="4"/>
    <n v="20"/>
    <n v="13"/>
    <m/>
    <m/>
    <m/>
    <m/>
    <m/>
    <m/>
    <m/>
    <m/>
    <m/>
    <m/>
  </r>
  <r>
    <n v="1812"/>
    <s v="1812 | Program Office"/>
    <x v="1"/>
    <s v="Program Office - Manager Level"/>
    <s v="Cordination Manager"/>
    <s v="Program Office-Cordination Manager"/>
    <s v="Manager Level"/>
    <d v="2022-09-18T04:28:24"/>
    <d v="2022-09-19T04:28:24"/>
    <s v="Yes"/>
    <d v="2022-10-04T04:28:24"/>
    <s v="Pending"/>
    <m/>
    <d v="2022-10-06T04:28:24"/>
    <s v="Pending"/>
    <m/>
    <m/>
    <d v="2022-10-05T04:28:24"/>
    <m/>
    <n v="0"/>
    <m/>
    <m/>
    <m/>
    <m/>
    <m/>
    <m/>
    <m/>
    <m/>
    <n v="1"/>
    <n v="16"/>
    <n v="15"/>
    <x v="14"/>
    <n v="1"/>
    <d v="2023-01-03T04:28:24"/>
    <s v=""/>
    <s v=""/>
    <s v=""/>
    <m/>
    <m/>
    <m/>
    <m/>
    <m/>
    <m/>
    <m/>
    <m/>
    <m/>
    <m/>
  </r>
  <r>
    <n v="1811"/>
    <s v="1811 | Program Office"/>
    <x v="1"/>
    <s v="Program Office - Manager Level"/>
    <s v="Cordination Manager"/>
    <s v="Program Office-Cordination Manager"/>
    <s v="Manager Level"/>
    <d v="2022-09-17T04:28:24"/>
    <d v="2022-09-20T04:28:24"/>
    <s v="Yes"/>
    <d v="2022-10-01T04:28:24"/>
    <s v="Failed"/>
    <s v="Position filled by an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1808"/>
    <s v="1808 | Program Office"/>
    <x v="1"/>
    <s v="Program Office - Manager Level"/>
    <s v="Cordination Manager"/>
    <s v="Program Office-Cordination Manager"/>
    <s v="Manager Level"/>
    <d v="2023-07-11T00:25:30"/>
    <d v="2023-07-15T00:25:30"/>
    <s v="Yes"/>
    <d v="2023-07-22T00:25:30"/>
    <s v="Failed"/>
    <s v="Other"/>
    <m/>
    <m/>
    <m/>
    <m/>
    <m/>
    <m/>
    <n v="0"/>
    <m/>
    <m/>
    <m/>
    <m/>
    <s v="Candidate"/>
    <m/>
    <m/>
    <m/>
    <n v="4"/>
    <n v="11"/>
    <n v="7"/>
    <x v="0"/>
    <s v=""/>
    <s v=""/>
    <s v=""/>
    <s v=""/>
    <s v=""/>
    <m/>
    <m/>
    <m/>
    <m/>
    <m/>
    <m/>
    <m/>
    <m/>
    <m/>
    <m/>
  </r>
  <r>
    <n v="1802"/>
    <s v="1802 | Program Office"/>
    <x v="1"/>
    <s v="Program Office - Manager Level"/>
    <s v="Cordination Manager"/>
    <s v="Program Office-Cordination Manager"/>
    <s v="Manager Level"/>
    <d v="2023-07-18T00:25:30"/>
    <d v="2023-07-19T00:25:30"/>
    <s v="Yes"/>
    <d v="2023-07-24T00:25:30"/>
    <s v="Accepted"/>
    <m/>
    <d v="2023-07-30T00:25:30"/>
    <s v="Accepted"/>
    <d v="2023-07-25T00:25:30"/>
    <d v="2023-07-27T00:25:30"/>
    <d v="2023-07-28T00:25:30"/>
    <d v="2023-07-29T00:25:30"/>
    <n v="1"/>
    <d v="2023-08-01T00:25:30"/>
    <d v="2023-08-02T00:25:30"/>
    <d v="2023-08-05T00:25:30"/>
    <m/>
    <m/>
    <d v="2023-08-17T00:25:30"/>
    <m/>
    <m/>
    <n v="1"/>
    <n v="6"/>
    <n v="5"/>
    <x v="22"/>
    <n v="4"/>
    <d v="2023-10-26T00:25:30"/>
    <n v="3"/>
    <n v="20"/>
    <n v="8"/>
    <m/>
    <m/>
    <m/>
    <m/>
    <m/>
    <m/>
    <m/>
    <m/>
    <m/>
    <m/>
  </r>
  <r>
    <n v="1794"/>
    <s v="1794 | Program Office"/>
    <x v="1"/>
    <s v="Program Office - Manager Level"/>
    <s v="Cordination Manager"/>
    <s v="Program Office-Cordination Manager"/>
    <s v="Manager Level"/>
    <d v="2022-09-26T11:30:38"/>
    <d v="2022-09-28T11:30:38"/>
    <s v="Yes"/>
    <d v="2022-10-12T11:30:38"/>
    <s v="Failed"/>
    <s v="Position filled by another"/>
    <m/>
    <m/>
    <m/>
    <m/>
    <d v="2022-10-16T11:30:38"/>
    <m/>
    <n v="0"/>
    <m/>
    <m/>
    <m/>
    <m/>
    <s v="Candidate"/>
    <m/>
    <m/>
    <m/>
    <n v="2"/>
    <n v="16"/>
    <n v="14"/>
    <x v="15"/>
    <n v="4"/>
    <d v="2023-01-14T11:30:38"/>
    <s v=""/>
    <s v=""/>
    <s v=""/>
    <m/>
    <m/>
    <m/>
    <m/>
    <m/>
    <m/>
    <m/>
    <m/>
    <m/>
    <m/>
  </r>
  <r>
    <n v="1792"/>
    <s v="1792 | Program Office"/>
    <x v="1"/>
    <s v="Program Office - Manager Level"/>
    <s v="Cordination Manager"/>
    <s v="Program Office-Cordination Manager"/>
    <s v="Manager Level"/>
    <d v="2022-09-24T11:30:38"/>
    <d v="2022-09-27T11:30:3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81"/>
    <s v="1681 | Program Office"/>
    <x v="1"/>
    <s v="Program Office - Manager Level"/>
    <s v="Cordination Manager"/>
    <s v="Program Office-Cordination Manager"/>
    <s v="Manager Level"/>
    <d v="2022-04-13T06:44:01"/>
    <d v="2022-04-14T06:44:01"/>
    <s v="Yes"/>
    <d v="2022-04-26T06:44:01"/>
    <s v="Failed"/>
    <s v="Salary expectation too high"/>
    <m/>
    <m/>
    <m/>
    <m/>
    <d v="2022-04-27T06:44:01"/>
    <m/>
    <n v="0"/>
    <m/>
    <m/>
    <m/>
    <m/>
    <s v="Candidate"/>
    <m/>
    <m/>
    <m/>
    <n v="1"/>
    <n v="13"/>
    <n v="12"/>
    <x v="1"/>
    <n v="1"/>
    <d v="2022-07-26T06:44:01"/>
    <s v=""/>
    <s v=""/>
    <s v=""/>
    <m/>
    <m/>
    <m/>
    <m/>
    <m/>
    <m/>
    <m/>
    <m/>
    <m/>
    <m/>
  </r>
  <r>
    <n v="1670"/>
    <s v="1670 | Program Office"/>
    <x v="1"/>
    <s v="Program Office - Manager Level"/>
    <s v="Cordination Manager"/>
    <s v="Program Office-Cordination Manager"/>
    <s v="Manager Level"/>
    <d v="2022-04-23T22:26:54"/>
    <d v="2022-04-25T22:26:5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666"/>
    <s v="1666 | Program Office"/>
    <x v="1"/>
    <s v="Program Office - Manager Level"/>
    <s v="Cordination Manager"/>
    <s v="Program Office-Cordination Manager"/>
    <s v="Manager Level"/>
    <d v="2022-04-22T22:26:54"/>
    <d v="2022-04-26T22:26:54"/>
    <s v="Yes"/>
    <d v="2022-05-15T22:26:54"/>
    <s v="Declined"/>
    <m/>
    <d v="2022-05-20T22:26:54"/>
    <s v="Declined"/>
    <m/>
    <m/>
    <d v="2022-05-18T22:26:54"/>
    <m/>
    <n v="0"/>
    <m/>
    <m/>
    <m/>
    <m/>
    <m/>
    <m/>
    <m/>
    <m/>
    <n v="4"/>
    <n v="23"/>
    <n v="19"/>
    <x v="25"/>
    <n v="3"/>
    <d v="2022-08-16T22:26:54"/>
    <s v=""/>
    <s v=""/>
    <s v=""/>
    <m/>
    <m/>
    <m/>
    <m/>
    <m/>
    <m/>
    <m/>
    <m/>
    <m/>
    <m/>
  </r>
  <r>
    <n v="1663"/>
    <s v="1663 | Program Office"/>
    <x v="1"/>
    <s v="Program Office - Manager Level"/>
    <s v="Cordination Manager"/>
    <s v="Program Office-Cordination Manager"/>
    <s v="Manager Level"/>
    <d v="2022-04-22T22:26:54"/>
    <d v="2022-04-24T22:26:54"/>
    <s v="Yes"/>
    <d v="2022-05-09T22:26:54"/>
    <s v="Failed"/>
    <s v="Other"/>
    <m/>
    <m/>
    <m/>
    <m/>
    <m/>
    <m/>
    <n v="0"/>
    <m/>
    <m/>
    <m/>
    <m/>
    <s v="Company"/>
    <m/>
    <m/>
    <m/>
    <n v="2"/>
    <n v="17"/>
    <n v="15"/>
    <x v="0"/>
    <s v=""/>
    <s v=""/>
    <s v=""/>
    <s v=""/>
    <s v=""/>
    <m/>
    <m/>
    <m/>
    <m/>
    <m/>
    <m/>
    <m/>
    <m/>
    <m/>
    <m/>
  </r>
  <r>
    <n v="1662"/>
    <s v="1662 | Program Office"/>
    <x v="1"/>
    <s v="Program Office - Manager Level"/>
    <s v="Cordination Manager"/>
    <s v="Program Office-Cordination Manager"/>
    <s v="Manager Level"/>
    <d v="2022-04-20T22:26:54"/>
    <d v="2022-04-23T22:26:54"/>
    <s v="Yes"/>
    <d v="2022-05-11T22:26:54"/>
    <s v="Failed"/>
    <s v="Not a culture fit"/>
    <m/>
    <m/>
    <m/>
    <m/>
    <d v="2022-05-13T22:26:54"/>
    <m/>
    <n v="0"/>
    <m/>
    <m/>
    <m/>
    <m/>
    <s v="Candidate"/>
    <m/>
    <m/>
    <m/>
    <n v="3"/>
    <n v="21"/>
    <n v="18"/>
    <x v="3"/>
    <n v="2"/>
    <d v="2022-08-11T22:26:54"/>
    <s v=""/>
    <s v=""/>
    <s v=""/>
    <m/>
    <m/>
    <m/>
    <m/>
    <m/>
    <m/>
    <m/>
    <m/>
    <m/>
    <m/>
  </r>
  <r>
    <n v="1447"/>
    <s v="1447 | Program Office"/>
    <x v="1"/>
    <s v="Program Office - Manager Level"/>
    <s v="Cordination Manager"/>
    <s v="Program Office-Cordination Manager"/>
    <s v="Manager Level"/>
    <d v="2023-03-29T10:15:10"/>
    <d v="2023-03-30T10:15:10"/>
    <s v="Yes"/>
    <d v="2023-04-16T10:15:10"/>
    <s v="Accepted"/>
    <m/>
    <d v="2023-04-23T10:15:10"/>
    <s v="Accepted"/>
    <d v="2023-04-18T10:15:10"/>
    <d v="2023-04-21T10:15:10"/>
    <d v="2023-04-20T10:15:10"/>
    <d v="2023-04-22T10:15:10"/>
    <n v="1"/>
    <d v="2023-04-23T10:15:10"/>
    <d v="2023-04-25T10:15:10"/>
    <d v="2023-04-28T10:15:10"/>
    <m/>
    <m/>
    <d v="2023-05-15T10:15:10"/>
    <m/>
    <m/>
    <n v="1"/>
    <n v="18"/>
    <n v="17"/>
    <x v="7"/>
    <n v="4"/>
    <d v="2023-07-19T10:15:10"/>
    <n v="1"/>
    <n v="25"/>
    <n v="8"/>
    <m/>
    <m/>
    <m/>
    <m/>
    <m/>
    <m/>
    <m/>
    <m/>
    <m/>
    <m/>
  </r>
  <r>
    <n v="1446"/>
    <s v="1446 | Program Office"/>
    <x v="1"/>
    <s v="Program Office - Manager Level"/>
    <s v="Cordination Manager"/>
    <s v="Program Office-Cordination Manager"/>
    <s v="Manager Level"/>
    <d v="2023-03-30T10:15:10"/>
    <d v="2023-03-31T10:15:1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410"/>
    <s v="1410 | Program Office"/>
    <x v="1"/>
    <s v="Program Office - Manager Level"/>
    <s v="Cordination Manager"/>
    <s v="Program Office-Cordination Manager"/>
    <s v="Manager Level"/>
    <d v="2022-02-22T07:21:21"/>
    <d v="2022-02-25T07:21:21"/>
    <s v="Yes"/>
    <d v="2022-03-07T07:21:21"/>
    <s v="Failed"/>
    <s v="Not a culture fit"/>
    <m/>
    <m/>
    <m/>
    <m/>
    <m/>
    <m/>
    <n v="0"/>
    <m/>
    <m/>
    <m/>
    <m/>
    <s v="Candidate"/>
    <m/>
    <m/>
    <m/>
    <n v="3"/>
    <n v="13"/>
    <n v="10"/>
    <x v="0"/>
    <s v=""/>
    <s v=""/>
    <s v=""/>
    <s v=""/>
    <s v=""/>
    <m/>
    <m/>
    <m/>
    <m/>
    <m/>
    <m/>
    <m/>
    <m/>
    <m/>
    <m/>
  </r>
  <r>
    <n v="1382"/>
    <s v="1382 | Program Office"/>
    <x v="1"/>
    <s v="Program Office - Manager Level"/>
    <s v="Cordination Manager"/>
    <s v="Program Office-Cordination Manager"/>
    <s v="Manager Level"/>
    <d v="2023-04-26T17:36:15"/>
    <d v="2023-04-29T17:36:15"/>
    <s v="Yes"/>
    <d v="2023-05-07T17:36:15"/>
    <s v="Failed"/>
    <s v="Position filled by another"/>
    <m/>
    <m/>
    <m/>
    <m/>
    <d v="2023-05-11T17:36:15"/>
    <m/>
    <n v="0"/>
    <m/>
    <m/>
    <m/>
    <m/>
    <s v="Candidate"/>
    <m/>
    <m/>
    <m/>
    <n v="3"/>
    <n v="11"/>
    <n v="8"/>
    <x v="16"/>
    <n v="4"/>
    <d v="2023-08-09T17:36:15"/>
    <s v=""/>
    <s v=""/>
    <s v=""/>
    <m/>
    <m/>
    <m/>
    <m/>
    <m/>
    <m/>
    <m/>
    <m/>
    <m/>
    <m/>
  </r>
  <r>
    <n v="1328"/>
    <s v="1328 | Program Office"/>
    <x v="1"/>
    <s v="Program Office - Manager Level"/>
    <s v="Cordination Manager"/>
    <s v="Program Office-Cordination Manager"/>
    <s v="Manager Level"/>
    <d v="2023-08-19T04:29:27"/>
    <d v="2023-08-23T04:29:27"/>
    <s v="Yes"/>
    <d v="2023-08-31T04:29:27"/>
    <s v="Failed"/>
    <s v="Position filled by another"/>
    <m/>
    <m/>
    <m/>
    <m/>
    <d v="2023-09-02T04:29:27"/>
    <m/>
    <n v="0"/>
    <m/>
    <m/>
    <m/>
    <m/>
    <s v="Candidate"/>
    <m/>
    <m/>
    <m/>
    <n v="4"/>
    <n v="12"/>
    <n v="8"/>
    <x v="1"/>
    <n v="2"/>
    <d v="2023-12-01T04:29:27"/>
    <s v=""/>
    <s v=""/>
    <s v=""/>
    <m/>
    <m/>
    <m/>
    <m/>
    <m/>
    <m/>
    <m/>
    <m/>
    <m/>
    <m/>
  </r>
  <r>
    <n v="1327"/>
    <s v="1327 | Program Office"/>
    <x v="1"/>
    <s v="Program Office - Manager Level"/>
    <s v="Cordination Manager"/>
    <s v="Program Office-Cordination Manager"/>
    <s v="Manager Level"/>
    <d v="2023-08-23T04:29:27"/>
    <d v="2023-08-27T04:29:2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298"/>
    <s v="1298 | Program Office"/>
    <x v="1"/>
    <s v="Program Office - Manager Level"/>
    <s v="Cordination Manager"/>
    <s v="Program Office-Cordination Manager"/>
    <s v="Manager Level"/>
    <d v="2023-06-14T16:08:44"/>
    <d v="2023-06-16T16:08:44"/>
    <s v="Yes"/>
    <d v="2023-07-01T16:08:44"/>
    <s v="Failed"/>
    <s v="Didn't pass technical test"/>
    <m/>
    <m/>
    <m/>
    <m/>
    <m/>
    <m/>
    <n v="0"/>
    <m/>
    <m/>
    <m/>
    <m/>
    <s v="Company"/>
    <m/>
    <m/>
    <m/>
    <n v="2"/>
    <n v="17"/>
    <n v="15"/>
    <x v="0"/>
    <s v=""/>
    <s v=""/>
    <s v=""/>
    <s v=""/>
    <s v=""/>
    <m/>
    <m/>
    <m/>
    <m/>
    <m/>
    <m/>
    <m/>
    <m/>
    <m/>
    <m/>
  </r>
  <r>
    <n v="1291"/>
    <s v="1291 | Program Office"/>
    <x v="1"/>
    <s v="Program Office - Manager Level"/>
    <s v="Cordination Manager"/>
    <s v="Program Office-Cordination Manager"/>
    <s v="Manager Level"/>
    <d v="2023-06-15T16:08:44"/>
    <d v="2023-06-18T16:08:44"/>
    <s v="Yes"/>
    <d v="2023-06-27T16:08:44"/>
    <s v="Failed"/>
    <s v="Didn't pass technical test"/>
    <m/>
    <m/>
    <m/>
    <m/>
    <d v="2023-06-28T16:08:44"/>
    <m/>
    <n v="0"/>
    <m/>
    <m/>
    <m/>
    <m/>
    <s v="Candidate"/>
    <m/>
    <m/>
    <m/>
    <n v="3"/>
    <n v="12"/>
    <n v="9"/>
    <x v="8"/>
    <n v="1"/>
    <d v="2023-09-26T16:08:44"/>
    <s v=""/>
    <s v=""/>
    <s v=""/>
    <m/>
    <m/>
    <m/>
    <m/>
    <m/>
    <m/>
    <m/>
    <m/>
    <m/>
    <m/>
  </r>
  <r>
    <n v="1157"/>
    <s v="1157 | Program Office"/>
    <x v="1"/>
    <s v="Program Office - Manager Level"/>
    <s v="Cordination Manager"/>
    <s v="Program Office-Cordination Manager"/>
    <s v="Manager Level"/>
    <d v="2022-03-18T19:24:36"/>
    <d v="2022-03-22T19:24:36"/>
    <s v="Yes"/>
    <d v="2022-04-05T19:24:36"/>
    <s v="Failed"/>
    <s v="Salary expectation too high"/>
    <m/>
    <m/>
    <m/>
    <m/>
    <d v="2022-04-08T19:24:36"/>
    <m/>
    <n v="0"/>
    <m/>
    <m/>
    <m/>
    <m/>
    <s v="Company"/>
    <m/>
    <m/>
    <m/>
    <n v="4"/>
    <n v="18"/>
    <n v="14"/>
    <x v="19"/>
    <n v="3"/>
    <d v="2022-07-07T19:24:36"/>
    <s v=""/>
    <s v=""/>
    <s v=""/>
    <m/>
    <m/>
    <m/>
    <m/>
    <m/>
    <m/>
    <m/>
    <m/>
    <m/>
    <m/>
  </r>
  <r>
    <n v="1155"/>
    <s v="1155 | Program Office"/>
    <x v="1"/>
    <s v="Program Office - Manager Level"/>
    <s v="Cordination Manager"/>
    <s v="Program Office-Cordination Manager"/>
    <s v="Manager Level"/>
    <d v="2022-03-18T19:24:36"/>
    <d v="2022-03-21T19:24:36"/>
    <s v="Yes"/>
    <d v="2022-03-29T19:24:36"/>
    <s v="Declined"/>
    <m/>
    <d v="2022-04-04T19:24:36"/>
    <s v="Declined"/>
    <m/>
    <m/>
    <d v="2022-04-01T19:24:36"/>
    <m/>
    <n v="0"/>
    <m/>
    <m/>
    <m/>
    <m/>
    <m/>
    <m/>
    <m/>
    <m/>
    <n v="3"/>
    <n v="11"/>
    <n v="8"/>
    <x v="1"/>
    <n v="3"/>
    <d v="2022-06-30T19:24:36"/>
    <s v=""/>
    <s v=""/>
    <s v=""/>
    <m/>
    <m/>
    <m/>
    <m/>
    <m/>
    <m/>
    <m/>
    <m/>
    <m/>
    <m/>
  </r>
  <r>
    <n v="1154"/>
    <s v="1154 | Program Office"/>
    <x v="1"/>
    <s v="Program Office - Manager Level"/>
    <s v="Cordination Manager"/>
    <s v="Program Office-Cordination Manager"/>
    <s v="Manager Level"/>
    <d v="2022-03-18T19:24:36"/>
    <d v="2022-03-20T19:24:36"/>
    <s v="Yes"/>
    <d v="2022-04-02T19:24:36"/>
    <s v="Declined"/>
    <m/>
    <d v="2022-04-10T19:24:36"/>
    <s v="Declined"/>
    <m/>
    <m/>
    <d v="2022-04-06T19:24:36"/>
    <m/>
    <n v="0"/>
    <m/>
    <m/>
    <m/>
    <m/>
    <m/>
    <m/>
    <m/>
    <m/>
    <n v="2"/>
    <n v="15"/>
    <n v="13"/>
    <x v="13"/>
    <n v="4"/>
    <d v="2022-07-05T19:24:36"/>
    <s v=""/>
    <s v=""/>
    <s v=""/>
    <m/>
    <m/>
    <m/>
    <m/>
    <m/>
    <m/>
    <m/>
    <m/>
    <m/>
    <m/>
  </r>
  <r>
    <n v="1152"/>
    <s v="1152 | Program Office"/>
    <x v="1"/>
    <s v="Program Office - Manager Level"/>
    <s v="Cordination Manager"/>
    <s v="Program Office-Cordination Manager"/>
    <s v="Manager Level"/>
    <d v="2022-03-15T19:24:36"/>
    <d v="2022-03-18T19:24:36"/>
    <s v="Yes"/>
    <d v="2022-04-07T19:24:36"/>
    <s v="Pending"/>
    <m/>
    <d v="2022-04-14T19:24:36"/>
    <s v="Pending"/>
    <m/>
    <m/>
    <d v="2022-04-11T19:24:36"/>
    <m/>
    <n v="0"/>
    <m/>
    <m/>
    <m/>
    <m/>
    <m/>
    <m/>
    <m/>
    <m/>
    <n v="3"/>
    <n v="23"/>
    <n v="20"/>
    <x v="18"/>
    <n v="4"/>
    <d v="2022-07-10T19:24:36"/>
    <s v=""/>
    <s v=""/>
    <s v=""/>
    <m/>
    <m/>
    <m/>
    <m/>
    <m/>
    <m/>
    <m/>
    <m/>
    <m/>
    <m/>
  </r>
  <r>
    <n v="1151"/>
    <s v="1151 | Program Office"/>
    <x v="1"/>
    <s v="Program Office - Manager Level"/>
    <s v="Cordination Manager"/>
    <s v="Program Office-Cordination Manager"/>
    <s v="Manager Level"/>
    <d v="2022-03-17T19:24:36"/>
    <d v="2022-03-21T19:24:36"/>
    <s v="Yes"/>
    <d v="2022-04-08T19:24:36"/>
    <s v="Declined"/>
    <m/>
    <d v="2022-04-13T19:24:36"/>
    <s v="Declined"/>
    <m/>
    <m/>
    <d v="2022-04-12T19:24:36"/>
    <m/>
    <n v="0"/>
    <m/>
    <m/>
    <m/>
    <m/>
    <m/>
    <m/>
    <m/>
    <m/>
    <n v="4"/>
    <n v="22"/>
    <n v="18"/>
    <x v="25"/>
    <n v="4"/>
    <d v="2022-07-11T19:24:36"/>
    <s v=""/>
    <s v=""/>
    <s v=""/>
    <m/>
    <m/>
    <m/>
    <m/>
    <m/>
    <m/>
    <m/>
    <m/>
    <m/>
    <m/>
  </r>
  <r>
    <n v="1000"/>
    <s v="1000 | Program Office"/>
    <x v="1"/>
    <s v="Program Office - Manager Level"/>
    <s v="Cordination Manager"/>
    <s v="Program Office-Cordination Manager"/>
    <s v="Manager Level"/>
    <d v="2023-03-30T20:36:08"/>
    <d v="2023-04-02T20:36:08"/>
    <s v="Yes"/>
    <d v="2023-04-17T20:36:08"/>
    <s v="Declined"/>
    <m/>
    <d v="2023-04-23T20:36:08"/>
    <s v="Declined"/>
    <m/>
    <m/>
    <d v="2023-04-21T20:36:08"/>
    <m/>
    <n v="0"/>
    <m/>
    <m/>
    <m/>
    <m/>
    <m/>
    <m/>
    <m/>
    <m/>
    <n v="3"/>
    <n v="18"/>
    <n v="15"/>
    <x v="7"/>
    <n v="4"/>
    <d v="2023-07-20T20:36:08"/>
    <s v=""/>
    <s v=""/>
    <s v=""/>
    <m/>
    <m/>
    <m/>
    <m/>
    <m/>
    <m/>
    <m/>
    <m/>
    <m/>
    <m/>
  </r>
  <r>
    <n v="992"/>
    <s v="992 | Program Office"/>
    <x v="1"/>
    <s v="Program Office - Manager Level"/>
    <s v="Cordination Manager"/>
    <s v="Program Office-Cordination Manager"/>
    <s v="Manager Level"/>
    <d v="2023-03-31T20:36:08"/>
    <d v="2023-04-02T20:36:08"/>
    <s v="Yes"/>
    <d v="2023-04-08T20:36:08"/>
    <s v="Failed"/>
    <s v="Position filled by another"/>
    <m/>
    <m/>
    <m/>
    <m/>
    <m/>
    <m/>
    <n v="0"/>
    <m/>
    <m/>
    <m/>
    <m/>
    <s v="Company"/>
    <m/>
    <m/>
    <m/>
    <n v="2"/>
    <n v="8"/>
    <n v="6"/>
    <x v="0"/>
    <s v=""/>
    <s v=""/>
    <s v=""/>
    <s v=""/>
    <s v=""/>
    <m/>
    <m/>
    <m/>
    <m/>
    <m/>
    <m/>
    <m/>
    <m/>
    <m/>
    <m/>
  </r>
  <r>
    <n v="991"/>
    <s v="991 | Program Office"/>
    <x v="1"/>
    <s v="Program Office - Manager Level"/>
    <s v="Cordination Manager"/>
    <s v="Program Office-Cordination Manager"/>
    <s v="Manager Level"/>
    <d v="2023-03-25T20:36:08"/>
    <d v="2023-03-29T20:36:08"/>
    <s v="Yes"/>
    <d v="2023-04-15T20:36:08"/>
    <s v="Accepted"/>
    <m/>
    <d v="2023-04-18T20:36:08"/>
    <s v="Accepted"/>
    <d v="2023-04-17T20:36:08"/>
    <d v="2023-04-21T20:36:08"/>
    <d v="2023-04-17T20:36:08"/>
    <d v="2023-04-24T20:36:08"/>
    <n v="1"/>
    <d v="2023-04-26T20:36:08"/>
    <d v="2023-04-28T20:36:08"/>
    <d v="2023-04-29T20:36:08"/>
    <m/>
    <m/>
    <d v="2023-05-14T20:36:08"/>
    <m/>
    <m/>
    <n v="4"/>
    <n v="21"/>
    <n v="17"/>
    <x v="3"/>
    <n v="2"/>
    <d v="2023-07-16T20:36:08"/>
    <n v="2"/>
    <n v="27"/>
    <n v="12"/>
    <m/>
    <m/>
    <m/>
    <m/>
    <m/>
    <m/>
    <m/>
    <m/>
    <m/>
    <m/>
  </r>
  <r>
    <n v="957"/>
    <s v="957 | Program Office"/>
    <x v="1"/>
    <s v="Program Office - Manager Level"/>
    <s v="Cordination Manager"/>
    <s v="Program Office-Cordination Manager"/>
    <s v="Manager Level"/>
    <d v="2023-08-03T23:55:51"/>
    <d v="2023-08-04T23:55:51"/>
    <s v="Yes"/>
    <d v="2023-08-23T23:55:51"/>
    <s v="Accepted"/>
    <m/>
    <d v="2023-08-30T23:55:51"/>
    <s v="Accepted"/>
    <d v="2023-08-25T23:55:51"/>
    <d v="2023-08-28T23:55:51"/>
    <d v="2023-08-26T23:55:51"/>
    <d v="2023-09-01T23:55:51"/>
    <n v="1"/>
    <d v="2023-09-05T23:55:51"/>
    <d v="2023-09-08T23:55:51"/>
    <d v="2023-09-09T23:55:51"/>
    <m/>
    <m/>
    <d v="2023-09-21T23:55:51"/>
    <m/>
    <m/>
    <n v="1"/>
    <n v="20"/>
    <n v="19"/>
    <x v="3"/>
    <n v="3"/>
    <d v="2023-11-24T23:55:51"/>
    <n v="4"/>
    <n v="26"/>
    <n v="14"/>
    <m/>
    <m/>
    <m/>
    <m/>
    <m/>
    <m/>
    <m/>
    <m/>
    <m/>
    <m/>
  </r>
  <r>
    <n v="956"/>
    <s v="956 | Program Office"/>
    <x v="1"/>
    <s v="Program Office - Manager Level"/>
    <s v="Cordination Manager"/>
    <s v="Program Office-Cordination Manager"/>
    <s v="Manager Level"/>
    <d v="2023-08-03T23:55:51"/>
    <d v="2023-08-05T23:55:51"/>
    <s v="Yes"/>
    <d v="2023-08-14T23:55:51"/>
    <s v="Failed"/>
    <s v="Position filled by another"/>
    <m/>
    <m/>
    <m/>
    <m/>
    <d v="2023-08-15T23:55:51"/>
    <m/>
    <n v="0"/>
    <m/>
    <m/>
    <m/>
    <m/>
    <s v="Company"/>
    <m/>
    <m/>
    <m/>
    <n v="2"/>
    <n v="11"/>
    <n v="9"/>
    <x v="24"/>
    <n v="1"/>
    <d v="2023-11-13T23:55:51"/>
    <s v=""/>
    <s v=""/>
    <s v=""/>
    <m/>
    <m/>
    <m/>
    <m/>
    <m/>
    <m/>
    <m/>
    <m/>
    <m/>
    <m/>
  </r>
  <r>
    <n v="948"/>
    <s v="948 | Program Office"/>
    <x v="1"/>
    <s v="Program Office - Manager Level"/>
    <s v="Cordination Manager"/>
    <s v="Program Office-Cordination Manager"/>
    <s v="Manager Level"/>
    <d v="2022-10-30T01:02:01"/>
    <d v="2022-10-31T01:02:0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47"/>
    <s v="947 | Program Office"/>
    <x v="1"/>
    <s v="Program Office - Manager Level"/>
    <s v="Cordination Manager"/>
    <s v="Program Office-Cordination Manager"/>
    <s v="Manager Level"/>
    <d v="2022-10-28T01:02:01"/>
    <d v="2022-10-30T01:02:01"/>
    <s v="Yes"/>
    <d v="2022-11-10T01:02:01"/>
    <s v="Failed"/>
    <s v="Not a culture fit"/>
    <m/>
    <m/>
    <m/>
    <m/>
    <d v="2022-11-11T01:02:01"/>
    <m/>
    <n v="0"/>
    <m/>
    <m/>
    <m/>
    <m/>
    <s v="Company"/>
    <m/>
    <m/>
    <m/>
    <n v="2"/>
    <n v="13"/>
    <n v="11"/>
    <x v="1"/>
    <n v="1"/>
    <d v="2023-02-09T01:02:01"/>
    <s v=""/>
    <s v=""/>
    <s v=""/>
    <m/>
    <m/>
    <m/>
    <m/>
    <m/>
    <m/>
    <m/>
    <m/>
    <m/>
    <m/>
  </r>
  <r>
    <n v="908"/>
    <s v="908 | Program Office"/>
    <x v="1"/>
    <s v="Program Office - Manager Level"/>
    <s v="Cordination Manager"/>
    <s v="Program Office-Cordination Manager"/>
    <s v="Manager Level"/>
    <d v="2023-08-24T05:59:22"/>
    <d v="2023-08-25T05:59:22"/>
    <s v="Yes"/>
    <d v="2023-09-01T05:59:22"/>
    <s v="Failed"/>
    <s v="Didn't pass technical test"/>
    <m/>
    <m/>
    <m/>
    <m/>
    <d v="2023-09-02T05:59:22"/>
    <m/>
    <n v="0"/>
    <m/>
    <m/>
    <m/>
    <m/>
    <s v="Company"/>
    <m/>
    <m/>
    <m/>
    <n v="1"/>
    <n v="8"/>
    <n v="7"/>
    <x v="4"/>
    <n v="1"/>
    <d v="2023-12-01T05:59:22"/>
    <s v=""/>
    <s v=""/>
    <s v=""/>
    <m/>
    <m/>
    <m/>
    <m/>
    <m/>
    <m/>
    <m/>
    <m/>
    <m/>
    <m/>
  </r>
  <r>
    <n v="903"/>
    <s v="903 | Program Office"/>
    <x v="1"/>
    <s v="Program Office - Manager Level"/>
    <s v="Cordination Manager"/>
    <s v="Program Office-Cordination Manager"/>
    <s v="Manager Level"/>
    <d v="2023-08-22T05:59:22"/>
    <d v="2023-08-26T05:59:2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838"/>
    <s v="838 | Program Office"/>
    <x v="1"/>
    <s v="Program Office - Manager Level"/>
    <s v="Cordination Manager"/>
    <s v="Program Office-Cordination Manager"/>
    <s v="Manager Level"/>
    <d v="2022-07-11T16:58:11"/>
    <d v="2022-07-12T16:58:11"/>
    <s v="Yes"/>
    <d v="2022-08-05T16:58:11"/>
    <s v="Declined"/>
    <m/>
    <d v="2022-08-09T16:58:11"/>
    <s v="Declined"/>
    <m/>
    <m/>
    <d v="2022-08-07T16:58:11"/>
    <m/>
    <n v="0"/>
    <m/>
    <m/>
    <m/>
    <m/>
    <m/>
    <m/>
    <m/>
    <m/>
    <n v="1"/>
    <n v="25"/>
    <n v="24"/>
    <x v="18"/>
    <n v="2"/>
    <d v="2022-11-05T16:58:11"/>
    <s v=""/>
    <s v=""/>
    <s v=""/>
    <m/>
    <m/>
    <m/>
    <m/>
    <m/>
    <m/>
    <m/>
    <m/>
    <m/>
    <m/>
  </r>
  <r>
    <n v="833"/>
    <s v="833 | Program Office"/>
    <x v="1"/>
    <s v="Program Office - Manager Level"/>
    <s v="Cordination Manager"/>
    <s v="Program Office-Cordination Manager"/>
    <s v="Manager Level"/>
    <d v="2022-07-13T16:58:11"/>
    <d v="2022-07-16T16:58:1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29"/>
    <s v="829 | Program Office"/>
    <x v="1"/>
    <s v="Program Office - Manager Level"/>
    <s v="Cordination Manager"/>
    <s v="Program Office-Cordination Manager"/>
    <s v="Manager Level"/>
    <d v="2022-03-04T15:00:29"/>
    <d v="2022-03-06T15:00:29"/>
    <s v="Yes"/>
    <d v="2022-03-27T15:00:29"/>
    <s v="Accepted"/>
    <m/>
    <d v="2022-03-31T15:00:29"/>
    <s v="Accepted"/>
    <d v="2022-03-28T15:00:29"/>
    <d v="2022-04-01T15:00:29"/>
    <d v="2022-03-29T15:00:29"/>
    <d v="2022-04-03T15:00:29"/>
    <n v="1"/>
    <d v="2022-04-06T15:00:29"/>
    <d v="2022-04-08T15:00:29"/>
    <d v="2022-04-11T15:00:29"/>
    <m/>
    <m/>
    <d v="2022-04-24T15:00:29"/>
    <m/>
    <m/>
    <n v="2"/>
    <n v="23"/>
    <n v="21"/>
    <x v="11"/>
    <n v="2"/>
    <d v="2022-06-27T15:00:29"/>
    <n v="3"/>
    <n v="26"/>
    <n v="13"/>
    <m/>
    <m/>
    <m/>
    <m/>
    <m/>
    <m/>
    <m/>
    <m/>
    <m/>
    <m/>
  </r>
  <r>
    <n v="828"/>
    <s v="828 | Program Office"/>
    <x v="1"/>
    <s v="Program Office - Manager Level"/>
    <s v="Cordination Manager"/>
    <s v="Program Office-Cordination Manager"/>
    <s v="Manager Level"/>
    <d v="2022-03-06T15:00:29"/>
    <d v="2022-03-09T15:00:29"/>
    <s v="Yes"/>
    <d v="2022-03-20T15:00:29"/>
    <s v="Pending"/>
    <m/>
    <d v="2022-03-24T15:00:29"/>
    <s v="Pending"/>
    <m/>
    <m/>
    <d v="2022-03-21T15:00:29"/>
    <m/>
    <n v="0"/>
    <m/>
    <m/>
    <m/>
    <m/>
    <m/>
    <m/>
    <m/>
    <m/>
    <n v="3"/>
    <n v="14"/>
    <n v="11"/>
    <x v="16"/>
    <n v="1"/>
    <d v="2022-06-19T15:00:29"/>
    <s v=""/>
    <s v=""/>
    <s v=""/>
    <m/>
    <m/>
    <m/>
    <m/>
    <m/>
    <m/>
    <m/>
    <m/>
    <m/>
    <m/>
  </r>
  <r>
    <n v="826"/>
    <s v="826 | Program Office"/>
    <x v="1"/>
    <s v="Program Office - Manager Level"/>
    <s v="Cordination Manager"/>
    <s v="Program Office-Cordination Manager"/>
    <s v="Manager Level"/>
    <d v="2022-03-06T15:00:29"/>
    <d v="2022-03-09T15:00:29"/>
    <s v="Yes"/>
    <d v="2022-03-26T15:00:29"/>
    <s v="Accepted"/>
    <m/>
    <d v="2022-03-31T15:00:29"/>
    <s v="Accepted"/>
    <d v="2022-03-28T15:00:29"/>
    <d v="2022-04-01T15:00:29"/>
    <d v="2022-03-30T15:00:29"/>
    <d v="2022-04-03T15:00:29"/>
    <n v="1"/>
    <d v="2022-04-04T15:00:29"/>
    <d v="2022-04-06T15:00:29"/>
    <d v="2022-04-09T15:00:29"/>
    <m/>
    <m/>
    <d v="2022-04-20T15:00:29"/>
    <m/>
    <m/>
    <n v="3"/>
    <n v="20"/>
    <n v="17"/>
    <x v="21"/>
    <n v="4"/>
    <d v="2022-06-28T15:00:29"/>
    <n v="1"/>
    <n v="21"/>
    <n v="10"/>
    <m/>
    <m/>
    <m/>
    <m/>
    <m/>
    <m/>
    <m/>
    <m/>
    <m/>
    <m/>
  </r>
  <r>
    <n v="799"/>
    <s v="799 | Program Office"/>
    <x v="1"/>
    <s v="Program Office - Manager Level"/>
    <s v="Cordination Manager"/>
    <s v="Program Office-Cordination Manager"/>
    <s v="Manager Level"/>
    <d v="2022-12-10T16:11:24"/>
    <d v="2022-12-14T16:11:24"/>
    <s v="Yes"/>
    <d v="2022-12-31T16:11:24"/>
    <s v="Failed"/>
    <s v="Not a culture fit"/>
    <m/>
    <m/>
    <m/>
    <m/>
    <m/>
    <m/>
    <n v="0"/>
    <m/>
    <m/>
    <m/>
    <m/>
    <s v="Company"/>
    <m/>
    <m/>
    <m/>
    <n v="4"/>
    <n v="21"/>
    <n v="17"/>
    <x v="0"/>
    <s v=""/>
    <s v=""/>
    <s v=""/>
    <s v=""/>
    <s v=""/>
    <m/>
    <m/>
    <m/>
    <m/>
    <m/>
    <m/>
    <m/>
    <m/>
    <m/>
    <m/>
  </r>
  <r>
    <n v="769"/>
    <s v="769 | Program Office"/>
    <x v="1"/>
    <s v="Program Office - Manager Level"/>
    <s v="Cordination Manager"/>
    <s v="Program Office-Cordination Manager"/>
    <s v="Manager Level"/>
    <d v="2022-06-14T17:40:03"/>
    <d v="2022-06-17T17:40:03"/>
    <s v="Yes"/>
    <d v="2022-07-04T17:40:03"/>
    <s v="Pending"/>
    <m/>
    <d v="2022-07-06T17:40:03"/>
    <s v="Pending"/>
    <m/>
    <m/>
    <d v="2022-07-05T17:40:03"/>
    <m/>
    <n v="0"/>
    <m/>
    <m/>
    <m/>
    <m/>
    <m/>
    <m/>
    <m/>
    <m/>
    <n v="3"/>
    <n v="20"/>
    <n v="17"/>
    <x v="19"/>
    <n v="1"/>
    <d v="2022-10-03T17:40:03"/>
    <s v=""/>
    <s v=""/>
    <s v=""/>
    <m/>
    <m/>
    <m/>
    <m/>
    <m/>
    <m/>
    <m/>
    <m/>
    <m/>
    <m/>
  </r>
  <r>
    <n v="768"/>
    <s v="768 | Program Office"/>
    <x v="1"/>
    <s v="Program Office - Manager Level"/>
    <s v="Cordination Manager"/>
    <s v="Program Office-Cordination Manager"/>
    <s v="Manager Level"/>
    <d v="2022-06-17T17:40:03"/>
    <d v="2022-06-19T17:40:03"/>
    <s v="Yes"/>
    <d v="2022-06-30T17:40:03"/>
    <s v="Failed"/>
    <s v="Not a culture fit"/>
    <m/>
    <m/>
    <m/>
    <m/>
    <d v="2022-07-03T17:40:03"/>
    <m/>
    <n v="0"/>
    <m/>
    <m/>
    <m/>
    <m/>
    <s v="Company"/>
    <m/>
    <m/>
    <m/>
    <n v="2"/>
    <n v="13"/>
    <n v="11"/>
    <x v="20"/>
    <n v="3"/>
    <d v="2022-10-01T17:40:03"/>
    <s v=""/>
    <s v=""/>
    <s v=""/>
    <m/>
    <m/>
    <m/>
    <m/>
    <m/>
    <m/>
    <m/>
    <m/>
    <m/>
    <m/>
  </r>
  <r>
    <n v="764"/>
    <s v="764 | Program Office"/>
    <x v="1"/>
    <s v="Program Office - Manager Level"/>
    <s v="Cordination Manager"/>
    <s v="Program Office-Cordination Manager"/>
    <s v="Manager Level"/>
    <d v="2022-06-12T17:40:03"/>
    <d v="2022-06-16T17:40:03"/>
    <s v="Yes"/>
    <d v="2022-06-25T17:40:03"/>
    <s v="Failed"/>
    <s v="Position filled by another"/>
    <m/>
    <m/>
    <m/>
    <m/>
    <m/>
    <m/>
    <n v="0"/>
    <m/>
    <m/>
    <m/>
    <m/>
    <s v="Candidate"/>
    <m/>
    <m/>
    <m/>
    <n v="4"/>
    <n v="13"/>
    <n v="9"/>
    <x v="0"/>
    <s v=""/>
    <s v=""/>
    <s v=""/>
    <s v=""/>
    <s v=""/>
    <m/>
    <m/>
    <m/>
    <m/>
    <m/>
    <m/>
    <m/>
    <m/>
    <m/>
    <m/>
  </r>
  <r>
    <n v="725"/>
    <s v="725 | Program Office"/>
    <x v="1"/>
    <s v="Program Office - Manager Level"/>
    <s v="Cordination Manager"/>
    <s v="Program Office-Cordination Manager"/>
    <s v="Manager Level"/>
    <d v="2022-02-15T15:51:14"/>
    <d v="2022-02-16T15:51:14"/>
    <s v="Yes"/>
    <d v="2022-02-22T15:51:14"/>
    <s v="Failed"/>
    <s v="Didn't pass technical test"/>
    <m/>
    <m/>
    <m/>
    <m/>
    <d v="2022-02-26T15:51:14"/>
    <m/>
    <n v="0"/>
    <m/>
    <m/>
    <m/>
    <m/>
    <s v="Company"/>
    <m/>
    <m/>
    <m/>
    <n v="1"/>
    <n v="7"/>
    <n v="6"/>
    <x v="9"/>
    <n v="4"/>
    <d v="2022-05-27T15:51:14"/>
    <s v=""/>
    <s v=""/>
    <s v=""/>
    <m/>
    <m/>
    <m/>
    <m/>
    <m/>
    <m/>
    <m/>
    <m/>
    <m/>
    <m/>
  </r>
  <r>
    <n v="724"/>
    <s v="724 | Program Office"/>
    <x v="1"/>
    <s v="Program Office - Manager Level"/>
    <s v="Cordination Manager"/>
    <s v="Program Office-Cordination Manager"/>
    <s v="Manager Level"/>
    <d v="2022-02-12T15:51:14"/>
    <d v="2022-02-14T15:51:14"/>
    <s v="Yes"/>
    <d v="2022-03-02T15:51:14"/>
    <s v="Failed"/>
    <s v="Didn't pass technical test"/>
    <m/>
    <m/>
    <m/>
    <m/>
    <m/>
    <m/>
    <n v="0"/>
    <m/>
    <m/>
    <m/>
    <m/>
    <s v="Candidate"/>
    <m/>
    <m/>
    <m/>
    <n v="2"/>
    <n v="18"/>
    <n v="16"/>
    <x v="0"/>
    <s v=""/>
    <s v=""/>
    <s v=""/>
    <s v=""/>
    <s v=""/>
    <m/>
    <m/>
    <m/>
    <m/>
    <m/>
    <m/>
    <m/>
    <m/>
    <m/>
    <m/>
  </r>
  <r>
    <n v="723"/>
    <s v="723 | Program Office"/>
    <x v="1"/>
    <s v="Program Office - Manager Level"/>
    <s v="Cordination Manager"/>
    <s v="Program Office-Cordination Manager"/>
    <s v="Manager Level"/>
    <d v="2022-02-10T15:51:14"/>
    <d v="2022-02-14T15:51:14"/>
    <s v="Yes"/>
    <d v="2022-02-27T15:51:14"/>
    <s v="Failed"/>
    <s v="Didn't pass technical test"/>
    <m/>
    <m/>
    <m/>
    <m/>
    <m/>
    <m/>
    <n v="0"/>
    <m/>
    <m/>
    <m/>
    <m/>
    <s v="Company"/>
    <m/>
    <m/>
    <m/>
    <n v="4"/>
    <n v="17"/>
    <n v="13"/>
    <x v="0"/>
    <s v=""/>
    <s v=""/>
    <s v=""/>
    <s v=""/>
    <s v=""/>
    <m/>
    <m/>
    <m/>
    <m/>
    <m/>
    <m/>
    <m/>
    <m/>
    <m/>
    <m/>
  </r>
  <r>
    <n v="722"/>
    <s v="722 | Program Office"/>
    <x v="1"/>
    <s v="Program Office - Manager Level"/>
    <s v="Cordination Manager"/>
    <s v="Program Office-Cordination Manager"/>
    <s v="Manager Level"/>
    <d v="2022-02-10T15:51:14"/>
    <d v="2022-02-14T15:51:14"/>
    <s v="Yes"/>
    <d v="2022-03-04T15:51:14"/>
    <s v="Failed"/>
    <s v="Other"/>
    <m/>
    <m/>
    <m/>
    <m/>
    <m/>
    <m/>
    <n v="0"/>
    <m/>
    <m/>
    <m/>
    <m/>
    <s v="Company"/>
    <m/>
    <m/>
    <m/>
    <n v="4"/>
    <n v="22"/>
    <n v="18"/>
    <x v="0"/>
    <s v=""/>
    <s v=""/>
    <s v=""/>
    <s v=""/>
    <s v=""/>
    <m/>
    <m/>
    <m/>
    <m/>
    <m/>
    <m/>
    <m/>
    <m/>
    <m/>
    <m/>
  </r>
  <r>
    <n v="721"/>
    <s v="721 | Program Office"/>
    <x v="1"/>
    <s v="Program Office - Manager Level"/>
    <s v="Cordination Manager"/>
    <s v="Program Office-Cordination Manager"/>
    <s v="Manager Level"/>
    <d v="2022-02-11T15:51:14"/>
    <d v="2022-02-15T15:51:14"/>
    <s v="Yes"/>
    <d v="2022-02-27T15:51:14"/>
    <s v="Pending"/>
    <m/>
    <d v="2022-03-04T15:51:14"/>
    <s v="Pending"/>
    <m/>
    <m/>
    <d v="2022-02-28T15:51:14"/>
    <m/>
    <n v="0"/>
    <m/>
    <m/>
    <m/>
    <m/>
    <m/>
    <m/>
    <m/>
    <m/>
    <n v="4"/>
    <n v="16"/>
    <n v="12"/>
    <x v="14"/>
    <n v="1"/>
    <d v="2022-05-29T15:51:14"/>
    <s v=""/>
    <s v=""/>
    <s v=""/>
    <m/>
    <m/>
    <m/>
    <m/>
    <m/>
    <m/>
    <m/>
    <m/>
    <m/>
    <m/>
  </r>
  <r>
    <n v="718"/>
    <s v="718 | Program Office"/>
    <x v="1"/>
    <s v="Program Office - Manager Level"/>
    <s v="Cordination Manager"/>
    <s v="Program Office-Cordination Manager"/>
    <s v="Manager Level"/>
    <d v="2022-03-09T16:28:19"/>
    <d v="2022-03-10T16:28:19"/>
    <s v="Yes"/>
    <d v="2022-03-23T16:28:19"/>
    <s v="Declined"/>
    <m/>
    <d v="2022-03-25T16:28:19"/>
    <s v="Declined"/>
    <m/>
    <m/>
    <d v="2022-03-24T16:28:19"/>
    <m/>
    <n v="0"/>
    <m/>
    <m/>
    <m/>
    <m/>
    <m/>
    <m/>
    <m/>
    <m/>
    <n v="1"/>
    <n v="14"/>
    <n v="13"/>
    <x v="16"/>
    <n v="1"/>
    <d v="2022-06-22T16:28:19"/>
    <s v=""/>
    <s v=""/>
    <s v=""/>
    <m/>
    <m/>
    <m/>
    <m/>
    <m/>
    <m/>
    <m/>
    <m/>
    <m/>
    <m/>
  </r>
  <r>
    <n v="712"/>
    <s v="712 | Program Office"/>
    <x v="1"/>
    <s v="Program Office - Manager Level"/>
    <s v="Cordination Manager"/>
    <s v="Program Office-Cordination Manager"/>
    <s v="Manager Level"/>
    <d v="2022-03-09T16:28:19"/>
    <d v="2022-03-13T16:28:19"/>
    <s v="Yes"/>
    <d v="2022-03-28T16:28:19"/>
    <s v="Failed"/>
    <s v="Other"/>
    <m/>
    <m/>
    <m/>
    <m/>
    <d v="2022-03-31T16:28:19"/>
    <m/>
    <n v="0"/>
    <m/>
    <m/>
    <m/>
    <m/>
    <s v="Candidate"/>
    <m/>
    <m/>
    <m/>
    <n v="4"/>
    <n v="19"/>
    <n v="15"/>
    <x v="7"/>
    <n v="3"/>
    <d v="2022-06-29T16:28:19"/>
    <s v=""/>
    <s v=""/>
    <s v=""/>
    <m/>
    <m/>
    <m/>
    <m/>
    <m/>
    <m/>
    <m/>
    <m/>
    <m/>
    <m/>
  </r>
  <r>
    <n v="676"/>
    <s v="676 | Program Office"/>
    <x v="1"/>
    <s v="Program Office - Manager Level"/>
    <s v="Cordination Manager"/>
    <s v="Program Office-Cordination Manager"/>
    <s v="Manager Level"/>
    <d v="2023-08-04T21:15:22"/>
    <d v="2023-08-08T21:15:22"/>
    <s v="Yes"/>
    <d v="2023-08-24T21:15:22"/>
    <s v="Pending"/>
    <m/>
    <d v="2023-08-29T21:15:22"/>
    <s v="Pending"/>
    <m/>
    <m/>
    <d v="2023-08-27T21:15:22"/>
    <m/>
    <n v="0"/>
    <m/>
    <m/>
    <m/>
    <m/>
    <m/>
    <m/>
    <m/>
    <m/>
    <n v="4"/>
    <n v="20"/>
    <n v="16"/>
    <x v="3"/>
    <n v="3"/>
    <d v="2023-11-25T21:15:22"/>
    <s v=""/>
    <s v=""/>
    <s v=""/>
    <m/>
    <m/>
    <m/>
    <m/>
    <m/>
    <m/>
    <m/>
    <m/>
    <m/>
    <m/>
  </r>
  <r>
    <n v="674"/>
    <s v="674 | Program Office"/>
    <x v="1"/>
    <s v="Program Office - Manager Level"/>
    <s v="Cordination Manager"/>
    <s v="Program Office-Cordination Manager"/>
    <s v="Manager Level"/>
    <d v="2023-08-01T21:15:22"/>
    <d v="2023-08-04T21:15:22"/>
    <s v="Yes"/>
    <d v="2023-08-21T21:15:22"/>
    <s v="Failed"/>
    <s v="Didn't pass technical test"/>
    <m/>
    <m/>
    <m/>
    <m/>
    <d v="2023-08-23T21:15:22"/>
    <m/>
    <n v="0"/>
    <m/>
    <m/>
    <m/>
    <m/>
    <s v="Company"/>
    <m/>
    <m/>
    <m/>
    <n v="3"/>
    <n v="20"/>
    <n v="17"/>
    <x v="7"/>
    <n v="2"/>
    <d v="2023-11-21T21:15:22"/>
    <s v=""/>
    <s v=""/>
    <s v=""/>
    <m/>
    <m/>
    <m/>
    <m/>
    <m/>
    <m/>
    <m/>
    <m/>
    <m/>
    <m/>
  </r>
  <r>
    <n v="632"/>
    <s v="632 | Program Office"/>
    <x v="1"/>
    <s v="Program Office - Manager Level"/>
    <s v="Cordination Manager"/>
    <s v="Program Office-Cordination Manager"/>
    <s v="Manager Level"/>
    <d v="2022-09-23T07:15:57"/>
    <d v="2022-09-27T07:15:57"/>
    <s v="Yes"/>
    <d v="2022-10-08T07:15:57"/>
    <s v="Failed"/>
    <s v="Salary expectation too high"/>
    <m/>
    <m/>
    <m/>
    <m/>
    <m/>
    <m/>
    <n v="0"/>
    <m/>
    <m/>
    <m/>
    <m/>
    <s v="Candidate"/>
    <m/>
    <m/>
    <m/>
    <n v="4"/>
    <n v="15"/>
    <n v="11"/>
    <x v="0"/>
    <s v=""/>
    <s v=""/>
    <s v=""/>
    <s v=""/>
    <s v=""/>
    <m/>
    <m/>
    <m/>
    <m/>
    <m/>
    <m/>
    <m/>
    <m/>
    <m/>
    <m/>
  </r>
  <r>
    <n v="617"/>
    <s v="617 | Program Office"/>
    <x v="1"/>
    <s v="Program Office - Manager Level"/>
    <s v="Cordination Manager"/>
    <s v="Program Office-Cordination Manager"/>
    <s v="Manager Level"/>
    <d v="2023-08-16T21:15:20"/>
    <d v="2023-08-19T21:15:20"/>
    <s v="Yes"/>
    <d v="2023-09-09T21:15:20"/>
    <s v="Accepted"/>
    <m/>
    <d v="2023-09-15T21:15:20"/>
    <s v="Accepted"/>
    <d v="2023-09-10T21:15:20"/>
    <d v="2023-09-11T21:15:20"/>
    <d v="2023-09-11T21:15:20"/>
    <d v="2023-09-13T21:15:20"/>
    <n v="1"/>
    <d v="2023-09-16T21:15:20"/>
    <d v="2023-09-17T21:15:20"/>
    <d v="2023-09-19T21:15:20"/>
    <m/>
    <m/>
    <d v="2023-10-06T21:15:20"/>
    <m/>
    <m/>
    <n v="3"/>
    <n v="24"/>
    <n v="21"/>
    <x v="25"/>
    <n v="2"/>
    <d v="2023-12-10T21:15:20"/>
    <n v="3"/>
    <n v="25"/>
    <n v="8"/>
    <m/>
    <m/>
    <m/>
    <m/>
    <m/>
    <m/>
    <m/>
    <m/>
    <m/>
    <m/>
  </r>
  <r>
    <n v="614"/>
    <s v="614 | Program Office"/>
    <x v="1"/>
    <s v="Program Office - Manager Level"/>
    <s v="Cordination Manager"/>
    <s v="Program Office-Cordination Manager"/>
    <s v="Manager Level"/>
    <d v="2023-08-18T21:15:20"/>
    <d v="2023-08-19T21:15:20"/>
    <s v="Yes"/>
    <d v="2023-08-27T21:15:20"/>
    <s v="Accepted"/>
    <m/>
    <d v="2023-09-01T21:15:20"/>
    <s v="Accepted"/>
    <d v="2023-08-29T21:15:20"/>
    <d v="2023-09-01T21:15:20"/>
    <d v="2023-08-30T21:15:20"/>
    <d v="2023-09-04T21:15:20"/>
    <n v="1"/>
    <d v="2023-09-08T21:15:20"/>
    <d v="2023-09-10T21:15:20"/>
    <d v="2023-09-11T21:15:20"/>
    <m/>
    <m/>
    <d v="2023-09-26T21:15:20"/>
    <m/>
    <m/>
    <n v="1"/>
    <n v="9"/>
    <n v="8"/>
    <x v="24"/>
    <n v="3"/>
    <d v="2023-11-28T21:15:20"/>
    <n v="4"/>
    <n v="27"/>
    <n v="12"/>
    <m/>
    <m/>
    <m/>
    <m/>
    <m/>
    <m/>
    <m/>
    <m/>
    <m/>
    <m/>
  </r>
  <r>
    <n v="613"/>
    <s v="613 | Program Office"/>
    <x v="1"/>
    <s v="Program Office - Manager Level"/>
    <s v="Cordination Manager"/>
    <s v="Program Office-Cordination Manager"/>
    <s v="Manager Level"/>
    <d v="2023-08-14T21:15:20"/>
    <d v="2023-08-17T21:15:20"/>
    <s v="Yes"/>
    <d v="2023-09-08T21:15:20"/>
    <s v="Accepted"/>
    <m/>
    <d v="2023-09-13T21:15:20"/>
    <s v="Accepted"/>
    <d v="2023-09-09T21:15:20"/>
    <d v="2023-09-12T21:15:20"/>
    <d v="2023-09-11T21:15:20"/>
    <d v="2023-09-21T21:15:20"/>
    <n v="1"/>
    <d v="2023-09-25T21:15:20"/>
    <d v="2023-09-26T21:15:20"/>
    <d v="2023-09-28T21:15:20"/>
    <m/>
    <m/>
    <d v="2023-10-11T21:15:20"/>
    <m/>
    <m/>
    <n v="3"/>
    <n v="25"/>
    <n v="22"/>
    <x v="6"/>
    <n v="3"/>
    <d v="2023-12-10T21:15:20"/>
    <n v="4"/>
    <n v="30"/>
    <n v="17"/>
    <m/>
    <m/>
    <m/>
    <m/>
    <m/>
    <m/>
    <m/>
    <m/>
    <m/>
    <m/>
  </r>
  <r>
    <n v="578"/>
    <s v="578 | Program Office"/>
    <x v="1"/>
    <s v="Program Office - Manager Level"/>
    <s v="Cordination Manager"/>
    <s v="Program Office-Cordination Manager"/>
    <s v="Manager Level"/>
    <d v="2022-12-13T02:09:30"/>
    <d v="2022-12-16T02:09:30"/>
    <s v="Yes"/>
    <d v="2023-01-05T02:09:30"/>
    <s v="Accepted"/>
    <m/>
    <d v="2023-01-09T02:09:30"/>
    <s v="Accepted"/>
    <d v="2023-01-07T02:09:30"/>
    <d v="2023-01-09T02:09:30"/>
    <d v="2023-01-06T02:09:30"/>
    <d v="2023-01-10T02:09:30"/>
    <n v="1"/>
    <d v="2023-01-12T02:09:30"/>
    <d v="2023-01-15T02:09:30"/>
    <d v="2023-01-17T02:09:30"/>
    <m/>
    <m/>
    <d v="2023-01-25T02:09:30"/>
    <m/>
    <m/>
    <n v="3"/>
    <n v="23"/>
    <n v="20"/>
    <x v="21"/>
    <n v="1"/>
    <d v="2023-04-06T02:09:30"/>
    <n v="2"/>
    <n v="19"/>
    <n v="11"/>
    <m/>
    <m/>
    <m/>
    <m/>
    <m/>
    <m/>
    <m/>
    <m/>
    <m/>
    <m/>
  </r>
  <r>
    <n v="572"/>
    <s v="572 | Program Office"/>
    <x v="1"/>
    <s v="Program Office - Manager Level"/>
    <s v="Cordination Manager"/>
    <s v="Program Office-Cordination Manager"/>
    <s v="Manager Level"/>
    <d v="2022-12-18T02:09:30"/>
    <d v="2022-12-19T02:09:30"/>
    <s v="Yes"/>
    <d v="2022-12-26T02:09:30"/>
    <s v="Failed"/>
    <s v="Not a culture fit"/>
    <m/>
    <m/>
    <m/>
    <m/>
    <d v="2022-12-28T02:09:30"/>
    <m/>
    <n v="0"/>
    <m/>
    <m/>
    <m/>
    <m/>
    <s v="Candidate"/>
    <m/>
    <m/>
    <m/>
    <n v="1"/>
    <n v="8"/>
    <n v="7"/>
    <x v="22"/>
    <n v="2"/>
    <d v="2023-03-28T02:09:30"/>
    <s v=""/>
    <s v=""/>
    <s v=""/>
    <m/>
    <m/>
    <m/>
    <m/>
    <m/>
    <m/>
    <m/>
    <m/>
    <m/>
    <m/>
  </r>
  <r>
    <n v="499"/>
    <s v="499 | Program Office"/>
    <x v="1"/>
    <s v="Program Office - Manager Level"/>
    <s v="Cordination Manager"/>
    <s v="Program Office-Cordination Manager"/>
    <s v="Manager Level"/>
    <d v="2023-08-28T09:52:53"/>
    <d v="2023-09-01T09:52:53"/>
    <s v="Yes"/>
    <d v="2023-09-13T09:52:53"/>
    <s v="Declined"/>
    <m/>
    <d v="2023-09-19T09:52:53"/>
    <s v="Declined"/>
    <m/>
    <m/>
    <d v="2023-09-17T09:52:53"/>
    <m/>
    <n v="0"/>
    <m/>
    <m/>
    <m/>
    <m/>
    <m/>
    <m/>
    <m/>
    <m/>
    <n v="4"/>
    <n v="16"/>
    <n v="12"/>
    <x v="15"/>
    <n v="4"/>
    <d v="2023-12-16T09:52:53"/>
    <s v=""/>
    <s v=""/>
    <s v=""/>
    <m/>
    <m/>
    <m/>
    <m/>
    <m/>
    <m/>
    <m/>
    <m/>
    <m/>
    <m/>
  </r>
  <r>
    <n v="489"/>
    <s v="489 | Program Office"/>
    <x v="1"/>
    <s v="Program Office - Manager Level"/>
    <s v="Cordination Manager"/>
    <s v="Program Office-Cordination Manager"/>
    <s v="Manager Level"/>
    <d v="2023-01-07T13:36:04"/>
    <d v="2023-01-09T13:36:04"/>
    <s v="Yes"/>
    <d v="2023-01-14T13:36:04"/>
    <s v="Failed"/>
    <s v="Didn't pass technical test"/>
    <m/>
    <m/>
    <m/>
    <m/>
    <d v="2023-01-17T13:36:04"/>
    <m/>
    <n v="0"/>
    <m/>
    <m/>
    <m/>
    <m/>
    <s v="Candidate"/>
    <m/>
    <m/>
    <m/>
    <n v="2"/>
    <n v="7"/>
    <n v="5"/>
    <x v="22"/>
    <n v="3"/>
    <d v="2023-04-17T13:36:04"/>
    <s v=""/>
    <s v=""/>
    <s v=""/>
    <m/>
    <m/>
    <m/>
    <m/>
    <m/>
    <m/>
    <m/>
    <m/>
    <m/>
    <m/>
  </r>
  <r>
    <n v="482"/>
    <s v="482 | Program Office"/>
    <x v="1"/>
    <s v="Program Office - Manager Level"/>
    <s v="Cordination Manager"/>
    <s v="Program Office-Cordination Manager"/>
    <s v="Manager Level"/>
    <d v="2023-01-02T13:36:04"/>
    <d v="2023-01-06T13:36:04"/>
    <s v="Yes"/>
    <d v="2023-01-20T13:36:04"/>
    <s v="Declined"/>
    <m/>
    <d v="2023-01-23T13:36:04"/>
    <s v="Declined"/>
    <m/>
    <m/>
    <d v="2023-01-22T13:36:04"/>
    <m/>
    <n v="0"/>
    <m/>
    <m/>
    <m/>
    <m/>
    <m/>
    <m/>
    <m/>
    <m/>
    <n v="4"/>
    <n v="18"/>
    <n v="14"/>
    <x v="15"/>
    <n v="2"/>
    <d v="2023-04-22T13:36:04"/>
    <s v=""/>
    <s v=""/>
    <s v=""/>
    <m/>
    <m/>
    <m/>
    <m/>
    <m/>
    <m/>
    <m/>
    <m/>
    <m/>
    <m/>
  </r>
  <r>
    <n v="474"/>
    <s v="474 | Program Office"/>
    <x v="1"/>
    <s v="Program Office - Manager Level"/>
    <s v="Cordination Manager"/>
    <s v="Program Office-Cordination Manager"/>
    <s v="Manager Level"/>
    <d v="2022-04-21T01:49:05"/>
    <d v="2022-04-25T01:49:05"/>
    <s v="Yes"/>
    <d v="2022-05-09T01:49:05"/>
    <s v="Failed"/>
    <s v="Not a culture fit"/>
    <m/>
    <m/>
    <m/>
    <m/>
    <m/>
    <m/>
    <n v="0"/>
    <m/>
    <m/>
    <m/>
    <m/>
    <s v="Company"/>
    <m/>
    <m/>
    <m/>
    <n v="4"/>
    <n v="18"/>
    <n v="14"/>
    <x v="0"/>
    <s v=""/>
    <s v=""/>
    <s v=""/>
    <s v=""/>
    <s v=""/>
    <m/>
    <m/>
    <m/>
    <m/>
    <m/>
    <m/>
    <m/>
    <m/>
    <m/>
    <m/>
  </r>
  <r>
    <n v="472"/>
    <s v="472 | Program Office"/>
    <x v="1"/>
    <s v="Program Office - Manager Level"/>
    <s v="Cordination Manager"/>
    <s v="Program Office-Cordination Manager"/>
    <s v="Manager Level"/>
    <d v="2022-04-22T01:49:05"/>
    <d v="2022-04-26T01:49:05"/>
    <s v="Yes"/>
    <d v="2022-05-12T01:49:05"/>
    <s v="Declined"/>
    <m/>
    <d v="2022-05-18T01:49:05"/>
    <s v="Declined"/>
    <m/>
    <m/>
    <d v="2022-05-14T01:49:05"/>
    <m/>
    <n v="0"/>
    <m/>
    <m/>
    <m/>
    <m/>
    <m/>
    <m/>
    <m/>
    <m/>
    <n v="4"/>
    <n v="20"/>
    <n v="16"/>
    <x v="7"/>
    <n v="2"/>
    <d v="2022-08-12T01:49:05"/>
    <s v=""/>
    <s v=""/>
    <s v=""/>
    <m/>
    <m/>
    <m/>
    <m/>
    <m/>
    <m/>
    <m/>
    <m/>
    <m/>
    <m/>
  </r>
  <r>
    <n v="471"/>
    <s v="471 | Program Office"/>
    <x v="1"/>
    <s v="Program Office - Manager Level"/>
    <s v="Cordination Manager"/>
    <s v="Program Office-Cordination Manager"/>
    <s v="Manager Level"/>
    <d v="2022-04-25T01:49:05"/>
    <d v="2022-04-26T01:49:05"/>
    <s v="Yes"/>
    <d v="2022-05-07T01:49:05"/>
    <s v="Failed"/>
    <s v="Salary expectation too high"/>
    <m/>
    <m/>
    <m/>
    <m/>
    <d v="2022-05-08T01:49:05"/>
    <m/>
    <n v="0"/>
    <m/>
    <m/>
    <m/>
    <m/>
    <s v="Company"/>
    <m/>
    <m/>
    <m/>
    <n v="1"/>
    <n v="12"/>
    <n v="11"/>
    <x v="8"/>
    <n v="1"/>
    <d v="2022-08-06T01:49:05"/>
    <s v=""/>
    <s v=""/>
    <s v=""/>
    <m/>
    <m/>
    <m/>
    <m/>
    <m/>
    <m/>
    <m/>
    <m/>
    <m/>
    <m/>
  </r>
  <r>
    <n v="387"/>
    <s v="387 | Program Office"/>
    <x v="1"/>
    <s v="Program Office - Manager Level"/>
    <s v="Cordination Manager"/>
    <s v="Program Office-Cordination Manager"/>
    <s v="Manager Level"/>
    <d v="2022-11-09T09:11:38"/>
    <d v="2022-11-10T09:11:38"/>
    <s v="Yes"/>
    <d v="2022-11-23T09:11:38"/>
    <s v="Failed"/>
    <s v="Didn't pass technical test"/>
    <m/>
    <m/>
    <m/>
    <m/>
    <d v="2022-11-25T09:11:38"/>
    <m/>
    <n v="0"/>
    <m/>
    <m/>
    <m/>
    <m/>
    <s v="Candidate"/>
    <m/>
    <m/>
    <m/>
    <n v="1"/>
    <n v="14"/>
    <n v="13"/>
    <x v="20"/>
    <n v="2"/>
    <d v="2023-02-23T09:11:38"/>
    <s v=""/>
    <s v=""/>
    <s v=""/>
    <m/>
    <m/>
    <m/>
    <m/>
    <m/>
    <m/>
    <m/>
    <m/>
    <m/>
    <m/>
  </r>
  <r>
    <n v="382"/>
    <s v="382 | Program Office"/>
    <x v="1"/>
    <s v="Program Office - Manager Level"/>
    <s v="Cordination Manager"/>
    <s v="Program Office-Cordination Manager"/>
    <s v="Manager Level"/>
    <d v="2022-11-07T09:11:38"/>
    <d v="2022-11-10T09:11:38"/>
    <s v="Yes"/>
    <d v="2022-11-29T09:11:38"/>
    <s v="Pending"/>
    <m/>
    <d v="2022-12-05T09:11:38"/>
    <s v="Pending"/>
    <m/>
    <m/>
    <d v="2022-12-01T09:11:38"/>
    <m/>
    <n v="0"/>
    <m/>
    <m/>
    <m/>
    <m/>
    <m/>
    <m/>
    <m/>
    <m/>
    <n v="3"/>
    <n v="22"/>
    <n v="19"/>
    <x v="21"/>
    <n v="2"/>
    <d v="2023-03-01T09:11:38"/>
    <s v=""/>
    <s v=""/>
    <s v=""/>
    <m/>
    <m/>
    <m/>
    <m/>
    <m/>
    <m/>
    <m/>
    <m/>
    <m/>
    <m/>
  </r>
  <r>
    <n v="374"/>
    <s v="374 | Program Office"/>
    <x v="1"/>
    <s v="Program Office - Manager Level"/>
    <s v="Cordination Manager"/>
    <s v="Program Office-Cordination Manager"/>
    <s v="Manager Level"/>
    <d v="2022-04-14T08:33:40"/>
    <d v="2022-04-18T08:33:40"/>
    <s v="Yes"/>
    <d v="2022-05-01T08:33:40"/>
    <s v="Accepted"/>
    <m/>
    <d v="2022-05-07T08:33:40"/>
    <s v="Accepted"/>
    <d v="2022-05-02T08:33:40"/>
    <d v="2022-05-05T08:33:40"/>
    <d v="2022-05-03T08:33:40"/>
    <d v="2022-05-07T08:33:40"/>
    <n v="1"/>
    <d v="2022-05-08T08:33:40"/>
    <d v="2022-05-09T08:33:40"/>
    <d v="2022-05-11T08:33:40"/>
    <m/>
    <m/>
    <d v="2022-05-21T08:33:40"/>
    <m/>
    <m/>
    <n v="4"/>
    <n v="17"/>
    <n v="13"/>
    <x v="13"/>
    <n v="2"/>
    <d v="2022-08-01T08:33:40"/>
    <n v="1"/>
    <n v="18"/>
    <n v="8"/>
    <m/>
    <m/>
    <m/>
    <m/>
    <m/>
    <m/>
    <m/>
    <m/>
    <m/>
    <m/>
  </r>
  <r>
    <n v="371"/>
    <s v="371 | Program Office"/>
    <x v="1"/>
    <s v="Program Office - Manager Level"/>
    <s v="Cordination Manager"/>
    <s v="Program Office-Cordination Manager"/>
    <s v="Manager Level"/>
    <d v="2022-04-12T08:33:40"/>
    <d v="2022-04-14T08:33:40"/>
    <s v="Yes"/>
    <d v="2022-05-04T08:33:40"/>
    <s v="Declined"/>
    <m/>
    <d v="2022-05-09T08:33:40"/>
    <s v="Declined"/>
    <m/>
    <m/>
    <d v="2022-05-08T08:33:40"/>
    <m/>
    <n v="0"/>
    <m/>
    <m/>
    <m/>
    <m/>
    <m/>
    <m/>
    <m/>
    <m/>
    <n v="2"/>
    <n v="22"/>
    <n v="20"/>
    <x v="25"/>
    <n v="4"/>
    <d v="2022-08-06T08:33:40"/>
    <s v=""/>
    <s v=""/>
    <s v=""/>
    <m/>
    <m/>
    <m/>
    <m/>
    <m/>
    <m/>
    <m/>
    <m/>
    <m/>
    <m/>
  </r>
  <r>
    <n v="137"/>
    <s v="137 | Program Office"/>
    <x v="1"/>
    <s v="Program Office - Manager Level"/>
    <s v="Cordination Manager"/>
    <s v="Program Office-Cordination Manager"/>
    <s v="Manager Level"/>
    <d v="2022-07-22T19:16:15"/>
    <d v="2022-07-24T19:16:1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33"/>
    <s v="133 | Program Office"/>
    <x v="1"/>
    <s v="Program Office - Manager Level"/>
    <s v="Cordination Manager"/>
    <s v="Program Office-Cordination Manager"/>
    <s v="Manager Level"/>
    <d v="2022-07-23T19:16:15"/>
    <d v="2022-07-25T19:16:15"/>
    <s v="Yes"/>
    <d v="2022-08-01T19:16:15"/>
    <s v="Failed"/>
    <s v="Not a culture fit"/>
    <m/>
    <m/>
    <m/>
    <m/>
    <d v="2022-08-04T19:16:15"/>
    <m/>
    <n v="0"/>
    <m/>
    <m/>
    <m/>
    <m/>
    <s v="Company"/>
    <m/>
    <m/>
    <m/>
    <n v="2"/>
    <n v="9"/>
    <n v="7"/>
    <x v="24"/>
    <n v="3"/>
    <d v="2022-11-02T19:16:15"/>
    <s v=""/>
    <s v=""/>
    <s v=""/>
    <m/>
    <m/>
    <m/>
    <m/>
    <m/>
    <m/>
    <m/>
    <m/>
    <m/>
    <m/>
  </r>
  <r>
    <n v="68"/>
    <s v="68 | Program Office"/>
    <x v="1"/>
    <s v="Program Office - Manager Level"/>
    <s v="Cordination Manager"/>
    <s v="Program Office-Cordination Manager"/>
    <s v="Manager Level"/>
    <d v="2023-08-27T18:08:34"/>
    <d v="2023-08-31T18:08:34"/>
    <s v="Yes"/>
    <d v="2023-09-08T18:08:34"/>
    <s v="Accepted"/>
    <m/>
    <d v="2023-09-11T18:08:34"/>
    <s v="Accepted"/>
    <d v="2023-09-09T18:08:34"/>
    <d v="2023-09-13T18:08:34"/>
    <d v="2023-09-10T18:08:34"/>
    <d v="2023-09-11T18:08:34"/>
    <n v="1"/>
    <d v="2023-09-12T18:08:34"/>
    <d v="2023-09-13T18:08:34"/>
    <d v="2023-09-14T18:08:34"/>
    <m/>
    <m/>
    <d v="2023-09-30T18:08:34"/>
    <m/>
    <m/>
    <n v="4"/>
    <n v="12"/>
    <n v="8"/>
    <x v="1"/>
    <n v="2"/>
    <d v="2023-12-09T18:08:34"/>
    <n v="1"/>
    <n v="20"/>
    <n v="4"/>
    <m/>
    <m/>
    <m/>
    <m/>
    <m/>
    <m/>
    <m/>
    <m/>
    <m/>
    <m/>
  </r>
  <r>
    <n v="67"/>
    <s v="67 | Program Office"/>
    <x v="1"/>
    <s v="Program Office - Manager Level"/>
    <s v="Cordination Manager"/>
    <s v="Program Office-Cordination Manager"/>
    <s v="Manager Level"/>
    <d v="2023-08-30T18:08:34"/>
    <d v="2023-08-31T18:08:34"/>
    <s v="Yes"/>
    <d v="2023-09-18T18:08:34"/>
    <s v="Declined"/>
    <m/>
    <d v="2023-09-26T18:08:34"/>
    <s v="Declined"/>
    <m/>
    <m/>
    <d v="2023-09-22T18:08:34"/>
    <m/>
    <n v="0"/>
    <m/>
    <m/>
    <m/>
    <m/>
    <m/>
    <m/>
    <m/>
    <m/>
    <n v="1"/>
    <n v="19"/>
    <n v="18"/>
    <x v="3"/>
    <n v="4"/>
    <d v="2023-12-21T18:08:34"/>
    <s v=""/>
    <s v=""/>
    <s v=""/>
    <m/>
    <m/>
    <m/>
    <m/>
    <m/>
    <m/>
    <m/>
    <m/>
    <m/>
    <m/>
  </r>
  <r>
    <n v="3"/>
    <s v="3 | Program Office"/>
    <x v="1"/>
    <s v="Program Office - Manager Level"/>
    <s v="Cordination Manager"/>
    <s v="Program Office-Cordination Manager"/>
    <s v="Manager Level"/>
    <d v="2023-05-27T08:55:46"/>
    <d v="2023-05-31T08:55:46"/>
    <s v="Yes"/>
    <d v="2023-06-21T08:55:46"/>
    <s v="Failed"/>
    <s v="Position filled by another"/>
    <m/>
    <m/>
    <m/>
    <m/>
    <m/>
    <m/>
    <n v="0"/>
    <m/>
    <m/>
    <m/>
    <m/>
    <s v="Company"/>
    <m/>
    <m/>
    <m/>
    <n v="4"/>
    <n v="25"/>
    <n v="21"/>
    <x v="0"/>
    <s v=""/>
    <s v=""/>
    <s v=""/>
    <s v=""/>
    <s v=""/>
    <m/>
    <m/>
    <m/>
    <m/>
    <m/>
    <m/>
    <m/>
    <m/>
    <m/>
    <m/>
  </r>
  <r>
    <n v="2976"/>
    <s v="2976 | Program Office"/>
    <x v="1"/>
    <s v="Program Office - Junior"/>
    <s v="Extension Officer"/>
    <s v="Program Office-Extension Officer"/>
    <s v="Junior"/>
    <d v="2022-07-19T15:16:58"/>
    <d v="2022-07-22T15:16:58"/>
    <s v="Yes"/>
    <d v="2022-07-27T15:16:58"/>
    <s v="Failed"/>
    <s v="Didn't pass technical test"/>
    <m/>
    <m/>
    <m/>
    <m/>
    <d v="2022-07-28T15:16:58"/>
    <m/>
    <n v="0"/>
    <m/>
    <m/>
    <m/>
    <m/>
    <s v="Company"/>
    <m/>
    <m/>
    <m/>
    <n v="3"/>
    <n v="8"/>
    <n v="5"/>
    <x v="4"/>
    <n v="1"/>
    <d v="2022-10-26T15:16:58"/>
    <s v=""/>
    <s v=""/>
    <s v=""/>
    <m/>
    <m/>
    <m/>
    <m/>
    <m/>
    <m/>
    <m/>
    <m/>
    <m/>
    <m/>
  </r>
  <r>
    <n v="2858"/>
    <s v="2858 | Program Office"/>
    <x v="1"/>
    <s v="Program Office - Junior"/>
    <s v="Extension Officer"/>
    <s v="Program Office-Extension Officer"/>
    <s v="Junior"/>
    <d v="2023-04-19T11:59:33"/>
    <d v="2023-04-22T11:59:33"/>
    <s v="Yes"/>
    <d v="2023-05-11T11:59:33"/>
    <s v="Failed"/>
    <s v="Position filled by another"/>
    <m/>
    <m/>
    <m/>
    <m/>
    <d v="2023-05-12T11:59:33"/>
    <m/>
    <n v="0"/>
    <m/>
    <m/>
    <m/>
    <m/>
    <s v="Company"/>
    <m/>
    <m/>
    <m/>
    <n v="3"/>
    <n v="22"/>
    <n v="19"/>
    <x v="3"/>
    <n v="1"/>
    <d v="2023-08-10T11:59:33"/>
    <s v=""/>
    <s v=""/>
    <s v=""/>
    <m/>
    <m/>
    <m/>
    <m/>
    <m/>
    <m/>
    <m/>
    <m/>
    <m/>
    <m/>
  </r>
  <r>
    <n v="2852"/>
    <s v="2852 | Program Office"/>
    <x v="1"/>
    <s v="Program Office - Junior"/>
    <s v="Extension Officer"/>
    <s v="Program Office-Extension Officer"/>
    <s v="Junior"/>
    <d v="2023-04-20T11:59:33"/>
    <d v="2023-04-24T11:59:3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839"/>
    <s v="2839 | Program Office"/>
    <x v="1"/>
    <s v="Program Office - Junior"/>
    <s v="Extension Officer"/>
    <s v="Program Office-Extension Officer"/>
    <s v="Junior"/>
    <d v="2022-04-08T20:14:44"/>
    <d v="2022-04-09T20:14:44"/>
    <s v="Yes"/>
    <d v="2022-04-19T20:14:44"/>
    <s v="Failed"/>
    <s v="Not a culture fi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2834"/>
    <s v="2834 | Program Office"/>
    <x v="1"/>
    <s v="Program Office - Junior"/>
    <s v="Extension Officer"/>
    <s v="Program Office-Extension Officer"/>
    <s v="Junior"/>
    <d v="2022-04-08T20:14:44"/>
    <d v="2022-04-09T20:14:44"/>
    <s v="Yes"/>
    <d v="2022-04-27T20:14:44"/>
    <s v="Failed"/>
    <s v="Not a culture fit"/>
    <m/>
    <m/>
    <m/>
    <m/>
    <m/>
    <m/>
    <n v="0"/>
    <m/>
    <m/>
    <m/>
    <m/>
    <s v="Company"/>
    <m/>
    <m/>
    <m/>
    <n v="1"/>
    <n v="19"/>
    <n v="18"/>
    <x v="0"/>
    <s v=""/>
    <s v=""/>
    <s v=""/>
    <s v=""/>
    <s v=""/>
    <m/>
    <m/>
    <m/>
    <m/>
    <m/>
    <m/>
    <m/>
    <m/>
    <m/>
    <m/>
  </r>
  <r>
    <n v="2831"/>
    <s v="2831 | Program Office"/>
    <x v="1"/>
    <s v="Program Office - Junior"/>
    <s v="Extension Officer"/>
    <s v="Program Office-Extension Officer"/>
    <s v="Junior"/>
    <d v="2022-04-07T20:14:44"/>
    <d v="2022-04-09T20:14:44"/>
    <s v="Yes"/>
    <d v="2022-04-28T20:14:44"/>
    <s v="Failed"/>
    <s v="Not a culture fit"/>
    <m/>
    <m/>
    <m/>
    <m/>
    <d v="2022-04-30T20:14:44"/>
    <m/>
    <n v="0"/>
    <m/>
    <m/>
    <m/>
    <m/>
    <s v="Candidate"/>
    <m/>
    <m/>
    <m/>
    <n v="2"/>
    <n v="21"/>
    <n v="19"/>
    <x v="3"/>
    <n v="2"/>
    <d v="2022-07-29T20:14:44"/>
    <s v=""/>
    <s v=""/>
    <s v=""/>
    <m/>
    <m/>
    <m/>
    <m/>
    <m/>
    <m/>
    <m/>
    <m/>
    <m/>
    <m/>
  </r>
  <r>
    <n v="2734"/>
    <s v="2734 | Program Office"/>
    <x v="1"/>
    <s v="Program Office - Junior"/>
    <s v="Extension Officer"/>
    <s v="Program Office-Extension Officer"/>
    <s v="Junior"/>
    <d v="2022-07-07T23:32:45"/>
    <d v="2022-07-10T23:32:4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732"/>
    <s v="2732 | Program Office"/>
    <x v="1"/>
    <s v="Program Office - Junior"/>
    <s v="Extension Officer"/>
    <s v="Program Office-Extension Officer"/>
    <s v="Junior"/>
    <d v="2022-07-08T23:32:45"/>
    <d v="2022-07-11T23:32:45"/>
    <s v="Yes"/>
    <d v="2022-07-20T23:32:45"/>
    <s v="Failed"/>
    <s v="Salary expectation too high"/>
    <m/>
    <m/>
    <m/>
    <m/>
    <d v="2022-07-22T23:32:45"/>
    <m/>
    <n v="0"/>
    <m/>
    <m/>
    <m/>
    <m/>
    <s v="Company"/>
    <m/>
    <m/>
    <m/>
    <n v="3"/>
    <n v="12"/>
    <n v="9"/>
    <x v="1"/>
    <n v="2"/>
    <d v="2022-10-20T23:32:45"/>
    <s v=""/>
    <s v=""/>
    <s v=""/>
    <m/>
    <m/>
    <m/>
    <m/>
    <m/>
    <m/>
    <m/>
    <m/>
    <m/>
    <m/>
  </r>
  <r>
    <n v="2570"/>
    <s v="2570 | Program Office"/>
    <x v="1"/>
    <s v="Program Office - Junior"/>
    <s v="Extension Officer"/>
    <s v="Program Office-Extension Officer"/>
    <s v="Junior"/>
    <d v="2022-11-18T06:58:42"/>
    <d v="2022-11-22T06:58:42"/>
    <s v="Yes"/>
    <d v="2022-12-01T06:58:42"/>
    <s v="Failed"/>
    <s v="Not a culture fit"/>
    <m/>
    <m/>
    <m/>
    <m/>
    <d v="2022-12-02T06:58:42"/>
    <m/>
    <n v="0"/>
    <m/>
    <m/>
    <m/>
    <m/>
    <s v="Company"/>
    <m/>
    <m/>
    <m/>
    <n v="4"/>
    <n v="13"/>
    <n v="9"/>
    <x v="1"/>
    <n v="1"/>
    <d v="2023-03-02T06:58:42"/>
    <s v=""/>
    <s v=""/>
    <s v=""/>
    <m/>
    <m/>
    <m/>
    <m/>
    <m/>
    <m/>
    <m/>
    <m/>
    <m/>
    <m/>
  </r>
  <r>
    <n v="2564"/>
    <s v="2564 | Program Office"/>
    <x v="1"/>
    <s v="Program Office - Junior"/>
    <s v="Extension Officer"/>
    <s v="Program Office-Extension Officer"/>
    <s v="Junior"/>
    <d v="2022-11-23T06:58:42"/>
    <d v="2022-11-25T06:58:42"/>
    <s v="Yes"/>
    <d v="2022-12-11T06:58:42"/>
    <s v="Declined"/>
    <m/>
    <d v="2022-12-16T06:58:42"/>
    <s v="Declined"/>
    <m/>
    <m/>
    <d v="2022-12-14T06:58:42"/>
    <m/>
    <n v="0"/>
    <m/>
    <m/>
    <m/>
    <m/>
    <m/>
    <m/>
    <m/>
    <m/>
    <n v="2"/>
    <n v="18"/>
    <n v="16"/>
    <x v="19"/>
    <n v="3"/>
    <d v="2023-03-14T06:58:42"/>
    <s v=""/>
    <s v=""/>
    <s v=""/>
    <m/>
    <m/>
    <m/>
    <m/>
    <m/>
    <m/>
    <m/>
    <m/>
    <m/>
    <m/>
  </r>
  <r>
    <n v="2539"/>
    <s v="2539 | Program Office"/>
    <x v="1"/>
    <s v="Program Office - Junior"/>
    <s v="Extension Officer"/>
    <s v="Program Office-Extension Officer"/>
    <s v="Junior"/>
    <d v="2022-05-02T01:23:53"/>
    <d v="2022-05-06T01:23:53"/>
    <s v="Yes"/>
    <d v="2022-05-12T01:23:53"/>
    <s v="Accepted"/>
    <m/>
    <d v="2022-05-16T01:23:53"/>
    <s v="Accepted"/>
    <d v="2022-05-13T01:23:53"/>
    <d v="2022-05-14T01:23:53"/>
    <d v="2022-05-14T01:23:53"/>
    <d v="2022-05-18T01:23:53"/>
    <n v="1"/>
    <d v="2022-05-21T01:23:53"/>
    <d v="2022-05-22T01:23:53"/>
    <d v="2022-05-25T01:23:53"/>
    <m/>
    <m/>
    <d v="2022-06-01T01:23:53"/>
    <m/>
    <m/>
    <n v="4"/>
    <n v="10"/>
    <n v="6"/>
    <x v="24"/>
    <n v="2"/>
    <d v="2022-08-12T01:23:53"/>
    <n v="3"/>
    <n v="18"/>
    <n v="11"/>
    <m/>
    <m/>
    <m/>
    <m/>
    <m/>
    <m/>
    <m/>
    <m/>
    <m/>
    <m/>
  </r>
  <r>
    <n v="2537"/>
    <s v="2537 | Program Office"/>
    <x v="1"/>
    <s v="Program Office - Junior"/>
    <s v="Extension Officer"/>
    <s v="Program Office-Extension Officer"/>
    <s v="Junior"/>
    <d v="2022-05-01T01:23:53"/>
    <d v="2022-05-04T01:23:53"/>
    <s v="Yes"/>
    <d v="2022-05-17T01:23:53"/>
    <s v="Declined"/>
    <m/>
    <d v="2022-05-20T01:23:53"/>
    <s v="Declined"/>
    <m/>
    <m/>
    <d v="2022-05-18T01:23:53"/>
    <m/>
    <n v="0"/>
    <m/>
    <m/>
    <m/>
    <m/>
    <m/>
    <m/>
    <m/>
    <m/>
    <n v="3"/>
    <n v="16"/>
    <n v="13"/>
    <x v="14"/>
    <n v="1"/>
    <d v="2022-08-16T01:23:53"/>
    <s v=""/>
    <s v=""/>
    <s v=""/>
    <m/>
    <m/>
    <m/>
    <m/>
    <m/>
    <m/>
    <m/>
    <m/>
    <m/>
    <m/>
  </r>
  <r>
    <n v="2534"/>
    <s v="2534 | Program Office"/>
    <x v="1"/>
    <s v="Program Office - Junior"/>
    <s v="Extension Officer"/>
    <s v="Program Office-Extension Officer"/>
    <s v="Junior"/>
    <d v="2022-05-01T01:23:53"/>
    <d v="2022-05-05T01:23:53"/>
    <s v="Yes"/>
    <d v="2022-05-14T01:23:53"/>
    <s v="Failed"/>
    <s v="Not a culture fit"/>
    <m/>
    <m/>
    <m/>
    <m/>
    <m/>
    <m/>
    <n v="0"/>
    <m/>
    <m/>
    <m/>
    <m/>
    <s v="Company"/>
    <m/>
    <m/>
    <m/>
    <n v="4"/>
    <n v="13"/>
    <n v="9"/>
    <x v="0"/>
    <s v=""/>
    <s v=""/>
    <s v=""/>
    <s v=""/>
    <s v=""/>
    <m/>
    <m/>
    <m/>
    <m/>
    <m/>
    <m/>
    <m/>
    <m/>
    <m/>
    <m/>
  </r>
  <r>
    <n v="2532"/>
    <s v="2532 | Program Office"/>
    <x v="1"/>
    <s v="Program Office - Junior"/>
    <s v="Extension Officer"/>
    <s v="Program Office-Extension Officer"/>
    <s v="Junior"/>
    <d v="2022-05-01T01:23:53"/>
    <d v="2022-05-05T01:23:5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20"/>
    <s v="2520 | Program Office"/>
    <x v="1"/>
    <s v="Program Office - Junior"/>
    <s v="Extension Officer"/>
    <s v="Program Office-Extension Officer"/>
    <s v="Junior"/>
    <d v="2023-09-02T03:11:54"/>
    <d v="2023-09-04T03:11:54"/>
    <s v="Yes"/>
    <d v="2023-09-13T03:11:54"/>
    <s v="Accepted"/>
    <m/>
    <d v="2023-09-18T03:11:54"/>
    <s v="Accepted"/>
    <d v="2023-09-14T03:11:54"/>
    <d v="2023-09-17T03:11:54"/>
    <d v="2023-09-16T03:11:54"/>
    <d v="2023-09-20T03:11:54"/>
    <n v="1"/>
    <d v="2023-09-21T03:11:54"/>
    <d v="2023-09-23T03:11:54"/>
    <d v="2023-09-25T03:11:54"/>
    <m/>
    <m/>
    <d v="2023-10-13T03:11:54"/>
    <m/>
    <m/>
    <n v="2"/>
    <n v="11"/>
    <n v="9"/>
    <x v="1"/>
    <n v="3"/>
    <d v="2023-12-15T03:11:54"/>
    <n v="1"/>
    <n v="27"/>
    <n v="9"/>
    <m/>
    <m/>
    <m/>
    <m/>
    <m/>
    <m/>
    <m/>
    <m/>
    <m/>
    <m/>
  </r>
  <r>
    <n v="2516"/>
    <s v="2516 | Program Office"/>
    <x v="1"/>
    <s v="Program Office - Junior"/>
    <s v="Extension Officer"/>
    <s v="Program Office-Extension Officer"/>
    <s v="Junior"/>
    <d v="2023-08-29T03:11:54"/>
    <d v="2023-09-02T03:11:54"/>
    <s v="Yes"/>
    <d v="2023-09-22T03:11:54"/>
    <s v="Failed"/>
    <s v="Position filled by another"/>
    <m/>
    <m/>
    <m/>
    <m/>
    <d v="2023-09-24T03:11:54"/>
    <m/>
    <n v="0"/>
    <m/>
    <m/>
    <m/>
    <m/>
    <s v="Candidate"/>
    <m/>
    <m/>
    <m/>
    <n v="4"/>
    <n v="24"/>
    <n v="20"/>
    <x v="25"/>
    <n v="2"/>
    <d v="2023-12-23T03:11:54"/>
    <s v=""/>
    <s v=""/>
    <s v=""/>
    <m/>
    <m/>
    <m/>
    <m/>
    <m/>
    <m/>
    <m/>
    <m/>
    <m/>
    <m/>
  </r>
  <r>
    <n v="2515"/>
    <s v="2515 | Program Office"/>
    <x v="1"/>
    <s v="Program Office - Junior"/>
    <s v="Extension Officer"/>
    <s v="Program Office-Extension Officer"/>
    <s v="Junior"/>
    <d v="2023-08-31T03:11:54"/>
    <d v="2023-09-02T03:11:5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456"/>
    <s v="2456 | Program Office"/>
    <x v="1"/>
    <s v="Program Office - Junior"/>
    <s v="Extension Officer"/>
    <s v="Program Office-Extension Officer"/>
    <s v="Junior"/>
    <d v="2023-08-24T01:40:33"/>
    <d v="2023-08-25T01:40:33"/>
    <s v="Yes"/>
    <d v="2023-09-02T01:40:33"/>
    <s v="Accepted"/>
    <m/>
    <d v="2023-09-09T01:40:33"/>
    <s v="Accepted"/>
    <d v="2023-09-04T01:40:33"/>
    <d v="2023-09-06T01:40:33"/>
    <d v="2023-09-06T01:40:33"/>
    <d v="2023-09-10T01:40:33"/>
    <n v="1"/>
    <d v="2023-09-11T01:40:33"/>
    <d v="2023-09-14T01:40:33"/>
    <d v="2023-09-17T01:40:33"/>
    <m/>
    <m/>
    <d v="2023-10-06T01:40:33"/>
    <m/>
    <m/>
    <n v="1"/>
    <n v="9"/>
    <n v="8"/>
    <x v="8"/>
    <n v="4"/>
    <d v="2023-12-05T01:40:33"/>
    <n v="1"/>
    <n v="30"/>
    <n v="11"/>
    <m/>
    <m/>
    <m/>
    <m/>
    <m/>
    <m/>
    <m/>
    <m/>
    <m/>
    <m/>
  </r>
  <r>
    <n v="2450"/>
    <s v="2450 | Program Office"/>
    <x v="1"/>
    <s v="Program Office - Junior"/>
    <s v="Extension Officer"/>
    <s v="Program Office-Extension Officer"/>
    <s v="Junior"/>
    <d v="2022-10-29T18:32:00"/>
    <d v="2022-11-02T18:32:00"/>
    <s v="Yes"/>
    <d v="2022-11-15T18:32:00"/>
    <s v="Declined"/>
    <m/>
    <d v="2022-11-20T18:32:00"/>
    <s v="Declined"/>
    <m/>
    <m/>
    <d v="2022-11-19T18:32:00"/>
    <m/>
    <n v="0"/>
    <m/>
    <m/>
    <m/>
    <m/>
    <m/>
    <m/>
    <m/>
    <m/>
    <n v="4"/>
    <n v="17"/>
    <n v="13"/>
    <x v="19"/>
    <n v="4"/>
    <d v="2023-02-17T18:32:00"/>
    <s v=""/>
    <s v=""/>
    <s v=""/>
    <m/>
    <m/>
    <m/>
    <m/>
    <m/>
    <m/>
    <m/>
    <m/>
    <m/>
    <m/>
  </r>
  <r>
    <n v="2446"/>
    <s v="2446 | Program Office"/>
    <x v="1"/>
    <s v="Program Office - Junior"/>
    <s v="Extension Officer"/>
    <s v="Program Office-Extension Officer"/>
    <s v="Junior"/>
    <d v="2022-10-31T18:32:00"/>
    <d v="2022-11-02T18:32:00"/>
    <s v="Yes"/>
    <d v="2022-11-15T18:32:00"/>
    <s v="Failed"/>
    <s v="Other"/>
    <m/>
    <m/>
    <m/>
    <m/>
    <m/>
    <m/>
    <n v="0"/>
    <m/>
    <m/>
    <m/>
    <m/>
    <s v="Candidate"/>
    <m/>
    <m/>
    <m/>
    <n v="2"/>
    <n v="15"/>
    <n v="13"/>
    <x v="0"/>
    <s v=""/>
    <s v=""/>
    <s v=""/>
    <s v=""/>
    <s v=""/>
    <m/>
    <m/>
    <m/>
    <m/>
    <m/>
    <m/>
    <m/>
    <m/>
    <m/>
    <m/>
  </r>
  <r>
    <n v="2445"/>
    <s v="2445 | Program Office"/>
    <x v="1"/>
    <s v="Program Office - Junior"/>
    <s v="Extension Officer"/>
    <s v="Program Office-Extension Officer"/>
    <s v="Junior"/>
    <d v="2022-11-03T18:32:00"/>
    <d v="2022-11-05T18:32:0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443"/>
    <s v="2443 | Program Office"/>
    <x v="1"/>
    <s v="Program Office - Junior"/>
    <s v="Extension Officer"/>
    <s v="Program Office-Extension Officer"/>
    <s v="Junior"/>
    <d v="2022-10-31T18:32:00"/>
    <d v="2022-11-04T18:32:00"/>
    <s v="Yes"/>
    <d v="2022-11-14T18:32:00"/>
    <s v="Failed"/>
    <s v="Other"/>
    <m/>
    <m/>
    <m/>
    <m/>
    <d v="2022-11-17T18:32:00"/>
    <m/>
    <n v="0"/>
    <m/>
    <m/>
    <m/>
    <m/>
    <s v="Candidate"/>
    <m/>
    <m/>
    <m/>
    <n v="4"/>
    <n v="14"/>
    <n v="10"/>
    <x v="14"/>
    <n v="3"/>
    <d v="2023-02-15T18:32:00"/>
    <s v=""/>
    <s v=""/>
    <s v=""/>
    <m/>
    <m/>
    <m/>
    <m/>
    <m/>
    <m/>
    <m/>
    <m/>
    <m/>
    <m/>
  </r>
  <r>
    <n v="2441"/>
    <s v="2441 | Program Office"/>
    <x v="1"/>
    <s v="Program Office - Junior"/>
    <s v="Extension Officer"/>
    <s v="Program Office-Extension Officer"/>
    <s v="Junior"/>
    <d v="2022-11-03T18:32:00"/>
    <d v="2022-11-07T18:32:00"/>
    <s v="Yes"/>
    <d v="2022-11-15T18:32:00"/>
    <s v="Failed"/>
    <s v="Didn't pass technical test"/>
    <m/>
    <m/>
    <m/>
    <m/>
    <d v="2022-11-18T18:32:00"/>
    <m/>
    <n v="0"/>
    <m/>
    <m/>
    <m/>
    <m/>
    <s v="Candidate"/>
    <m/>
    <m/>
    <m/>
    <n v="4"/>
    <n v="12"/>
    <n v="8"/>
    <x v="16"/>
    <n v="3"/>
    <d v="2023-02-16T18:32:00"/>
    <s v=""/>
    <s v=""/>
    <s v=""/>
    <m/>
    <m/>
    <m/>
    <m/>
    <m/>
    <m/>
    <m/>
    <m/>
    <m/>
    <m/>
  </r>
  <r>
    <n v="2409"/>
    <s v="2409 | Program Office"/>
    <x v="1"/>
    <s v="Program Office - Junior"/>
    <s v="Extension Officer"/>
    <s v="Program Office-Extension Officer"/>
    <s v="Junior"/>
    <d v="2023-04-01T02:03:49"/>
    <d v="2023-04-03T02:03:49"/>
    <s v="Yes"/>
    <d v="2023-04-20T02:03:49"/>
    <s v="Declined"/>
    <m/>
    <d v="2023-04-25T02:03:49"/>
    <s v="Declined"/>
    <m/>
    <m/>
    <d v="2023-04-22T02:03:49"/>
    <m/>
    <n v="0"/>
    <m/>
    <m/>
    <m/>
    <m/>
    <m/>
    <m/>
    <m/>
    <m/>
    <n v="2"/>
    <n v="19"/>
    <n v="17"/>
    <x v="19"/>
    <n v="2"/>
    <d v="2023-07-21T02:03:49"/>
    <s v=""/>
    <s v=""/>
    <s v=""/>
    <m/>
    <m/>
    <m/>
    <m/>
    <m/>
    <m/>
    <m/>
    <m/>
    <m/>
    <m/>
  </r>
  <r>
    <n v="2407"/>
    <s v="2407 | Program Office"/>
    <x v="1"/>
    <s v="Program Office - Junior"/>
    <s v="Extension Officer"/>
    <s v="Program Office-Extension Officer"/>
    <s v="Junior"/>
    <d v="2023-03-28T02:03:49"/>
    <d v="2023-03-31T02:03:49"/>
    <s v="Yes"/>
    <d v="2023-04-18T02:03:49"/>
    <s v="Failed"/>
    <s v="Not a culture fit"/>
    <m/>
    <m/>
    <m/>
    <m/>
    <d v="2023-04-19T02:03:49"/>
    <m/>
    <n v="0"/>
    <m/>
    <m/>
    <m/>
    <m/>
    <s v="Candidate"/>
    <m/>
    <m/>
    <m/>
    <n v="3"/>
    <n v="21"/>
    <n v="18"/>
    <x v="7"/>
    <n v="1"/>
    <d v="2023-07-18T02:03:49"/>
    <s v=""/>
    <s v=""/>
    <s v=""/>
    <m/>
    <m/>
    <m/>
    <m/>
    <m/>
    <m/>
    <m/>
    <m/>
    <m/>
    <m/>
  </r>
  <r>
    <n v="2402"/>
    <s v="2402 | Program Office"/>
    <x v="1"/>
    <s v="Program Office - Junior"/>
    <s v="Extension Officer"/>
    <s v="Program Office-Extension Officer"/>
    <s v="Junior"/>
    <d v="2023-03-30T02:03:49"/>
    <d v="2023-04-03T02:03:49"/>
    <s v="Yes"/>
    <d v="2023-04-20T02:03:49"/>
    <s v="Failed"/>
    <s v="Salary expectation too high"/>
    <m/>
    <m/>
    <m/>
    <m/>
    <d v="2023-04-22T02:03:49"/>
    <m/>
    <n v="0"/>
    <m/>
    <m/>
    <m/>
    <m/>
    <s v="Company"/>
    <m/>
    <m/>
    <m/>
    <n v="4"/>
    <n v="21"/>
    <n v="17"/>
    <x v="3"/>
    <n v="2"/>
    <d v="2023-07-21T02:03:49"/>
    <s v=""/>
    <s v=""/>
    <s v=""/>
    <m/>
    <m/>
    <m/>
    <m/>
    <m/>
    <m/>
    <m/>
    <m/>
    <m/>
    <m/>
  </r>
  <r>
    <n v="2389"/>
    <s v="2389 | Program Office"/>
    <x v="1"/>
    <s v="Program Office - Junior"/>
    <s v="Extension Officer"/>
    <s v="Program Office-Extension Officer"/>
    <s v="Junior"/>
    <d v="2023-04-16T12:42:32"/>
    <d v="2023-04-17T12:42:32"/>
    <s v="Yes"/>
    <d v="2023-04-28T12:42:32"/>
    <s v="Declined"/>
    <m/>
    <d v="2023-05-04T12:42:32"/>
    <s v="Declined"/>
    <m/>
    <m/>
    <d v="2023-05-02T12:42:32"/>
    <m/>
    <n v="0"/>
    <m/>
    <m/>
    <m/>
    <m/>
    <m/>
    <m/>
    <m/>
    <m/>
    <n v="1"/>
    <n v="12"/>
    <n v="11"/>
    <x v="20"/>
    <n v="4"/>
    <d v="2023-07-31T12:42:32"/>
    <s v=""/>
    <s v=""/>
    <s v=""/>
    <m/>
    <m/>
    <m/>
    <m/>
    <m/>
    <m/>
    <m/>
    <m/>
    <m/>
    <m/>
  </r>
  <r>
    <n v="2385"/>
    <s v="2385 | Program Office"/>
    <x v="1"/>
    <s v="Program Office - Junior"/>
    <s v="Extension Officer"/>
    <s v="Program Office-Extension Officer"/>
    <s v="Junior"/>
    <d v="2023-04-16T12:42:32"/>
    <d v="2023-04-17T12:42:32"/>
    <s v="Yes"/>
    <d v="2023-04-23T12:42:32"/>
    <s v="Failed"/>
    <s v="Salary expectation too high"/>
    <m/>
    <m/>
    <m/>
    <m/>
    <m/>
    <m/>
    <n v="0"/>
    <m/>
    <m/>
    <m/>
    <m/>
    <s v="Candidate"/>
    <m/>
    <m/>
    <m/>
    <n v="1"/>
    <n v="7"/>
    <n v="6"/>
    <x v="0"/>
    <s v=""/>
    <s v=""/>
    <s v=""/>
    <s v=""/>
    <s v=""/>
    <m/>
    <m/>
    <m/>
    <m/>
    <m/>
    <m/>
    <m/>
    <m/>
    <m/>
    <m/>
  </r>
  <r>
    <n v="2381"/>
    <s v="2381 | Program Office"/>
    <x v="1"/>
    <s v="Program Office - Junior"/>
    <s v="Extension Officer"/>
    <s v="Program Office-Extension Officer"/>
    <s v="Junior"/>
    <d v="2023-04-14T12:42:32"/>
    <d v="2023-04-15T12:42:32"/>
    <s v="Yes"/>
    <d v="2023-05-03T12:42:32"/>
    <s v="Accepted"/>
    <m/>
    <d v="2023-05-08T12:42:32"/>
    <s v="Accepted"/>
    <d v="2023-05-04T12:42:32"/>
    <d v="2023-05-08T12:42:32"/>
    <d v="2023-05-04T12:42:32"/>
    <d v="2023-05-14T12:42:32"/>
    <n v="1"/>
    <d v="2023-05-16T12:42:32"/>
    <d v="2023-05-19T12:42:32"/>
    <d v="2023-05-22T12:42:32"/>
    <m/>
    <m/>
    <d v="2023-05-30T12:42:32"/>
    <m/>
    <m/>
    <n v="1"/>
    <n v="19"/>
    <n v="18"/>
    <x v="15"/>
    <n v="1"/>
    <d v="2023-08-02T12:42:32"/>
    <n v="2"/>
    <n v="26"/>
    <n v="18"/>
    <m/>
    <m/>
    <m/>
    <m/>
    <m/>
    <m/>
    <m/>
    <m/>
    <m/>
    <m/>
  </r>
  <r>
    <n v="2367"/>
    <s v="2367 | Program Office"/>
    <x v="1"/>
    <s v="Program Office - Junior"/>
    <s v="Extension Officer"/>
    <s v="Program Office-Extension Officer"/>
    <s v="Junior"/>
    <d v="2023-02-15T06:26:17"/>
    <d v="2023-02-18T06:26:17"/>
    <s v="Yes"/>
    <d v="2023-03-02T06:26:17"/>
    <s v="Failed"/>
    <s v="Not a culture fit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2362"/>
    <s v="2362 | Program Office"/>
    <x v="1"/>
    <s v="Program Office - Junior"/>
    <s v="Extension Officer"/>
    <s v="Program Office-Extension Officer"/>
    <s v="Junior"/>
    <d v="2023-02-16T06:26:17"/>
    <d v="2023-02-17T06:26:17"/>
    <s v="Yes"/>
    <d v="2023-03-07T06:26:17"/>
    <s v="Failed"/>
    <s v="Not a culture fit"/>
    <m/>
    <m/>
    <m/>
    <m/>
    <d v="2023-03-10T06:26:17"/>
    <m/>
    <n v="0"/>
    <m/>
    <m/>
    <m/>
    <m/>
    <s v="Company"/>
    <m/>
    <m/>
    <m/>
    <n v="1"/>
    <n v="19"/>
    <n v="18"/>
    <x v="7"/>
    <n v="3"/>
    <d v="2023-06-08T06:26:17"/>
    <s v=""/>
    <s v=""/>
    <s v=""/>
    <m/>
    <m/>
    <m/>
    <m/>
    <m/>
    <m/>
    <m/>
    <m/>
    <m/>
    <m/>
  </r>
  <r>
    <n v="2319"/>
    <s v="2319 | Program Office"/>
    <x v="1"/>
    <s v="Program Office - Junior"/>
    <s v="Extension Officer"/>
    <s v="Program Office-Extension Officer"/>
    <s v="Junior"/>
    <d v="2022-04-23T00:53:43"/>
    <d v="2022-04-24T00:53:43"/>
    <s v="Yes"/>
    <d v="2022-05-11T00:53:43"/>
    <s v="Failed"/>
    <s v="Didn't pass technical test"/>
    <m/>
    <m/>
    <m/>
    <m/>
    <d v="2022-05-13T00:53:43"/>
    <m/>
    <n v="0"/>
    <m/>
    <m/>
    <m/>
    <m/>
    <s v="Candidate"/>
    <m/>
    <m/>
    <m/>
    <n v="1"/>
    <n v="18"/>
    <n v="17"/>
    <x v="15"/>
    <n v="2"/>
    <d v="2022-08-11T00:53:43"/>
    <s v=""/>
    <s v=""/>
    <s v=""/>
    <m/>
    <m/>
    <m/>
    <m/>
    <m/>
    <m/>
    <m/>
    <m/>
    <m/>
    <m/>
  </r>
  <r>
    <n v="2268"/>
    <s v="2268 | Program Office"/>
    <x v="1"/>
    <s v="Program Office - Junior"/>
    <s v="Extension Officer"/>
    <s v="Program Office-Extension Officer"/>
    <s v="Junior"/>
    <d v="2023-04-10T22:30:17"/>
    <d v="2023-04-14T22:30:17"/>
    <s v="Yes"/>
    <d v="2023-05-06T22:30:17"/>
    <s v="Failed"/>
    <s v="Didn't pass technical test"/>
    <m/>
    <m/>
    <m/>
    <m/>
    <d v="2023-05-10T22:30:17"/>
    <m/>
    <n v="0"/>
    <m/>
    <m/>
    <m/>
    <m/>
    <s v="Candidate"/>
    <m/>
    <m/>
    <m/>
    <n v="4"/>
    <n v="26"/>
    <n v="22"/>
    <x v="26"/>
    <n v="4"/>
    <d v="2023-08-08T22:30:17"/>
    <s v=""/>
    <s v=""/>
    <s v=""/>
    <m/>
    <m/>
    <m/>
    <m/>
    <m/>
    <m/>
    <m/>
    <m/>
    <m/>
    <m/>
  </r>
  <r>
    <n v="2266"/>
    <s v="2266 | Program Office"/>
    <x v="1"/>
    <s v="Program Office - Junior"/>
    <s v="Extension Officer"/>
    <s v="Program Office-Extension Officer"/>
    <s v="Junior"/>
    <d v="2023-04-14T22:30:17"/>
    <d v="2023-04-16T22:30:1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261"/>
    <s v="2261 | Program Office"/>
    <x v="1"/>
    <s v="Program Office - Junior"/>
    <s v="Extension Officer"/>
    <s v="Program Office-Extension Officer"/>
    <s v="Junior"/>
    <d v="2023-04-11T22:30:17"/>
    <d v="2023-04-15T22:30:17"/>
    <s v="Yes"/>
    <d v="2023-04-25T22:30:17"/>
    <s v="Failed"/>
    <s v="Other"/>
    <m/>
    <m/>
    <m/>
    <m/>
    <d v="2023-04-29T22:30:17"/>
    <m/>
    <n v="0"/>
    <m/>
    <m/>
    <m/>
    <m/>
    <s v="Company"/>
    <m/>
    <m/>
    <m/>
    <n v="4"/>
    <n v="14"/>
    <n v="10"/>
    <x v="12"/>
    <n v="4"/>
    <d v="2023-07-28T22:30:17"/>
    <s v=""/>
    <s v=""/>
    <s v=""/>
    <m/>
    <m/>
    <m/>
    <m/>
    <m/>
    <m/>
    <m/>
    <m/>
    <m/>
    <m/>
  </r>
  <r>
    <n v="2242"/>
    <s v="2242 | Program Office"/>
    <x v="1"/>
    <s v="Program Office - Junior"/>
    <s v="Extension Officer"/>
    <s v="Program Office-Extension Officer"/>
    <s v="Junior"/>
    <d v="2022-12-31T14:26:31"/>
    <d v="2023-01-02T14:26:31"/>
    <s v="Yes"/>
    <d v="2023-01-16T14:26:31"/>
    <s v="Failed"/>
    <s v="Other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2199"/>
    <s v="2199 | Program Office"/>
    <x v="1"/>
    <s v="Program Office - Junior"/>
    <s v="Extension Officer"/>
    <s v="Program Office-Extension Officer"/>
    <s v="Junior"/>
    <d v="2022-08-28T03:59:03"/>
    <d v="2022-08-29T03:59:03"/>
    <s v="Yes"/>
    <d v="2022-09-20T03:59:03"/>
    <s v="Declined"/>
    <m/>
    <d v="2022-09-23T03:59:03"/>
    <s v="Declined"/>
    <m/>
    <m/>
    <d v="2022-09-21T03:59:03"/>
    <m/>
    <n v="0"/>
    <m/>
    <m/>
    <m/>
    <m/>
    <m/>
    <m/>
    <m/>
    <m/>
    <n v="1"/>
    <n v="23"/>
    <n v="22"/>
    <x v="21"/>
    <n v="1"/>
    <d v="2022-12-20T03:59:03"/>
    <s v=""/>
    <s v=""/>
    <s v=""/>
    <m/>
    <m/>
    <m/>
    <m/>
    <m/>
    <m/>
    <m/>
    <m/>
    <m/>
    <m/>
  </r>
  <r>
    <n v="2198"/>
    <s v="2198 | Program Office"/>
    <x v="1"/>
    <s v="Program Office - Junior"/>
    <s v="Extension Officer"/>
    <s v="Program Office-Extension Officer"/>
    <s v="Junior"/>
    <d v="2022-08-25T03:59:03"/>
    <d v="2022-08-28T03:59:0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196"/>
    <s v="2196 | Program Office"/>
    <x v="1"/>
    <s v="Program Office - Junior"/>
    <s v="Extension Officer"/>
    <s v="Program Office-Extension Officer"/>
    <s v="Junior"/>
    <d v="2022-08-28T03:59:03"/>
    <d v="2022-08-31T03:59:03"/>
    <s v="Yes"/>
    <d v="2022-09-10T03:59:03"/>
    <s v="Accepted"/>
    <m/>
    <d v="2022-09-16T03:59:03"/>
    <s v="Accepted"/>
    <d v="2022-09-12T03:59:03"/>
    <d v="2022-09-14T03:59:03"/>
    <d v="2022-09-12T03:59:03"/>
    <d v="2022-09-18T03:59:03"/>
    <n v="1"/>
    <d v="2022-09-21T03:59:03"/>
    <d v="2022-09-23T03:59:03"/>
    <d v="2022-09-26T03:59:03"/>
    <m/>
    <m/>
    <d v="2022-10-03T03:59:03"/>
    <m/>
    <m/>
    <n v="3"/>
    <n v="13"/>
    <n v="10"/>
    <x v="16"/>
    <n v="2"/>
    <d v="2022-12-11T03:59:03"/>
    <n v="3"/>
    <n v="21"/>
    <n v="14"/>
    <m/>
    <m/>
    <m/>
    <m/>
    <m/>
    <m/>
    <m/>
    <m/>
    <m/>
    <m/>
  </r>
  <r>
    <n v="2194"/>
    <s v="2194 | Program Office"/>
    <x v="1"/>
    <s v="Program Office - Junior"/>
    <s v="Extension Officer"/>
    <s v="Program Office-Extension Officer"/>
    <s v="Junior"/>
    <d v="2022-08-28T03:59:03"/>
    <d v="2022-09-01T03:59:03"/>
    <s v="Yes"/>
    <d v="2022-09-14T03:59:03"/>
    <s v="Accepted"/>
    <m/>
    <d v="2022-09-22T03:59:03"/>
    <s v="Accepted"/>
    <d v="2022-09-16T03:59:03"/>
    <d v="2022-09-20T03:59:03"/>
    <d v="2022-09-18T03:59:03"/>
    <d v="2022-09-21T03:59:03"/>
    <n v="1"/>
    <d v="2022-09-25T03:59:03"/>
    <d v="2022-09-27T03:59:03"/>
    <d v="2022-09-29T03:59:03"/>
    <m/>
    <m/>
    <d v="2022-10-21T03:59:03"/>
    <m/>
    <m/>
    <n v="4"/>
    <n v="17"/>
    <n v="13"/>
    <x v="19"/>
    <n v="4"/>
    <d v="2022-12-17T03:59:03"/>
    <n v="4"/>
    <n v="33"/>
    <n v="11"/>
    <m/>
    <m/>
    <m/>
    <m/>
    <m/>
    <m/>
    <m/>
    <m/>
    <m/>
    <m/>
  </r>
  <r>
    <n v="2193"/>
    <s v="2193 | Program Office"/>
    <x v="1"/>
    <s v="Program Office - Junior"/>
    <s v="Extension Officer"/>
    <s v="Program Office-Extension Officer"/>
    <s v="Junior"/>
    <d v="2022-08-28T03:59:03"/>
    <d v="2022-08-31T03:59:03"/>
    <s v="Yes"/>
    <d v="2022-09-13T03:59:03"/>
    <s v="Failed"/>
    <s v="Not a culture fit"/>
    <m/>
    <m/>
    <m/>
    <m/>
    <d v="2022-09-16T03:59:03"/>
    <m/>
    <n v="0"/>
    <m/>
    <m/>
    <m/>
    <m/>
    <s v="Candidate"/>
    <m/>
    <m/>
    <m/>
    <n v="3"/>
    <n v="16"/>
    <n v="13"/>
    <x v="13"/>
    <n v="3"/>
    <d v="2022-12-15T03:59:03"/>
    <s v=""/>
    <s v=""/>
    <s v=""/>
    <m/>
    <m/>
    <m/>
    <m/>
    <m/>
    <m/>
    <m/>
    <m/>
    <m/>
    <m/>
  </r>
  <r>
    <n v="2117"/>
    <s v="2117 | Program Office"/>
    <x v="1"/>
    <s v="Program Office - Junior"/>
    <s v="Extension Officer"/>
    <s v="Program Office-Extension Officer"/>
    <s v="Junior"/>
    <d v="2023-04-15T01:19:50"/>
    <d v="2023-04-16T01:19:50"/>
    <s v="Yes"/>
    <d v="2023-04-29T01:19:50"/>
    <s v="Failed"/>
    <s v="Other"/>
    <m/>
    <m/>
    <m/>
    <m/>
    <m/>
    <m/>
    <n v="0"/>
    <m/>
    <m/>
    <m/>
    <m/>
    <s v="Candidate"/>
    <m/>
    <m/>
    <m/>
    <n v="1"/>
    <n v="14"/>
    <n v="13"/>
    <x v="0"/>
    <s v=""/>
    <s v=""/>
    <s v=""/>
    <s v=""/>
    <s v=""/>
    <m/>
    <m/>
    <m/>
    <m/>
    <m/>
    <m/>
    <m/>
    <m/>
    <m/>
    <m/>
  </r>
  <r>
    <n v="1983"/>
    <s v="1983 | Program Office"/>
    <x v="1"/>
    <s v="Program Office - Junior"/>
    <s v="Extension Officer"/>
    <s v="Program Office-Extension Officer"/>
    <s v="Junior"/>
    <d v="2022-02-01T08:53:26"/>
    <d v="2022-02-05T08:53:2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974"/>
    <s v="1974 | Program Office"/>
    <x v="1"/>
    <s v="Program Office - Junior"/>
    <s v="Extension Officer"/>
    <s v="Program Office-Extension Officer"/>
    <s v="Junior"/>
    <d v="2022-10-20T11:57:41"/>
    <d v="2022-10-21T11:57:41"/>
    <s v="Yes"/>
    <d v="2022-11-11T11:57:41"/>
    <s v="Failed"/>
    <s v="Salary expectation too high"/>
    <m/>
    <m/>
    <m/>
    <m/>
    <d v="2022-11-13T11:57:41"/>
    <m/>
    <n v="0"/>
    <m/>
    <m/>
    <m/>
    <m/>
    <s v="Company"/>
    <m/>
    <m/>
    <m/>
    <n v="1"/>
    <n v="22"/>
    <n v="21"/>
    <x v="21"/>
    <n v="2"/>
    <d v="2023-02-11T11:57:41"/>
    <s v=""/>
    <s v=""/>
    <s v=""/>
    <m/>
    <m/>
    <m/>
    <m/>
    <m/>
    <m/>
    <m/>
    <m/>
    <m/>
    <m/>
  </r>
  <r>
    <n v="1965"/>
    <s v="1965 | Program Office"/>
    <x v="1"/>
    <s v="Program Office - Junior"/>
    <s v="Extension Officer"/>
    <s v="Program Office-Extension Officer"/>
    <s v="Junior"/>
    <d v="2022-12-02T10:23:18"/>
    <d v="2022-12-03T10:23:18"/>
    <s v="Yes"/>
    <d v="2022-12-19T10:23:18"/>
    <s v="Accepted"/>
    <m/>
    <d v="2022-12-26T10:23:18"/>
    <s v="Accepted"/>
    <d v="2022-12-21T10:23:18"/>
    <d v="2022-12-23T10:23:18"/>
    <d v="2022-12-22T10:23:18"/>
    <d v="2022-12-23T10:23:18"/>
    <n v="1"/>
    <d v="2022-12-27T10:23:18"/>
    <d v="2022-12-30T10:23:18"/>
    <d v="2023-01-01T10:23:18"/>
    <m/>
    <m/>
    <d v="2023-01-21T10:23:18"/>
    <m/>
    <m/>
    <n v="1"/>
    <n v="17"/>
    <n v="16"/>
    <x v="15"/>
    <n v="3"/>
    <d v="2023-03-22T10:23:18"/>
    <n v="4"/>
    <n v="30"/>
    <n v="10"/>
    <m/>
    <m/>
    <m/>
    <m/>
    <m/>
    <m/>
    <m/>
    <m/>
    <m/>
    <m/>
  </r>
  <r>
    <n v="1963"/>
    <s v="1963 | Program Office"/>
    <x v="1"/>
    <s v="Program Office - Junior"/>
    <s v="Extension Officer"/>
    <s v="Program Office-Extension Officer"/>
    <s v="Junior"/>
    <d v="2022-12-02T10:23:18"/>
    <d v="2022-12-04T10:23:18"/>
    <s v="Yes"/>
    <d v="2022-12-17T10:23:18"/>
    <s v="Failed"/>
    <s v="Other"/>
    <m/>
    <m/>
    <m/>
    <m/>
    <d v="2022-12-18T10:23:18"/>
    <m/>
    <n v="0"/>
    <m/>
    <m/>
    <m/>
    <m/>
    <s v="Company"/>
    <m/>
    <m/>
    <m/>
    <n v="2"/>
    <n v="15"/>
    <n v="13"/>
    <x v="20"/>
    <n v="1"/>
    <d v="2023-03-18T10:23:18"/>
    <s v=""/>
    <s v=""/>
    <s v=""/>
    <m/>
    <m/>
    <m/>
    <m/>
    <m/>
    <m/>
    <m/>
    <m/>
    <m/>
    <m/>
  </r>
  <r>
    <n v="1962"/>
    <s v="1962 | Program Office"/>
    <x v="1"/>
    <s v="Program Office - Junior"/>
    <s v="Extension Officer"/>
    <s v="Program Office-Extension Officer"/>
    <s v="Junior"/>
    <d v="2022-12-02T10:23:18"/>
    <d v="2022-12-05T10:23:18"/>
    <s v="Yes"/>
    <d v="2022-12-09T10:23:18"/>
    <s v="Failed"/>
    <s v="Didn't pass technical test"/>
    <m/>
    <m/>
    <m/>
    <m/>
    <d v="2022-12-13T10:23:18"/>
    <m/>
    <n v="0"/>
    <m/>
    <m/>
    <m/>
    <m/>
    <s v="Candidate"/>
    <m/>
    <m/>
    <m/>
    <n v="3"/>
    <n v="7"/>
    <n v="4"/>
    <x v="9"/>
    <n v="4"/>
    <d v="2023-03-13T10:23:18"/>
    <s v=""/>
    <s v=""/>
    <s v=""/>
    <m/>
    <m/>
    <m/>
    <m/>
    <m/>
    <m/>
    <m/>
    <m/>
    <m/>
    <m/>
  </r>
  <r>
    <n v="1852"/>
    <s v="1852 | Program Office"/>
    <x v="1"/>
    <s v="Program Office - Junior"/>
    <s v="Extension Officer"/>
    <s v="Program Office-Extension Officer"/>
    <s v="Junior"/>
    <d v="2022-11-10T01:50:58"/>
    <d v="2022-11-11T01:50:5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818"/>
    <s v="1818 | Program Office"/>
    <x v="1"/>
    <s v="Program Office - Junior"/>
    <s v="Extension Officer"/>
    <s v="Program Office-Extension Officer"/>
    <s v="Junior"/>
    <d v="2022-09-20T04:28:24"/>
    <d v="2022-09-21T04:28:24"/>
    <s v="Yes"/>
    <d v="2022-10-11T04:28:24"/>
    <s v="Failed"/>
    <s v="Other"/>
    <m/>
    <m/>
    <m/>
    <m/>
    <m/>
    <m/>
    <n v="0"/>
    <m/>
    <m/>
    <m/>
    <m/>
    <s v="Company"/>
    <m/>
    <m/>
    <m/>
    <n v="1"/>
    <n v="21"/>
    <n v="20"/>
    <x v="0"/>
    <s v=""/>
    <s v=""/>
    <s v=""/>
    <s v=""/>
    <s v=""/>
    <m/>
    <m/>
    <m/>
    <m/>
    <m/>
    <m/>
    <m/>
    <m/>
    <m/>
    <m/>
  </r>
  <r>
    <n v="1814"/>
    <s v="1814 | Program Office"/>
    <x v="1"/>
    <s v="Program Office - Junior"/>
    <s v="Extension Officer"/>
    <s v="Program Office-Extension Officer"/>
    <s v="Junior"/>
    <d v="2022-09-18T04:28:24"/>
    <d v="2022-09-22T04:28:24"/>
    <s v="Yes"/>
    <d v="2022-10-03T04:28:24"/>
    <s v="Failed"/>
    <s v="Didn't pass technical test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1810"/>
    <s v="1810 | Program Office"/>
    <x v="1"/>
    <s v="Program Office - Junior"/>
    <s v="Extension Officer"/>
    <s v="Program Office-Extension Officer"/>
    <s v="Junior"/>
    <d v="2023-07-15T00:25:30"/>
    <d v="2023-07-17T00:25:30"/>
    <s v="Yes"/>
    <d v="2023-08-05T00:25:30"/>
    <s v="Failed"/>
    <s v="Position filled by another"/>
    <m/>
    <m/>
    <m/>
    <m/>
    <d v="2023-08-08T00:25:30"/>
    <m/>
    <n v="0"/>
    <m/>
    <m/>
    <m/>
    <m/>
    <s v="Candidate"/>
    <m/>
    <m/>
    <m/>
    <n v="2"/>
    <n v="21"/>
    <n v="19"/>
    <x v="21"/>
    <n v="3"/>
    <d v="2023-11-06T00:25:30"/>
    <s v=""/>
    <s v=""/>
    <s v=""/>
    <m/>
    <m/>
    <m/>
    <m/>
    <m/>
    <m/>
    <m/>
    <m/>
    <m/>
    <m/>
  </r>
  <r>
    <n v="1804"/>
    <s v="1804 | Program Office"/>
    <x v="1"/>
    <s v="Program Office - Junior"/>
    <s v="Extension Officer"/>
    <s v="Program Office-Extension Officer"/>
    <s v="Junior"/>
    <d v="2023-07-16T00:25:30"/>
    <d v="2023-07-18T00:25:30"/>
    <s v="Yes"/>
    <d v="2023-08-04T00:25:30"/>
    <s v="Failed"/>
    <s v="Salary expectation too high"/>
    <m/>
    <m/>
    <m/>
    <m/>
    <m/>
    <m/>
    <n v="0"/>
    <m/>
    <m/>
    <m/>
    <m/>
    <s v="Company"/>
    <m/>
    <m/>
    <m/>
    <n v="2"/>
    <n v="19"/>
    <n v="17"/>
    <x v="0"/>
    <s v=""/>
    <s v=""/>
    <s v=""/>
    <s v=""/>
    <s v=""/>
    <m/>
    <m/>
    <m/>
    <m/>
    <m/>
    <m/>
    <m/>
    <m/>
    <m/>
    <m/>
  </r>
  <r>
    <n v="1799"/>
    <s v="1799 | Program Office"/>
    <x v="1"/>
    <s v="Program Office - Junior"/>
    <s v="Extension Officer"/>
    <s v="Program Office-Extension Officer"/>
    <s v="Junior"/>
    <d v="2022-09-28T11:30:38"/>
    <d v="2022-10-01T11:30:3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88"/>
    <s v="1688 | Program Office"/>
    <x v="1"/>
    <s v="Program Office - Junior"/>
    <s v="Extension Officer"/>
    <s v="Program Office-Extension Officer"/>
    <s v="Junior"/>
    <d v="2022-04-09T06:44:01"/>
    <d v="2022-04-12T06:44:01"/>
    <s v="Yes"/>
    <d v="2022-04-19T06:44:01"/>
    <s v="Failed"/>
    <s v="Salary expectation too high"/>
    <m/>
    <m/>
    <m/>
    <m/>
    <d v="2022-04-21T06:44:01"/>
    <m/>
    <n v="0"/>
    <m/>
    <m/>
    <m/>
    <m/>
    <s v="Company"/>
    <m/>
    <m/>
    <m/>
    <n v="3"/>
    <n v="10"/>
    <n v="7"/>
    <x v="24"/>
    <n v="2"/>
    <d v="2022-07-20T06:44:01"/>
    <s v=""/>
    <s v=""/>
    <s v=""/>
    <m/>
    <m/>
    <m/>
    <m/>
    <m/>
    <m/>
    <m/>
    <m/>
    <m/>
    <m/>
  </r>
  <r>
    <n v="1669"/>
    <s v="1669 | Program Office"/>
    <x v="1"/>
    <s v="Program Office - Junior"/>
    <s v="Extension Officer"/>
    <s v="Program Office-Extension Officer"/>
    <s v="Junior"/>
    <d v="2022-04-23T22:26:54"/>
    <d v="2022-04-24T22:26:54"/>
    <s v="Yes"/>
    <d v="2022-05-14T22:26:54"/>
    <s v="Failed"/>
    <s v="Salary expectation too high"/>
    <m/>
    <m/>
    <m/>
    <m/>
    <d v="2022-05-16T22:26:54"/>
    <m/>
    <n v="0"/>
    <m/>
    <m/>
    <m/>
    <m/>
    <s v="Company"/>
    <m/>
    <m/>
    <m/>
    <n v="1"/>
    <n v="21"/>
    <n v="20"/>
    <x v="3"/>
    <n v="2"/>
    <d v="2022-08-14T22:26:54"/>
    <s v=""/>
    <s v=""/>
    <s v=""/>
    <m/>
    <m/>
    <m/>
    <m/>
    <m/>
    <m/>
    <m/>
    <m/>
    <m/>
    <m/>
  </r>
  <r>
    <n v="1664"/>
    <s v="1664 | Program Office"/>
    <x v="1"/>
    <s v="Program Office - Junior"/>
    <s v="Extension Officer"/>
    <s v="Program Office-Extension Officer"/>
    <s v="Junior"/>
    <d v="2022-04-21T22:26:54"/>
    <d v="2022-04-23T22:26:54"/>
    <s v="Yes"/>
    <d v="2022-05-11T22:26:54"/>
    <s v="Accepted"/>
    <m/>
    <d v="2022-05-18T22:26:54"/>
    <s v="Accepted"/>
    <d v="2022-05-13T22:26:54"/>
    <d v="2022-05-17T22:26:54"/>
    <d v="2022-05-15T22:26:54"/>
    <d v="2022-05-19T22:26:54"/>
    <n v="1"/>
    <d v="2022-05-22T22:26:54"/>
    <d v="2022-05-25T22:26:54"/>
    <d v="2022-05-27T22:26:54"/>
    <m/>
    <m/>
    <d v="2022-06-09T22:26:54"/>
    <m/>
    <m/>
    <n v="2"/>
    <n v="20"/>
    <n v="18"/>
    <x v="21"/>
    <n v="4"/>
    <d v="2022-08-13T22:26:54"/>
    <n v="3"/>
    <n v="25"/>
    <n v="12"/>
    <m/>
    <m/>
    <m/>
    <m/>
    <m/>
    <m/>
    <m/>
    <m/>
    <m/>
    <m/>
  </r>
  <r>
    <n v="1661"/>
    <s v="1661 | Program Office"/>
    <x v="1"/>
    <s v="Program Office - Junior"/>
    <s v="Extension Officer"/>
    <s v="Program Office-Extension Officer"/>
    <s v="Junior"/>
    <d v="2022-04-18T22:26:54"/>
    <d v="2022-04-21T22:26:5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449"/>
    <s v="1449 | Program Office"/>
    <x v="1"/>
    <s v="Program Office - Junior"/>
    <s v="Extension Officer"/>
    <s v="Program Office-Extension Officer"/>
    <s v="Junior"/>
    <d v="2023-03-29T10:15:10"/>
    <d v="2023-04-01T10:15:10"/>
    <s v="Yes"/>
    <d v="2023-04-12T10:15:10"/>
    <s v="Declined"/>
    <m/>
    <d v="2023-04-15T10:15:10"/>
    <s v="Declined"/>
    <m/>
    <m/>
    <d v="2023-04-13T10:15:10"/>
    <m/>
    <n v="0"/>
    <m/>
    <m/>
    <m/>
    <m/>
    <m/>
    <m/>
    <m/>
    <m/>
    <n v="3"/>
    <n v="14"/>
    <n v="11"/>
    <x v="16"/>
    <n v="1"/>
    <d v="2023-07-12T10:15:10"/>
    <s v=""/>
    <s v=""/>
    <s v=""/>
    <m/>
    <m/>
    <m/>
    <m/>
    <m/>
    <m/>
    <m/>
    <m/>
    <m/>
    <m/>
  </r>
  <r>
    <n v="1444"/>
    <s v="1444 | Program Office"/>
    <x v="1"/>
    <s v="Program Office - Junior"/>
    <s v="Extension Officer"/>
    <s v="Program Office-Extension Officer"/>
    <s v="Junior"/>
    <d v="2023-03-30T10:15:10"/>
    <d v="2023-04-02T10:15:10"/>
    <s v="Yes"/>
    <d v="2023-04-16T10:15:10"/>
    <s v="Failed"/>
    <s v="Other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1420"/>
    <s v="1420 | Program Office"/>
    <x v="1"/>
    <s v="Program Office - Junior"/>
    <s v="Extension Officer"/>
    <s v="Program Office-Extension Officer"/>
    <s v="Junior"/>
    <d v="2022-08-07T18:56:36"/>
    <d v="2022-08-08T18:56:36"/>
    <s v="Yes"/>
    <d v="2022-08-18T18:56:36"/>
    <s v="Failed"/>
    <s v="Not a culture fi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1418"/>
    <s v="1418 | Program Office"/>
    <x v="1"/>
    <s v="Program Office - Junior"/>
    <s v="Extension Officer"/>
    <s v="Program Office-Extension Officer"/>
    <s v="Junior"/>
    <d v="2022-08-09T18:56:36"/>
    <d v="2022-08-10T18:56:36"/>
    <s v="Yes"/>
    <d v="2022-08-16T18:56:36"/>
    <s v="Failed"/>
    <s v="Not a culture fit"/>
    <m/>
    <m/>
    <m/>
    <m/>
    <m/>
    <m/>
    <n v="0"/>
    <m/>
    <m/>
    <m/>
    <m/>
    <s v="Company"/>
    <m/>
    <m/>
    <m/>
    <n v="1"/>
    <n v="7"/>
    <n v="6"/>
    <x v="0"/>
    <s v=""/>
    <s v=""/>
    <s v=""/>
    <s v=""/>
    <s v=""/>
    <m/>
    <m/>
    <m/>
    <m/>
    <m/>
    <m/>
    <m/>
    <m/>
    <m/>
    <m/>
  </r>
  <r>
    <n v="1417"/>
    <s v="1417 | Program Office"/>
    <x v="1"/>
    <s v="Program Office - Junior"/>
    <s v="Extension Officer"/>
    <s v="Program Office-Extension Officer"/>
    <s v="Junior"/>
    <d v="2022-08-09T18:56:36"/>
    <d v="2022-08-12T18:56:36"/>
    <s v="Yes"/>
    <d v="2022-08-24T18:56:36"/>
    <s v="Failed"/>
    <s v="Position filled by another"/>
    <m/>
    <m/>
    <m/>
    <m/>
    <d v="2022-08-26T18:56:36"/>
    <m/>
    <n v="0"/>
    <m/>
    <m/>
    <m/>
    <m/>
    <s v="Company"/>
    <m/>
    <m/>
    <m/>
    <n v="3"/>
    <n v="15"/>
    <n v="12"/>
    <x v="14"/>
    <n v="2"/>
    <d v="2022-11-24T18:56:36"/>
    <s v=""/>
    <s v=""/>
    <s v=""/>
    <m/>
    <m/>
    <m/>
    <m/>
    <m/>
    <m/>
    <m/>
    <m/>
    <m/>
    <m/>
  </r>
  <r>
    <n v="1416"/>
    <s v="1416 | Program Office"/>
    <x v="1"/>
    <s v="Program Office - Junior"/>
    <s v="Extension Officer"/>
    <s v="Program Office-Extension Officer"/>
    <s v="Junior"/>
    <d v="2022-08-09T18:56:36"/>
    <d v="2022-08-10T18:56:36"/>
    <s v="Yes"/>
    <d v="2022-08-26T18:56:36"/>
    <s v="Failed"/>
    <s v="Position filled by another"/>
    <m/>
    <m/>
    <m/>
    <m/>
    <d v="2022-08-29T18:56:36"/>
    <m/>
    <n v="0"/>
    <m/>
    <m/>
    <m/>
    <m/>
    <s v="Company"/>
    <m/>
    <m/>
    <m/>
    <n v="1"/>
    <n v="17"/>
    <n v="16"/>
    <x v="15"/>
    <n v="3"/>
    <d v="2022-11-27T18:56:36"/>
    <s v=""/>
    <s v=""/>
    <s v=""/>
    <m/>
    <m/>
    <m/>
    <m/>
    <m/>
    <m/>
    <m/>
    <m/>
    <m/>
    <m/>
  </r>
  <r>
    <n v="1411"/>
    <s v="1411 | Program Office"/>
    <x v="1"/>
    <s v="Program Office - Junior"/>
    <s v="Extension Officer"/>
    <s v="Program Office-Extension Officer"/>
    <s v="Junior"/>
    <d v="2022-08-06T18:56:36"/>
    <d v="2022-08-09T18:56:36"/>
    <s v="Yes"/>
    <d v="2022-08-27T18:56:36"/>
    <s v="Pending"/>
    <m/>
    <d v="2022-09-01T18:56:36"/>
    <s v="Pending"/>
    <m/>
    <m/>
    <d v="2022-08-30T18:56:36"/>
    <m/>
    <n v="0"/>
    <m/>
    <m/>
    <m/>
    <m/>
    <m/>
    <m/>
    <m/>
    <m/>
    <n v="3"/>
    <n v="21"/>
    <n v="18"/>
    <x v="21"/>
    <n v="3"/>
    <d v="2022-11-28T18:56:36"/>
    <s v=""/>
    <s v=""/>
    <s v=""/>
    <m/>
    <m/>
    <m/>
    <m/>
    <m/>
    <m/>
    <m/>
    <m/>
    <m/>
    <m/>
  </r>
  <r>
    <n v="1408"/>
    <s v="1408 | Program Office"/>
    <x v="1"/>
    <s v="Program Office - Junior"/>
    <s v="Extension Officer"/>
    <s v="Program Office-Extension Officer"/>
    <s v="Junior"/>
    <d v="2022-02-22T07:21:21"/>
    <d v="2022-02-23T07:21:2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401"/>
    <s v="1401 | Program Office"/>
    <x v="1"/>
    <s v="Program Office - Junior"/>
    <s v="Extension Officer"/>
    <s v="Program Office-Extension Officer"/>
    <s v="Junior"/>
    <d v="2022-02-20T07:21:21"/>
    <d v="2022-02-22T07:21:21"/>
    <s v="Yes"/>
    <d v="2022-03-16T07:21:21"/>
    <s v="Declined"/>
    <m/>
    <d v="2022-03-20T07:21:21"/>
    <s v="Declined"/>
    <m/>
    <m/>
    <d v="2022-03-18T07:21:21"/>
    <m/>
    <n v="0"/>
    <m/>
    <m/>
    <m/>
    <m/>
    <m/>
    <m/>
    <m/>
    <m/>
    <n v="2"/>
    <n v="24"/>
    <n v="22"/>
    <x v="25"/>
    <n v="2"/>
    <d v="2022-06-16T07:21:21"/>
    <s v=""/>
    <s v=""/>
    <s v=""/>
    <m/>
    <m/>
    <m/>
    <m/>
    <m/>
    <m/>
    <m/>
    <m/>
    <m/>
    <m/>
  </r>
  <r>
    <n v="1387"/>
    <s v="1387 | Program Office"/>
    <x v="1"/>
    <s v="Program Office - Junior"/>
    <s v="Extension Officer"/>
    <s v="Program Office-Extension Officer"/>
    <s v="Junior"/>
    <d v="2023-04-24T17:36:15"/>
    <d v="2023-04-26T17:36:15"/>
    <s v="Yes"/>
    <d v="2023-05-07T17:36:15"/>
    <s v="Failed"/>
    <s v="Not a culture fit"/>
    <m/>
    <m/>
    <m/>
    <m/>
    <m/>
    <m/>
    <n v="0"/>
    <m/>
    <m/>
    <m/>
    <m/>
    <s v="Company"/>
    <m/>
    <m/>
    <m/>
    <n v="2"/>
    <n v="13"/>
    <n v="11"/>
    <x v="0"/>
    <s v=""/>
    <s v=""/>
    <s v=""/>
    <s v=""/>
    <s v=""/>
    <m/>
    <m/>
    <m/>
    <m/>
    <m/>
    <m/>
    <m/>
    <m/>
    <m/>
    <m/>
  </r>
  <r>
    <n v="1326"/>
    <s v="1326 | Program Office"/>
    <x v="1"/>
    <s v="Program Office - Junior"/>
    <s v="Extension Officer"/>
    <s v="Program Office-Extension Officer"/>
    <s v="Junior"/>
    <d v="2023-08-23T04:29:27"/>
    <d v="2023-08-27T04:29:2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325"/>
    <s v="1325 | Program Office"/>
    <x v="1"/>
    <s v="Program Office - Junior"/>
    <s v="Extension Officer"/>
    <s v="Program Office-Extension Officer"/>
    <s v="Junior"/>
    <d v="2023-08-26T04:29:27"/>
    <d v="2023-08-27T04:29:2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93"/>
    <s v="1293 | Program Office"/>
    <x v="1"/>
    <s v="Program Office - Junior"/>
    <s v="Extension Officer"/>
    <s v="Program Office-Extension Officer"/>
    <s v="Junior"/>
    <d v="2023-06-09T16:08:44"/>
    <d v="2023-06-13T16:08:4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95"/>
    <s v="995 | Program Office"/>
    <x v="1"/>
    <s v="Program Office - Junior"/>
    <s v="Extension Officer"/>
    <s v="Program Office-Extension Officer"/>
    <s v="Junior"/>
    <d v="2023-04-01T20:36:08"/>
    <d v="2023-04-02T20:36:08"/>
    <s v="Yes"/>
    <d v="2023-04-07T20:36:08"/>
    <s v="Failed"/>
    <s v="Other"/>
    <m/>
    <m/>
    <m/>
    <m/>
    <m/>
    <m/>
    <n v="0"/>
    <m/>
    <m/>
    <m/>
    <m/>
    <s v="Company"/>
    <m/>
    <m/>
    <m/>
    <n v="1"/>
    <n v="6"/>
    <n v="5"/>
    <x v="0"/>
    <s v=""/>
    <s v=""/>
    <s v=""/>
    <s v=""/>
    <s v=""/>
    <m/>
    <m/>
    <m/>
    <m/>
    <m/>
    <m/>
    <m/>
    <m/>
    <m/>
    <m/>
  </r>
  <r>
    <n v="946"/>
    <s v="946 | Program Office"/>
    <x v="1"/>
    <s v="Program Office - Junior"/>
    <s v="Extension Officer"/>
    <s v="Program Office-Extension Officer"/>
    <s v="Junior"/>
    <d v="2022-10-29T01:02:01"/>
    <d v="2022-10-31T01:02:0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42"/>
    <s v="942 | Program Office"/>
    <x v="1"/>
    <s v="Program Office - Junior"/>
    <s v="Extension Officer"/>
    <s v="Program Office-Extension Officer"/>
    <s v="Junior"/>
    <d v="2022-10-29T01:02:01"/>
    <d v="2022-10-30T01:02:01"/>
    <s v="Yes"/>
    <d v="2022-11-07T01:02:01"/>
    <s v="Failed"/>
    <s v="Salary expectation too high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941"/>
    <s v="941 | Program Office"/>
    <x v="1"/>
    <s v="Program Office - Junior"/>
    <s v="Extension Officer"/>
    <s v="Program Office-Extension Officer"/>
    <s v="Junior"/>
    <d v="2022-10-30T01:02:01"/>
    <d v="2022-11-01T01:02:01"/>
    <s v="Yes"/>
    <d v="2022-11-06T01:02:01"/>
    <s v="Failed"/>
    <s v="Not a culture fit"/>
    <m/>
    <m/>
    <m/>
    <m/>
    <d v="2022-11-08T01:02:01"/>
    <m/>
    <n v="0"/>
    <m/>
    <m/>
    <m/>
    <m/>
    <s v="Company"/>
    <m/>
    <m/>
    <m/>
    <n v="2"/>
    <n v="7"/>
    <n v="5"/>
    <x v="4"/>
    <n v="2"/>
    <d v="2023-02-06T01:02:01"/>
    <s v=""/>
    <s v=""/>
    <s v=""/>
    <m/>
    <m/>
    <m/>
    <m/>
    <m/>
    <m/>
    <m/>
    <m/>
    <m/>
    <m/>
  </r>
  <r>
    <n v="920"/>
    <s v="920 | Program Office"/>
    <x v="1"/>
    <s v="Program Office - Junior"/>
    <s v="Extension Officer"/>
    <s v="Program Office-Extension Officer"/>
    <s v="Junior"/>
    <d v="2022-04-20T06:08:47"/>
    <d v="2022-04-22T06:08:4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13"/>
    <s v="913 | Program Office"/>
    <x v="1"/>
    <s v="Program Office - Junior"/>
    <s v="Extension Officer"/>
    <s v="Program Office-Extension Officer"/>
    <s v="Junior"/>
    <d v="2022-04-21T06:08:47"/>
    <d v="2022-04-22T06:08:4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01"/>
    <s v="901 | Program Office"/>
    <x v="1"/>
    <s v="Program Office - Junior"/>
    <s v="Extension Officer"/>
    <s v="Program Office-Extension Officer"/>
    <s v="Junior"/>
    <d v="2023-08-18T05:59:22"/>
    <d v="2023-08-22T05:59:22"/>
    <s v="Yes"/>
    <d v="2023-09-03T05:59:22"/>
    <s v="Accepted"/>
    <m/>
    <d v="2023-09-07T05:59:22"/>
    <s v="Accepted"/>
    <d v="2023-09-05T05:59:22"/>
    <d v="2023-09-06T05:59:22"/>
    <d v="2023-09-05T05:59:22"/>
    <d v="2023-09-11T05:59:22"/>
    <n v="1"/>
    <d v="2023-09-12T05:59:22"/>
    <d v="2023-09-13T05:59:22"/>
    <d v="2023-09-14T05:59:22"/>
    <m/>
    <m/>
    <d v="2023-10-03T05:59:22"/>
    <m/>
    <m/>
    <n v="4"/>
    <n v="16"/>
    <n v="12"/>
    <x v="12"/>
    <n v="2"/>
    <d v="2023-12-04T05:59:22"/>
    <n v="1"/>
    <n v="28"/>
    <n v="9"/>
    <m/>
    <m/>
    <m/>
    <m/>
    <m/>
    <m/>
    <m/>
    <m/>
    <m/>
    <m/>
  </r>
  <r>
    <n v="835"/>
    <s v="835 | Program Office"/>
    <x v="1"/>
    <s v="Program Office - Junior"/>
    <s v="Extension Officer"/>
    <s v="Program Office-Extension Officer"/>
    <s v="Junior"/>
    <d v="2022-07-12T16:58:11"/>
    <d v="2022-07-16T16:58:11"/>
    <s v="Yes"/>
    <d v="2022-08-01T16:58:11"/>
    <s v="Failed"/>
    <s v="Other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834"/>
    <s v="834 | Program Office"/>
    <x v="1"/>
    <s v="Program Office - Junior"/>
    <s v="Extension Officer"/>
    <s v="Program Office-Extension Officer"/>
    <s v="Junior"/>
    <d v="2022-07-13T16:58:11"/>
    <d v="2022-07-14T16:58:11"/>
    <s v="Yes"/>
    <d v="2022-07-30T16:58:11"/>
    <s v="Accepted"/>
    <m/>
    <d v="2022-08-04T16:58:11"/>
    <s v="Accepted"/>
    <d v="2022-07-31T16:58:11"/>
    <d v="2022-08-03T16:58:11"/>
    <d v="2022-07-31T16:58:11"/>
    <d v="2022-08-05T16:58:11"/>
    <n v="1"/>
    <d v="2022-08-07T16:58:11"/>
    <d v="2022-08-09T16:58:11"/>
    <d v="2022-08-11T16:58:11"/>
    <m/>
    <m/>
    <d v="2022-08-28T16:58:11"/>
    <m/>
    <m/>
    <n v="1"/>
    <n v="17"/>
    <n v="16"/>
    <x v="12"/>
    <n v="1"/>
    <d v="2022-10-29T16:58:11"/>
    <n v="2"/>
    <n v="28"/>
    <n v="11"/>
    <m/>
    <m/>
    <m/>
    <m/>
    <m/>
    <m/>
    <m/>
    <m/>
    <m/>
    <m/>
  </r>
  <r>
    <n v="822"/>
    <s v="822 | Program Office"/>
    <x v="1"/>
    <s v="Program Office - Junior"/>
    <s v="Extension Officer"/>
    <s v="Program Office-Extension Officer"/>
    <s v="Junior"/>
    <d v="2022-03-07T15:00:29"/>
    <d v="2022-03-08T15:00:2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800"/>
    <s v="800 | Program Office"/>
    <x v="1"/>
    <s v="Program Office - Junior"/>
    <s v="Extension Officer"/>
    <s v="Program Office-Extension Officer"/>
    <s v="Junior"/>
    <d v="2022-12-08T16:11:24"/>
    <d v="2022-12-11T16:11:24"/>
    <s v="Yes"/>
    <d v="2023-01-02T16:11:24"/>
    <s v="Declined"/>
    <m/>
    <d v="2023-01-06T16:11:24"/>
    <s v="Declined"/>
    <m/>
    <m/>
    <d v="2023-01-05T16:11:24"/>
    <m/>
    <n v="0"/>
    <m/>
    <m/>
    <m/>
    <m/>
    <m/>
    <m/>
    <m/>
    <m/>
    <n v="3"/>
    <n v="25"/>
    <n v="22"/>
    <x v="6"/>
    <n v="3"/>
    <d v="2023-04-05T16:11:24"/>
    <s v=""/>
    <s v=""/>
    <s v=""/>
    <m/>
    <m/>
    <m/>
    <m/>
    <m/>
    <m/>
    <m/>
    <m/>
    <m/>
    <m/>
  </r>
  <r>
    <n v="794"/>
    <s v="794 | Program Office"/>
    <x v="1"/>
    <s v="Program Office - Junior"/>
    <s v="Extension Officer"/>
    <s v="Program Office-Extension Officer"/>
    <s v="Junior"/>
    <d v="2022-12-09T16:11:24"/>
    <d v="2022-12-13T16:11:2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792"/>
    <s v="792 | Program Office"/>
    <x v="1"/>
    <s v="Program Office - Junior"/>
    <s v="Extension Officer"/>
    <s v="Program Office-Extension Officer"/>
    <s v="Junior"/>
    <d v="2022-12-10T16:11:24"/>
    <d v="2022-12-13T16:11:24"/>
    <s v="Yes"/>
    <d v="2022-12-28T16:11:24"/>
    <s v="Accepted"/>
    <m/>
    <d v="2023-01-01T16:11:24"/>
    <s v="Accepted"/>
    <d v="2022-12-30T16:11:24"/>
    <d v="2023-01-02T16:11:24"/>
    <d v="2022-12-30T16:11:24"/>
    <d v="2023-01-02T16:11:24"/>
    <n v="1"/>
    <d v="2023-01-05T16:11:24"/>
    <d v="2023-01-08T16:11:24"/>
    <d v="2023-01-09T16:11:24"/>
    <m/>
    <m/>
    <d v="2023-02-01T16:11:24"/>
    <m/>
    <m/>
    <n v="3"/>
    <n v="18"/>
    <n v="15"/>
    <x v="15"/>
    <n v="2"/>
    <d v="2023-03-30T16:11:24"/>
    <n v="3"/>
    <n v="33"/>
    <n v="10"/>
    <m/>
    <m/>
    <m/>
    <m/>
    <m/>
    <m/>
    <m/>
    <m/>
    <m/>
    <m/>
  </r>
  <r>
    <n v="766"/>
    <s v="766 | Program Office"/>
    <x v="1"/>
    <s v="Program Office - Junior"/>
    <s v="Extension Officer"/>
    <s v="Program Office-Extension Officer"/>
    <s v="Junior"/>
    <d v="2022-06-13T17:40:03"/>
    <d v="2022-06-17T17:40:0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765"/>
    <s v="765 | Program Office"/>
    <x v="1"/>
    <s v="Program Office - Junior"/>
    <s v="Officer"/>
    <s v="Program Office-Officer"/>
    <s v="Junior"/>
    <d v="2022-06-11T17:40:03"/>
    <d v="2022-06-15T17:40:0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761"/>
    <s v="761 | Program Office"/>
    <x v="1"/>
    <s v="Program Office - Junior"/>
    <s v="Officer"/>
    <s v="Program Office-Officer"/>
    <s v="Junior"/>
    <d v="2022-06-17T17:40:03"/>
    <d v="2022-06-19T17:40:03"/>
    <s v="Yes"/>
    <d v="2022-07-03T17:40:03"/>
    <s v="Accepted"/>
    <m/>
    <d v="2022-07-10T17:40:03"/>
    <s v="Accepted"/>
    <d v="2022-07-04T17:40:03"/>
    <d v="2022-07-05T17:40:03"/>
    <d v="2022-07-07T17:40:03"/>
    <d v="2022-07-10T17:40:03"/>
    <n v="1"/>
    <d v="2022-07-14T17:40:03"/>
    <d v="2022-07-17T17:40:03"/>
    <d v="2022-07-20T17:40:03"/>
    <m/>
    <m/>
    <d v="2022-08-01T17:40:03"/>
    <m/>
    <m/>
    <n v="2"/>
    <n v="16"/>
    <n v="14"/>
    <x v="15"/>
    <n v="4"/>
    <d v="2022-10-05T17:40:03"/>
    <n v="4"/>
    <n v="25"/>
    <n v="13"/>
    <m/>
    <m/>
    <m/>
    <m/>
    <m/>
    <m/>
    <m/>
    <m/>
    <m/>
    <m/>
  </r>
  <r>
    <n v="730"/>
    <s v="730 | Program Office"/>
    <x v="1"/>
    <s v="Program Office - Junior"/>
    <s v="Officer"/>
    <s v="Program Office-Officer"/>
    <s v="Junior"/>
    <d v="2022-02-13T15:51:14"/>
    <d v="2022-02-16T15:51:14"/>
    <s v="Yes"/>
    <d v="2022-02-28T15:51:14"/>
    <s v="Declined"/>
    <m/>
    <d v="2022-03-07T15:51:14"/>
    <s v="Declined"/>
    <m/>
    <m/>
    <d v="2022-03-03T15:51:14"/>
    <m/>
    <n v="0"/>
    <m/>
    <m/>
    <m/>
    <m/>
    <m/>
    <m/>
    <m/>
    <m/>
    <n v="3"/>
    <n v="15"/>
    <n v="12"/>
    <x v="12"/>
    <n v="3"/>
    <d v="2022-06-01T15:51:14"/>
    <s v=""/>
    <s v=""/>
    <s v=""/>
    <m/>
    <m/>
    <m/>
    <m/>
    <m/>
    <m/>
    <m/>
    <m/>
    <m/>
    <m/>
  </r>
  <r>
    <n v="720"/>
    <s v="720 | Program Office"/>
    <x v="1"/>
    <s v="Program Office - Junior"/>
    <s v="Officer"/>
    <s v="Program Office-Officer"/>
    <s v="Junior"/>
    <d v="2022-03-09T16:28:19"/>
    <d v="2022-03-10T16:28:19"/>
    <s v="Yes"/>
    <d v="2022-03-30T16:28:19"/>
    <s v="Failed"/>
    <s v="Other"/>
    <m/>
    <m/>
    <m/>
    <m/>
    <d v="2022-04-01T16:28:19"/>
    <m/>
    <n v="0"/>
    <m/>
    <m/>
    <m/>
    <m/>
    <s v="Company"/>
    <m/>
    <m/>
    <m/>
    <n v="1"/>
    <n v="21"/>
    <n v="20"/>
    <x v="3"/>
    <n v="2"/>
    <d v="2022-06-30T16:28:19"/>
    <s v=""/>
    <s v=""/>
    <s v=""/>
    <m/>
    <m/>
    <m/>
    <m/>
    <m/>
    <m/>
    <m/>
    <m/>
    <m/>
    <m/>
  </r>
  <r>
    <n v="680"/>
    <s v="680 | Program Office"/>
    <x v="1"/>
    <s v="Program Office - Junior"/>
    <s v="Officer"/>
    <s v="Program Office-Officer"/>
    <s v="Junior"/>
    <d v="2023-08-02T21:15:22"/>
    <d v="2023-08-04T21:15:22"/>
    <s v="Yes"/>
    <d v="2023-08-25T21:15:22"/>
    <s v="Failed"/>
    <s v="Salary expectation too high"/>
    <m/>
    <m/>
    <m/>
    <m/>
    <d v="2023-08-28T21:15:22"/>
    <m/>
    <n v="0"/>
    <m/>
    <m/>
    <m/>
    <m/>
    <s v="Candidate"/>
    <m/>
    <m/>
    <m/>
    <n v="2"/>
    <n v="23"/>
    <n v="21"/>
    <x v="25"/>
    <n v="3"/>
    <d v="2023-11-26T21:15:22"/>
    <s v=""/>
    <s v=""/>
    <s v=""/>
    <m/>
    <m/>
    <m/>
    <m/>
    <m/>
    <m/>
    <m/>
    <m/>
    <m/>
    <m/>
  </r>
  <r>
    <n v="659"/>
    <s v="659 | Program Office"/>
    <x v="1"/>
    <s v="Program Office - Junior"/>
    <s v="Officer"/>
    <s v="Program Office-Officer"/>
    <s v="Junior"/>
    <d v="2022-12-21T00:23:46"/>
    <d v="2022-12-25T00:23:46"/>
    <s v="Yes"/>
    <d v="2023-01-02T00:23:46"/>
    <s v="Failed"/>
    <s v="Position filled by another"/>
    <m/>
    <m/>
    <m/>
    <m/>
    <m/>
    <m/>
    <n v="0"/>
    <m/>
    <m/>
    <m/>
    <m/>
    <s v="Candidate"/>
    <m/>
    <m/>
    <m/>
    <n v="4"/>
    <n v="12"/>
    <n v="8"/>
    <x v="0"/>
    <s v=""/>
    <s v=""/>
    <s v=""/>
    <s v=""/>
    <s v=""/>
    <m/>
    <m/>
    <m/>
    <m/>
    <m/>
    <m/>
    <m/>
    <m/>
    <m/>
    <m/>
  </r>
  <r>
    <n v="655"/>
    <s v="655 | Program Office"/>
    <x v="1"/>
    <s v="Program Office - Junior"/>
    <s v="Officer"/>
    <s v="Program Office-Officer"/>
    <s v="Junior"/>
    <d v="2022-12-18T00:23:46"/>
    <d v="2022-12-22T00:23:46"/>
    <s v="Yes"/>
    <d v="2023-01-04T00:23:46"/>
    <s v="Accepted"/>
    <m/>
    <d v="2023-01-09T00:23:46"/>
    <s v="Accepted"/>
    <d v="2023-01-05T00:23:46"/>
    <d v="2023-01-09T00:23:46"/>
    <d v="2023-01-08T00:23:46"/>
    <d v="2023-01-13T00:23:46"/>
    <n v="1"/>
    <d v="2023-01-17T00:23:46"/>
    <d v="2023-01-20T00:23:46"/>
    <d v="2023-01-23T00:23:46"/>
    <m/>
    <m/>
    <d v="2023-01-31T00:23:46"/>
    <m/>
    <m/>
    <n v="4"/>
    <n v="17"/>
    <n v="13"/>
    <x v="19"/>
    <n v="4"/>
    <d v="2023-04-08T00:23:46"/>
    <n v="4"/>
    <n v="23"/>
    <n v="15"/>
    <m/>
    <m/>
    <m/>
    <m/>
    <m/>
    <m/>
    <m/>
    <m/>
    <m/>
    <m/>
  </r>
  <r>
    <n v="636"/>
    <s v="636 | Program Office"/>
    <x v="1"/>
    <s v="Program Office - Junior"/>
    <s v="Officer"/>
    <s v="Program Office-Officer"/>
    <s v="Junior"/>
    <d v="2022-09-22T07:15:57"/>
    <d v="2022-09-25T07:15:57"/>
    <s v="Yes"/>
    <d v="2022-10-09T07:15:57"/>
    <s v="Failed"/>
    <s v="Other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577"/>
    <s v="577 | Program Office"/>
    <x v="1"/>
    <s v="Program Office - Junior"/>
    <s v="Officer"/>
    <s v="Program Office-Officer"/>
    <s v="Junior"/>
    <d v="2022-12-11T02:09:30"/>
    <d v="2022-12-14T02:09:30"/>
    <s v="Yes"/>
    <d v="2023-01-05T02:09:30"/>
    <s v="Failed"/>
    <s v="Salary expectation too high"/>
    <m/>
    <m/>
    <m/>
    <m/>
    <d v="2023-01-09T02:09:30"/>
    <m/>
    <n v="0"/>
    <m/>
    <m/>
    <m/>
    <m/>
    <s v="Company"/>
    <m/>
    <m/>
    <m/>
    <n v="3"/>
    <n v="25"/>
    <n v="22"/>
    <x v="23"/>
    <n v="4"/>
    <d v="2023-04-09T02:09:30"/>
    <s v=""/>
    <s v=""/>
    <s v=""/>
    <m/>
    <m/>
    <m/>
    <m/>
    <m/>
    <m/>
    <m/>
    <m/>
    <m/>
    <m/>
  </r>
  <r>
    <n v="575"/>
    <s v="575 | Program Office"/>
    <x v="1"/>
    <s v="Program Office - Junior"/>
    <s v="Officer"/>
    <s v="Program Office-Officer"/>
    <s v="Junior"/>
    <d v="2022-12-13T02:09:30"/>
    <d v="2022-12-15T02:09:30"/>
    <s v="Yes"/>
    <d v="2022-12-30T02:09:30"/>
    <s v="Declined"/>
    <m/>
    <d v="2023-01-01T02:09:30"/>
    <s v="Declined"/>
    <m/>
    <m/>
    <d v="2022-12-31T02:09:30"/>
    <m/>
    <n v="0"/>
    <m/>
    <m/>
    <m/>
    <m/>
    <m/>
    <m/>
    <m/>
    <m/>
    <n v="2"/>
    <n v="17"/>
    <n v="15"/>
    <x v="12"/>
    <n v="1"/>
    <d v="2023-03-31T02:09:30"/>
    <s v=""/>
    <s v=""/>
    <s v=""/>
    <m/>
    <m/>
    <m/>
    <m/>
    <m/>
    <m/>
    <m/>
    <m/>
    <m/>
    <m/>
  </r>
  <r>
    <n v="573"/>
    <s v="573 | Program Office"/>
    <x v="1"/>
    <s v="Program Office - Junior"/>
    <s v="Officer"/>
    <s v="Program Office-Officer"/>
    <s v="Junior"/>
    <d v="2022-12-11T02:09:30"/>
    <d v="2022-12-14T02:09:30"/>
    <s v="Yes"/>
    <d v="2022-12-22T02:09:30"/>
    <s v="Pending"/>
    <m/>
    <d v="2022-12-27T02:09:30"/>
    <s v="Pending"/>
    <m/>
    <m/>
    <d v="2022-12-23T02:09:30"/>
    <m/>
    <n v="0"/>
    <m/>
    <m/>
    <m/>
    <m/>
    <m/>
    <m/>
    <m/>
    <m/>
    <n v="3"/>
    <n v="11"/>
    <n v="8"/>
    <x v="24"/>
    <n v="1"/>
    <d v="2023-03-23T02:09:30"/>
    <s v=""/>
    <s v=""/>
    <s v=""/>
    <m/>
    <m/>
    <m/>
    <m/>
    <m/>
    <m/>
    <m/>
    <m/>
    <m/>
    <m/>
  </r>
  <r>
    <n v="492"/>
    <s v="492 | Program Office"/>
    <x v="1"/>
    <s v="Program Office - Junior"/>
    <s v="Officer"/>
    <s v="Program Office-Officer"/>
    <s v="Junior"/>
    <d v="2023-08-29T09:52:53"/>
    <d v="2023-08-30T09:52:53"/>
    <s v="Yes"/>
    <d v="2023-09-20T09:52:53"/>
    <s v="Failed"/>
    <s v="Other"/>
    <m/>
    <m/>
    <m/>
    <m/>
    <d v="2023-09-24T09:52:53"/>
    <m/>
    <n v="0"/>
    <m/>
    <m/>
    <m/>
    <m/>
    <s v="Candidate"/>
    <m/>
    <m/>
    <m/>
    <n v="1"/>
    <n v="22"/>
    <n v="21"/>
    <x v="25"/>
    <n v="4"/>
    <d v="2023-12-23T09:52:53"/>
    <s v=""/>
    <s v=""/>
    <s v=""/>
    <m/>
    <m/>
    <m/>
    <m/>
    <m/>
    <m/>
    <m/>
    <m/>
    <m/>
    <m/>
  </r>
  <r>
    <n v="491"/>
    <s v="491 | Program Office"/>
    <x v="1"/>
    <s v="Program Office - Junior"/>
    <s v="Officer"/>
    <s v="Program Office-Officer"/>
    <s v="Junior"/>
    <d v="2023-08-30T09:52:53"/>
    <d v="2023-09-03T09:52:53"/>
    <s v="Yes"/>
    <d v="2023-09-18T09:52:53"/>
    <s v="Failed"/>
    <s v="Salary expectation too high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483"/>
    <s v="483 | Program Office"/>
    <x v="1"/>
    <s v="Program Office - Junior"/>
    <s v="Officer"/>
    <s v="Program Office-Officer"/>
    <s v="Junior"/>
    <d v="2023-01-03T13:36:04"/>
    <d v="2023-01-07T13:36:0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480"/>
    <s v="480 | Program Office"/>
    <x v="1"/>
    <s v="Program Office - Junior"/>
    <s v="Officer"/>
    <s v="Program Office-Officer"/>
    <s v="Junior"/>
    <d v="2022-04-22T01:49:05"/>
    <d v="2022-04-26T01:49:05"/>
    <s v="Yes"/>
    <d v="2022-05-04T01:49:05"/>
    <s v="Failed"/>
    <s v="Not a culture fit"/>
    <m/>
    <m/>
    <m/>
    <m/>
    <m/>
    <m/>
    <n v="0"/>
    <m/>
    <m/>
    <m/>
    <m/>
    <s v="Candidate"/>
    <m/>
    <m/>
    <m/>
    <n v="4"/>
    <n v="12"/>
    <n v="8"/>
    <x v="0"/>
    <s v=""/>
    <s v=""/>
    <s v=""/>
    <s v=""/>
    <s v=""/>
    <m/>
    <m/>
    <m/>
    <m/>
    <m/>
    <m/>
    <m/>
    <m/>
    <m/>
    <m/>
  </r>
  <r>
    <n v="476"/>
    <s v="476 | Program Office"/>
    <x v="1"/>
    <s v="Program Office - Junior"/>
    <s v="Officer"/>
    <s v="Program Office-Officer"/>
    <s v="Junior"/>
    <d v="2022-04-24T01:49:05"/>
    <d v="2022-04-27T01:49:05"/>
    <s v="Yes"/>
    <d v="2022-05-03T01:49:05"/>
    <s v="Failed"/>
    <s v="Other"/>
    <m/>
    <m/>
    <m/>
    <m/>
    <d v="2022-05-07T01:49:05"/>
    <m/>
    <n v="0"/>
    <m/>
    <m/>
    <m/>
    <m/>
    <s v="Candidate"/>
    <m/>
    <m/>
    <m/>
    <n v="3"/>
    <n v="9"/>
    <n v="6"/>
    <x v="8"/>
    <n v="4"/>
    <d v="2022-08-05T01:49:05"/>
    <s v=""/>
    <s v=""/>
    <s v=""/>
    <m/>
    <m/>
    <m/>
    <m/>
    <m/>
    <m/>
    <m/>
    <m/>
    <m/>
    <m/>
  </r>
  <r>
    <n v="390"/>
    <s v="390 | Program Office"/>
    <x v="1"/>
    <s v="Program Office - Junior"/>
    <s v="Officer"/>
    <s v="Program Office-Officer"/>
    <s v="Junior"/>
    <d v="2022-11-09T09:11:38"/>
    <d v="2022-11-12T09:11:38"/>
    <s v="Yes"/>
    <d v="2022-11-26T09:11:38"/>
    <s v="Declined"/>
    <m/>
    <d v="2022-11-28T09:11:38"/>
    <s v="Declined"/>
    <m/>
    <m/>
    <d v="2022-11-27T09:11:38"/>
    <m/>
    <n v="0"/>
    <m/>
    <m/>
    <m/>
    <m/>
    <m/>
    <m/>
    <m/>
    <m/>
    <n v="3"/>
    <n v="17"/>
    <n v="14"/>
    <x v="12"/>
    <n v="1"/>
    <d v="2023-02-25T09:11:38"/>
    <s v=""/>
    <s v=""/>
    <s v=""/>
    <m/>
    <m/>
    <m/>
    <m/>
    <m/>
    <m/>
    <m/>
    <m/>
    <m/>
    <m/>
  </r>
  <r>
    <n v="388"/>
    <s v="388 | Program Office"/>
    <x v="1"/>
    <s v="Program Office - Junior"/>
    <s v="Officer"/>
    <s v="Program Office-Officer"/>
    <s v="Junior"/>
    <d v="2022-11-07T09:11:38"/>
    <d v="2022-11-09T09:11:38"/>
    <s v="Yes"/>
    <d v="2022-11-26T09:11:38"/>
    <s v="Failed"/>
    <s v="Other"/>
    <m/>
    <m/>
    <m/>
    <m/>
    <m/>
    <m/>
    <n v="0"/>
    <m/>
    <m/>
    <m/>
    <m/>
    <s v="Company"/>
    <m/>
    <m/>
    <m/>
    <n v="2"/>
    <n v="19"/>
    <n v="17"/>
    <x v="0"/>
    <s v=""/>
    <s v=""/>
    <s v=""/>
    <s v=""/>
    <s v=""/>
    <m/>
    <m/>
    <m/>
    <m/>
    <m/>
    <m/>
    <m/>
    <m/>
    <m/>
    <m/>
  </r>
  <r>
    <n v="386"/>
    <s v="386 | Program Office"/>
    <x v="1"/>
    <s v="Program Office - Junior"/>
    <s v="Officer"/>
    <s v="Program Office-Officer"/>
    <s v="Junior"/>
    <d v="2022-11-09T09:11:38"/>
    <d v="2022-11-12T09:11:38"/>
    <s v="Yes"/>
    <d v="2022-11-17T09:11:38"/>
    <s v="Failed"/>
    <s v="Position filled by another"/>
    <m/>
    <m/>
    <m/>
    <m/>
    <m/>
    <m/>
    <n v="0"/>
    <m/>
    <m/>
    <m/>
    <m/>
    <s v="Company"/>
    <m/>
    <m/>
    <m/>
    <n v="3"/>
    <n v="8"/>
    <n v="5"/>
    <x v="0"/>
    <s v=""/>
    <s v=""/>
    <s v=""/>
    <s v=""/>
    <s v=""/>
    <m/>
    <m/>
    <m/>
    <m/>
    <m/>
    <m/>
    <m/>
    <m/>
    <m/>
    <m/>
  </r>
  <r>
    <n v="381"/>
    <s v="381 | Program Office"/>
    <x v="1"/>
    <s v="Program Office - Junior"/>
    <s v="Officer"/>
    <s v="Program Office-Officer"/>
    <s v="Junior"/>
    <d v="2022-11-06T09:11:38"/>
    <d v="2022-11-07T09:11:38"/>
    <s v="Yes"/>
    <d v="2022-11-14T09:11:38"/>
    <s v="Failed"/>
    <s v="Other"/>
    <m/>
    <m/>
    <m/>
    <m/>
    <m/>
    <m/>
    <n v="0"/>
    <m/>
    <m/>
    <m/>
    <m/>
    <s v="Candidate"/>
    <m/>
    <m/>
    <m/>
    <n v="1"/>
    <n v="8"/>
    <n v="7"/>
    <x v="0"/>
    <s v=""/>
    <s v=""/>
    <s v=""/>
    <s v=""/>
    <s v=""/>
    <m/>
    <m/>
    <m/>
    <m/>
    <m/>
    <m/>
    <m/>
    <m/>
    <m/>
    <m/>
  </r>
  <r>
    <n v="372"/>
    <s v="372 | Program Office"/>
    <x v="1"/>
    <s v="Program Office - Junior"/>
    <s v="Officer"/>
    <s v="Program Office-Officer"/>
    <s v="Junior"/>
    <d v="2022-04-12T08:33:40"/>
    <d v="2022-04-16T08:33:40"/>
    <s v="Yes"/>
    <d v="2022-04-30T08:33:40"/>
    <s v="Failed"/>
    <s v="Other"/>
    <m/>
    <m/>
    <m/>
    <m/>
    <m/>
    <m/>
    <n v="0"/>
    <m/>
    <m/>
    <m/>
    <m/>
    <s v="Candidate"/>
    <m/>
    <m/>
    <m/>
    <n v="4"/>
    <n v="18"/>
    <n v="14"/>
    <x v="0"/>
    <s v=""/>
    <s v=""/>
    <s v=""/>
    <s v=""/>
    <s v=""/>
    <m/>
    <m/>
    <m/>
    <m/>
    <m/>
    <m/>
    <m/>
    <m/>
    <m/>
    <m/>
  </r>
  <r>
    <n v="318"/>
    <s v="318 | Program Office"/>
    <x v="1"/>
    <s v="Program Office - Junior"/>
    <s v="Officer"/>
    <s v="Program Office-Officer"/>
    <s v="Junior"/>
    <d v="2023-02-25T14:36:53"/>
    <d v="2023-03-01T14:36:53"/>
    <s v="Yes"/>
    <d v="2023-03-16T14:36:53"/>
    <s v="Declined"/>
    <m/>
    <d v="2023-03-23T14:36:53"/>
    <s v="Declined"/>
    <m/>
    <m/>
    <d v="2023-03-20T14:36:53"/>
    <m/>
    <n v="0"/>
    <m/>
    <m/>
    <m/>
    <m/>
    <m/>
    <m/>
    <m/>
    <m/>
    <n v="4"/>
    <n v="19"/>
    <n v="15"/>
    <x v="3"/>
    <n v="4"/>
    <d v="2023-06-18T14:36:53"/>
    <s v=""/>
    <s v=""/>
    <s v=""/>
    <m/>
    <m/>
    <m/>
    <m/>
    <m/>
    <m/>
    <m/>
    <m/>
    <m/>
    <m/>
  </r>
  <r>
    <n v="316"/>
    <s v="316 | Program Office"/>
    <x v="1"/>
    <s v="Program Office - Junior"/>
    <s v="Officer"/>
    <s v="Program Office-Officer"/>
    <s v="Junior"/>
    <d v="2023-02-28T14:36:53"/>
    <d v="2023-03-02T14:36:53"/>
    <s v="Yes"/>
    <d v="2023-03-11T14:36:53"/>
    <s v="Failed"/>
    <s v="Position filled by another"/>
    <m/>
    <m/>
    <m/>
    <m/>
    <d v="2023-03-15T14:36:53"/>
    <m/>
    <n v="0"/>
    <m/>
    <m/>
    <m/>
    <m/>
    <s v="Company"/>
    <m/>
    <m/>
    <m/>
    <n v="2"/>
    <n v="11"/>
    <n v="9"/>
    <x v="16"/>
    <n v="4"/>
    <d v="2023-06-13T14:36:53"/>
    <s v=""/>
    <s v=""/>
    <s v=""/>
    <m/>
    <m/>
    <m/>
    <m/>
    <m/>
    <m/>
    <m/>
    <m/>
    <m/>
    <m/>
  </r>
  <r>
    <n v="314"/>
    <s v="314 | Program Office"/>
    <x v="1"/>
    <s v="Program Office - Junior"/>
    <s v="Officer"/>
    <s v="Program Office-Officer"/>
    <s v="Junior"/>
    <d v="2023-03-01T14:36:53"/>
    <d v="2023-03-04T14:36:53"/>
    <s v="Yes"/>
    <d v="2023-03-23T14:36:53"/>
    <s v="Accepted"/>
    <m/>
    <d v="2023-03-26T14:36:53"/>
    <s v="Accepted"/>
    <d v="2023-03-24T14:36:53"/>
    <d v="2023-03-28T14:36:53"/>
    <d v="2023-03-25T14:36:53"/>
    <d v="2023-04-02T14:36:53"/>
    <n v="1"/>
    <d v="2023-04-05T14:36:53"/>
    <d v="2023-04-08T14:36:53"/>
    <d v="2023-04-09T14:36:53"/>
    <m/>
    <m/>
    <d v="2023-04-26T14:36:53"/>
    <m/>
    <m/>
    <n v="3"/>
    <n v="22"/>
    <n v="19"/>
    <x v="21"/>
    <n v="2"/>
    <d v="2023-06-23T14:36:53"/>
    <n v="3"/>
    <n v="32"/>
    <n v="15"/>
    <m/>
    <m/>
    <m/>
    <m/>
    <m/>
    <m/>
    <m/>
    <m/>
    <m/>
    <m/>
  </r>
  <r>
    <n v="312"/>
    <s v="312 | Program Office"/>
    <x v="1"/>
    <s v="Program Office - Junior"/>
    <s v="Officer"/>
    <s v="Program Office-Officer"/>
    <s v="Junior"/>
    <d v="2023-03-01T14:36:53"/>
    <d v="2023-03-04T14:36:53"/>
    <s v="Yes"/>
    <d v="2023-03-21T14:36:53"/>
    <s v="Declined"/>
    <m/>
    <d v="2023-03-26T14:36:53"/>
    <s v="Declined"/>
    <m/>
    <m/>
    <d v="2023-03-25T14:36:53"/>
    <m/>
    <n v="0"/>
    <m/>
    <m/>
    <m/>
    <m/>
    <m/>
    <m/>
    <m/>
    <m/>
    <n v="3"/>
    <n v="20"/>
    <n v="17"/>
    <x v="21"/>
    <n v="4"/>
    <d v="2023-06-23T14:36:53"/>
    <s v=""/>
    <s v=""/>
    <s v=""/>
    <m/>
    <m/>
    <m/>
    <m/>
    <m/>
    <m/>
    <m/>
    <m/>
    <m/>
    <m/>
  </r>
  <r>
    <n v="187"/>
    <s v="187 | Program Office"/>
    <x v="1"/>
    <s v="Program Office - Junior"/>
    <s v="Officer"/>
    <s v="Program Office-Officer"/>
    <s v="Junior"/>
    <d v="2022-09-24T07:13:58"/>
    <d v="2022-09-26T07:13:58"/>
    <s v="Yes"/>
    <d v="2022-10-12T07:13:58"/>
    <s v="Accepted"/>
    <m/>
    <d v="2022-10-15T07:13:58"/>
    <s v="Accepted"/>
    <d v="2022-10-13T07:13:58"/>
    <d v="2022-10-14T07:13:58"/>
    <d v="2022-10-13T07:13:58"/>
    <d v="2022-10-17T07:13:58"/>
    <n v="1"/>
    <d v="2022-10-21T07:13:58"/>
    <d v="2022-10-23T07:13:58"/>
    <d v="2022-10-25T07:13:58"/>
    <m/>
    <m/>
    <d v="2022-11-13T07:13:58"/>
    <m/>
    <m/>
    <n v="2"/>
    <n v="18"/>
    <n v="16"/>
    <x v="13"/>
    <n v="1"/>
    <d v="2023-01-11T07:13:58"/>
    <n v="4"/>
    <n v="31"/>
    <n v="12"/>
    <m/>
    <m/>
    <m/>
    <m/>
    <m/>
    <m/>
    <m/>
    <m/>
    <m/>
    <m/>
  </r>
  <r>
    <n v="181"/>
    <s v="181 | Program Office"/>
    <x v="1"/>
    <s v="Program Office - Junior"/>
    <s v="Officer"/>
    <s v="Program Office-Officer"/>
    <s v="Junior"/>
    <d v="2022-09-26T07:13:58"/>
    <d v="2022-09-28T07:13:58"/>
    <s v="Yes"/>
    <d v="2022-10-08T07:13:58"/>
    <s v="Failed"/>
    <s v="Not a culture fit"/>
    <m/>
    <m/>
    <m/>
    <m/>
    <d v="2022-10-10T07:13:58"/>
    <m/>
    <n v="0"/>
    <m/>
    <m/>
    <m/>
    <m/>
    <s v="Company"/>
    <m/>
    <m/>
    <m/>
    <n v="2"/>
    <n v="12"/>
    <n v="10"/>
    <x v="1"/>
    <n v="2"/>
    <d v="2023-01-08T07:13:58"/>
    <s v=""/>
    <s v=""/>
    <s v=""/>
    <m/>
    <m/>
    <m/>
    <m/>
    <m/>
    <m/>
    <m/>
    <m/>
    <m/>
    <m/>
  </r>
  <r>
    <n v="140"/>
    <s v="140 | Program Office"/>
    <x v="1"/>
    <s v="Program Office - Junior"/>
    <s v="Officer"/>
    <s v="Program Office-Officer"/>
    <s v="Junior"/>
    <d v="2022-07-19T19:16:15"/>
    <d v="2022-07-23T19:16:15"/>
    <s v="Yes"/>
    <d v="2022-08-10T19:16:15"/>
    <s v="Accepted"/>
    <m/>
    <d v="2022-08-16T19:16:15"/>
    <s v="Accepted"/>
    <d v="2022-08-11T19:16:15"/>
    <d v="2022-08-12T19:16:15"/>
    <d v="2022-08-13T19:16:15"/>
    <d v="2022-08-18T19:16:15"/>
    <n v="1"/>
    <d v="2022-08-20T19:16:15"/>
    <d v="2022-08-21T19:16:15"/>
    <d v="2022-08-23T19:16:15"/>
    <m/>
    <m/>
    <d v="2022-09-11T19:16:15"/>
    <m/>
    <m/>
    <n v="4"/>
    <n v="22"/>
    <n v="18"/>
    <x v="11"/>
    <n v="3"/>
    <d v="2022-11-11T19:16:15"/>
    <n v="2"/>
    <n v="29"/>
    <n v="10"/>
    <m/>
    <m/>
    <m/>
    <m/>
    <m/>
    <m/>
    <m/>
    <m/>
    <m/>
    <m/>
  </r>
  <r>
    <n v="139"/>
    <s v="139 | Program Office"/>
    <x v="1"/>
    <s v="Program Office - Junior"/>
    <s v="Officer"/>
    <s v="Program Office-Officer"/>
    <s v="Junior"/>
    <d v="2022-07-25T19:16:15"/>
    <d v="2022-07-26T19:16:1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36"/>
    <s v="136 | Program Office"/>
    <x v="1"/>
    <s v="Program Office - Junior"/>
    <s v="Officer"/>
    <s v="Program Office-Officer"/>
    <s v="Junior"/>
    <d v="2022-07-20T19:16:15"/>
    <d v="2022-07-23T19:16:15"/>
    <s v="Yes"/>
    <d v="2022-08-08T19:16:15"/>
    <s v="Declined"/>
    <m/>
    <d v="2022-08-12T19:16:15"/>
    <s v="Declined"/>
    <m/>
    <m/>
    <d v="2022-08-10T19:16:15"/>
    <m/>
    <n v="0"/>
    <m/>
    <m/>
    <m/>
    <m/>
    <m/>
    <m/>
    <m/>
    <m/>
    <n v="3"/>
    <n v="19"/>
    <n v="16"/>
    <x v="19"/>
    <n v="2"/>
    <d v="2022-11-08T19:16:15"/>
    <s v=""/>
    <s v=""/>
    <s v=""/>
    <m/>
    <m/>
    <m/>
    <m/>
    <m/>
    <m/>
    <m/>
    <m/>
    <m/>
    <m/>
  </r>
  <r>
    <n v="132"/>
    <s v="132 | Program Office"/>
    <x v="1"/>
    <s v="Program Office - Junior"/>
    <s v="Officer"/>
    <s v="Program Office-Officer"/>
    <s v="Junior"/>
    <d v="2022-07-22T19:16:15"/>
    <d v="2022-07-25T19:16:15"/>
    <s v="Yes"/>
    <d v="2022-08-13T19:16:15"/>
    <s v="Declined"/>
    <m/>
    <d v="2022-08-19T19:16:15"/>
    <s v="Declined"/>
    <m/>
    <m/>
    <d v="2022-08-17T19:16:15"/>
    <m/>
    <n v="0"/>
    <m/>
    <m/>
    <m/>
    <m/>
    <m/>
    <m/>
    <m/>
    <m/>
    <n v="3"/>
    <n v="22"/>
    <n v="19"/>
    <x v="25"/>
    <n v="4"/>
    <d v="2022-11-15T19:16:15"/>
    <s v=""/>
    <s v=""/>
    <s v=""/>
    <m/>
    <m/>
    <m/>
    <m/>
    <m/>
    <m/>
    <m/>
    <m/>
    <m/>
    <m/>
  </r>
  <r>
    <n v="66"/>
    <s v="66 | Program Office"/>
    <x v="1"/>
    <s v="Program Office - Junior"/>
    <s v="Officer"/>
    <s v="Program Office-Officer"/>
    <s v="Junior"/>
    <d v="2023-08-29T18:08:34"/>
    <d v="2023-08-30T18:08:34"/>
    <s v="Yes"/>
    <d v="2023-09-15T18:08:34"/>
    <s v="Pending"/>
    <m/>
    <d v="2023-09-20T18:08:34"/>
    <s v="Pending"/>
    <m/>
    <m/>
    <d v="2023-09-19T18:08:34"/>
    <m/>
    <n v="0"/>
    <m/>
    <m/>
    <m/>
    <m/>
    <m/>
    <m/>
    <m/>
    <m/>
    <n v="1"/>
    <n v="17"/>
    <n v="16"/>
    <x v="19"/>
    <n v="4"/>
    <d v="2023-12-18T18:08:34"/>
    <s v=""/>
    <s v=""/>
    <s v=""/>
    <m/>
    <m/>
    <m/>
    <m/>
    <m/>
    <m/>
    <m/>
    <m/>
    <m/>
    <m/>
  </r>
  <r>
    <n v="2540"/>
    <s v="2540 | Program Office"/>
    <x v="1"/>
    <s v="Program Office - Executive"/>
    <s v="Director"/>
    <s v="Program Office-Director"/>
    <s v="Executive"/>
    <d v="2022-05-01T01:23:53"/>
    <d v="2022-05-05T01:23:5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31"/>
    <s v="2531 | Program Office"/>
    <x v="1"/>
    <s v="Program Office - Executive"/>
    <s v="Director"/>
    <s v="Program Office-Director"/>
    <s v="Executive"/>
    <d v="2022-05-04T01:23:53"/>
    <d v="2022-05-05T01:23:5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265"/>
    <s v="2265 | Program Office"/>
    <x v="1"/>
    <s v="Program Office - Executive"/>
    <s v="Director"/>
    <s v="Program Office-Director"/>
    <s v="Executive"/>
    <d v="2023-04-14T22:30:17"/>
    <d v="2023-04-16T22:30:1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27"/>
    <s v="2127 | Program Office"/>
    <x v="1"/>
    <s v="Program Office - Executive"/>
    <s v="Director"/>
    <s v="Program Office-Director"/>
    <s v="Executive"/>
    <d v="2023-01-01T11:21:38"/>
    <d v="2023-01-03T11:21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20"/>
    <s v="2120 | Program Office"/>
    <x v="1"/>
    <s v="Program Office - Executive"/>
    <s v="Director"/>
    <s v="Program Office-Director"/>
    <s v="Executive"/>
    <d v="2023-04-14T01:19:50"/>
    <d v="2023-04-17T01:19:5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115"/>
    <s v="2115 | Program Office"/>
    <x v="1"/>
    <s v="Program Office - Executive"/>
    <s v="Director"/>
    <s v="Program Office-Director"/>
    <s v="Executive"/>
    <d v="2023-04-14T01:19:50"/>
    <d v="2023-04-16T01:19:5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57"/>
    <s v="1857 | Program Office"/>
    <x v="1"/>
    <s v="Program Office - Executive"/>
    <s v="Director"/>
    <s v="Program Office-Director"/>
    <s v="Executive"/>
    <d v="2022-11-12T01:50:58"/>
    <d v="2022-11-15T01:50:5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820"/>
    <s v="1820 | Program Office"/>
    <x v="1"/>
    <s v="Program Office - Executive"/>
    <s v="Director"/>
    <s v="Program Office-Director"/>
    <s v="Executive"/>
    <d v="2022-09-19T04:28:24"/>
    <d v="2022-09-21T04:28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16"/>
    <s v="1816 | Program Office"/>
    <x v="1"/>
    <s v="Program Office - Executive"/>
    <s v="Director"/>
    <s v="Program Office-Director"/>
    <s v="Executive"/>
    <d v="2022-09-17T04:28:24"/>
    <d v="2022-09-19T04:28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09"/>
    <s v="1809 | Program Office"/>
    <x v="1"/>
    <s v="Program Office - Executive"/>
    <s v="Director"/>
    <s v="Program Office-Director"/>
    <s v="Executive"/>
    <d v="2023-07-15T00:25:30"/>
    <d v="2023-07-17T00:25:3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93"/>
    <s v="993 | Program Office"/>
    <x v="1"/>
    <s v="Program Office - Executive"/>
    <s v="Director"/>
    <s v="Program Office-Director"/>
    <s v="Executive"/>
    <d v="2023-04-02T20:36:08"/>
    <d v="2023-04-03T20:36:08"/>
    <s v="Yes"/>
    <d v="2023-04-16T20:36:08"/>
    <s v="Accepted"/>
    <m/>
    <d v="2023-04-23T20:36:08"/>
    <s v="Accepted"/>
    <d v="2023-04-18T20:36:08"/>
    <d v="2023-04-21T20:36:08"/>
    <d v="2023-04-19T20:36:08"/>
    <d v="2023-04-22T20:36:08"/>
    <n v="1"/>
    <d v="2023-04-25T20:36:08"/>
    <d v="2023-04-28T20:36:08"/>
    <d v="2023-04-30T20:36:08"/>
    <m/>
    <m/>
    <d v="2023-05-15T20:36:08"/>
    <m/>
    <m/>
    <n v="1"/>
    <n v="14"/>
    <n v="13"/>
    <x v="14"/>
    <n v="3"/>
    <d v="2023-07-18T20:36:08"/>
    <n v="3"/>
    <n v="26"/>
    <n v="11"/>
    <m/>
    <m/>
    <m/>
    <m/>
    <m/>
    <m/>
    <m/>
    <m/>
    <m/>
    <m/>
  </r>
  <r>
    <n v="949"/>
    <s v="949 | Program Office"/>
    <x v="1"/>
    <s v="Program Office - Executive"/>
    <s v="Director"/>
    <s v="Program Office-Director"/>
    <s v="Executive"/>
    <d v="2022-10-31T01:02:01"/>
    <d v="2022-11-02T01:02:01"/>
    <s v="Yes"/>
    <d v="2022-11-07T01:02:01"/>
    <s v="Declined"/>
    <m/>
    <d v="2022-11-13T01:02:01"/>
    <s v="Declined"/>
    <m/>
    <m/>
    <d v="2022-11-11T01:02:01"/>
    <m/>
    <n v="0"/>
    <m/>
    <m/>
    <m/>
    <m/>
    <m/>
    <m/>
    <m/>
    <m/>
    <n v="2"/>
    <n v="7"/>
    <n v="5"/>
    <x v="9"/>
    <n v="4"/>
    <d v="2023-02-09T01:02:01"/>
    <s v=""/>
    <s v=""/>
    <s v=""/>
    <m/>
    <m/>
    <m/>
    <m/>
    <m/>
    <m/>
    <m/>
    <m/>
    <m/>
    <m/>
  </r>
  <r>
    <n v="914"/>
    <s v="914 | Program Office"/>
    <x v="1"/>
    <s v="Program Office - Executive"/>
    <s v="Director"/>
    <s v="Program Office-Director"/>
    <s v="Executive"/>
    <d v="2022-04-19T06:08:47"/>
    <d v="2022-04-22T06:08:47"/>
    <s v="Yes"/>
    <d v="2022-05-02T06:08:47"/>
    <s v="Declined"/>
    <m/>
    <d v="2022-05-05T06:08:47"/>
    <s v="Declined"/>
    <m/>
    <m/>
    <d v="2022-05-03T06:08:47"/>
    <m/>
    <n v="0"/>
    <m/>
    <m/>
    <m/>
    <m/>
    <m/>
    <m/>
    <m/>
    <m/>
    <n v="3"/>
    <n v="13"/>
    <n v="10"/>
    <x v="1"/>
    <n v="1"/>
    <d v="2022-08-01T06:08:47"/>
    <s v=""/>
    <s v=""/>
    <s v=""/>
    <m/>
    <m/>
    <m/>
    <m/>
    <m/>
    <m/>
    <m/>
    <m/>
    <m/>
    <m/>
  </r>
  <r>
    <n v="906"/>
    <s v="906 | Program Office"/>
    <x v="1"/>
    <s v="Program Office - Executive"/>
    <s v="Director"/>
    <s v="Program Office-Director"/>
    <s v="Executive"/>
    <d v="2023-08-23T05:59:22"/>
    <d v="2023-08-25T05:59:22"/>
    <s v="Yes"/>
    <d v="2023-09-04T05:59:22"/>
    <s v="Accepted"/>
    <m/>
    <d v="2023-09-10T05:59:22"/>
    <s v="Accepted"/>
    <d v="2023-09-06T05:59:22"/>
    <d v="2023-09-08T05:59:22"/>
    <d v="2023-09-08T05:59:22"/>
    <d v="2023-09-09T05:59:22"/>
    <n v="1"/>
    <d v="2023-09-10T05:59:22"/>
    <d v="2023-09-13T05:59:22"/>
    <d v="2023-09-15T05:59:22"/>
    <m/>
    <m/>
    <d v="2023-10-05T05:59:22"/>
    <m/>
    <m/>
    <n v="2"/>
    <n v="12"/>
    <n v="10"/>
    <x v="20"/>
    <n v="4"/>
    <d v="2023-12-07T05:59:22"/>
    <n v="1"/>
    <n v="27"/>
    <n v="7"/>
    <m/>
    <m/>
    <m/>
    <m/>
    <m/>
    <m/>
    <m/>
    <m/>
    <m/>
    <m/>
  </r>
  <r>
    <n v="904"/>
    <s v="904 | Program Office"/>
    <x v="1"/>
    <s v="Program Office - Executive"/>
    <s v="Director"/>
    <s v="Program Office-Director"/>
    <s v="Executive"/>
    <d v="2023-08-21T05:59:22"/>
    <d v="2023-08-24T05:59:22"/>
    <s v="Yes"/>
    <d v="2023-08-31T05:59:22"/>
    <s v="Accepted"/>
    <m/>
    <d v="2023-09-06T05:59:22"/>
    <s v="Accepted"/>
    <d v="2023-09-02T05:59:22"/>
    <d v="2023-09-03T05:59:22"/>
    <d v="2023-09-02T05:59:22"/>
    <d v="2023-09-03T05:59:22"/>
    <n v="1"/>
    <d v="2023-09-04T05:59:22"/>
    <d v="2023-09-07T05:59:22"/>
    <d v="2023-09-09T05:59:22"/>
    <m/>
    <m/>
    <d v="2023-09-26T05:59:22"/>
    <m/>
    <m/>
    <n v="3"/>
    <n v="10"/>
    <n v="7"/>
    <x v="24"/>
    <n v="2"/>
    <d v="2023-12-01T05:59:22"/>
    <n v="1"/>
    <n v="24"/>
    <n v="7"/>
    <m/>
    <m/>
    <m/>
    <m/>
    <m/>
    <m/>
    <m/>
    <m/>
    <m/>
    <m/>
  </r>
  <r>
    <n v="830"/>
    <s v="830 | Program Office"/>
    <x v="1"/>
    <s v="Program Office - Executive"/>
    <s v="Director"/>
    <s v="Program Office-Director"/>
    <s v="Executive"/>
    <d v="2022-03-07T15:00:29"/>
    <d v="2022-03-10T15:00:29"/>
    <s v="Yes"/>
    <d v="2022-03-18T15:00:29"/>
    <s v="Declined"/>
    <m/>
    <d v="2022-03-25T15:00:29"/>
    <s v="Declined"/>
    <m/>
    <m/>
    <d v="2022-03-21T15:00:29"/>
    <m/>
    <n v="0"/>
    <m/>
    <m/>
    <m/>
    <m/>
    <m/>
    <m/>
    <m/>
    <m/>
    <n v="3"/>
    <n v="11"/>
    <n v="8"/>
    <x v="1"/>
    <n v="3"/>
    <d v="2022-06-19T15:00:29"/>
    <s v=""/>
    <s v=""/>
    <s v=""/>
    <m/>
    <m/>
    <m/>
    <m/>
    <m/>
    <m/>
    <m/>
    <m/>
    <m/>
    <m/>
  </r>
  <r>
    <n v="791"/>
    <s v="791 | Program Office"/>
    <x v="1"/>
    <s v="Program Office - Executive"/>
    <s v="Director"/>
    <s v="Program Office-Director"/>
    <s v="Executive"/>
    <d v="2022-12-07T16:11:24"/>
    <d v="2022-12-11T16:11:24"/>
    <s v="Yes"/>
    <d v="2022-12-31T16:11:24"/>
    <s v="Failed"/>
    <s v="Not a culture fit"/>
    <m/>
    <m/>
    <m/>
    <m/>
    <d v="2023-01-01T16:11:24"/>
    <m/>
    <n v="0"/>
    <m/>
    <m/>
    <m/>
    <m/>
    <s v="Company"/>
    <m/>
    <m/>
    <m/>
    <n v="4"/>
    <n v="24"/>
    <n v="20"/>
    <x v="11"/>
    <n v="1"/>
    <d v="2023-04-01T16:11:24"/>
    <s v=""/>
    <s v=""/>
    <s v=""/>
    <m/>
    <m/>
    <m/>
    <m/>
    <m/>
    <m/>
    <m/>
    <m/>
    <m/>
    <m/>
  </r>
  <r>
    <n v="763"/>
    <s v="763 | Program Office"/>
    <x v="1"/>
    <s v="Program Office - Executive"/>
    <s v="Director"/>
    <s v="Program Office-Director"/>
    <s v="Executive"/>
    <d v="2022-06-16T17:40:03"/>
    <d v="2022-06-20T17:40:03"/>
    <s v="Yes"/>
    <d v="2022-07-02T17:40:03"/>
    <s v="Failed"/>
    <s v="Didn't pass technical test"/>
    <m/>
    <m/>
    <m/>
    <m/>
    <d v="2022-07-03T17:40:03"/>
    <m/>
    <n v="0"/>
    <m/>
    <m/>
    <m/>
    <m/>
    <s v="Company"/>
    <m/>
    <m/>
    <m/>
    <n v="4"/>
    <n v="16"/>
    <n v="12"/>
    <x v="14"/>
    <n v="1"/>
    <d v="2022-10-01T17:40:03"/>
    <s v=""/>
    <s v=""/>
    <s v=""/>
    <m/>
    <m/>
    <m/>
    <m/>
    <m/>
    <m/>
    <m/>
    <m/>
    <m/>
    <m/>
  </r>
  <r>
    <n v="728"/>
    <s v="728 | Program Office"/>
    <x v="1"/>
    <s v="Program Office - Executive"/>
    <s v="Director"/>
    <s v="Program Office-Director"/>
    <s v="Executive"/>
    <d v="2022-02-13T15:51:14"/>
    <d v="2022-02-15T15:51:14"/>
    <s v="Yes"/>
    <d v="2022-02-26T15:51:14"/>
    <s v="Failed"/>
    <s v="Didn't pass technical test"/>
    <m/>
    <m/>
    <m/>
    <m/>
    <d v="2022-02-28T15:51:14"/>
    <m/>
    <n v="0"/>
    <m/>
    <m/>
    <m/>
    <m/>
    <s v="Candidate"/>
    <m/>
    <m/>
    <m/>
    <n v="2"/>
    <n v="13"/>
    <n v="11"/>
    <x v="16"/>
    <n v="2"/>
    <d v="2022-05-29T15:51:14"/>
    <s v=""/>
    <s v=""/>
    <s v=""/>
    <m/>
    <m/>
    <m/>
    <m/>
    <m/>
    <m/>
    <m/>
    <m/>
    <m/>
    <m/>
  </r>
  <r>
    <n v="719"/>
    <s v="719 | Program Office"/>
    <x v="1"/>
    <s v="Program Office - Executive"/>
    <s v="Director"/>
    <s v="Program Office-Director"/>
    <s v="Executive"/>
    <d v="2022-03-07T16:28:19"/>
    <d v="2022-03-10T16:28:19"/>
    <s v="Yes"/>
    <d v="2022-03-27T16:28:19"/>
    <s v="Failed"/>
    <s v="Salary expectation too high"/>
    <m/>
    <m/>
    <m/>
    <m/>
    <d v="2022-03-28T16:28:19"/>
    <m/>
    <n v="0"/>
    <m/>
    <m/>
    <m/>
    <m/>
    <s v="Candidate"/>
    <m/>
    <m/>
    <m/>
    <n v="3"/>
    <n v="20"/>
    <n v="17"/>
    <x v="19"/>
    <n v="1"/>
    <d v="2022-06-26T16:28:19"/>
    <s v=""/>
    <s v=""/>
    <s v=""/>
    <m/>
    <m/>
    <m/>
    <m/>
    <m/>
    <m/>
    <m/>
    <m/>
    <m/>
    <m/>
  </r>
  <r>
    <n v="716"/>
    <s v="716 | Program Office"/>
    <x v="1"/>
    <s v="Program Office - Executive"/>
    <s v="Director"/>
    <s v="Program Office-Director"/>
    <s v="Executive"/>
    <d v="2022-03-10T16:28:19"/>
    <d v="2022-03-13T16:28:19"/>
    <s v="Yes"/>
    <d v="2022-03-18T16:28:19"/>
    <s v="Failed"/>
    <s v="Position filled by another"/>
    <m/>
    <m/>
    <m/>
    <m/>
    <m/>
    <m/>
    <n v="0"/>
    <m/>
    <m/>
    <m/>
    <m/>
    <s v="Candidate"/>
    <m/>
    <m/>
    <m/>
    <n v="3"/>
    <n v="8"/>
    <n v="5"/>
    <x v="0"/>
    <s v=""/>
    <s v=""/>
    <s v=""/>
    <s v=""/>
    <s v=""/>
    <m/>
    <m/>
    <m/>
    <m/>
    <m/>
    <m/>
    <m/>
    <m/>
    <m/>
    <m/>
  </r>
  <r>
    <n v="713"/>
    <s v="713 | Program Office"/>
    <x v="1"/>
    <s v="Program Office - Executive"/>
    <s v="Director"/>
    <s v="Program Office-Director"/>
    <s v="Executive"/>
    <d v="2022-03-05T16:28:19"/>
    <d v="2022-03-08T16:28:1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79"/>
    <s v="679 | Program Office"/>
    <x v="1"/>
    <s v="Program Office - Executive"/>
    <s v="Director"/>
    <s v="Program Office-Director"/>
    <s v="Executive"/>
    <d v="2023-08-04T21:15:22"/>
    <d v="2023-08-06T21:15:22"/>
    <s v="Yes"/>
    <d v="2023-08-25T21:15:22"/>
    <s v="Accepted"/>
    <m/>
    <d v="2023-08-30T21:15:22"/>
    <s v="Accepted"/>
    <d v="2023-08-26T21:15:22"/>
    <d v="2023-08-29T21:15:22"/>
    <d v="2023-08-29T21:15:22"/>
    <d v="2023-09-07T21:15:22"/>
    <n v="1"/>
    <d v="2023-09-10T21:15:22"/>
    <d v="2023-09-13T21:15:22"/>
    <d v="2023-09-16T21:15:22"/>
    <m/>
    <m/>
    <d v="2023-09-26T21:15:22"/>
    <m/>
    <m/>
    <n v="2"/>
    <n v="21"/>
    <n v="19"/>
    <x v="11"/>
    <n v="4"/>
    <d v="2023-11-27T21:15:22"/>
    <n v="3"/>
    <n v="28"/>
    <n v="18"/>
    <m/>
    <m/>
    <m/>
    <m/>
    <m/>
    <m/>
    <m/>
    <m/>
    <m/>
    <m/>
  </r>
  <r>
    <n v="675"/>
    <s v="675 | Program Office"/>
    <x v="1"/>
    <s v="Program Office - Executive"/>
    <s v="Director"/>
    <s v="Program Office-Director"/>
    <s v="Executive"/>
    <d v="2023-08-05T21:15:22"/>
    <d v="2023-08-07T21:15:22"/>
    <s v="Yes"/>
    <d v="2023-08-21T21:15:22"/>
    <s v="Failed"/>
    <s v="Other"/>
    <m/>
    <m/>
    <m/>
    <m/>
    <d v="2023-08-24T21:15:22"/>
    <m/>
    <n v="0"/>
    <m/>
    <m/>
    <m/>
    <m/>
    <s v="Candidate"/>
    <m/>
    <m/>
    <m/>
    <n v="2"/>
    <n v="16"/>
    <n v="14"/>
    <x v="13"/>
    <n v="3"/>
    <d v="2023-11-22T21:15:22"/>
    <s v=""/>
    <s v=""/>
    <s v=""/>
    <m/>
    <m/>
    <m/>
    <m/>
    <m/>
    <m/>
    <m/>
    <m/>
    <m/>
    <m/>
  </r>
  <r>
    <n v="671"/>
    <s v="671 | Program Office"/>
    <x v="1"/>
    <s v="Program Office - Executive"/>
    <s v="Director"/>
    <s v="Program Office-Director"/>
    <s v="Executive"/>
    <d v="2023-08-03T21:15:22"/>
    <d v="2023-08-04T21:15:22"/>
    <s v="Yes"/>
    <d v="2023-08-22T21:15:22"/>
    <s v="Failed"/>
    <s v="Didn't pass technical test"/>
    <m/>
    <m/>
    <m/>
    <m/>
    <m/>
    <m/>
    <n v="0"/>
    <m/>
    <m/>
    <m/>
    <m/>
    <s v="Company"/>
    <m/>
    <m/>
    <m/>
    <n v="1"/>
    <n v="19"/>
    <n v="18"/>
    <x v="0"/>
    <s v=""/>
    <s v=""/>
    <s v=""/>
    <s v=""/>
    <s v=""/>
    <m/>
    <m/>
    <m/>
    <m/>
    <m/>
    <m/>
    <m/>
    <m/>
    <m/>
    <m/>
  </r>
  <r>
    <n v="658"/>
    <s v="658 | Program Office"/>
    <x v="1"/>
    <s v="Program Office - Executive"/>
    <s v="Director"/>
    <s v="Program Office-Director"/>
    <s v="Executive"/>
    <d v="2022-12-19T00:23:46"/>
    <d v="2022-12-23T00:23:46"/>
    <s v="Yes"/>
    <d v="2023-01-05T00:23:46"/>
    <s v="Failed"/>
    <s v="Other"/>
    <m/>
    <m/>
    <m/>
    <m/>
    <d v="2023-01-09T00:23:46"/>
    <m/>
    <n v="0"/>
    <m/>
    <m/>
    <m/>
    <m/>
    <s v="Company"/>
    <m/>
    <m/>
    <m/>
    <n v="4"/>
    <n v="17"/>
    <n v="13"/>
    <x v="19"/>
    <n v="4"/>
    <d v="2023-04-09T00:23:46"/>
    <s v=""/>
    <s v=""/>
    <s v=""/>
    <m/>
    <m/>
    <m/>
    <m/>
    <m/>
    <m/>
    <m/>
    <m/>
    <m/>
    <m/>
  </r>
  <r>
    <n v="653"/>
    <s v="653 | Program Office"/>
    <x v="1"/>
    <s v="Program Office - Executive"/>
    <s v="Director"/>
    <s v="Program Office-Director"/>
    <s v="Executive"/>
    <d v="2022-12-20T00:23:46"/>
    <d v="2022-12-22T00:23:46"/>
    <s v="Yes"/>
    <d v="2023-01-01T00:23:46"/>
    <s v="Accepted"/>
    <m/>
    <d v="2023-01-06T00:23:46"/>
    <s v="Accepted"/>
    <d v="2023-01-02T00:23:46"/>
    <d v="2023-01-05T00:23:46"/>
    <d v="2023-01-02T00:23:46"/>
    <d v="2023-01-04T00:23:46"/>
    <n v="1"/>
    <d v="2023-01-07T00:23:46"/>
    <d v="2023-01-10T00:23:46"/>
    <d v="2023-01-12T00:23:46"/>
    <m/>
    <m/>
    <d v="2023-02-03T00:23:46"/>
    <m/>
    <m/>
    <n v="2"/>
    <n v="12"/>
    <n v="10"/>
    <x v="8"/>
    <n v="1"/>
    <d v="2023-04-02T00:23:46"/>
    <n v="3"/>
    <n v="32"/>
    <n v="10"/>
    <m/>
    <m/>
    <m/>
    <m/>
    <m/>
    <m/>
    <m/>
    <m/>
    <m/>
    <m/>
  </r>
  <r>
    <n v="639"/>
    <s v="639 | Program Office"/>
    <x v="1"/>
    <s v="Program Office - Executive"/>
    <s v="Head of Department"/>
    <s v="Program Office-Head of Department"/>
    <s v="Executive"/>
    <d v="2022-09-23T07:15:57"/>
    <d v="2022-09-24T07:15:57"/>
    <s v="Yes"/>
    <d v="2022-10-13T07:15:57"/>
    <s v="Failed"/>
    <s v="Other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618"/>
    <s v="618 | Program Office"/>
    <x v="1"/>
    <s v="Program Office - Executive"/>
    <s v="Head of Department"/>
    <s v="Program Office-Head of Department"/>
    <s v="Executive"/>
    <d v="2023-08-18T21:15:20"/>
    <d v="2023-08-20T21:15:20"/>
    <s v="Yes"/>
    <d v="2023-09-03T21:15:20"/>
    <s v="Accepted"/>
    <m/>
    <d v="2023-09-06T21:15:20"/>
    <s v="Accepted"/>
    <d v="2023-09-05T21:15:20"/>
    <d v="2023-09-06T21:15:20"/>
    <d v="2023-09-04T21:15:20"/>
    <d v="2023-09-05T21:15:20"/>
    <n v="1"/>
    <d v="2023-09-09T21:15:20"/>
    <d v="2023-09-10T21:15:20"/>
    <d v="2023-09-11T21:15:20"/>
    <m/>
    <m/>
    <d v="2023-09-30T21:15:20"/>
    <m/>
    <m/>
    <n v="2"/>
    <n v="16"/>
    <n v="14"/>
    <x v="14"/>
    <n v="1"/>
    <d v="2023-12-03T21:15:20"/>
    <n v="4"/>
    <n v="26"/>
    <n v="7"/>
    <m/>
    <m/>
    <m/>
    <m/>
    <m/>
    <m/>
    <m/>
    <m/>
    <m/>
    <m/>
  </r>
  <r>
    <n v="579"/>
    <s v="579 | Program Office"/>
    <x v="1"/>
    <s v="Program Office - Executive"/>
    <s v="Head of Department"/>
    <s v="Program Office-Head of Department"/>
    <s v="Executive"/>
    <d v="2022-12-13T02:09:30"/>
    <d v="2022-12-16T02:09:30"/>
    <s v="Yes"/>
    <d v="2022-12-26T02:09:30"/>
    <s v="Failed"/>
    <s v="Other"/>
    <m/>
    <m/>
    <m/>
    <m/>
    <d v="2022-12-28T02:09:30"/>
    <m/>
    <n v="0"/>
    <m/>
    <m/>
    <m/>
    <m/>
    <s v="Company"/>
    <m/>
    <m/>
    <m/>
    <n v="3"/>
    <n v="13"/>
    <n v="10"/>
    <x v="16"/>
    <n v="2"/>
    <d v="2023-03-28T02:09:30"/>
    <s v=""/>
    <s v=""/>
    <s v=""/>
    <m/>
    <m/>
    <m/>
    <m/>
    <m/>
    <m/>
    <m/>
    <m/>
    <m/>
    <m/>
  </r>
  <r>
    <n v="494"/>
    <s v="494 | Program Office"/>
    <x v="1"/>
    <s v="Program Office - Executive"/>
    <s v="Head of Department"/>
    <s v="Program Office-Head of Department"/>
    <s v="Executive"/>
    <d v="2023-08-31T09:52:53"/>
    <d v="2023-09-03T09:52:53"/>
    <s v="Yes"/>
    <d v="2023-09-09T09:52:53"/>
    <s v="Declined"/>
    <m/>
    <d v="2023-09-16T09:52:53"/>
    <s v="Declined"/>
    <m/>
    <m/>
    <d v="2023-09-13T09:52:53"/>
    <m/>
    <n v="0"/>
    <m/>
    <m/>
    <m/>
    <m/>
    <m/>
    <m/>
    <m/>
    <m/>
    <n v="3"/>
    <n v="9"/>
    <n v="6"/>
    <x v="8"/>
    <n v="4"/>
    <d v="2023-12-12T09:52:53"/>
    <s v=""/>
    <s v=""/>
    <s v=""/>
    <m/>
    <m/>
    <m/>
    <m/>
    <m/>
    <m/>
    <m/>
    <m/>
    <m/>
    <m/>
  </r>
  <r>
    <n v="493"/>
    <s v="493 | Program Office"/>
    <x v="1"/>
    <s v="Program Office - Executive"/>
    <s v="Head of Department"/>
    <s v="Program Office-Head of Department"/>
    <s v="Executive"/>
    <d v="2023-08-28T09:52:53"/>
    <d v="2023-08-31T09:52:53"/>
    <s v="Yes"/>
    <d v="2023-09-19T09:52:53"/>
    <s v="Failed"/>
    <s v="Not a culture fit"/>
    <m/>
    <m/>
    <m/>
    <m/>
    <m/>
    <m/>
    <n v="0"/>
    <m/>
    <m/>
    <m/>
    <m/>
    <s v="Company"/>
    <m/>
    <m/>
    <m/>
    <n v="3"/>
    <n v="22"/>
    <n v="19"/>
    <x v="0"/>
    <s v=""/>
    <s v=""/>
    <s v=""/>
    <s v=""/>
    <s v=""/>
    <m/>
    <m/>
    <m/>
    <m/>
    <m/>
    <m/>
    <m/>
    <m/>
    <m/>
    <m/>
  </r>
  <r>
    <n v="485"/>
    <s v="485 | Program Office"/>
    <x v="1"/>
    <s v="Program Office - Executive"/>
    <s v="Head of Department"/>
    <s v="Program Office-Head of Department"/>
    <s v="Executive"/>
    <d v="2023-01-04T13:36:04"/>
    <d v="2023-01-06T13:36:04"/>
    <s v="Yes"/>
    <d v="2023-01-22T13:36:04"/>
    <s v="Failed"/>
    <s v="Not a culture fit"/>
    <m/>
    <m/>
    <m/>
    <m/>
    <m/>
    <m/>
    <n v="0"/>
    <m/>
    <m/>
    <m/>
    <m/>
    <s v="Company"/>
    <m/>
    <m/>
    <m/>
    <n v="2"/>
    <n v="18"/>
    <n v="16"/>
    <x v="0"/>
    <s v=""/>
    <s v=""/>
    <s v=""/>
    <s v=""/>
    <s v=""/>
    <m/>
    <m/>
    <m/>
    <m/>
    <m/>
    <m/>
    <m/>
    <m/>
    <m/>
    <m/>
  </r>
  <r>
    <n v="484"/>
    <s v="484 | Program Office"/>
    <x v="1"/>
    <s v="Program Office - Executive"/>
    <s v="Head of Department"/>
    <s v="Program Office-Head of Department"/>
    <s v="Executive"/>
    <d v="2023-01-05T13:36:04"/>
    <d v="2023-01-08T13:36:04"/>
    <s v="Yes"/>
    <d v="2023-01-21T13:36:04"/>
    <s v="Failed"/>
    <s v="Position filled by another"/>
    <m/>
    <m/>
    <m/>
    <m/>
    <d v="2023-01-24T13:36:04"/>
    <m/>
    <n v="0"/>
    <m/>
    <m/>
    <m/>
    <m/>
    <s v="Company"/>
    <m/>
    <m/>
    <m/>
    <n v="3"/>
    <n v="16"/>
    <n v="13"/>
    <x v="13"/>
    <n v="3"/>
    <d v="2023-04-24T13:36:04"/>
    <s v=""/>
    <s v=""/>
    <s v=""/>
    <m/>
    <m/>
    <m/>
    <m/>
    <m/>
    <m/>
    <m/>
    <m/>
    <m/>
    <m/>
  </r>
  <r>
    <n v="477"/>
    <s v="477 | Program Office"/>
    <x v="1"/>
    <s v="Program Office - Executive"/>
    <s v="Head of Department"/>
    <s v="Program Office-Head of Department"/>
    <s v="Executive"/>
    <d v="2022-04-23T01:49:05"/>
    <d v="2022-04-27T01:49:05"/>
    <s v="Yes"/>
    <d v="2022-05-04T01:49:05"/>
    <s v="Accepted"/>
    <m/>
    <d v="2022-05-08T01:49:05"/>
    <s v="Accepted"/>
    <d v="2022-05-06T01:49:05"/>
    <d v="2022-05-08T01:49:05"/>
    <d v="2022-05-06T01:49:05"/>
    <d v="2022-05-07T01:49:05"/>
    <n v="1"/>
    <d v="2022-05-10T01:49:05"/>
    <d v="2022-05-11T01:49:05"/>
    <d v="2022-05-14T01:49:05"/>
    <m/>
    <m/>
    <d v="2022-05-22T01:49:05"/>
    <m/>
    <m/>
    <n v="4"/>
    <n v="11"/>
    <n v="7"/>
    <x v="8"/>
    <n v="2"/>
    <d v="2022-08-04T01:49:05"/>
    <n v="3"/>
    <n v="16"/>
    <n v="8"/>
    <m/>
    <m/>
    <m/>
    <m/>
    <m/>
    <m/>
    <m/>
    <m/>
    <m/>
    <m/>
  </r>
  <r>
    <n v="475"/>
    <s v="475 | Program Office"/>
    <x v="1"/>
    <s v="Program Office - Executive"/>
    <s v="Head of Department"/>
    <s v="Program Office-Head of Department"/>
    <s v="Executive"/>
    <d v="2022-04-25T01:49:05"/>
    <d v="2022-04-28T01:49:05"/>
    <s v="Yes"/>
    <d v="2022-05-18T01:49:05"/>
    <s v="Failed"/>
    <s v="Didn't pass technical test"/>
    <m/>
    <m/>
    <m/>
    <m/>
    <d v="2022-05-22T01:49:05"/>
    <m/>
    <n v="0"/>
    <m/>
    <m/>
    <m/>
    <m/>
    <s v="Company"/>
    <m/>
    <m/>
    <m/>
    <n v="3"/>
    <n v="23"/>
    <n v="20"/>
    <x v="18"/>
    <n v="4"/>
    <d v="2022-08-20T01:49:05"/>
    <s v=""/>
    <s v=""/>
    <s v=""/>
    <m/>
    <m/>
    <m/>
    <m/>
    <m/>
    <m/>
    <m/>
    <m/>
    <m/>
    <m/>
  </r>
  <r>
    <n v="385"/>
    <s v="385 | Program Office"/>
    <x v="1"/>
    <s v="Program Office - Executive"/>
    <s v="Head of Department"/>
    <s v="Program Office-Head of Department"/>
    <s v="Executive"/>
    <d v="2022-11-04T09:11:38"/>
    <d v="2022-11-08T09:11:38"/>
    <s v="Yes"/>
    <d v="2022-11-22T09:11:38"/>
    <s v="Declined"/>
    <m/>
    <d v="2022-11-28T09:11:38"/>
    <s v="Declined"/>
    <m/>
    <m/>
    <d v="2022-11-25T09:11:38"/>
    <m/>
    <n v="0"/>
    <m/>
    <m/>
    <m/>
    <m/>
    <m/>
    <m/>
    <m/>
    <m/>
    <n v="4"/>
    <n v="18"/>
    <n v="14"/>
    <x v="19"/>
    <n v="3"/>
    <d v="2023-02-23T09:11:38"/>
    <s v=""/>
    <s v=""/>
    <s v=""/>
    <m/>
    <m/>
    <m/>
    <m/>
    <m/>
    <m/>
    <m/>
    <m/>
    <m/>
    <m/>
  </r>
  <r>
    <n v="378"/>
    <s v="378 | Program Office"/>
    <x v="1"/>
    <s v="Program Office - Executive"/>
    <s v="Head of Department"/>
    <s v="Program Office-Head of Department"/>
    <s v="Executive"/>
    <d v="2022-04-16T08:33:40"/>
    <d v="2022-04-17T08:33:40"/>
    <s v="Yes"/>
    <d v="2022-04-27T08:33:40"/>
    <s v="Failed"/>
    <s v="Other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375"/>
    <s v="375 | Program Office"/>
    <x v="1"/>
    <s v="Program Office - Executive"/>
    <s v="Head of Department"/>
    <s v="Program Office-Head of Department"/>
    <s v="Executive"/>
    <d v="2022-04-12T08:33:40"/>
    <d v="2022-04-14T08:33:40"/>
    <s v="Yes"/>
    <d v="2022-05-01T08:33:40"/>
    <s v="Accepted"/>
    <m/>
    <d v="2022-05-06T08:33:40"/>
    <s v="Accepted"/>
    <d v="2022-05-02T08:33:40"/>
    <d v="2022-05-06T08:33:40"/>
    <d v="2022-05-04T08:33:40"/>
    <d v="2022-05-10T08:33:40"/>
    <n v="1"/>
    <d v="2022-05-11T08:33:40"/>
    <d v="2022-05-12T08:33:40"/>
    <d v="2022-05-15T08:33:40"/>
    <m/>
    <m/>
    <d v="2022-05-22T08:33:40"/>
    <m/>
    <m/>
    <n v="2"/>
    <n v="19"/>
    <n v="17"/>
    <x v="7"/>
    <n v="3"/>
    <d v="2022-08-02T08:33:40"/>
    <n v="1"/>
    <n v="18"/>
    <n v="11"/>
    <m/>
    <m/>
    <m/>
    <m/>
    <m/>
    <m/>
    <m/>
    <m/>
    <m/>
    <m/>
  </r>
  <r>
    <n v="315"/>
    <s v="315 | Program Office"/>
    <x v="1"/>
    <s v="Program Office - Executive"/>
    <s v="Head of Department"/>
    <s v="Program Office-Head of Department"/>
    <s v="Executive"/>
    <d v="2023-03-03T14:36:53"/>
    <d v="2023-03-04T14:36:5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89"/>
    <s v="189 | Program Office"/>
    <x v="1"/>
    <s v="Program Office - Executive"/>
    <s v="Head of Department"/>
    <s v="Program Office-Head of Department"/>
    <s v="Executive"/>
    <d v="2022-09-26T07:13:58"/>
    <d v="2022-09-27T07:13:58"/>
    <s v="Yes"/>
    <d v="2022-10-07T07:13:58"/>
    <s v="Failed"/>
    <s v="Other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131"/>
    <s v="131 | Program Office"/>
    <x v="1"/>
    <s v="Program Office - Executive"/>
    <s v="Head of Department"/>
    <s v="Program Office-Head of Department"/>
    <s v="Executive"/>
    <d v="2022-07-18T19:16:15"/>
    <d v="2022-07-21T19:16:15"/>
    <s v="Yes"/>
    <d v="2022-08-07T19:16:15"/>
    <s v="Failed"/>
    <s v="Didn't pass technical test"/>
    <m/>
    <m/>
    <m/>
    <m/>
    <m/>
    <m/>
    <n v="0"/>
    <m/>
    <m/>
    <m/>
    <m/>
    <s v="Candidate"/>
    <m/>
    <m/>
    <m/>
    <n v="3"/>
    <n v="20"/>
    <n v="17"/>
    <x v="0"/>
    <s v=""/>
    <s v=""/>
    <s v=""/>
    <s v=""/>
    <s v=""/>
    <m/>
    <m/>
    <m/>
    <m/>
    <m/>
    <m/>
    <m/>
    <m/>
    <m/>
    <m/>
  </r>
  <r>
    <n v="70"/>
    <s v="70 | Program Office"/>
    <x v="1"/>
    <s v="Program Office - Executive"/>
    <s v="Director"/>
    <s v="Program Office-Director"/>
    <s v="Executive"/>
    <d v="2023-08-23T18:08:34"/>
    <d v="2023-08-26T18:08:3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3"/>
    <s v="63 | Program Office"/>
    <x v="1"/>
    <s v="Program Office - Executive"/>
    <s v="Director"/>
    <s v="Program Office-Director"/>
    <s v="Executive"/>
    <d v="2023-08-26T18:08:34"/>
    <d v="2023-08-27T18:08:34"/>
    <s v="Yes"/>
    <d v="2023-09-10T18:08:34"/>
    <s v="Failed"/>
    <s v="Salary expectation too high"/>
    <m/>
    <m/>
    <m/>
    <m/>
    <d v="2023-09-11T18:08:34"/>
    <m/>
    <n v="0"/>
    <m/>
    <m/>
    <m/>
    <m/>
    <s v="Candidate"/>
    <m/>
    <m/>
    <m/>
    <n v="1"/>
    <n v="15"/>
    <n v="14"/>
    <x v="20"/>
    <n v="1"/>
    <d v="2023-12-10T18:08:34"/>
    <s v=""/>
    <s v=""/>
    <s v=""/>
    <m/>
    <m/>
    <m/>
    <m/>
    <m/>
    <m/>
    <m/>
    <m/>
    <m/>
    <m/>
  </r>
  <r>
    <n v="62"/>
    <s v="62 | Program Office"/>
    <x v="1"/>
    <s v="Program Office - Executive"/>
    <s v="Director"/>
    <s v="Program Office-Director"/>
    <s v="Executive"/>
    <d v="2023-08-27T18:08:34"/>
    <d v="2023-08-30T18:08:34"/>
    <s v="Yes"/>
    <d v="2023-09-11T18:08:34"/>
    <s v="Failed"/>
    <s v="Salary expectation too high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10"/>
    <s v="10 | Program Office"/>
    <x v="1"/>
    <s v="Program Office - Executive"/>
    <s v="Director"/>
    <s v="Program Office-Director"/>
    <s v="Executive"/>
    <d v="2023-06-04T08:55:46"/>
    <d v="2023-06-05T08:55:46"/>
    <s v="Yes"/>
    <d v="2023-06-15T08:55:46"/>
    <s v="Failed"/>
    <s v="Didn't pass technical test"/>
    <m/>
    <m/>
    <m/>
    <m/>
    <d v="2023-06-18T08:55:46"/>
    <m/>
    <n v="0"/>
    <m/>
    <m/>
    <m/>
    <m/>
    <s v="Candidate"/>
    <m/>
    <m/>
    <m/>
    <n v="1"/>
    <n v="11"/>
    <n v="10"/>
    <x v="1"/>
    <n v="3"/>
    <d v="2023-09-16T08:55:46"/>
    <s v=""/>
    <s v=""/>
    <s v=""/>
    <m/>
    <m/>
    <m/>
    <m/>
    <m/>
    <m/>
    <m/>
    <m/>
    <m/>
    <m/>
  </r>
  <r>
    <n v="8"/>
    <s v="8 | Program Office"/>
    <x v="1"/>
    <s v="Program Office - Executive"/>
    <s v="Director"/>
    <s v="Program Office-Director"/>
    <s v="Executive"/>
    <d v="2023-06-02T08:55:46"/>
    <d v="2023-06-05T08:55:46"/>
    <s v="Yes"/>
    <d v="2023-06-12T08:55:46"/>
    <s v="Failed"/>
    <s v="Other"/>
    <m/>
    <m/>
    <m/>
    <m/>
    <m/>
    <m/>
    <n v="0"/>
    <m/>
    <m/>
    <m/>
    <m/>
    <s v="Company"/>
    <m/>
    <m/>
    <m/>
    <n v="3"/>
    <n v="10"/>
    <n v="7"/>
    <x v="0"/>
    <s v=""/>
    <s v=""/>
    <s v=""/>
    <s v=""/>
    <s v=""/>
    <m/>
    <m/>
    <m/>
    <m/>
    <m/>
    <m/>
    <m/>
    <m/>
    <m/>
    <m/>
  </r>
  <r>
    <n v="2974"/>
    <s v="2974 | Program Office"/>
    <x v="1"/>
    <s v="Program Office - Associate"/>
    <s v="Analyst"/>
    <s v="Program Office-Analyst"/>
    <s v="Associate"/>
    <d v="2022-07-19T15:16:58"/>
    <d v="2022-07-21T15:16:58"/>
    <s v="Yes"/>
    <d v="2022-08-04T15:16:58"/>
    <s v="Accepted"/>
    <m/>
    <d v="2022-08-09T15:16:58"/>
    <s v="Accepted"/>
    <d v="2022-08-06T15:16:58"/>
    <d v="2022-08-09T15:16:58"/>
    <d v="2022-08-07T15:16:58"/>
    <d v="2022-08-09T15:16:58"/>
    <n v="1"/>
    <d v="2022-08-10T15:16:58"/>
    <d v="2022-08-13T15:16:58"/>
    <d v="2022-08-14T15:16:58"/>
    <m/>
    <m/>
    <d v="2022-09-03T15:16:58"/>
    <m/>
    <m/>
    <n v="2"/>
    <n v="16"/>
    <n v="14"/>
    <x v="13"/>
    <n v="3"/>
    <d v="2022-11-05T15:16:58"/>
    <n v="1"/>
    <n v="27"/>
    <n v="7"/>
    <m/>
    <m/>
    <m/>
    <m/>
    <m/>
    <m/>
    <m/>
    <m/>
    <m/>
    <m/>
  </r>
  <r>
    <n v="2972"/>
    <s v="2972 | Program Office"/>
    <x v="1"/>
    <s v="Program Office - Associate"/>
    <s v="Analyst"/>
    <s v="Program Office-Analyst"/>
    <s v="Associate"/>
    <d v="2022-07-19T15:16:58"/>
    <d v="2022-07-22T15:16:58"/>
    <s v="Yes"/>
    <d v="2022-07-31T15:16:58"/>
    <s v="Failed"/>
    <s v="Other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2969"/>
    <s v="2969 | Program Office"/>
    <x v="1"/>
    <s v="Program Office - Associate"/>
    <s v="Analyst"/>
    <s v="Program Office-Analyst"/>
    <s v="Associate"/>
    <d v="2022-05-17T06:38:26"/>
    <d v="2022-05-20T06:38:2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967"/>
    <s v="2967 | Program Office"/>
    <x v="1"/>
    <s v="Program Office - Associate"/>
    <s v="Analyst"/>
    <s v="Program Office-Analyst"/>
    <s v="Associate"/>
    <d v="2022-05-18T06:38:26"/>
    <d v="2022-05-20T06:38:2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885"/>
    <s v="2885 | Program Office"/>
    <x v="1"/>
    <s v="Program Office - Associate"/>
    <s v="Analyst"/>
    <s v="Program Office-Analyst"/>
    <s v="Associate"/>
    <d v="2022-10-20T01:36:27"/>
    <d v="2022-10-24T01:36:27"/>
    <s v="Yes"/>
    <d v="2022-11-15T01:36:27"/>
    <s v="Accepted"/>
    <m/>
    <d v="2022-11-22T01:36:27"/>
    <s v="Accepted"/>
    <d v="2022-11-16T01:36:27"/>
    <d v="2022-11-18T01:36:27"/>
    <d v="2022-11-18T01:36:27"/>
    <d v="2022-11-25T01:36:27"/>
    <n v="1"/>
    <d v="2022-11-28T01:36:27"/>
    <d v="2022-12-01T01:36:27"/>
    <d v="2022-12-04T01:36:27"/>
    <m/>
    <m/>
    <d v="2022-12-17T01:36:27"/>
    <m/>
    <m/>
    <n v="4"/>
    <n v="26"/>
    <n v="22"/>
    <x v="23"/>
    <n v="3"/>
    <d v="2023-02-16T01:36:27"/>
    <n v="3"/>
    <n v="29"/>
    <n v="16"/>
    <m/>
    <m/>
    <m/>
    <m/>
    <m/>
    <m/>
    <m/>
    <m/>
    <m/>
    <m/>
  </r>
  <r>
    <n v="2884"/>
    <s v="2884 | Program Office"/>
    <x v="1"/>
    <s v="Program Office - Associate"/>
    <s v="Analyst"/>
    <s v="Program Office-Analyst"/>
    <s v="Associate"/>
    <d v="2022-10-22T01:36:27"/>
    <d v="2022-10-24T01:36:2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881"/>
    <s v="2881 | Program Office"/>
    <x v="1"/>
    <s v="Program Office - Associate"/>
    <s v="Analyst"/>
    <s v="Program Office-Analyst"/>
    <s v="Associate"/>
    <d v="2022-10-20T01:36:27"/>
    <d v="2022-10-23T01:36:27"/>
    <s v="Yes"/>
    <d v="2022-11-12T01:36:27"/>
    <s v="Accepted"/>
    <m/>
    <d v="2022-11-16T01:36:27"/>
    <s v="Accepted"/>
    <d v="2022-11-14T01:36:27"/>
    <d v="2022-11-16T01:36:27"/>
    <d v="2022-11-14T01:36:27"/>
    <d v="2022-11-21T01:36:27"/>
    <n v="1"/>
    <d v="2022-11-25T01:36:27"/>
    <d v="2022-11-26T01:36:27"/>
    <d v="2022-11-28T01:36:27"/>
    <m/>
    <m/>
    <d v="2022-12-12T01:36:27"/>
    <m/>
    <m/>
    <n v="3"/>
    <n v="23"/>
    <n v="20"/>
    <x v="11"/>
    <n v="2"/>
    <d v="2023-02-12T01:36:27"/>
    <n v="4"/>
    <n v="28"/>
    <n v="14"/>
    <m/>
    <m/>
    <m/>
    <m/>
    <m/>
    <m/>
    <m/>
    <m/>
    <m/>
    <m/>
  </r>
  <r>
    <n v="2857"/>
    <s v="2857 | Program Office"/>
    <x v="1"/>
    <s v="Program Office - Associate"/>
    <s v="Analyst"/>
    <s v="Program Office-Analyst"/>
    <s v="Associate"/>
    <d v="2023-04-17T11:59:33"/>
    <d v="2023-04-20T11:59:33"/>
    <s v="Yes"/>
    <d v="2023-04-28T11:59:33"/>
    <s v="Accepted"/>
    <m/>
    <d v="2023-05-03T11:59:33"/>
    <s v="Accepted"/>
    <d v="2023-04-30T11:59:33"/>
    <d v="2023-05-04T11:59:33"/>
    <d v="2023-05-02T11:59:33"/>
    <d v="2023-05-04T11:59:33"/>
    <n v="1"/>
    <d v="2023-05-08T11:59:33"/>
    <d v="2023-05-09T11:59:33"/>
    <d v="2023-05-10T11:59:33"/>
    <m/>
    <m/>
    <d v="2023-05-20T11:59:33"/>
    <m/>
    <m/>
    <n v="3"/>
    <n v="11"/>
    <n v="8"/>
    <x v="16"/>
    <n v="4"/>
    <d v="2023-07-31T11:59:33"/>
    <n v="4"/>
    <n v="18"/>
    <n v="8"/>
    <m/>
    <m/>
    <m/>
    <m/>
    <m/>
    <m/>
    <m/>
    <m/>
    <m/>
    <m/>
  </r>
  <r>
    <n v="2854"/>
    <s v="2854 | Program Office"/>
    <x v="1"/>
    <s v="Program Office - Associate"/>
    <s v="Supervisor"/>
    <s v="Program Office-Supervisor"/>
    <s v="Associate"/>
    <d v="2023-04-16T11:59:33"/>
    <d v="2023-04-20T11:59:33"/>
    <s v="Yes"/>
    <d v="2023-05-01T11:59:33"/>
    <s v="Failed"/>
    <s v="Other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2840"/>
    <s v="2840 | Program Office"/>
    <x v="1"/>
    <s v="Program Office - Associate"/>
    <s v="Supervisor"/>
    <s v="Program Office-Supervisor"/>
    <s v="Associate"/>
    <d v="2022-04-09T20:14:44"/>
    <d v="2022-04-11T20:14:44"/>
    <s v="Yes"/>
    <d v="2022-04-19T20:14:44"/>
    <s v="Failed"/>
    <s v="Other"/>
    <m/>
    <m/>
    <m/>
    <m/>
    <d v="2022-04-23T20:14:44"/>
    <m/>
    <n v="0"/>
    <m/>
    <m/>
    <m/>
    <m/>
    <s v="Candidate"/>
    <m/>
    <m/>
    <m/>
    <n v="2"/>
    <n v="10"/>
    <n v="8"/>
    <x v="1"/>
    <n v="4"/>
    <d v="2022-07-22T20:14:44"/>
    <s v=""/>
    <s v=""/>
    <s v=""/>
    <m/>
    <m/>
    <m/>
    <m/>
    <m/>
    <m/>
    <m/>
    <m/>
    <m/>
    <m/>
  </r>
  <r>
    <n v="2836"/>
    <s v="2836 | Program Office"/>
    <x v="1"/>
    <s v="Program Office - Associate"/>
    <s v="Supervisor"/>
    <s v="Program Office-Supervisor"/>
    <s v="Associate"/>
    <d v="2022-04-13T20:14:44"/>
    <d v="2022-04-14T20:14:44"/>
    <s v="Yes"/>
    <d v="2022-04-19T20:14:44"/>
    <s v="Failed"/>
    <s v="Not a culture fit"/>
    <m/>
    <m/>
    <m/>
    <m/>
    <d v="2022-04-22T20:14:44"/>
    <m/>
    <n v="0"/>
    <m/>
    <m/>
    <m/>
    <m/>
    <s v="Company"/>
    <m/>
    <m/>
    <m/>
    <n v="1"/>
    <n v="6"/>
    <n v="5"/>
    <x v="4"/>
    <n v="3"/>
    <d v="2022-07-21T20:14:44"/>
    <s v=""/>
    <s v=""/>
    <s v=""/>
    <m/>
    <m/>
    <m/>
    <m/>
    <m/>
    <m/>
    <m/>
    <m/>
    <m/>
    <m/>
  </r>
  <r>
    <n v="2833"/>
    <s v="2833 | Program Office"/>
    <x v="1"/>
    <s v="Program Office - Associate"/>
    <s v="Supervisor"/>
    <s v="Program Office-Supervisor"/>
    <s v="Associate"/>
    <d v="2022-04-11T20:14:44"/>
    <d v="2022-04-12T20:14:44"/>
    <s v="Yes"/>
    <d v="2022-04-27T20:14:44"/>
    <s v="Failed"/>
    <s v="Didn't pass technical test"/>
    <m/>
    <m/>
    <m/>
    <m/>
    <d v="2022-05-01T20:14:44"/>
    <m/>
    <n v="0"/>
    <m/>
    <m/>
    <m/>
    <m/>
    <s v="Company"/>
    <m/>
    <m/>
    <m/>
    <n v="1"/>
    <n v="16"/>
    <n v="15"/>
    <x v="15"/>
    <n v="4"/>
    <d v="2022-07-30T20:14:44"/>
    <s v=""/>
    <s v=""/>
    <s v=""/>
    <m/>
    <m/>
    <m/>
    <m/>
    <m/>
    <m/>
    <m/>
    <m/>
    <m/>
    <m/>
  </r>
  <r>
    <n v="2786"/>
    <s v="2786 | Program Office"/>
    <x v="1"/>
    <s v="Program Office - Associate"/>
    <s v="Supervisor"/>
    <s v="Program Office-Supervisor"/>
    <s v="Associate"/>
    <d v="2023-06-28T19:35:56"/>
    <d v="2023-07-01T19:35:56"/>
    <s v="Yes"/>
    <d v="2023-07-19T19:35:56"/>
    <s v="Failed"/>
    <s v="Position filled by another"/>
    <m/>
    <m/>
    <m/>
    <m/>
    <m/>
    <m/>
    <n v="0"/>
    <m/>
    <m/>
    <m/>
    <m/>
    <s v="Company"/>
    <m/>
    <m/>
    <m/>
    <n v="3"/>
    <n v="21"/>
    <n v="18"/>
    <x v="0"/>
    <s v=""/>
    <s v=""/>
    <s v=""/>
    <s v=""/>
    <s v=""/>
    <m/>
    <m/>
    <m/>
    <m/>
    <m/>
    <m/>
    <m/>
    <m/>
    <m/>
    <m/>
  </r>
  <r>
    <n v="2783"/>
    <s v="2783 | Program Office"/>
    <x v="1"/>
    <s v="Program Office - Associate"/>
    <s v="Supervisor"/>
    <s v="Program Office-Supervisor"/>
    <s v="Associate"/>
    <d v="2023-06-28T19:35:56"/>
    <d v="2023-07-02T19:35:56"/>
    <s v="Yes"/>
    <d v="2023-07-10T19:35:56"/>
    <s v="Accepted"/>
    <m/>
    <d v="2023-07-12T19:35:56"/>
    <s v="Accepted"/>
    <d v="2023-07-12T19:35:56"/>
    <d v="2023-07-15T19:35:56"/>
    <d v="2023-07-11T19:35:56"/>
    <d v="2023-07-13T19:35:56"/>
    <n v="1"/>
    <d v="2023-07-16T19:35:56"/>
    <d v="2023-07-17T19:35:56"/>
    <d v="2023-07-19T19:35:56"/>
    <m/>
    <m/>
    <d v="2023-08-01T19:35:56"/>
    <m/>
    <m/>
    <n v="4"/>
    <n v="12"/>
    <n v="8"/>
    <x v="8"/>
    <n v="1"/>
    <d v="2023-10-09T19:35:56"/>
    <n v="3"/>
    <n v="21"/>
    <n v="8"/>
    <m/>
    <m/>
    <m/>
    <m/>
    <m/>
    <m/>
    <m/>
    <m/>
    <m/>
    <m/>
  </r>
  <r>
    <n v="2782"/>
    <s v="2782 | Program Office"/>
    <x v="1"/>
    <s v="Program Office - Associate"/>
    <s v="Analyst"/>
    <s v="Program Office-Analyst"/>
    <s v="Associate"/>
    <d v="2023-06-26T19:35:56"/>
    <d v="2023-06-29T19:35:5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781"/>
    <s v="2781 | Program Office"/>
    <x v="1"/>
    <s v="Program Office - Associate"/>
    <s v="Analyst"/>
    <s v="Program Office-Analyst"/>
    <s v="Associate"/>
    <d v="2023-06-27T19:35:56"/>
    <d v="2023-06-28T19:35:56"/>
    <s v="Yes"/>
    <d v="2023-07-06T19:35:56"/>
    <s v="Failed"/>
    <s v="Not a culture fit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2736"/>
    <s v="2736 | Program Office"/>
    <x v="1"/>
    <s v="Program Office - Associate"/>
    <s v="Analyst"/>
    <s v="Program Office-Analyst"/>
    <s v="Associate"/>
    <d v="2022-07-06T23:32:45"/>
    <d v="2022-07-09T23:32:45"/>
    <s v="Yes"/>
    <d v="2022-07-21T23:32:45"/>
    <s v="Accepted"/>
    <m/>
    <d v="2022-07-27T23:32:45"/>
    <s v="Accepted"/>
    <d v="2022-07-22T23:32:45"/>
    <d v="2022-07-26T23:32:45"/>
    <d v="2022-07-24T23:32:45"/>
    <d v="2022-08-01T23:32:45"/>
    <n v="1"/>
    <d v="2022-08-03T23:32:45"/>
    <d v="2022-08-04T23:32:45"/>
    <d v="2022-08-06T23:32:45"/>
    <m/>
    <m/>
    <d v="2022-08-27T23:32:45"/>
    <m/>
    <m/>
    <n v="3"/>
    <n v="15"/>
    <n v="12"/>
    <x v="12"/>
    <n v="3"/>
    <d v="2022-10-22T23:32:45"/>
    <n v="2"/>
    <n v="34"/>
    <n v="13"/>
    <m/>
    <m/>
    <m/>
    <m/>
    <m/>
    <m/>
    <m/>
    <m/>
    <m/>
    <m/>
  </r>
  <r>
    <n v="2566"/>
    <s v="2566 | Program Office"/>
    <x v="1"/>
    <s v="Program Office - Associate"/>
    <s v="Analyst"/>
    <s v="Program Office-Analyst"/>
    <s v="Associate"/>
    <d v="2022-11-23T06:58:42"/>
    <d v="2022-11-24T06:58:42"/>
    <s v="Yes"/>
    <d v="2022-12-09T06:58:42"/>
    <s v="Accepted"/>
    <m/>
    <d v="2022-12-16T06:58:42"/>
    <s v="Accepted"/>
    <d v="2022-12-11T06:58:42"/>
    <d v="2022-12-14T06:58:42"/>
    <d v="2022-12-13T06:58:42"/>
    <d v="2022-12-23T06:58:42"/>
    <n v="1"/>
    <d v="2022-12-26T06:58:42"/>
    <d v="2022-12-27T06:58:42"/>
    <d v="2022-12-28T06:58:42"/>
    <m/>
    <m/>
    <d v="2023-01-08T06:58:42"/>
    <m/>
    <m/>
    <n v="1"/>
    <n v="16"/>
    <n v="15"/>
    <x v="15"/>
    <n v="4"/>
    <d v="2023-03-13T06:58:42"/>
    <n v="3"/>
    <n v="26"/>
    <n v="15"/>
    <m/>
    <m/>
    <m/>
    <m/>
    <m/>
    <m/>
    <m/>
    <m/>
    <m/>
    <m/>
  </r>
  <r>
    <n v="2563"/>
    <s v="2563 | Program Office"/>
    <x v="1"/>
    <s v="Program Office - Associate"/>
    <s v="Analyst"/>
    <s v="Program Office-Analyst"/>
    <s v="Associate"/>
    <d v="2022-11-21T06:58:42"/>
    <d v="2022-11-25T06:58:4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59"/>
    <s v="2559 | Program Office"/>
    <x v="1"/>
    <s v="Program Office - Associate"/>
    <s v="Analyst"/>
    <s v="Program Office-Analyst"/>
    <s v="Associate"/>
    <d v="2023-08-03T17:10:04"/>
    <d v="2023-08-06T17:10:0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556"/>
    <s v="2556 | Program Office"/>
    <x v="1"/>
    <s v="Program Office - Associate"/>
    <s v="Analyst"/>
    <s v="Program Office-Analyst"/>
    <s v="Associate"/>
    <d v="2023-08-01T17:10:04"/>
    <d v="2023-08-04T17:10:04"/>
    <s v="Yes"/>
    <d v="2023-08-26T17:10:04"/>
    <s v="Declined"/>
    <m/>
    <d v="2023-08-29T17:10:04"/>
    <s v="Declined"/>
    <m/>
    <m/>
    <d v="2023-08-28T17:10:04"/>
    <m/>
    <n v="0"/>
    <m/>
    <m/>
    <m/>
    <m/>
    <m/>
    <m/>
    <m/>
    <m/>
    <n v="3"/>
    <n v="25"/>
    <n v="22"/>
    <x v="18"/>
    <n v="2"/>
    <d v="2023-11-26T17:10:04"/>
    <s v=""/>
    <s v=""/>
    <s v=""/>
    <m/>
    <m/>
    <m/>
    <m/>
    <m/>
    <m/>
    <m/>
    <m/>
    <m/>
    <m/>
  </r>
  <r>
    <n v="2554"/>
    <s v="2554 | Program Office"/>
    <x v="1"/>
    <s v="Program Office - Associate"/>
    <s v="Analyst"/>
    <s v="Program Office-Analyst"/>
    <s v="Associate"/>
    <d v="2023-08-02T17:10:04"/>
    <d v="2023-08-06T17:10:04"/>
    <s v="Yes"/>
    <d v="2023-08-16T17:10:04"/>
    <s v="Failed"/>
    <s v="Didn't pass technical test"/>
    <m/>
    <m/>
    <m/>
    <m/>
    <d v="2023-08-18T17:10:04"/>
    <m/>
    <n v="0"/>
    <m/>
    <m/>
    <m/>
    <m/>
    <s v="Candidate"/>
    <m/>
    <m/>
    <m/>
    <n v="4"/>
    <n v="14"/>
    <n v="10"/>
    <x v="20"/>
    <n v="2"/>
    <d v="2023-11-16T17:10:04"/>
    <s v=""/>
    <s v=""/>
    <s v=""/>
    <m/>
    <m/>
    <m/>
    <m/>
    <m/>
    <m/>
    <m/>
    <m/>
    <m/>
    <m/>
  </r>
  <r>
    <n v="2538"/>
    <s v="2538 | Program Office"/>
    <x v="1"/>
    <s v="Program Office - Associate"/>
    <s v="Supervisor"/>
    <s v="Program Office-Supervisor"/>
    <s v="Associate"/>
    <d v="2022-04-30T01:23:53"/>
    <d v="2022-05-01T01:23:53"/>
    <s v="Yes"/>
    <d v="2022-05-15T01:23:53"/>
    <s v="Failed"/>
    <s v="Salary expectation too high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2517"/>
    <s v="2517 | Program Office"/>
    <x v="1"/>
    <s v="Program Office - Associate"/>
    <s v="Supervisor"/>
    <s v="Program Office-Supervisor"/>
    <s v="Associate"/>
    <d v="2023-09-04T03:11:54"/>
    <d v="2023-09-06T03:11:54"/>
    <s v="Yes"/>
    <d v="2023-09-24T03:11:54"/>
    <s v="Declined"/>
    <m/>
    <d v="2023-09-27T03:11:54"/>
    <s v="Declined"/>
    <m/>
    <m/>
    <d v="2023-09-25T03:11:54"/>
    <m/>
    <n v="0"/>
    <m/>
    <m/>
    <m/>
    <m/>
    <m/>
    <m/>
    <m/>
    <m/>
    <n v="2"/>
    <n v="20"/>
    <n v="18"/>
    <x v="19"/>
    <n v="1"/>
    <d v="2023-12-24T03:11:54"/>
    <s v=""/>
    <s v=""/>
    <s v=""/>
    <m/>
    <m/>
    <m/>
    <m/>
    <m/>
    <m/>
    <m/>
    <m/>
    <m/>
    <m/>
  </r>
  <r>
    <n v="2513"/>
    <s v="2513 | Program Office"/>
    <x v="1"/>
    <s v="Program Office - Associate"/>
    <s v="Supervisor"/>
    <s v="Program Office-Supervisor"/>
    <s v="Associate"/>
    <d v="2023-09-06T03:11:54"/>
    <d v="2023-09-07T03:11:54"/>
    <s v="Yes"/>
    <d v="2023-09-19T03:11:54"/>
    <s v="Failed"/>
    <s v="Didn't pass technical test"/>
    <m/>
    <m/>
    <m/>
    <m/>
    <d v="2023-09-23T03:11:54"/>
    <m/>
    <n v="0"/>
    <m/>
    <m/>
    <m/>
    <m/>
    <s v="Company"/>
    <m/>
    <m/>
    <m/>
    <n v="1"/>
    <n v="13"/>
    <n v="12"/>
    <x v="14"/>
    <n v="4"/>
    <d v="2023-12-22T03:11:54"/>
    <s v=""/>
    <s v=""/>
    <s v=""/>
    <m/>
    <m/>
    <m/>
    <m/>
    <m/>
    <m/>
    <m/>
    <m/>
    <m/>
    <m/>
  </r>
  <r>
    <n v="2512"/>
    <s v="2512 | Program Office"/>
    <x v="1"/>
    <s v="Program Office - Associate"/>
    <s v="Supervisor"/>
    <s v="Program Office-Supervisor"/>
    <s v="Associate"/>
    <d v="2023-09-04T03:11:54"/>
    <d v="2023-09-07T03:11:54"/>
    <s v="Yes"/>
    <d v="2023-09-23T03:11:54"/>
    <s v="Failed"/>
    <s v="Didn't pass technical test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2459"/>
    <s v="2459 | Program Office"/>
    <x v="1"/>
    <s v="Program Office - Associate"/>
    <s v="Supervisor"/>
    <s v="Program Office-Supervisor"/>
    <s v="Associate"/>
    <d v="2023-08-22T01:40:33"/>
    <d v="2023-08-24T01:40:33"/>
    <s v="Yes"/>
    <d v="2023-09-14T01:40:33"/>
    <s v="Failed"/>
    <s v="Position filled by another"/>
    <m/>
    <m/>
    <m/>
    <m/>
    <d v="2023-09-17T01:40:33"/>
    <m/>
    <n v="0"/>
    <m/>
    <m/>
    <m/>
    <m/>
    <s v="Candidate"/>
    <m/>
    <m/>
    <m/>
    <n v="2"/>
    <n v="23"/>
    <n v="21"/>
    <x v="25"/>
    <n v="3"/>
    <d v="2023-12-16T01:40:33"/>
    <s v=""/>
    <s v=""/>
    <s v=""/>
    <m/>
    <m/>
    <m/>
    <m/>
    <m/>
    <m/>
    <m/>
    <m/>
    <m/>
    <m/>
  </r>
  <r>
    <n v="2452"/>
    <s v="2452 | Program Office"/>
    <x v="1"/>
    <s v="Program Office - Associate"/>
    <s v="Supervisor"/>
    <s v="Program Office-Supervisor"/>
    <s v="Associate"/>
    <d v="2023-08-23T01:40:33"/>
    <d v="2023-08-25T01:40:33"/>
    <s v="Yes"/>
    <d v="2023-09-10T01:40:33"/>
    <s v="Failed"/>
    <s v="Not a culture fit"/>
    <m/>
    <m/>
    <m/>
    <m/>
    <d v="2023-09-14T01:40:33"/>
    <m/>
    <n v="0"/>
    <m/>
    <m/>
    <m/>
    <m/>
    <s v="Company"/>
    <m/>
    <m/>
    <m/>
    <n v="2"/>
    <n v="18"/>
    <n v="16"/>
    <x v="7"/>
    <n v="4"/>
    <d v="2023-12-13T01:40:33"/>
    <s v=""/>
    <s v=""/>
    <s v=""/>
    <m/>
    <m/>
    <m/>
    <m/>
    <m/>
    <m/>
    <m/>
    <m/>
    <m/>
    <m/>
  </r>
  <r>
    <n v="2449"/>
    <s v="2449 | Program Office"/>
    <x v="1"/>
    <s v="Program Office - Associate"/>
    <s v="Analyst"/>
    <s v="Program Office-Analyst"/>
    <s v="Associate"/>
    <d v="2022-11-02T18:32:00"/>
    <d v="2022-11-03T18:32:00"/>
    <s v="Yes"/>
    <d v="2022-11-23T18:32:00"/>
    <s v="Failed"/>
    <s v="Other"/>
    <m/>
    <m/>
    <m/>
    <m/>
    <d v="2022-11-27T18:32:00"/>
    <m/>
    <n v="0"/>
    <m/>
    <m/>
    <m/>
    <m/>
    <s v="Company"/>
    <m/>
    <m/>
    <m/>
    <n v="1"/>
    <n v="21"/>
    <n v="20"/>
    <x v="11"/>
    <n v="4"/>
    <d v="2023-02-25T18:32:00"/>
    <s v=""/>
    <s v=""/>
    <s v=""/>
    <m/>
    <m/>
    <m/>
    <m/>
    <m/>
    <m/>
    <m/>
    <m/>
    <m/>
    <m/>
  </r>
  <r>
    <n v="2448"/>
    <s v="2448 | Program Office"/>
    <x v="1"/>
    <s v="Program Office - Associate"/>
    <s v="Analyst"/>
    <s v="Program Office-Analyst"/>
    <s v="Associate"/>
    <d v="2022-10-30T18:32:00"/>
    <d v="2022-11-02T18:32:00"/>
    <s v="Yes"/>
    <d v="2022-11-12T18:32:00"/>
    <s v="Failed"/>
    <s v="Didn't pass technical tes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2408"/>
    <s v="2408 | Program Office"/>
    <x v="1"/>
    <s v="Program Office - Associate"/>
    <s v="Analyst"/>
    <s v="Program Office-Analyst"/>
    <s v="Associate"/>
    <d v="2023-03-31T02:03:49"/>
    <d v="2023-04-03T02:03:49"/>
    <s v="Yes"/>
    <d v="2023-04-19T02:03:49"/>
    <s v="Failed"/>
    <s v="Other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2404"/>
    <s v="2404 | Program Office"/>
    <x v="1"/>
    <s v="Program Office - Associate"/>
    <s v="Analyst"/>
    <s v="Program Office-Analyst"/>
    <s v="Associate"/>
    <d v="2023-03-30T02:03:49"/>
    <d v="2023-03-31T02:03:49"/>
    <s v="Yes"/>
    <d v="2023-04-20T02:03:49"/>
    <s v="Failed"/>
    <s v="Other"/>
    <m/>
    <m/>
    <m/>
    <m/>
    <d v="2023-04-24T02:03:49"/>
    <m/>
    <n v="0"/>
    <m/>
    <m/>
    <m/>
    <m/>
    <s v="Company"/>
    <m/>
    <m/>
    <m/>
    <n v="1"/>
    <n v="21"/>
    <n v="20"/>
    <x v="11"/>
    <n v="4"/>
    <d v="2023-07-23T02:03:49"/>
    <s v=""/>
    <s v=""/>
    <s v=""/>
    <m/>
    <m/>
    <m/>
    <m/>
    <m/>
    <m/>
    <m/>
    <m/>
    <m/>
    <m/>
  </r>
  <r>
    <n v="2382"/>
    <s v="2382 | Program Office"/>
    <x v="1"/>
    <s v="Program Office - Associate"/>
    <s v="Analyst"/>
    <s v="Program Office-Analyst"/>
    <s v="Associate"/>
    <d v="2023-04-14T12:42:32"/>
    <d v="2023-04-18T12:42:32"/>
    <s v="Yes"/>
    <d v="2023-04-28T12:42:32"/>
    <s v="Failed"/>
    <s v="Didn't pass technical test"/>
    <m/>
    <m/>
    <m/>
    <m/>
    <m/>
    <m/>
    <n v="0"/>
    <m/>
    <m/>
    <m/>
    <m/>
    <s v="Candidate"/>
    <m/>
    <m/>
    <m/>
    <n v="4"/>
    <n v="14"/>
    <n v="10"/>
    <x v="0"/>
    <s v=""/>
    <s v=""/>
    <s v=""/>
    <s v=""/>
    <s v=""/>
    <m/>
    <m/>
    <m/>
    <m/>
    <m/>
    <m/>
    <m/>
    <m/>
    <m/>
    <m/>
  </r>
  <r>
    <n v="2369"/>
    <s v="2369 | Program Office"/>
    <x v="1"/>
    <s v="Program Office - Associate"/>
    <s v="Analyst"/>
    <s v="Program Office-Analyst"/>
    <s v="Associate"/>
    <d v="2023-02-14T06:26:17"/>
    <d v="2023-02-18T06:26:1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68"/>
    <s v="2368 | Program Office"/>
    <x v="1"/>
    <s v="Program Office - Associate"/>
    <s v="Analyst"/>
    <s v="Program Office-Analyst"/>
    <s v="Associate"/>
    <d v="2023-02-18T06:26:17"/>
    <d v="2023-02-19T06:26:17"/>
    <s v="Yes"/>
    <d v="2023-02-25T06:26:17"/>
    <s v="Failed"/>
    <s v="Didn't pass technical test"/>
    <m/>
    <m/>
    <m/>
    <m/>
    <m/>
    <m/>
    <n v="0"/>
    <m/>
    <m/>
    <m/>
    <m/>
    <s v="Company"/>
    <m/>
    <m/>
    <m/>
    <n v="1"/>
    <n v="7"/>
    <n v="6"/>
    <x v="0"/>
    <s v=""/>
    <s v=""/>
    <s v=""/>
    <s v=""/>
    <s v=""/>
    <m/>
    <m/>
    <m/>
    <m/>
    <m/>
    <m/>
    <m/>
    <m/>
    <m/>
    <m/>
  </r>
  <r>
    <n v="2364"/>
    <s v="2364 | Program Office"/>
    <x v="1"/>
    <s v="Program Office - Associate"/>
    <s v="Analyst"/>
    <s v="Program Office-Analyst"/>
    <s v="Associate"/>
    <d v="2023-02-21T06:26:17"/>
    <d v="2023-02-22T06:26:1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363"/>
    <s v="2363 | Program Office"/>
    <x v="1"/>
    <s v="Program Office - Associate"/>
    <s v="Supervisor"/>
    <s v="Program Office-Supervisor"/>
    <s v="Associate"/>
    <d v="2023-02-14T06:26:17"/>
    <d v="2023-02-18T06:26:17"/>
    <s v="Yes"/>
    <d v="2023-03-11T06:26:17"/>
    <s v="Pending"/>
    <m/>
    <d v="2023-03-16T06:26:17"/>
    <s v="Pending"/>
    <m/>
    <m/>
    <d v="2023-03-15T06:26:17"/>
    <m/>
    <n v="0"/>
    <m/>
    <m/>
    <m/>
    <m/>
    <m/>
    <m/>
    <m/>
    <m/>
    <n v="4"/>
    <n v="25"/>
    <n v="21"/>
    <x v="23"/>
    <n v="4"/>
    <d v="2023-06-13T06:26:17"/>
    <s v=""/>
    <s v=""/>
    <s v=""/>
    <m/>
    <m/>
    <m/>
    <m/>
    <m/>
    <m/>
    <m/>
    <m/>
    <m/>
    <m/>
  </r>
  <r>
    <n v="2361"/>
    <s v="2361 | Program Office"/>
    <x v="1"/>
    <s v="Program Office - Associate"/>
    <s v="Supervisor"/>
    <s v="Program Office-Supervisor"/>
    <s v="Associate"/>
    <d v="2023-02-18T06:26:17"/>
    <d v="2023-02-19T06:26:1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316"/>
    <s v="2316 | Program Office"/>
    <x v="1"/>
    <s v="Program Office - Associate"/>
    <s v="Supervisor"/>
    <s v="Program Office-Supervisor"/>
    <s v="Associate"/>
    <d v="2022-04-17T00:53:43"/>
    <d v="2022-04-21T00:53:43"/>
    <s v="Yes"/>
    <d v="2022-05-09T00:53:43"/>
    <s v="Failed"/>
    <s v="Other"/>
    <m/>
    <m/>
    <m/>
    <m/>
    <d v="2022-05-12T00:53:43"/>
    <m/>
    <n v="0"/>
    <m/>
    <m/>
    <m/>
    <m/>
    <s v="Candidate"/>
    <m/>
    <m/>
    <m/>
    <n v="4"/>
    <n v="22"/>
    <n v="18"/>
    <x v="11"/>
    <n v="3"/>
    <d v="2022-08-10T00:53:43"/>
    <s v=""/>
    <s v=""/>
    <s v=""/>
    <m/>
    <m/>
    <m/>
    <m/>
    <m/>
    <m/>
    <m/>
    <m/>
    <m/>
    <m/>
  </r>
  <r>
    <n v="2312"/>
    <s v="2312 | Program Office"/>
    <x v="1"/>
    <s v="Program Office - Associate"/>
    <s v="Supervisor"/>
    <s v="Program Office-Supervisor"/>
    <s v="Associate"/>
    <d v="2022-04-24T00:53:43"/>
    <d v="2022-04-25T00:53:4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246"/>
    <s v="2246 | Program Office"/>
    <x v="1"/>
    <s v="Program Office - Associate"/>
    <s v="Supervisor"/>
    <s v="Program Office-Supervisor"/>
    <s v="Associate"/>
    <d v="2022-12-29T14:26:31"/>
    <d v="2022-12-30T14:26:31"/>
    <s v="Yes"/>
    <d v="2023-01-17T14:26:31"/>
    <s v="Declined"/>
    <m/>
    <d v="2023-01-22T14:26:31"/>
    <s v="Declined"/>
    <m/>
    <m/>
    <d v="2023-01-21T14:26:31"/>
    <m/>
    <n v="0"/>
    <m/>
    <m/>
    <m/>
    <m/>
    <m/>
    <m/>
    <m/>
    <m/>
    <n v="1"/>
    <n v="19"/>
    <n v="18"/>
    <x v="3"/>
    <n v="4"/>
    <d v="2023-04-21T14:26:31"/>
    <s v=""/>
    <s v=""/>
    <s v=""/>
    <m/>
    <m/>
    <m/>
    <m/>
    <m/>
    <m/>
    <m/>
    <m/>
    <m/>
    <m/>
  </r>
  <r>
    <n v="2167"/>
    <s v="2167 | Program Office"/>
    <x v="1"/>
    <s v="Program Office - Associate"/>
    <s v="Supervisor"/>
    <s v="Program Office-Supervisor"/>
    <s v="Associate"/>
    <d v="2022-08-22T01:58:08"/>
    <d v="2022-08-26T01:58:08"/>
    <s v="Yes"/>
    <d v="2022-09-13T01:58:08"/>
    <s v="Accepted"/>
    <m/>
    <d v="2022-09-16T01:58:08"/>
    <s v="Accepted"/>
    <d v="2022-09-14T01:58:08"/>
    <d v="2022-09-18T01:58:08"/>
    <d v="2022-09-14T01:58:08"/>
    <d v="2022-09-24T01:58:08"/>
    <n v="1"/>
    <d v="2022-09-27T01:58:08"/>
    <d v="2022-09-30T01:58:08"/>
    <d v="2022-10-02T01:58:08"/>
    <m/>
    <m/>
    <d v="2022-10-18T01:58:08"/>
    <m/>
    <m/>
    <n v="4"/>
    <n v="22"/>
    <n v="18"/>
    <x v="3"/>
    <n v="1"/>
    <d v="2022-12-13T01:58:08"/>
    <n v="3"/>
    <n v="34"/>
    <n v="18"/>
    <m/>
    <m/>
    <m/>
    <m/>
    <m/>
    <m/>
    <m/>
    <m/>
    <m/>
    <m/>
  </r>
  <r>
    <n v="2165"/>
    <s v="2165 | Program Office"/>
    <x v="1"/>
    <s v="Program Office - Associate"/>
    <s v="Business Partner"/>
    <s v="Program Office-Business Partner"/>
    <s v="Associate"/>
    <d v="2022-08-23T01:58:08"/>
    <d v="2022-08-24T01:58:0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130"/>
    <s v="2130 | Program Office"/>
    <x v="1"/>
    <s v="Program Office - Associate"/>
    <s v="Business Partner"/>
    <s v="Program Office-Business Partner"/>
    <s v="Associate"/>
    <d v="2023-01-04T11:21:38"/>
    <d v="2023-01-07T11:21:38"/>
    <s v="Yes"/>
    <d v="2023-01-15T11:21:38"/>
    <s v="Failed"/>
    <s v="Salary expectation too high"/>
    <m/>
    <m/>
    <m/>
    <m/>
    <d v="2023-01-19T11:21:38"/>
    <m/>
    <n v="0"/>
    <m/>
    <m/>
    <m/>
    <m/>
    <s v="Candidate"/>
    <m/>
    <m/>
    <m/>
    <n v="3"/>
    <n v="11"/>
    <n v="8"/>
    <x v="16"/>
    <n v="4"/>
    <d v="2023-04-19T11:21:38"/>
    <s v=""/>
    <s v=""/>
    <s v=""/>
    <m/>
    <m/>
    <m/>
    <m/>
    <m/>
    <m/>
    <m/>
    <m/>
    <m/>
    <m/>
  </r>
  <r>
    <n v="2128"/>
    <s v="2128 | Program Office"/>
    <x v="1"/>
    <s v="Program Office - Associate"/>
    <s v="Business Partner"/>
    <s v="Program Office-Business Partner"/>
    <s v="Associate"/>
    <d v="2023-01-04T11:21:38"/>
    <d v="2023-01-08T11:21:38"/>
    <s v="Yes"/>
    <d v="2023-01-23T11:21:38"/>
    <s v="Failed"/>
    <s v="Salary expectation too high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2126"/>
    <s v="2126 | Program Office"/>
    <x v="1"/>
    <s v="Program Office - Associate"/>
    <s v="Business Partner"/>
    <s v="Program Office-Business Partner"/>
    <s v="Associate"/>
    <d v="2023-01-05T11:21:38"/>
    <d v="2023-01-07T11:21:38"/>
    <s v="Yes"/>
    <d v="2023-01-19T11:21:38"/>
    <s v="Declined"/>
    <m/>
    <d v="2023-01-27T11:21:38"/>
    <s v="Declined"/>
    <m/>
    <m/>
    <d v="2023-01-23T11:21:38"/>
    <m/>
    <n v="0"/>
    <m/>
    <m/>
    <m/>
    <m/>
    <m/>
    <m/>
    <m/>
    <m/>
    <n v="2"/>
    <n v="14"/>
    <n v="12"/>
    <x v="12"/>
    <n v="4"/>
    <d v="2023-04-23T11:21:38"/>
    <s v=""/>
    <s v=""/>
    <s v=""/>
    <m/>
    <m/>
    <m/>
    <m/>
    <m/>
    <m/>
    <m/>
    <m/>
    <m/>
    <m/>
  </r>
  <r>
    <n v="2119"/>
    <s v="2119 | Program Office"/>
    <x v="1"/>
    <s v="Program Office - Associate"/>
    <s v="Business Partner"/>
    <s v="Program Office-Business Partner"/>
    <s v="Associate"/>
    <d v="2023-04-13T01:19:50"/>
    <d v="2023-04-17T01:19:50"/>
    <s v="Yes"/>
    <d v="2023-05-08T01:19:50"/>
    <s v="Accepted"/>
    <m/>
    <d v="2023-05-14T01:19:50"/>
    <s v="Accepted"/>
    <d v="2023-05-10T01:19:50"/>
    <d v="2023-05-11T01:19:50"/>
    <d v="2023-05-12T01:19:50"/>
    <d v="2023-05-15T01:19:50"/>
    <n v="1"/>
    <d v="2023-05-19T01:19:50"/>
    <d v="2023-05-21T01:19:50"/>
    <d v="2023-05-22T01:19:50"/>
    <m/>
    <m/>
    <d v="2023-06-14T01:19:50"/>
    <m/>
    <m/>
    <n v="4"/>
    <n v="25"/>
    <n v="21"/>
    <x v="23"/>
    <n v="4"/>
    <d v="2023-08-10T01:19:50"/>
    <n v="4"/>
    <n v="33"/>
    <n v="10"/>
    <m/>
    <m/>
    <m/>
    <m/>
    <m/>
    <m/>
    <m/>
    <m/>
    <m/>
    <m/>
  </r>
  <r>
    <n v="2064"/>
    <s v="2064 | Program Office"/>
    <x v="1"/>
    <s v="Program Office - Associate"/>
    <s v="Business Partner"/>
    <s v="Program Office-Business Partner"/>
    <s v="Associate"/>
    <d v="2022-11-02T18:46:55"/>
    <d v="2022-11-03T18:46:55"/>
    <s v="Yes"/>
    <d v="2022-11-17T18:46:55"/>
    <s v="Declined"/>
    <m/>
    <d v="2022-11-24T18:46:55"/>
    <s v="Declined"/>
    <m/>
    <m/>
    <d v="2022-11-21T18:46:55"/>
    <m/>
    <n v="0"/>
    <m/>
    <m/>
    <m/>
    <m/>
    <m/>
    <m/>
    <m/>
    <m/>
    <n v="1"/>
    <n v="15"/>
    <n v="14"/>
    <x v="13"/>
    <n v="4"/>
    <d v="2023-02-19T18:46:55"/>
    <s v=""/>
    <s v=""/>
    <s v=""/>
    <m/>
    <m/>
    <m/>
    <m/>
    <m/>
    <m/>
    <m/>
    <m/>
    <m/>
    <m/>
  </r>
  <r>
    <n v="2062"/>
    <s v="2062 | Program Office"/>
    <x v="1"/>
    <s v="Program Office - Associate"/>
    <s v="Business Partner"/>
    <s v="Program Office-Business Partner"/>
    <s v="Associate"/>
    <d v="2022-11-04T18:46:55"/>
    <d v="2022-11-07T18:46:55"/>
    <s v="Yes"/>
    <d v="2022-11-23T18:46:55"/>
    <s v="Failed"/>
    <s v="Didn't pass technical test"/>
    <m/>
    <m/>
    <m/>
    <m/>
    <m/>
    <m/>
    <n v="0"/>
    <m/>
    <m/>
    <m/>
    <m/>
    <s v="Candidate"/>
    <m/>
    <m/>
    <m/>
    <n v="3"/>
    <n v="19"/>
    <n v="16"/>
    <x v="0"/>
    <s v=""/>
    <s v=""/>
    <s v=""/>
    <s v=""/>
    <s v=""/>
    <m/>
    <m/>
    <m/>
    <m/>
    <m/>
    <m/>
    <m/>
    <m/>
    <m/>
    <m/>
  </r>
  <r>
    <n v="2008"/>
    <s v="2008 | Program Office"/>
    <x v="1"/>
    <s v="Program Office - Associate"/>
    <s v="Business Partner"/>
    <s v="Program Office-Business Partner"/>
    <s v="Associate"/>
    <d v="2022-07-06T03:08:50"/>
    <d v="2022-07-07T03:08:50"/>
    <s v="Yes"/>
    <d v="2022-07-23T03:08:50"/>
    <s v="Declined"/>
    <m/>
    <d v="2022-07-28T03:08:50"/>
    <s v="Declined"/>
    <m/>
    <m/>
    <d v="2022-07-25T03:08:50"/>
    <m/>
    <n v="0"/>
    <m/>
    <m/>
    <m/>
    <m/>
    <m/>
    <m/>
    <m/>
    <m/>
    <n v="1"/>
    <n v="17"/>
    <n v="16"/>
    <x v="13"/>
    <n v="2"/>
    <d v="2022-10-23T03:08:50"/>
    <s v=""/>
    <s v=""/>
    <s v=""/>
    <m/>
    <m/>
    <m/>
    <m/>
    <m/>
    <m/>
    <m/>
    <m/>
    <m/>
    <m/>
  </r>
  <r>
    <n v="2006"/>
    <s v="2006 | Program Office"/>
    <x v="1"/>
    <s v="Program Office - Associate"/>
    <s v="Business Partner"/>
    <s v="Program Office-Business Partner"/>
    <s v="Associate"/>
    <d v="2022-07-05T03:08:50"/>
    <d v="2022-07-08T03:08:50"/>
    <s v="Yes"/>
    <d v="2022-07-27T03:08:50"/>
    <s v="Failed"/>
    <s v="Position filled by another"/>
    <m/>
    <m/>
    <m/>
    <m/>
    <d v="2022-07-31T03:08:50"/>
    <m/>
    <n v="0"/>
    <m/>
    <m/>
    <m/>
    <m/>
    <s v="Company"/>
    <m/>
    <m/>
    <m/>
    <n v="3"/>
    <n v="22"/>
    <n v="19"/>
    <x v="25"/>
    <n v="4"/>
    <d v="2022-10-29T03:08:50"/>
    <s v=""/>
    <s v=""/>
    <s v=""/>
    <m/>
    <m/>
    <m/>
    <m/>
    <m/>
    <m/>
    <m/>
    <m/>
    <m/>
    <m/>
  </r>
  <r>
    <n v="2001"/>
    <s v="2001 | Program Office"/>
    <x v="1"/>
    <s v="Program Office - Associate"/>
    <s v="Business Partner"/>
    <s v="Program Office-Business Partner"/>
    <s v="Associate"/>
    <d v="2022-07-07T03:08:50"/>
    <d v="2022-07-10T03:08:50"/>
    <s v="Yes"/>
    <d v="2022-07-24T03:08:50"/>
    <s v="Pending"/>
    <m/>
    <d v="2022-07-27T03:08:50"/>
    <s v="Pending"/>
    <m/>
    <m/>
    <d v="2022-07-26T03:08:50"/>
    <m/>
    <n v="0"/>
    <m/>
    <m/>
    <m/>
    <m/>
    <m/>
    <m/>
    <m/>
    <m/>
    <n v="3"/>
    <n v="17"/>
    <n v="14"/>
    <x v="13"/>
    <n v="2"/>
    <d v="2022-10-24T03:08:50"/>
    <s v=""/>
    <s v=""/>
    <s v=""/>
    <m/>
    <m/>
    <m/>
    <m/>
    <m/>
    <m/>
    <m/>
    <m/>
    <m/>
    <m/>
  </r>
  <r>
    <n v="1985"/>
    <s v="1985 | Program Office"/>
    <x v="1"/>
    <s v="Program Office - Associate"/>
    <s v="Business Partner"/>
    <s v="Program Office-Business Partner"/>
    <s v="Associate"/>
    <d v="2022-02-03T08:53:26"/>
    <d v="2022-02-07T08:53:26"/>
    <s v="Yes"/>
    <d v="2022-02-26T08:53:26"/>
    <s v="Pending"/>
    <m/>
    <d v="2022-03-06T08:53:26"/>
    <s v="Pending"/>
    <m/>
    <m/>
    <d v="2022-03-02T08:53:26"/>
    <m/>
    <n v="0"/>
    <m/>
    <m/>
    <m/>
    <m/>
    <m/>
    <m/>
    <m/>
    <m/>
    <n v="4"/>
    <n v="23"/>
    <n v="19"/>
    <x v="18"/>
    <n v="4"/>
    <d v="2022-05-31T08:53:26"/>
    <s v=""/>
    <s v=""/>
    <s v=""/>
    <m/>
    <m/>
    <m/>
    <m/>
    <m/>
    <m/>
    <m/>
    <m/>
    <m/>
    <m/>
  </r>
  <r>
    <n v="1972"/>
    <s v="1972 | Program Office"/>
    <x v="1"/>
    <s v="Program Office - Associate"/>
    <s v="Business Partner"/>
    <s v="Program Office-Business Partner"/>
    <s v="Associate"/>
    <d v="2022-10-18T11:57:41"/>
    <d v="2022-10-22T11:57:41"/>
    <s v="Yes"/>
    <d v="2022-11-08T11:57:41"/>
    <s v="Failed"/>
    <s v="Not a culture fit"/>
    <m/>
    <m/>
    <m/>
    <m/>
    <m/>
    <m/>
    <n v="0"/>
    <m/>
    <m/>
    <m/>
    <m/>
    <s v="Candidate"/>
    <m/>
    <m/>
    <m/>
    <n v="4"/>
    <n v="21"/>
    <n v="17"/>
    <x v="0"/>
    <s v=""/>
    <s v=""/>
    <s v=""/>
    <s v=""/>
    <s v=""/>
    <m/>
    <m/>
    <m/>
    <m/>
    <m/>
    <m/>
    <m/>
    <m/>
    <m/>
    <m/>
  </r>
  <r>
    <n v="1969"/>
    <s v="1969 | Program Office"/>
    <x v="1"/>
    <s v="Program Office - Associate"/>
    <s v="Business Partner"/>
    <s v="Program Office-Business Partner"/>
    <s v="Associate"/>
    <d v="2022-12-05T10:23:18"/>
    <d v="2022-12-06T10:23:18"/>
    <s v="Yes"/>
    <d v="2022-12-09T10:23:18"/>
    <s v="Failed"/>
    <s v="Salary expectation too high"/>
    <m/>
    <m/>
    <m/>
    <m/>
    <d v="2022-12-13T10:23:18"/>
    <m/>
    <n v="0"/>
    <m/>
    <m/>
    <m/>
    <m/>
    <s v="Candidate"/>
    <m/>
    <m/>
    <m/>
    <n v="1"/>
    <n v="4"/>
    <n v="3"/>
    <x v="10"/>
    <n v="4"/>
    <d v="2023-03-13T10:23:18"/>
    <s v=""/>
    <s v=""/>
    <s v=""/>
    <m/>
    <m/>
    <m/>
    <m/>
    <m/>
    <m/>
    <m/>
    <m/>
    <m/>
    <m/>
  </r>
  <r>
    <n v="1964"/>
    <s v="1964 | Program Office"/>
    <x v="1"/>
    <s v="Program Office - Associate"/>
    <s v="Business Partner"/>
    <s v="Program Office-Business Partner"/>
    <s v="Associate"/>
    <d v="2022-12-02T10:23:18"/>
    <d v="2022-12-04T10:23:18"/>
    <s v="Yes"/>
    <d v="2022-12-11T10:23:18"/>
    <s v="Failed"/>
    <s v="Position filled by another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1961"/>
    <s v="1961 | Program Office"/>
    <x v="1"/>
    <s v="Program Office - Associate"/>
    <s v="Business Partner"/>
    <s v="Program Office-Business Partner"/>
    <s v="Associate"/>
    <d v="2022-12-02T10:23:18"/>
    <d v="2022-12-05T10:23:18"/>
    <s v="Yes"/>
    <d v="2022-12-23T10:23:18"/>
    <s v="Accepted"/>
    <m/>
    <d v="2022-12-29T10:23:18"/>
    <s v="Accepted"/>
    <d v="2022-12-25T10:23:18"/>
    <d v="2022-12-29T10:23:18"/>
    <d v="2022-12-26T10:23:18"/>
    <d v="2023-01-01T10:23:18"/>
    <n v="1"/>
    <d v="2023-01-02T10:23:18"/>
    <d v="2023-01-05T10:23:18"/>
    <d v="2023-01-08T10:23:18"/>
    <m/>
    <m/>
    <d v="2023-01-17T10:23:18"/>
    <m/>
    <m/>
    <n v="3"/>
    <n v="21"/>
    <n v="18"/>
    <x v="21"/>
    <n v="3"/>
    <d v="2023-03-26T10:23:18"/>
    <n v="1"/>
    <n v="22"/>
    <n v="13"/>
    <m/>
    <m/>
    <m/>
    <m/>
    <m/>
    <m/>
    <m/>
    <m/>
    <m/>
    <m/>
  </r>
  <r>
    <n v="1817"/>
    <s v="1817 | Program Office"/>
    <x v="1"/>
    <s v="Program Office - Associate"/>
    <s v="Business Partner"/>
    <s v="Program Office-Business Partner"/>
    <s v="Associate"/>
    <d v="2022-09-19T04:28:24"/>
    <d v="2022-09-21T04:28:24"/>
    <s v="Yes"/>
    <d v="2022-10-03T04:28:24"/>
    <s v="Accepted"/>
    <m/>
    <d v="2022-10-09T04:28:24"/>
    <s v="Accepted"/>
    <d v="2022-10-04T04:28:24"/>
    <d v="2022-10-07T04:28:24"/>
    <d v="2022-10-06T04:28:24"/>
    <d v="2022-10-10T04:28:24"/>
    <n v="1"/>
    <d v="2022-10-12T04:28:24"/>
    <d v="2022-10-13T04:28:24"/>
    <d v="2022-10-15T04:28:24"/>
    <m/>
    <m/>
    <d v="2022-10-25T04:28:24"/>
    <m/>
    <m/>
    <n v="2"/>
    <n v="14"/>
    <n v="12"/>
    <x v="14"/>
    <n v="3"/>
    <d v="2023-01-04T04:28:24"/>
    <n v="2"/>
    <n v="19"/>
    <n v="9"/>
    <m/>
    <m/>
    <m/>
    <m/>
    <m/>
    <m/>
    <m/>
    <m/>
    <m/>
    <m/>
  </r>
  <r>
    <n v="1800"/>
    <s v="1800 | Program Office"/>
    <x v="1"/>
    <s v="Program Office - Associate"/>
    <s v="Business Partner"/>
    <s v="Program Office-Business Partner"/>
    <s v="Associate"/>
    <d v="2022-09-28T11:30:38"/>
    <d v="2022-09-30T11:30:38"/>
    <s v="Yes"/>
    <d v="2022-10-10T11:30:38"/>
    <s v="Pending"/>
    <m/>
    <d v="2022-10-14T11:30:38"/>
    <s v="Pending"/>
    <m/>
    <m/>
    <d v="2022-10-12T11:30:38"/>
    <m/>
    <n v="0"/>
    <m/>
    <m/>
    <m/>
    <m/>
    <m/>
    <m/>
    <m/>
    <m/>
    <n v="2"/>
    <n v="12"/>
    <n v="10"/>
    <x v="1"/>
    <n v="2"/>
    <d v="2023-01-10T11:30:38"/>
    <s v=""/>
    <s v=""/>
    <s v=""/>
    <m/>
    <m/>
    <m/>
    <m/>
    <m/>
    <m/>
    <m/>
    <m/>
    <m/>
    <m/>
  </r>
  <r>
    <n v="1791"/>
    <s v="1791 | Program Office"/>
    <x v="1"/>
    <s v="Program Office - Associate"/>
    <s v="Business Partner"/>
    <s v="Program Office-Business Partner"/>
    <s v="Associate"/>
    <d v="2022-09-26T11:30:38"/>
    <d v="2022-09-30T11:30:3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690"/>
    <s v="1690 | Program Office"/>
    <x v="1"/>
    <s v="Program Office - Associate"/>
    <s v="Business Partner"/>
    <s v="Program Office-Business Partner"/>
    <s v="Associate"/>
    <d v="2022-04-07T06:44:01"/>
    <d v="2022-04-09T06:44:01"/>
    <s v="Yes"/>
    <d v="2022-04-20T06:44:01"/>
    <s v="Accepted"/>
    <m/>
    <d v="2022-04-27T06:44:01"/>
    <s v="Accepted"/>
    <d v="2022-04-21T06:44:01"/>
    <d v="2022-04-25T06:44:01"/>
    <d v="2022-04-24T06:44:01"/>
    <d v="2022-04-29T06:44:01"/>
    <n v="1"/>
    <d v="2022-04-30T06:44:01"/>
    <d v="2022-05-01T06:44:01"/>
    <d v="2022-05-02T06:44:01"/>
    <m/>
    <m/>
    <d v="2022-05-25T06:44:01"/>
    <m/>
    <m/>
    <n v="2"/>
    <n v="13"/>
    <n v="11"/>
    <x v="14"/>
    <n v="4"/>
    <d v="2022-07-23T06:44:01"/>
    <n v="1"/>
    <n v="31"/>
    <n v="8"/>
    <m/>
    <m/>
    <m/>
    <m/>
    <m/>
    <m/>
    <m/>
    <m/>
    <m/>
    <m/>
  </r>
  <r>
    <n v="1685"/>
    <s v="1685 | Program Office"/>
    <x v="1"/>
    <s v="Program Office - Associate"/>
    <s v="Business Partner"/>
    <s v="Program Office-Business Partner"/>
    <s v="Associate"/>
    <d v="2022-04-13T06:44:01"/>
    <d v="2022-04-14T06:44:01"/>
    <s v="Yes"/>
    <d v="2022-04-18T06:44:01"/>
    <s v="Failed"/>
    <s v="Other"/>
    <m/>
    <m/>
    <m/>
    <m/>
    <m/>
    <m/>
    <n v="0"/>
    <m/>
    <m/>
    <m/>
    <m/>
    <s v="Company"/>
    <m/>
    <m/>
    <m/>
    <n v="1"/>
    <n v="5"/>
    <n v="4"/>
    <x v="0"/>
    <s v=""/>
    <s v=""/>
    <s v=""/>
    <s v=""/>
    <s v=""/>
    <m/>
    <m/>
    <m/>
    <m/>
    <m/>
    <m/>
    <m/>
    <m/>
    <m/>
    <m/>
  </r>
  <r>
    <n v="1668"/>
    <s v="1668 | Program Office"/>
    <x v="1"/>
    <s v="Program Office - Associate"/>
    <s v="Business Partner"/>
    <s v="Program Office-Business Partner"/>
    <s v="Associate"/>
    <d v="2022-04-25T22:26:54"/>
    <d v="2022-04-26T22:26:54"/>
    <s v="Yes"/>
    <d v="2022-04-30T22:26:54"/>
    <s v="Failed"/>
    <s v="Other"/>
    <m/>
    <m/>
    <m/>
    <m/>
    <m/>
    <m/>
    <n v="0"/>
    <m/>
    <m/>
    <m/>
    <m/>
    <s v="Company"/>
    <m/>
    <m/>
    <m/>
    <n v="1"/>
    <n v="5"/>
    <n v="4"/>
    <x v="0"/>
    <s v=""/>
    <s v=""/>
    <s v=""/>
    <s v=""/>
    <s v=""/>
    <m/>
    <m/>
    <m/>
    <m/>
    <m/>
    <m/>
    <m/>
    <m/>
    <m/>
    <m/>
  </r>
  <r>
    <n v="1667"/>
    <s v="1667 | Program Office"/>
    <x v="1"/>
    <s v="Program Office - Associate"/>
    <s v="Business Partner"/>
    <s v="Program Office-Business Partner"/>
    <s v="Associate"/>
    <d v="2022-04-21T22:26:54"/>
    <d v="2022-04-23T22:26:54"/>
    <s v="Yes"/>
    <d v="2022-04-30T22:26:54"/>
    <s v="Failed"/>
    <s v="Salary expectation too high"/>
    <m/>
    <m/>
    <m/>
    <m/>
    <m/>
    <m/>
    <n v="0"/>
    <m/>
    <m/>
    <m/>
    <m/>
    <s v="Candidate"/>
    <m/>
    <m/>
    <m/>
    <n v="2"/>
    <n v="9"/>
    <n v="7"/>
    <x v="0"/>
    <s v=""/>
    <s v=""/>
    <s v=""/>
    <s v=""/>
    <s v=""/>
    <m/>
    <m/>
    <m/>
    <m/>
    <m/>
    <m/>
    <m/>
    <m/>
    <m/>
    <m/>
  </r>
  <r>
    <n v="1665"/>
    <s v="1665 | Program Office"/>
    <x v="1"/>
    <s v="Program Office - Associate"/>
    <s v="Business Partner"/>
    <s v="Program Office-Business Partner"/>
    <s v="Associate"/>
    <d v="2022-04-20T22:26:54"/>
    <d v="2022-04-21T22:26:54"/>
    <s v="Yes"/>
    <d v="2022-05-08T22:26:54"/>
    <s v="Accepted"/>
    <m/>
    <d v="2022-05-13T22:26:54"/>
    <s v="Accepted"/>
    <d v="2022-05-10T22:26:54"/>
    <d v="2022-05-12T22:26:54"/>
    <d v="2022-05-11T22:26:54"/>
    <d v="2022-05-21T22:26:54"/>
    <n v="1"/>
    <d v="2022-05-22T22:26:54"/>
    <d v="2022-05-24T22:26:54"/>
    <d v="2022-05-27T22:26:54"/>
    <m/>
    <m/>
    <d v="2022-06-16T22:26:54"/>
    <m/>
    <m/>
    <n v="1"/>
    <n v="18"/>
    <n v="17"/>
    <x v="19"/>
    <n v="3"/>
    <d v="2022-08-09T22:26:54"/>
    <n v="1"/>
    <n v="36"/>
    <n v="16"/>
    <m/>
    <m/>
    <m/>
    <m/>
    <m/>
    <m/>
    <m/>
    <m/>
    <m/>
    <m/>
  </r>
  <r>
    <n v="1448"/>
    <s v="1448 | Program Office"/>
    <x v="1"/>
    <s v="Program Office - Associate"/>
    <s v="Business Partner"/>
    <s v="Program Office-Business Partner"/>
    <s v="Associate"/>
    <d v="2023-03-29T10:15:10"/>
    <d v="2023-04-02T10:15:10"/>
    <s v="Yes"/>
    <d v="2023-04-12T10:15:10"/>
    <s v="Failed"/>
    <s v="Didn't pass technical test"/>
    <m/>
    <m/>
    <m/>
    <m/>
    <d v="2023-04-13T10:15:10"/>
    <m/>
    <n v="0"/>
    <m/>
    <m/>
    <m/>
    <m/>
    <s v="Company"/>
    <m/>
    <m/>
    <m/>
    <n v="4"/>
    <n v="14"/>
    <n v="10"/>
    <x v="16"/>
    <n v="1"/>
    <d v="2023-07-12T10:15:10"/>
    <s v=""/>
    <s v=""/>
    <s v=""/>
    <m/>
    <m/>
    <m/>
    <m/>
    <m/>
    <m/>
    <m/>
    <m/>
    <m/>
    <m/>
  </r>
  <r>
    <n v="1445"/>
    <s v="1445 | Program Office"/>
    <x v="1"/>
    <s v="Program Office - Associate"/>
    <s v="Business Partner"/>
    <s v="Program Office-Business Partner"/>
    <s v="Associate"/>
    <d v="2023-03-30T10:15:10"/>
    <d v="2023-03-31T10:15:1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443"/>
    <s v="1443 | Program Office"/>
    <x v="1"/>
    <s v="Program Office - Associate"/>
    <s v="Business Partner"/>
    <s v="Program Office-Business Partner"/>
    <s v="Associate"/>
    <d v="2023-03-28T10:15:10"/>
    <d v="2023-03-29T10:15:10"/>
    <s v="Yes"/>
    <d v="2023-04-16T10:15:10"/>
    <s v="Failed"/>
    <s v="Didn't pass technical test"/>
    <m/>
    <m/>
    <m/>
    <m/>
    <m/>
    <m/>
    <n v="0"/>
    <m/>
    <m/>
    <m/>
    <m/>
    <s v="Company"/>
    <m/>
    <m/>
    <m/>
    <n v="1"/>
    <n v="19"/>
    <n v="18"/>
    <x v="0"/>
    <s v=""/>
    <s v=""/>
    <s v=""/>
    <s v=""/>
    <s v=""/>
    <m/>
    <m/>
    <m/>
    <m/>
    <m/>
    <m/>
    <m/>
    <m/>
    <m/>
    <m/>
  </r>
  <r>
    <n v="1415"/>
    <s v="1415 | Program Office"/>
    <x v="1"/>
    <s v="Program Office - Associate"/>
    <s v="Business Partner"/>
    <s v="Program Office-Business Partner"/>
    <s v="Associate"/>
    <d v="2022-08-08T18:56:36"/>
    <d v="2022-08-12T18:56:36"/>
    <s v="Yes"/>
    <d v="2022-08-22T18:56:36"/>
    <s v="Declined"/>
    <m/>
    <d v="2022-08-26T18:56:36"/>
    <s v="Declined"/>
    <m/>
    <m/>
    <d v="2022-08-24T18:56:36"/>
    <m/>
    <n v="0"/>
    <m/>
    <m/>
    <m/>
    <m/>
    <m/>
    <m/>
    <m/>
    <m/>
    <n v="4"/>
    <n v="14"/>
    <n v="10"/>
    <x v="20"/>
    <n v="2"/>
    <d v="2022-11-22T18:56:36"/>
    <s v=""/>
    <s v=""/>
    <s v=""/>
    <m/>
    <m/>
    <m/>
    <m/>
    <m/>
    <m/>
    <m/>
    <m/>
    <m/>
    <m/>
  </r>
  <r>
    <n v="1413"/>
    <s v="1413 | Program Office"/>
    <x v="1"/>
    <s v="Program Office - Associate"/>
    <s v="Business Partner"/>
    <s v="Program Office-Business Partner"/>
    <s v="Associate"/>
    <d v="2022-08-11T18:56:36"/>
    <d v="2022-08-12T18:56:36"/>
    <s v="Yes"/>
    <d v="2022-08-25T18:56:36"/>
    <s v="Declined"/>
    <m/>
    <d v="2022-08-28T18:56:36"/>
    <s v="Declined"/>
    <m/>
    <m/>
    <d v="2022-08-26T18:56:36"/>
    <m/>
    <n v="0"/>
    <m/>
    <m/>
    <m/>
    <m/>
    <m/>
    <m/>
    <m/>
    <m/>
    <n v="1"/>
    <n v="14"/>
    <n v="13"/>
    <x v="16"/>
    <n v="1"/>
    <d v="2022-11-24T18:56:36"/>
    <s v=""/>
    <s v=""/>
    <s v=""/>
    <m/>
    <m/>
    <m/>
    <m/>
    <m/>
    <m/>
    <m/>
    <m/>
    <m/>
    <m/>
  </r>
  <r>
    <n v="1409"/>
    <s v="1409 | Program Office"/>
    <x v="1"/>
    <s v="Program Office - Associate"/>
    <s v="Business Partner"/>
    <s v="Program Office-Business Partner"/>
    <s v="Associate"/>
    <d v="2022-02-22T07:21:21"/>
    <d v="2022-02-24T07:21:21"/>
    <s v="Yes"/>
    <d v="2022-03-13T07:21:21"/>
    <s v="Failed"/>
    <s v="Not a culture fit"/>
    <m/>
    <m/>
    <m/>
    <m/>
    <d v="2022-03-17T07:21:21"/>
    <m/>
    <n v="0"/>
    <m/>
    <m/>
    <m/>
    <m/>
    <s v="Candidate"/>
    <m/>
    <m/>
    <m/>
    <n v="2"/>
    <n v="19"/>
    <n v="17"/>
    <x v="3"/>
    <n v="4"/>
    <d v="2022-06-15T07:21:21"/>
    <s v=""/>
    <s v=""/>
    <s v=""/>
    <m/>
    <m/>
    <m/>
    <m/>
    <m/>
    <m/>
    <m/>
    <m/>
    <m/>
    <m/>
  </r>
  <r>
    <n v="1407"/>
    <s v="1407 | Program Office"/>
    <x v="1"/>
    <s v="Program Office - Associate"/>
    <s v="Business Partner"/>
    <s v="Program Office-Business Partner"/>
    <s v="Associate"/>
    <d v="2022-02-20T07:21:21"/>
    <d v="2022-02-22T07:21:21"/>
    <s v="Yes"/>
    <d v="2022-03-16T07:21:21"/>
    <s v="Failed"/>
    <s v="Not a culture fit"/>
    <m/>
    <m/>
    <m/>
    <m/>
    <m/>
    <m/>
    <n v="0"/>
    <m/>
    <m/>
    <m/>
    <m/>
    <s v="Candidate"/>
    <m/>
    <m/>
    <m/>
    <n v="2"/>
    <n v="24"/>
    <n v="22"/>
    <x v="0"/>
    <s v=""/>
    <s v=""/>
    <s v=""/>
    <s v=""/>
    <s v=""/>
    <m/>
    <m/>
    <m/>
    <m/>
    <m/>
    <m/>
    <m/>
    <m/>
    <m/>
    <m/>
  </r>
  <r>
    <n v="1299"/>
    <s v="1299 | Program Office"/>
    <x v="1"/>
    <s v="Program Office - Associate"/>
    <s v="Business Partner"/>
    <s v="Program Office-Business Partner"/>
    <s v="Associate"/>
    <d v="2023-06-14T16:08:44"/>
    <d v="2023-06-17T16:08:44"/>
    <s v="Yes"/>
    <d v="2023-06-25T16:08:44"/>
    <s v="Failed"/>
    <s v="Not a culture fit"/>
    <m/>
    <m/>
    <m/>
    <m/>
    <d v="2023-06-28T16:08:44"/>
    <m/>
    <n v="0"/>
    <m/>
    <m/>
    <m/>
    <m/>
    <s v="Candidate"/>
    <m/>
    <m/>
    <m/>
    <n v="3"/>
    <n v="11"/>
    <n v="8"/>
    <x v="1"/>
    <n v="3"/>
    <d v="2023-09-26T16:08:44"/>
    <s v=""/>
    <s v=""/>
    <s v=""/>
    <m/>
    <m/>
    <m/>
    <m/>
    <m/>
    <m/>
    <m/>
    <m/>
    <m/>
    <m/>
  </r>
  <r>
    <n v="1296"/>
    <s v="1296 | Program Office"/>
    <x v="1"/>
    <s v="Program Office - Associate"/>
    <s v="Business Partner"/>
    <s v="Program Office-Business Partner"/>
    <s v="Associate"/>
    <d v="2023-06-14T16:08:44"/>
    <d v="2023-06-15T16:08:4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92"/>
    <s v="1292 | Program Office"/>
    <x v="1"/>
    <s v="Program Office - Associate"/>
    <s v="Business Partner"/>
    <s v="Program Office-Business Partner"/>
    <s v="Associate"/>
    <d v="2023-06-14T16:08:44"/>
    <d v="2023-06-17T16:08:44"/>
    <s v="Yes"/>
    <d v="2023-06-28T16:08:44"/>
    <s v="Pending"/>
    <m/>
    <d v="2023-07-05T16:08:44"/>
    <s v="Pending"/>
    <m/>
    <m/>
    <d v="2023-07-02T16:08:44"/>
    <m/>
    <n v="0"/>
    <m/>
    <m/>
    <m/>
    <m/>
    <m/>
    <m/>
    <m/>
    <m/>
    <n v="3"/>
    <n v="14"/>
    <n v="11"/>
    <x v="12"/>
    <n v="4"/>
    <d v="2023-09-30T16:08:44"/>
    <s v=""/>
    <s v=""/>
    <s v=""/>
    <m/>
    <m/>
    <m/>
    <m/>
    <m/>
    <m/>
    <m/>
    <m/>
    <m/>
    <m/>
  </r>
  <r>
    <n v="1159"/>
    <s v="1159 | Program Office"/>
    <x v="1"/>
    <s v="Program Office - Associate"/>
    <s v="Business Partner"/>
    <s v="Program Office-Business Partner"/>
    <s v="Associate"/>
    <d v="2022-03-18T19:24:36"/>
    <d v="2022-03-19T19:24:36"/>
    <s v="Yes"/>
    <d v="2022-03-28T19:24:36"/>
    <s v="Failed"/>
    <s v="Other"/>
    <m/>
    <m/>
    <m/>
    <m/>
    <m/>
    <m/>
    <n v="0"/>
    <m/>
    <m/>
    <m/>
    <m/>
    <s v="Company"/>
    <m/>
    <m/>
    <m/>
    <n v="1"/>
    <n v="10"/>
    <n v="9"/>
    <x v="0"/>
    <s v=""/>
    <s v=""/>
    <s v=""/>
    <s v=""/>
    <s v=""/>
    <m/>
    <m/>
    <m/>
    <m/>
    <m/>
    <m/>
    <m/>
    <m/>
    <m/>
    <m/>
  </r>
  <r>
    <n v="1158"/>
    <s v="1158 | Program Office"/>
    <x v="1"/>
    <s v="Program Office - Associate"/>
    <s v="Business Partner"/>
    <s v="Program Office-Business Partner"/>
    <s v="Associate"/>
    <d v="2022-03-16T19:24:36"/>
    <d v="2022-03-19T19:24:36"/>
    <s v="Yes"/>
    <d v="2022-03-30T19:24:36"/>
    <s v="Accepted"/>
    <m/>
    <d v="2022-04-03T19:24:36"/>
    <s v="Accepted"/>
    <d v="2022-03-31T19:24:36"/>
    <d v="2022-04-01T19:24:36"/>
    <d v="2022-04-02T19:24:36"/>
    <d v="2022-04-11T19:24:36"/>
    <n v="1"/>
    <d v="2022-04-15T19:24:36"/>
    <d v="2022-04-17T19:24:36"/>
    <d v="2022-04-20T19:24:36"/>
    <m/>
    <m/>
    <d v="2022-05-11T19:24:36"/>
    <m/>
    <m/>
    <n v="3"/>
    <n v="14"/>
    <n v="11"/>
    <x v="14"/>
    <n v="3"/>
    <d v="2022-07-01T19:24:36"/>
    <n v="4"/>
    <n v="39"/>
    <n v="18"/>
    <m/>
    <m/>
    <m/>
    <m/>
    <m/>
    <m/>
    <m/>
    <m/>
    <m/>
    <m/>
  </r>
  <r>
    <n v="996"/>
    <s v="996 | Program Office"/>
    <x v="1"/>
    <s v="Program Office - Associate"/>
    <s v="Business Partner"/>
    <s v="Program Office-Business Partner"/>
    <s v="Associate"/>
    <d v="2023-03-30T20:36:08"/>
    <d v="2023-04-02T20:36:08"/>
    <s v="Yes"/>
    <d v="2023-04-11T20:36:08"/>
    <s v="Failed"/>
    <s v="Salary expectation too high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955"/>
    <s v="955 | Program Office"/>
    <x v="1"/>
    <s v="Program Office - Associate"/>
    <s v="Business Partner"/>
    <s v="Program Office-Business Partner"/>
    <s v="Associate"/>
    <d v="2023-08-01T23:55:51"/>
    <d v="2023-08-05T23:55:51"/>
    <s v="Yes"/>
    <d v="2023-08-21T23:55:51"/>
    <s v="Accepted"/>
    <m/>
    <d v="2023-08-27T23:55:51"/>
    <s v="Accepted"/>
    <d v="2023-08-23T23:55:51"/>
    <d v="2023-08-24T23:55:51"/>
    <d v="2023-08-24T23:55:51"/>
    <d v="2023-08-30T23:55:51"/>
    <n v="1"/>
    <d v="2023-09-02T23:55:51"/>
    <d v="2023-09-04T23:55:51"/>
    <d v="2023-09-07T23:55:51"/>
    <m/>
    <m/>
    <d v="2023-09-28T23:55:51"/>
    <m/>
    <m/>
    <n v="4"/>
    <n v="20"/>
    <n v="16"/>
    <x v="3"/>
    <n v="3"/>
    <d v="2023-11-22T23:55:51"/>
    <n v="3"/>
    <n v="35"/>
    <n v="14"/>
    <m/>
    <m/>
    <m/>
    <m/>
    <m/>
    <m/>
    <m/>
    <m/>
    <m/>
    <m/>
  </r>
  <r>
    <n v="954"/>
    <s v="954 | Program Office"/>
    <x v="1"/>
    <s v="Program Office - Associate"/>
    <s v="Business Partner"/>
    <s v="Program Office-Business Partner"/>
    <s v="Associate"/>
    <d v="2023-08-03T23:55:51"/>
    <d v="2023-08-05T23:55:51"/>
    <s v="Yes"/>
    <d v="2023-08-25T23:55:51"/>
    <s v="Accepted"/>
    <m/>
    <d v="2023-08-28T23:55:51"/>
    <s v="Accepted"/>
    <d v="2023-08-26T23:55:51"/>
    <d v="2023-08-28T23:55:51"/>
    <d v="2023-08-27T23:55:51"/>
    <d v="2023-09-03T23:55:51"/>
    <n v="1"/>
    <d v="2023-09-04T23:55:51"/>
    <d v="2023-09-07T23:55:51"/>
    <d v="2023-09-10T23:55:51"/>
    <m/>
    <m/>
    <d v="2023-09-19T23:55:51"/>
    <m/>
    <m/>
    <n v="2"/>
    <n v="22"/>
    <n v="20"/>
    <x v="21"/>
    <n v="2"/>
    <d v="2023-11-25T23:55:51"/>
    <n v="1"/>
    <n v="23"/>
    <n v="14"/>
    <m/>
    <m/>
    <m/>
    <m/>
    <m/>
    <m/>
    <m/>
    <m/>
    <m/>
    <m/>
  </r>
  <r>
    <n v="952"/>
    <s v="952 | Program Office"/>
    <x v="1"/>
    <s v="Program Office - Associate"/>
    <s v="Business Partner"/>
    <s v="Program Office-Business Partner"/>
    <s v="Associate"/>
    <d v="2023-08-04T23:55:51"/>
    <d v="2023-08-05T23:55:51"/>
    <s v="Yes"/>
    <d v="2023-08-17T23:55:51"/>
    <s v="Accepted"/>
    <m/>
    <d v="2023-08-19T23:55:51"/>
    <s v="Accepted"/>
    <d v="2023-08-19T23:55:51"/>
    <d v="2023-08-22T23:55:51"/>
    <d v="2023-08-18T23:55:51"/>
    <d v="2023-08-20T23:55:51"/>
    <n v="1"/>
    <d v="2023-08-24T23:55:51"/>
    <d v="2023-08-27T23:55:51"/>
    <d v="2023-08-29T23:55:51"/>
    <m/>
    <m/>
    <d v="2023-09-12T23:55:51"/>
    <m/>
    <m/>
    <n v="1"/>
    <n v="13"/>
    <n v="12"/>
    <x v="1"/>
    <n v="1"/>
    <d v="2023-11-16T23:55:51"/>
    <n v="4"/>
    <n v="25"/>
    <n v="11"/>
    <m/>
    <m/>
    <m/>
    <m/>
    <m/>
    <m/>
    <m/>
    <m/>
    <m/>
    <m/>
  </r>
  <r>
    <n v="951"/>
    <s v="951 | Program Office"/>
    <x v="1"/>
    <s v="Program Office - Associate"/>
    <s v="Business Partner"/>
    <s v="Program Office-Business Partner"/>
    <s v="Associate"/>
    <d v="2023-08-06T23:55:51"/>
    <d v="2023-08-08T23:55:51"/>
    <s v="Yes"/>
    <d v="2023-08-23T23:55:51"/>
    <s v="Failed"/>
    <s v="Position filled by another"/>
    <m/>
    <m/>
    <m/>
    <m/>
    <d v="2023-08-27T23:55:51"/>
    <m/>
    <n v="0"/>
    <m/>
    <m/>
    <m/>
    <m/>
    <s v="Candidate"/>
    <m/>
    <m/>
    <m/>
    <n v="2"/>
    <n v="17"/>
    <n v="15"/>
    <x v="19"/>
    <n v="4"/>
    <d v="2023-11-25T23:55:51"/>
    <s v=""/>
    <s v=""/>
    <s v=""/>
    <m/>
    <m/>
    <m/>
    <m/>
    <m/>
    <m/>
    <m/>
    <m/>
    <m/>
    <m/>
  </r>
  <r>
    <n v="943"/>
    <s v="943 | Program Office"/>
    <x v="1"/>
    <s v="Program Office - Associate"/>
    <s v="Business Partner"/>
    <s v="Program Office-Business Partner"/>
    <s v="Associate"/>
    <d v="2022-10-25T01:02:01"/>
    <d v="2022-10-28T01:02:01"/>
    <s v="Yes"/>
    <d v="2022-11-10T01:02:01"/>
    <s v="Failed"/>
    <s v="Salary expectation too high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918"/>
    <s v="918 | Program Office"/>
    <x v="1"/>
    <s v="Program Office - Associate"/>
    <s v="Business Partner"/>
    <s v="Program Office-Business Partner"/>
    <s v="Associate"/>
    <d v="2022-04-19T06:08:47"/>
    <d v="2022-04-23T06:08:47"/>
    <s v="Yes"/>
    <d v="2022-04-28T06:08:47"/>
    <s v="Declined"/>
    <m/>
    <d v="2022-05-03T06:08:47"/>
    <s v="Declined"/>
    <m/>
    <m/>
    <d v="2022-04-30T06:08:47"/>
    <m/>
    <n v="0"/>
    <m/>
    <m/>
    <m/>
    <m/>
    <m/>
    <m/>
    <m/>
    <m/>
    <n v="4"/>
    <n v="9"/>
    <n v="5"/>
    <x v="9"/>
    <n v="2"/>
    <d v="2022-07-29T06:08:47"/>
    <s v=""/>
    <s v=""/>
    <s v=""/>
    <m/>
    <m/>
    <m/>
    <m/>
    <m/>
    <m/>
    <m/>
    <m/>
    <m/>
    <m/>
  </r>
  <r>
    <n v="917"/>
    <s v="917 | Program Office"/>
    <x v="1"/>
    <s v="Program Office - Associate"/>
    <s v="Business Partner"/>
    <s v="Program Office-Business Partner"/>
    <s v="Associate"/>
    <d v="2022-04-17T06:08:47"/>
    <d v="2022-04-20T06:08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909"/>
    <s v="909 | Program Office"/>
    <x v="1"/>
    <s v="Program Office - Associate"/>
    <s v="Business Partner"/>
    <s v="Program Office-Business Partner"/>
    <s v="Associate"/>
    <d v="2023-08-20T05:59:22"/>
    <d v="2023-08-23T05:59:22"/>
    <s v="Yes"/>
    <d v="2023-09-11T05:59:22"/>
    <s v="Accepted"/>
    <m/>
    <d v="2023-09-15T05:59:22"/>
    <s v="Accepted"/>
    <d v="2023-09-13T05:59:22"/>
    <d v="2023-09-17T05:59:22"/>
    <d v="2023-09-14T05:59:22"/>
    <d v="2023-09-24T05:59:22"/>
    <n v="1"/>
    <d v="2023-09-26T05:59:22"/>
    <d v="2023-09-28T05:59:22"/>
    <d v="2023-09-30T05:59:22"/>
    <m/>
    <m/>
    <d v="2023-10-12T05:59:22"/>
    <m/>
    <m/>
    <n v="3"/>
    <n v="22"/>
    <n v="19"/>
    <x v="11"/>
    <n v="3"/>
    <d v="2023-12-13T05:59:22"/>
    <n v="2"/>
    <n v="28"/>
    <n v="16"/>
    <m/>
    <m/>
    <m/>
    <m/>
    <m/>
    <m/>
    <m/>
    <m/>
    <m/>
    <m/>
  </r>
  <r>
    <n v="902"/>
    <s v="902 | Program Office"/>
    <x v="1"/>
    <s v="Program Office - Associate"/>
    <s v="Business Partner"/>
    <s v="Program Office-Business Partner"/>
    <s v="Associate"/>
    <d v="2023-08-26T05:59:22"/>
    <d v="2023-08-27T05:59:22"/>
    <s v="Yes"/>
    <d v="2023-09-05T05:59:22"/>
    <s v="Failed"/>
    <s v="Didn't pass technical test"/>
    <m/>
    <m/>
    <m/>
    <m/>
    <m/>
    <m/>
    <n v="0"/>
    <m/>
    <m/>
    <m/>
    <m/>
    <s v="Company"/>
    <m/>
    <m/>
    <m/>
    <n v="1"/>
    <n v="10"/>
    <n v="9"/>
    <x v="0"/>
    <s v=""/>
    <s v=""/>
    <s v=""/>
    <s v=""/>
    <s v=""/>
    <m/>
    <m/>
    <m/>
    <m/>
    <m/>
    <m/>
    <m/>
    <m/>
    <m/>
    <m/>
  </r>
  <r>
    <n v="839"/>
    <s v="839 | Program Office"/>
    <x v="1"/>
    <s v="Program Office - Associate"/>
    <s v="Business Partner"/>
    <s v="Program Office-Business Partner"/>
    <s v="Associate"/>
    <d v="2022-07-14T16:58:11"/>
    <d v="2022-07-17T16:58:11"/>
    <s v="Yes"/>
    <d v="2022-07-20T16:58:11"/>
    <s v="Accepted"/>
    <m/>
    <d v="2022-07-25T16:58:11"/>
    <s v="Accepted"/>
    <d v="2022-07-21T16:58:11"/>
    <d v="2022-07-23T16:58:11"/>
    <d v="2022-07-22T16:58:11"/>
    <d v="2022-07-23T16:58:11"/>
    <n v="1"/>
    <d v="2022-07-25T16:58:11"/>
    <d v="2022-07-28T16:58:11"/>
    <d v="2022-07-30T16:58:11"/>
    <m/>
    <m/>
    <d v="2022-08-18T16:58:11"/>
    <m/>
    <m/>
    <n v="3"/>
    <n v="6"/>
    <n v="3"/>
    <x v="10"/>
    <n v="2"/>
    <d v="2022-10-20T16:58:11"/>
    <n v="2"/>
    <n v="27"/>
    <n v="8"/>
    <m/>
    <m/>
    <m/>
    <m/>
    <m/>
    <m/>
    <m/>
    <m/>
    <m/>
    <m/>
  </r>
  <r>
    <n v="832"/>
    <s v="832 | Program Office"/>
    <x v="1"/>
    <s v="Program Office - Associate"/>
    <s v="Business Partner"/>
    <s v="Program Office-Business Partner"/>
    <s v="Associate"/>
    <d v="2022-07-14T16:58:11"/>
    <d v="2022-07-16T16:58:11"/>
    <s v="Yes"/>
    <d v="2022-07-25T16:58:11"/>
    <s v="Declined"/>
    <m/>
    <d v="2022-08-02T16:58:11"/>
    <s v="Declined"/>
    <m/>
    <m/>
    <d v="2022-07-29T16:58:11"/>
    <m/>
    <n v="0"/>
    <m/>
    <m/>
    <m/>
    <m/>
    <m/>
    <m/>
    <m/>
    <m/>
    <n v="2"/>
    <n v="11"/>
    <n v="9"/>
    <x v="16"/>
    <n v="4"/>
    <d v="2022-10-27T16:58:11"/>
    <s v=""/>
    <s v=""/>
    <s v=""/>
    <m/>
    <m/>
    <m/>
    <m/>
    <m/>
    <m/>
    <m/>
    <m/>
    <m/>
    <m/>
  </r>
  <r>
    <n v="831"/>
    <s v="831 | Program Office"/>
    <x v="1"/>
    <s v="Program Office - Associate"/>
    <s v="Business Partner"/>
    <s v="Program Office-Business Partner"/>
    <s v="Associate"/>
    <d v="2022-07-09T16:58:11"/>
    <d v="2022-07-12T16:58:1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23"/>
    <s v="823 | Program Office"/>
    <x v="1"/>
    <s v="Program Office - Associate"/>
    <s v="Business Partner"/>
    <s v="Program Office-Business Partner"/>
    <s v="Associate"/>
    <d v="2022-03-06T15:00:29"/>
    <d v="2022-03-07T15:00:29"/>
    <s v="Yes"/>
    <d v="2022-03-29T15:00:29"/>
    <s v="Accepted"/>
    <m/>
    <d v="2022-04-02T15:00:29"/>
    <s v="Accepted"/>
    <d v="2022-03-30T15:00:29"/>
    <d v="2022-04-03T15:00:29"/>
    <d v="2022-03-31T15:00:29"/>
    <d v="2022-04-04T15:00:29"/>
    <n v="1"/>
    <d v="2022-04-07T15:00:29"/>
    <d v="2022-04-09T15:00:29"/>
    <d v="2022-04-12T15:00:29"/>
    <m/>
    <m/>
    <d v="2022-04-29T15:00:29"/>
    <m/>
    <m/>
    <n v="1"/>
    <n v="23"/>
    <n v="22"/>
    <x v="11"/>
    <n v="2"/>
    <d v="2022-06-29T15:00:29"/>
    <n v="3"/>
    <n v="29"/>
    <n v="12"/>
    <m/>
    <m/>
    <m/>
    <m/>
    <m/>
    <m/>
    <m/>
    <m/>
    <m/>
    <m/>
  </r>
  <r>
    <n v="770"/>
    <s v="770 | Program Office"/>
    <x v="1"/>
    <s v="Program Office - Associate"/>
    <s v="Business Partner"/>
    <s v="Program Office-Business Partner"/>
    <s v="Associate"/>
    <d v="2022-06-12T17:40:03"/>
    <d v="2022-06-16T17:40:03"/>
    <s v="Yes"/>
    <d v="2022-07-04T17:40:03"/>
    <s v="Failed"/>
    <s v="Didn't pass technical test"/>
    <m/>
    <m/>
    <m/>
    <m/>
    <m/>
    <m/>
    <n v="0"/>
    <m/>
    <m/>
    <m/>
    <m/>
    <s v="Candidate"/>
    <m/>
    <m/>
    <m/>
    <n v="4"/>
    <n v="22"/>
    <n v="18"/>
    <x v="0"/>
    <s v=""/>
    <s v=""/>
    <s v=""/>
    <s v=""/>
    <s v=""/>
    <m/>
    <m/>
    <m/>
    <m/>
    <m/>
    <m/>
    <m/>
    <m/>
    <m/>
    <m/>
  </r>
  <r>
    <n v="717"/>
    <s v="717 | Program Office"/>
    <x v="1"/>
    <s v="Program Office - Associate"/>
    <s v="Business Partner"/>
    <s v="Program Office-Business Partner"/>
    <s v="Associate"/>
    <d v="2022-03-07T16:28:19"/>
    <d v="2022-03-10T16:28:19"/>
    <s v="Yes"/>
    <d v="2022-03-20T16:28:19"/>
    <s v="Accepted"/>
    <m/>
    <d v="2022-03-24T16:28:19"/>
    <s v="Accepted"/>
    <d v="2022-03-22T16:28:19"/>
    <d v="2022-03-26T16:28:19"/>
    <d v="2022-03-21T16:28:19"/>
    <d v="2022-03-29T16:28:19"/>
    <n v="1"/>
    <d v="2022-03-31T16:28:19"/>
    <d v="2022-04-03T16:28:19"/>
    <d v="2022-04-05T16:28:19"/>
    <m/>
    <m/>
    <d v="2022-04-24T16:28:19"/>
    <m/>
    <m/>
    <n v="3"/>
    <n v="13"/>
    <n v="10"/>
    <x v="1"/>
    <n v="1"/>
    <d v="2022-06-19T16:28:19"/>
    <n v="2"/>
    <n v="34"/>
    <n v="15"/>
    <m/>
    <m/>
    <m/>
    <m/>
    <m/>
    <m/>
    <m/>
    <m/>
    <m/>
    <m/>
  </r>
  <r>
    <n v="714"/>
    <s v="714 | Program Office"/>
    <x v="1"/>
    <s v="Program Office - Associate"/>
    <s v="Business Partner"/>
    <s v="Program Office-Business Partner"/>
    <s v="Associate"/>
    <d v="2022-03-10T16:28:19"/>
    <d v="2022-03-11T16:28:19"/>
    <s v="Yes"/>
    <d v="2022-03-28T16:28:19"/>
    <s v="Failed"/>
    <s v="Position filled by another"/>
    <m/>
    <m/>
    <m/>
    <m/>
    <m/>
    <m/>
    <n v="0"/>
    <m/>
    <m/>
    <m/>
    <m/>
    <s v="Candidate"/>
    <m/>
    <m/>
    <m/>
    <n v="1"/>
    <n v="18"/>
    <n v="17"/>
    <x v="0"/>
    <s v=""/>
    <s v=""/>
    <s v=""/>
    <s v=""/>
    <s v=""/>
    <m/>
    <m/>
    <m/>
    <m/>
    <m/>
    <m/>
    <m/>
    <m/>
    <m/>
    <m/>
  </r>
  <r>
    <n v="673"/>
    <s v="673 | Program Office"/>
    <x v="1"/>
    <s v="Program Office - Associate"/>
    <s v="Business Partner"/>
    <s v="Program Office-Business Partner"/>
    <s v="Associate"/>
    <d v="2023-08-03T21:15:22"/>
    <d v="2023-08-04T21:15:22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72"/>
    <s v="672 | Program Office"/>
    <x v="1"/>
    <s v="Program Office - Associate"/>
    <s v="Business Partner"/>
    <s v="Program Office-Business Partner"/>
    <s v="Associate"/>
    <d v="2023-08-01T21:15:22"/>
    <d v="2023-08-04T21:15:22"/>
    <s v="Yes"/>
    <d v="2023-08-18T21:15:22"/>
    <s v="Failed"/>
    <s v="Other"/>
    <m/>
    <m/>
    <m/>
    <m/>
    <d v="2023-08-19T21:15:22"/>
    <m/>
    <n v="0"/>
    <m/>
    <m/>
    <m/>
    <m/>
    <s v="Candidate"/>
    <m/>
    <m/>
    <m/>
    <n v="3"/>
    <n v="17"/>
    <n v="14"/>
    <x v="12"/>
    <n v="1"/>
    <d v="2023-11-17T21:15:22"/>
    <s v=""/>
    <s v=""/>
    <s v=""/>
    <m/>
    <m/>
    <m/>
    <m/>
    <m/>
    <m/>
    <m/>
    <m/>
    <m/>
    <m/>
  </r>
  <r>
    <n v="660"/>
    <s v="660 | Program Office"/>
    <x v="1"/>
    <s v="Program Office - Associate"/>
    <s v="Business Partner"/>
    <s v="Program Office-Business Partner"/>
    <s v="Associate"/>
    <d v="2022-12-22T00:23:46"/>
    <d v="2022-12-24T00:23:46"/>
    <s v="Yes"/>
    <d v="2023-01-01T00:23:46"/>
    <s v="Failed"/>
    <s v="Other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656"/>
    <s v="656 | Program Office"/>
    <x v="1"/>
    <s v="Program Office - Associate"/>
    <s v="Business Partner"/>
    <s v="Program Office-Business Partner"/>
    <s v="Associate"/>
    <d v="2022-12-21T00:23:46"/>
    <d v="2022-12-23T00:23:4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637"/>
    <s v="637 | Program Office"/>
    <x v="1"/>
    <s v="Program Office - Associate"/>
    <s v="Business Partner"/>
    <s v="Program Office-Business Partner"/>
    <s v="Associate"/>
    <d v="2022-09-24T07:15:57"/>
    <d v="2022-09-28T07:15:57"/>
    <s v="Yes"/>
    <d v="2022-10-14T07:15:57"/>
    <s v="Accepted"/>
    <m/>
    <d v="2022-10-18T07:15:57"/>
    <s v="Accepted"/>
    <d v="2022-10-15T07:15:57"/>
    <d v="2022-10-17T07:15:57"/>
    <d v="2022-10-15T07:15:57"/>
    <d v="2022-10-17T07:15:57"/>
    <n v="1"/>
    <d v="2022-10-19T07:15:57"/>
    <d v="2022-10-21T07:15:57"/>
    <d v="2022-10-22T07:15:57"/>
    <m/>
    <m/>
    <d v="2022-11-09T07:15:57"/>
    <m/>
    <m/>
    <n v="4"/>
    <n v="20"/>
    <n v="16"/>
    <x v="19"/>
    <n v="1"/>
    <d v="2023-01-13T07:15:57"/>
    <n v="2"/>
    <n v="25"/>
    <n v="7"/>
    <m/>
    <m/>
    <m/>
    <m/>
    <m/>
    <m/>
    <m/>
    <m/>
    <m/>
    <m/>
  </r>
  <r>
    <n v="612"/>
    <s v="612 | Program Office"/>
    <x v="1"/>
    <s v="Program Office - Associate"/>
    <s v="Business Partner"/>
    <s v="Program Office-Business Partner"/>
    <s v="Associate"/>
    <d v="2023-08-17T21:15:20"/>
    <d v="2023-08-18T21:15:20"/>
    <s v="Yes"/>
    <d v="2023-09-05T21:15:20"/>
    <s v="Failed"/>
    <s v="Other"/>
    <m/>
    <m/>
    <m/>
    <m/>
    <d v="2023-09-08T21:15:20"/>
    <m/>
    <n v="0"/>
    <m/>
    <m/>
    <m/>
    <m/>
    <s v="Company"/>
    <m/>
    <m/>
    <m/>
    <n v="1"/>
    <n v="19"/>
    <n v="18"/>
    <x v="7"/>
    <n v="3"/>
    <d v="2023-12-07T21:15:20"/>
    <s v=""/>
    <s v=""/>
    <s v=""/>
    <m/>
    <m/>
    <m/>
    <m/>
    <m/>
    <m/>
    <m/>
    <m/>
    <m/>
    <m/>
  </r>
  <r>
    <n v="571"/>
    <s v="571 | Program Office"/>
    <x v="1"/>
    <s v="Program Office - Associate"/>
    <s v="Business Partner"/>
    <s v="Program Office-Business Partner"/>
    <s v="Associate"/>
    <d v="2022-12-17T02:09:30"/>
    <d v="2022-12-19T02:09:30"/>
    <s v="Yes"/>
    <d v="2023-01-05T02:09:30"/>
    <s v="Declined"/>
    <m/>
    <d v="2023-01-13T02:09:30"/>
    <s v="Declined"/>
    <m/>
    <m/>
    <d v="2023-01-09T02:09:30"/>
    <m/>
    <n v="0"/>
    <m/>
    <m/>
    <m/>
    <m/>
    <m/>
    <m/>
    <m/>
    <m/>
    <n v="2"/>
    <n v="19"/>
    <n v="17"/>
    <x v="3"/>
    <n v="4"/>
    <d v="2023-04-09T02:09:30"/>
    <s v=""/>
    <s v=""/>
    <s v=""/>
    <m/>
    <m/>
    <m/>
    <m/>
    <m/>
    <m/>
    <m/>
    <m/>
    <m/>
    <m/>
  </r>
  <r>
    <n v="495"/>
    <s v="495 | Program Office"/>
    <x v="1"/>
    <s v="Program Office - Associate"/>
    <s v="Business Partner"/>
    <s v="Program Office-Business Partner"/>
    <s v="Associate"/>
    <d v="2023-09-01T09:52:53"/>
    <d v="2023-09-02T09:52:5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88"/>
    <s v="488 | Program Office"/>
    <x v="1"/>
    <s v="Program Office - Associate"/>
    <s v="Business Partner"/>
    <s v="Program Office-Business Partner"/>
    <s v="Associate"/>
    <d v="2023-01-06T13:36:04"/>
    <d v="2023-01-07T13:36:0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73"/>
    <s v="473 | Program Office"/>
    <x v="1"/>
    <s v="Program Office - Associate"/>
    <s v="Business Partner"/>
    <s v="Program Office-Business Partner"/>
    <s v="Associate"/>
    <d v="2022-04-28T01:49:05"/>
    <d v="2022-04-30T01:49:05"/>
    <s v="Yes"/>
    <d v="2022-05-13T01:49:05"/>
    <s v="Accepted"/>
    <m/>
    <d v="2022-05-20T01:49:05"/>
    <s v="Accepted"/>
    <d v="2022-05-14T01:49:05"/>
    <d v="2022-05-17T01:49:05"/>
    <d v="2022-05-17T01:49:05"/>
    <d v="2022-05-26T01:49:05"/>
    <n v="1"/>
    <d v="2022-05-29T01:49:05"/>
    <d v="2022-05-31T01:49:05"/>
    <d v="2022-06-02T01:49:05"/>
    <m/>
    <m/>
    <d v="2022-06-10T01:49:05"/>
    <m/>
    <m/>
    <n v="2"/>
    <n v="15"/>
    <n v="13"/>
    <x v="13"/>
    <n v="4"/>
    <d v="2022-08-15T01:49:05"/>
    <n v="3"/>
    <n v="24"/>
    <n v="16"/>
    <m/>
    <m/>
    <m/>
    <m/>
    <m/>
    <m/>
    <m/>
    <m/>
    <m/>
    <m/>
  </r>
  <r>
    <n v="383"/>
    <s v="383 | Program Office"/>
    <x v="1"/>
    <s v="Program Office - Associate"/>
    <s v="Business Partner"/>
    <s v="Program Office-Business Partner"/>
    <s v="Associate"/>
    <d v="2022-11-11T09:11:38"/>
    <d v="2022-11-12T09:11:38"/>
    <s v="Yes"/>
    <d v="2022-11-23T09:11:38"/>
    <s v="Declined"/>
    <m/>
    <d v="2022-11-28T09:11:38"/>
    <s v="Declined"/>
    <m/>
    <m/>
    <d v="2022-11-25T09:11:38"/>
    <m/>
    <n v="0"/>
    <m/>
    <m/>
    <m/>
    <m/>
    <m/>
    <m/>
    <m/>
    <m/>
    <n v="1"/>
    <n v="12"/>
    <n v="11"/>
    <x v="1"/>
    <n v="2"/>
    <d v="2023-02-23T09:11:38"/>
    <s v=""/>
    <s v=""/>
    <s v=""/>
    <m/>
    <m/>
    <m/>
    <m/>
    <m/>
    <m/>
    <m/>
    <m/>
    <m/>
    <m/>
  </r>
  <r>
    <n v="379"/>
    <s v="379 | Program Office"/>
    <x v="1"/>
    <s v="Program Office - Associate"/>
    <s v="Business Partner"/>
    <s v="Program Office-Business Partner"/>
    <s v="Associate"/>
    <d v="2022-04-10T08:33:40"/>
    <d v="2022-04-13T08:33:40"/>
    <s v="Yes"/>
    <d v="2022-04-27T08:33:40"/>
    <s v="Accepted"/>
    <m/>
    <d v="2022-04-29T08:33:40"/>
    <s v="Accepted"/>
    <d v="2022-04-28T08:33:40"/>
    <d v="2022-04-29T08:33:40"/>
    <d v="2022-04-28T08:33:40"/>
    <d v="2022-05-03T08:33:40"/>
    <n v="1"/>
    <d v="2022-05-05T08:33:40"/>
    <d v="2022-05-08T08:33:40"/>
    <d v="2022-05-11T08:33:40"/>
    <m/>
    <m/>
    <d v="2022-05-25T08:33:40"/>
    <m/>
    <m/>
    <n v="3"/>
    <n v="17"/>
    <n v="14"/>
    <x v="12"/>
    <n v="1"/>
    <d v="2022-07-27T08:33:40"/>
    <n v="2"/>
    <n v="27"/>
    <n v="13"/>
    <m/>
    <m/>
    <m/>
    <m/>
    <m/>
    <m/>
    <m/>
    <m/>
    <m/>
    <m/>
  </r>
  <r>
    <n v="373"/>
    <s v="373 | Program Office"/>
    <x v="1"/>
    <s v="Program Office - Associate"/>
    <s v="Business Partner"/>
    <s v="Program Office-Business Partner"/>
    <s v="Associate"/>
    <d v="2022-04-13T08:33:40"/>
    <d v="2022-04-15T08:33:40"/>
    <s v="Yes"/>
    <d v="2022-05-02T08:33:40"/>
    <s v="Pending"/>
    <m/>
    <d v="2022-05-06T08:33:40"/>
    <s v="Pending"/>
    <m/>
    <m/>
    <d v="2022-05-05T08:33:40"/>
    <m/>
    <n v="0"/>
    <m/>
    <m/>
    <m/>
    <m/>
    <m/>
    <m/>
    <m/>
    <m/>
    <n v="2"/>
    <n v="19"/>
    <n v="17"/>
    <x v="7"/>
    <n v="3"/>
    <d v="2022-08-03T08:33:40"/>
    <s v=""/>
    <s v=""/>
    <s v=""/>
    <m/>
    <m/>
    <m/>
    <m/>
    <m/>
    <m/>
    <m/>
    <m/>
    <m/>
    <m/>
  </r>
  <r>
    <n v="313"/>
    <s v="313 | Program Office"/>
    <x v="1"/>
    <s v="Program Office - Associate"/>
    <s v="Business Partner"/>
    <s v="Program Office-Business Partner"/>
    <s v="Associate"/>
    <d v="2023-02-28T14:36:53"/>
    <d v="2023-03-01T14:36:53"/>
    <s v="Yes"/>
    <d v="2023-03-20T14:36:53"/>
    <s v="Declined"/>
    <m/>
    <d v="2023-03-23T14:36:53"/>
    <s v="Declined"/>
    <m/>
    <m/>
    <d v="2023-03-21T14:36:53"/>
    <m/>
    <n v="0"/>
    <m/>
    <m/>
    <m/>
    <m/>
    <m/>
    <m/>
    <m/>
    <m/>
    <n v="1"/>
    <n v="20"/>
    <n v="19"/>
    <x v="19"/>
    <n v="1"/>
    <d v="2023-06-19T14:36:53"/>
    <s v=""/>
    <s v=""/>
    <s v=""/>
    <m/>
    <m/>
    <m/>
    <m/>
    <m/>
    <m/>
    <m/>
    <m/>
    <m/>
    <m/>
  </r>
  <r>
    <n v="190"/>
    <s v="190 | Program Office"/>
    <x v="1"/>
    <s v="Program Office - Associate"/>
    <s v="Business Partner"/>
    <s v="Program Office-Business Partner"/>
    <s v="Associate"/>
    <d v="2022-09-22T07:13:58"/>
    <d v="2022-09-25T07:13:58"/>
    <s v="Yes"/>
    <d v="2022-10-18T07:13:58"/>
    <s v="Accepted"/>
    <m/>
    <d v="2022-10-22T07:13:58"/>
    <s v="Accepted"/>
    <d v="2022-10-20T07:13:58"/>
    <d v="2022-10-24T07:13:58"/>
    <d v="2022-10-21T07:13:58"/>
    <d v="2022-10-28T07:13:58"/>
    <n v="1"/>
    <d v="2022-10-30T07:13:58"/>
    <d v="2022-11-02T07:13:58"/>
    <d v="2022-11-04T07:13:58"/>
    <m/>
    <m/>
    <d v="2022-11-25T07:13:58"/>
    <m/>
    <m/>
    <n v="3"/>
    <n v="26"/>
    <n v="23"/>
    <x v="23"/>
    <n v="3"/>
    <d v="2023-01-19T07:13:58"/>
    <n v="2"/>
    <n v="35"/>
    <n v="14"/>
    <m/>
    <m/>
    <m/>
    <m/>
    <m/>
    <m/>
    <m/>
    <m/>
    <m/>
    <m/>
  </r>
  <r>
    <n v="186"/>
    <s v="186 | Program Office"/>
    <x v="1"/>
    <s v="Program Office - Associate"/>
    <s v="Business Partner"/>
    <s v="Program Office-Business Partner"/>
    <s v="Associate"/>
    <d v="2022-09-25T07:13:58"/>
    <d v="2022-09-28T07:13:58"/>
    <s v="Yes"/>
    <d v="2022-10-17T07:13:58"/>
    <s v="Failed"/>
    <s v="Other"/>
    <m/>
    <m/>
    <m/>
    <m/>
    <m/>
    <m/>
    <n v="0"/>
    <m/>
    <m/>
    <m/>
    <m/>
    <s v="Company"/>
    <m/>
    <m/>
    <m/>
    <n v="3"/>
    <n v="22"/>
    <n v="19"/>
    <x v="0"/>
    <s v=""/>
    <s v=""/>
    <s v=""/>
    <s v=""/>
    <s v=""/>
    <m/>
    <m/>
    <m/>
    <m/>
    <m/>
    <m/>
    <m/>
    <m/>
    <m/>
    <m/>
  </r>
  <r>
    <n v="183"/>
    <s v="183 | Program Office"/>
    <x v="1"/>
    <s v="Program Office - Associate"/>
    <s v="Business Partner"/>
    <s v="Program Office-Business Partner"/>
    <s v="Associate"/>
    <d v="2022-09-26T07:13:58"/>
    <d v="2022-09-28T07:13:5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34"/>
    <s v="134 | Program Office"/>
    <x v="1"/>
    <s v="Program Office - Associate"/>
    <s v="Business Partner"/>
    <s v="Program Office-Business Partner"/>
    <s v="Associate"/>
    <d v="2022-07-19T19:16:15"/>
    <d v="2022-07-23T19:16:1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69"/>
    <s v="69 | Program Office"/>
    <x v="1"/>
    <s v="Program Office - Associate"/>
    <s v="Business Partner"/>
    <s v="Program Office-Business Partner"/>
    <s v="Associate"/>
    <d v="2023-08-25T18:08:34"/>
    <d v="2023-08-26T18:08:34"/>
    <s v="Yes"/>
    <d v="2023-09-09T18:08:34"/>
    <s v="Failed"/>
    <s v="Not a culture fit"/>
    <m/>
    <m/>
    <m/>
    <m/>
    <d v="2023-09-12T18:08:34"/>
    <m/>
    <n v="0"/>
    <m/>
    <m/>
    <m/>
    <m/>
    <s v="Company"/>
    <m/>
    <m/>
    <m/>
    <n v="1"/>
    <n v="15"/>
    <n v="14"/>
    <x v="12"/>
    <n v="3"/>
    <d v="2023-12-11T18:08:34"/>
    <s v=""/>
    <s v=""/>
    <s v=""/>
    <m/>
    <m/>
    <m/>
    <m/>
    <m/>
    <m/>
    <m/>
    <m/>
    <m/>
    <m/>
  </r>
  <r>
    <n v="6"/>
    <s v="6 | Program Office"/>
    <x v="1"/>
    <s v="Program Office - Associate"/>
    <s v="Business Partner"/>
    <s v="Program Office-Business Partner"/>
    <s v="Associate"/>
    <d v="2023-05-30T08:55:46"/>
    <d v="2023-06-01T08:55:46"/>
    <s v="Yes"/>
    <d v="2023-06-15T08:55:46"/>
    <s v="Accepted"/>
    <m/>
    <d v="2023-06-22T08:55:46"/>
    <s v="Accepted"/>
    <d v="2023-06-17T08:55:46"/>
    <d v="2023-06-19T08:55:46"/>
    <d v="2023-06-18T08:55:46"/>
    <d v="2023-06-26T08:55:46"/>
    <n v="1"/>
    <d v="2023-06-27T08:55:46"/>
    <d v="2023-06-28T08:55:46"/>
    <d v="2023-06-30T08:55:46"/>
    <m/>
    <m/>
    <d v="2023-07-14T08:55:46"/>
    <m/>
    <m/>
    <n v="2"/>
    <n v="16"/>
    <n v="14"/>
    <x v="13"/>
    <n v="3"/>
    <d v="2023-09-16T08:55:46"/>
    <n v="1"/>
    <n v="26"/>
    <n v="12"/>
    <m/>
    <m/>
    <m/>
    <m/>
    <m/>
    <m/>
    <m/>
    <m/>
    <m/>
    <m/>
  </r>
  <r>
    <n v="1"/>
    <s v="1 | Program Office"/>
    <x v="1"/>
    <s v="Program Office - Associate"/>
    <s v="Business Partner"/>
    <s v="Program Office-Business Partner"/>
    <s v="Associate"/>
    <d v="2023-05-29T08:55:46"/>
    <d v="2023-05-31T08:55:46"/>
    <s v="Yes"/>
    <d v="2023-06-11T08:55:46"/>
    <s v="Failed"/>
    <s v="Position filled by another"/>
    <m/>
    <m/>
    <m/>
    <m/>
    <d v="2023-06-14T08:55:46"/>
    <m/>
    <n v="0"/>
    <m/>
    <m/>
    <m/>
    <m/>
    <s v="Candidate"/>
    <m/>
    <m/>
    <m/>
    <n v="2"/>
    <n v="13"/>
    <n v="11"/>
    <x v="20"/>
    <n v="3"/>
    <d v="2023-09-12T08:55:46"/>
    <s v=""/>
    <s v=""/>
    <s v=""/>
    <m/>
    <m/>
    <m/>
    <m/>
    <m/>
    <m/>
    <m/>
    <m/>
    <m/>
    <m/>
  </r>
  <r>
    <n v="2895"/>
    <s v="2895 | Communication and Advocacy"/>
    <x v="2"/>
    <s v="Operations - Junior"/>
    <s v="Controller"/>
    <s v="Operations-Controller"/>
    <s v="Junior"/>
    <d v="2023-02-05T16:21:51"/>
    <d v="2023-02-08T16:21:51"/>
    <s v="Yes"/>
    <d v="2023-02-17T16:21:51"/>
    <s v="Accepted"/>
    <m/>
    <d v="2023-02-22T16:21:51"/>
    <s v="Accepted"/>
    <d v="2023-02-18T16:21:51"/>
    <d v="2023-02-20T16:21:51"/>
    <d v="2023-02-18T16:21:51"/>
    <d v="2023-02-21T16:21:51"/>
    <n v="1"/>
    <d v="2023-02-24T16:21:51"/>
    <d v="2023-02-26T16:21:51"/>
    <d v="2023-02-28T16:21:51"/>
    <m/>
    <m/>
    <d v="2023-03-10T16:21:51"/>
    <m/>
    <m/>
    <n v="3"/>
    <n v="12"/>
    <n v="9"/>
    <x v="8"/>
    <n v="1"/>
    <d v="2023-05-19T16:21:51"/>
    <n v="3"/>
    <n v="20"/>
    <n v="10"/>
    <m/>
    <m/>
    <m/>
    <m/>
    <m/>
    <m/>
    <m/>
    <m/>
    <m/>
    <m/>
  </r>
  <r>
    <n v="2728"/>
    <s v="2728 | Communication and Advocacy"/>
    <x v="2"/>
    <s v="Operations - Junior"/>
    <s v="Controller"/>
    <s v="Operations-Controller"/>
    <s v="Junior"/>
    <d v="2023-05-19T05:58:29"/>
    <d v="2023-05-23T05:58:2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32"/>
    <s v="2332 | Communication and Advocacy"/>
    <x v="2"/>
    <s v="Operations - Junior"/>
    <s v="Controller"/>
    <s v="Operations-Controller"/>
    <s v="Junior"/>
    <d v="2022-05-14T09:15:53"/>
    <d v="2022-05-17T09:15:5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255"/>
    <s v="2255 | Communication and Advocacy"/>
    <x v="2"/>
    <s v="Operations - Junior"/>
    <s v="Controller"/>
    <s v="Operations-Controller"/>
    <s v="Junior"/>
    <d v="2022-08-10T16:27:58"/>
    <d v="2022-08-13T16:27:58"/>
    <s v="Yes"/>
    <d v="2022-08-27T16:27:58"/>
    <s v="Accepted"/>
    <m/>
    <d v="2022-08-31T16:27:58"/>
    <s v="Accepted"/>
    <d v="2022-08-29T16:27:58"/>
    <d v="2022-08-31T16:27:58"/>
    <d v="2022-08-28T16:27:58"/>
    <d v="2022-09-07T16:27:58"/>
    <n v="1"/>
    <d v="2022-09-08T16:27:58"/>
    <d v="2022-09-11T16:27:58"/>
    <d v="2022-09-14T16:27:58"/>
    <m/>
    <m/>
    <d v="2022-10-01T16:27:58"/>
    <m/>
    <m/>
    <n v="3"/>
    <n v="17"/>
    <n v="14"/>
    <x v="12"/>
    <n v="1"/>
    <d v="2022-11-26T16:27:58"/>
    <n v="1"/>
    <n v="34"/>
    <n v="17"/>
    <m/>
    <m/>
    <m/>
    <m/>
    <m/>
    <m/>
    <m/>
    <m/>
    <m/>
    <m/>
  </r>
  <r>
    <n v="2146"/>
    <s v="2146 | Communication and Advocacy"/>
    <x v="2"/>
    <s v="Operations - Junior"/>
    <s v="Controller"/>
    <s v="Operations-Controller"/>
    <s v="Junior"/>
    <d v="2022-07-05T19:56:24"/>
    <d v="2022-07-08T19:56:2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906"/>
    <s v="1906 | Communication and Advocacy"/>
    <x v="2"/>
    <s v="Operations - Junior"/>
    <s v="Controller"/>
    <s v="Operations-Controller"/>
    <s v="Junior"/>
    <d v="2023-03-07T16:28:31"/>
    <d v="2023-03-11T16:28:3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898"/>
    <s v="1898 | Communication and Advocacy"/>
    <x v="2"/>
    <s v="Operations - Junior"/>
    <s v="Controller"/>
    <s v="Operations-Controller"/>
    <s v="Junior"/>
    <d v="2022-01-30T06:40:23"/>
    <d v="2022-02-02T06:40:23"/>
    <s v="Yes"/>
    <d v="2022-02-12T06:40:23"/>
    <s v="Accepted"/>
    <m/>
    <d v="2022-02-19T06:40:23"/>
    <s v="Accepted"/>
    <d v="2022-02-13T06:40:23"/>
    <d v="2022-02-16T06:40:23"/>
    <d v="2022-02-16T06:40:23"/>
    <d v="2022-02-21T06:40:23"/>
    <n v="1"/>
    <d v="2022-02-23T06:40:23"/>
    <d v="2022-02-25T06:40:23"/>
    <d v="2022-02-27T06:40:23"/>
    <m/>
    <m/>
    <d v="2022-03-20T06:40:23"/>
    <m/>
    <m/>
    <n v="3"/>
    <n v="13"/>
    <n v="10"/>
    <x v="14"/>
    <n v="4"/>
    <d v="2022-05-17T06:40:23"/>
    <n v="2"/>
    <n v="32"/>
    <n v="11"/>
    <m/>
    <m/>
    <m/>
    <m/>
    <m/>
    <m/>
    <m/>
    <m/>
    <m/>
    <m/>
  </r>
  <r>
    <n v="1892"/>
    <s v="1892 | Communication and Advocacy"/>
    <x v="2"/>
    <s v="Operations - Junior"/>
    <s v="Controller"/>
    <s v="Operations-Controller"/>
    <s v="Junior"/>
    <d v="2022-02-01T06:40:23"/>
    <d v="2022-02-03T06:40:2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773"/>
    <s v="1773 | Communication and Advocacy"/>
    <x v="2"/>
    <s v="Operations - Junior"/>
    <s v="Controller"/>
    <s v="Operations-Controller"/>
    <s v="Junior"/>
    <d v="2022-05-31T19:49:14"/>
    <d v="2022-06-04T19:49:1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646"/>
    <s v="1646 | Communication and Advocacy"/>
    <x v="2"/>
    <s v="Operations - Junior"/>
    <s v="Controller"/>
    <s v="Operations-Controller"/>
    <s v="Junior"/>
    <d v="2022-12-19T15:52:13"/>
    <d v="2022-12-20T15:52:13"/>
    <s v="Yes"/>
    <d v="2022-12-30T15:52:13"/>
    <s v="Accepted"/>
    <m/>
    <d v="2023-01-04T15:52:13"/>
    <s v="Accepted"/>
    <d v="2023-01-01T15:52:13"/>
    <d v="2023-01-05T15:52:13"/>
    <d v="2023-01-01T15:52:13"/>
    <d v="2023-01-06T15:52:13"/>
    <n v="1"/>
    <d v="2023-01-07T15:52:13"/>
    <d v="2023-01-09T15:52:13"/>
    <d v="2023-01-12T15:52:13"/>
    <m/>
    <m/>
    <d v="2023-01-24T15:52:13"/>
    <m/>
    <m/>
    <n v="1"/>
    <n v="11"/>
    <n v="10"/>
    <x v="8"/>
    <n v="2"/>
    <d v="2023-04-01T15:52:13"/>
    <n v="1"/>
    <n v="23"/>
    <n v="11"/>
    <m/>
    <m/>
    <m/>
    <m/>
    <m/>
    <m/>
    <m/>
    <m/>
    <m/>
    <m/>
  </r>
  <r>
    <n v="1577"/>
    <s v="1577 | Communication and Advocacy"/>
    <x v="2"/>
    <s v="Operations - Junior"/>
    <s v="Controller"/>
    <s v="Operations-Controller"/>
    <s v="Junior"/>
    <d v="2022-09-01T17:35:38"/>
    <d v="2022-09-03T17:35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507"/>
    <s v="1507 | Communication and Advocacy"/>
    <x v="2"/>
    <s v="Operations - Junior"/>
    <s v="Controller"/>
    <s v="Operations-Controller"/>
    <s v="Junior"/>
    <d v="2022-07-14T08:18:33"/>
    <d v="2022-07-18T08:18:3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423"/>
    <s v="1423 | Communication and Advocacy"/>
    <x v="2"/>
    <s v="Operations - Junior"/>
    <s v="Controller"/>
    <s v="Operations-Controller"/>
    <s v="Junior"/>
    <d v="2022-04-11T02:42:56"/>
    <d v="2022-04-14T02:42:5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272"/>
    <s v="1272 | Communication and Advocacy"/>
    <x v="2"/>
    <s v="Operations - Junior"/>
    <s v="Controller"/>
    <s v="Operations-Controller"/>
    <s v="Junior"/>
    <d v="2022-05-31T02:35:25"/>
    <d v="2022-06-04T02:35:25"/>
    <s v="Yes"/>
    <d v="2022-06-07T02:35:25"/>
    <s v="Accepted"/>
    <m/>
    <d v="2022-06-12T02:35:25"/>
    <s v="Accepted"/>
    <d v="2022-06-08T02:35:25"/>
    <d v="2022-06-10T02:35:25"/>
    <d v="2022-06-09T02:35:25"/>
    <d v="2022-06-16T02:35:25"/>
    <n v="1"/>
    <d v="2022-06-17T02:35:25"/>
    <d v="2022-06-19T02:35:25"/>
    <d v="2022-06-21T02:35:25"/>
    <m/>
    <m/>
    <d v="2022-07-08T02:35:25"/>
    <m/>
    <m/>
    <n v="4"/>
    <n v="7"/>
    <n v="3"/>
    <x v="4"/>
    <n v="2"/>
    <d v="2022-09-07T02:35:25"/>
    <n v="1"/>
    <n v="29"/>
    <n v="12"/>
    <m/>
    <m/>
    <m/>
    <m/>
    <m/>
    <m/>
    <m/>
    <m/>
    <m/>
    <m/>
  </r>
  <r>
    <n v="1216"/>
    <s v="1216 | Communication and Advocacy"/>
    <x v="2"/>
    <s v="Operations - Junior"/>
    <s v="Controller"/>
    <s v="Operations-Controller"/>
    <s v="Junior"/>
    <d v="2023-07-22T00:06:13"/>
    <d v="2023-07-25T00:06:1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186"/>
    <s v="1186 | Communication and Advocacy"/>
    <x v="2"/>
    <s v="Operations - Junior"/>
    <s v="Business Partner"/>
    <s v="Operations-Business Partner"/>
    <s v="Junior"/>
    <d v="2023-05-26T18:50:13"/>
    <d v="2023-05-30T18:50:1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29"/>
    <s v="1129 | Communication and Advocacy"/>
    <x v="2"/>
    <s v="Operations - Junior"/>
    <s v="Business Partner"/>
    <s v="Operations-Business Partner"/>
    <s v="Junior"/>
    <d v="2023-06-18T13:28:38"/>
    <d v="2023-06-20T13:28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082"/>
    <s v="1082 | Communication and Advocacy"/>
    <x v="2"/>
    <s v="Operations - Junior"/>
    <s v="Business Partner"/>
    <s v="Operations-Business Partner"/>
    <s v="Junior"/>
    <d v="2022-11-28T23:25:45"/>
    <d v="2022-11-29T23:25:45"/>
    <s v="Yes"/>
    <d v="2022-12-11T23:25:45"/>
    <s v="Accepted"/>
    <m/>
    <d v="2022-12-15T23:25:45"/>
    <s v="Accepted"/>
    <d v="2022-12-12T23:25:45"/>
    <d v="2022-12-13T23:25:45"/>
    <d v="2022-12-14T23:25:45"/>
    <d v="2022-12-15T23:25:45"/>
    <n v="1"/>
    <d v="2022-12-17T23:25:45"/>
    <d v="2022-12-19T23:25:45"/>
    <d v="2022-12-21T23:25:45"/>
    <m/>
    <m/>
    <d v="2023-01-11T23:25:45"/>
    <m/>
    <m/>
    <n v="1"/>
    <n v="13"/>
    <n v="12"/>
    <x v="20"/>
    <n v="3"/>
    <d v="2023-03-14T23:25:45"/>
    <n v="2"/>
    <n v="28"/>
    <n v="7"/>
    <m/>
    <m/>
    <m/>
    <m/>
    <m/>
    <m/>
    <m/>
    <m/>
    <m/>
    <m/>
  </r>
  <r>
    <n v="1046"/>
    <s v="1046 | Communication and Advocacy"/>
    <x v="2"/>
    <s v="Operations - Junior"/>
    <s v="Business Partner"/>
    <s v="Operations-Business Partner"/>
    <s v="Junior"/>
    <d v="2022-11-22T23:03:14"/>
    <d v="2022-11-24T23:03:1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40"/>
    <s v="940 | Communication and Advocacy"/>
    <x v="2"/>
    <s v="Operations - Junior"/>
    <s v="Business Partner"/>
    <s v="Operations-Business Partner"/>
    <s v="Junior"/>
    <d v="2023-03-13T16:55:04"/>
    <d v="2023-03-16T16:55:04"/>
    <s v="Yes"/>
    <d v="2023-04-01T16:55:04"/>
    <s v="Declined"/>
    <m/>
    <d v="2023-04-04T16:55:04"/>
    <s v="Declined"/>
    <m/>
    <m/>
    <d v="2023-04-03T16:55:04"/>
    <m/>
    <n v="0"/>
    <m/>
    <m/>
    <m/>
    <m/>
    <m/>
    <m/>
    <m/>
    <m/>
    <n v="3"/>
    <n v="19"/>
    <n v="16"/>
    <x v="19"/>
    <n v="2"/>
    <d v="2023-07-02T16:55:04"/>
    <s v=""/>
    <s v=""/>
    <s v=""/>
    <m/>
    <m/>
    <m/>
    <m/>
    <m/>
    <m/>
    <m/>
    <m/>
    <m/>
    <m/>
  </r>
  <r>
    <n v="848"/>
    <s v="848 | Communication and Advocacy"/>
    <x v="2"/>
    <s v="Operations - Junior"/>
    <s v="Business Partner"/>
    <s v="Operations-Business Partner"/>
    <s v="Junior"/>
    <d v="2022-08-05T20:03:55"/>
    <d v="2022-08-07T20:03:55"/>
    <s v="Yes"/>
    <d v="2022-08-22T20:03:55"/>
    <s v="Failed"/>
    <s v="Didn't pass technical test"/>
    <m/>
    <m/>
    <m/>
    <m/>
    <m/>
    <m/>
    <n v="0"/>
    <m/>
    <m/>
    <m/>
    <m/>
    <s v="Candidate"/>
    <m/>
    <m/>
    <m/>
    <n v="2"/>
    <n v="17"/>
    <n v="15"/>
    <x v="0"/>
    <s v=""/>
    <s v=""/>
    <s v=""/>
    <s v=""/>
    <s v=""/>
    <m/>
    <m/>
    <m/>
    <m/>
    <m/>
    <m/>
    <m/>
    <m/>
    <m/>
    <m/>
  </r>
  <r>
    <n v="819"/>
    <s v="819 | Communication and Advocacy"/>
    <x v="2"/>
    <s v="Operations - Junior"/>
    <s v="Business Partner"/>
    <s v="Operations-Business Partner"/>
    <s v="Junior"/>
    <d v="2022-04-19T21:29:01"/>
    <d v="2022-04-23T21:29:01"/>
    <s v="Yes"/>
    <d v="2022-05-09T21:29:01"/>
    <s v="Declined"/>
    <m/>
    <d v="2022-05-16T21:29:01"/>
    <s v="Declined"/>
    <m/>
    <m/>
    <d v="2022-05-13T21:29:01"/>
    <m/>
    <n v="0"/>
    <m/>
    <m/>
    <m/>
    <m/>
    <m/>
    <m/>
    <m/>
    <m/>
    <n v="4"/>
    <n v="20"/>
    <n v="16"/>
    <x v="21"/>
    <n v="4"/>
    <d v="2022-08-11T21:29:01"/>
    <s v=""/>
    <s v=""/>
    <s v=""/>
    <m/>
    <m/>
    <m/>
    <m/>
    <m/>
    <m/>
    <m/>
    <m/>
    <m/>
    <m/>
  </r>
  <r>
    <n v="814"/>
    <s v="814 | Communication and Advocacy"/>
    <x v="2"/>
    <s v="Operations - Junior"/>
    <s v="Business Partner"/>
    <s v="Operations-Business Partner"/>
    <s v="Junior"/>
    <d v="2022-04-20T21:29:01"/>
    <d v="2022-04-21T21:29:01"/>
    <s v="Yes"/>
    <d v="2022-05-05T21:29:01"/>
    <s v="Declined"/>
    <m/>
    <d v="2022-05-10T21:29:01"/>
    <s v="Declined"/>
    <m/>
    <m/>
    <d v="2022-05-09T21:29:01"/>
    <m/>
    <n v="0"/>
    <m/>
    <m/>
    <m/>
    <m/>
    <m/>
    <m/>
    <m/>
    <m/>
    <n v="1"/>
    <n v="15"/>
    <n v="14"/>
    <x v="13"/>
    <n v="4"/>
    <d v="2022-08-07T21:29:01"/>
    <s v=""/>
    <s v=""/>
    <s v=""/>
    <m/>
    <m/>
    <m/>
    <m/>
    <m/>
    <m/>
    <m/>
    <m/>
    <m/>
    <m/>
  </r>
  <r>
    <n v="790"/>
    <s v="790 | Communication and Advocacy"/>
    <x v="2"/>
    <s v="Operations - Junior"/>
    <s v="Business Partner"/>
    <s v="Operations-Business Partner"/>
    <s v="Junior"/>
    <d v="2023-01-07T23:55:35"/>
    <d v="2023-01-09T23:55:35"/>
    <s v="Yes"/>
    <d v="2023-01-28T23:55:35"/>
    <s v="Failed"/>
    <s v="Other"/>
    <m/>
    <m/>
    <m/>
    <m/>
    <d v="2023-01-29T23:55:35"/>
    <m/>
    <n v="0"/>
    <m/>
    <m/>
    <m/>
    <m/>
    <s v="Company"/>
    <m/>
    <m/>
    <m/>
    <n v="2"/>
    <n v="21"/>
    <n v="19"/>
    <x v="7"/>
    <n v="1"/>
    <d v="2023-04-29T23:55:35"/>
    <s v=""/>
    <s v=""/>
    <s v=""/>
    <m/>
    <m/>
    <m/>
    <m/>
    <m/>
    <m/>
    <m/>
    <m/>
    <m/>
    <m/>
  </r>
  <r>
    <n v="736"/>
    <s v="736 | Communication and Advocacy"/>
    <x v="2"/>
    <s v="Operations - Junior"/>
    <s v="Business Partner"/>
    <s v="Operations-Business Partner"/>
    <s v="Junior"/>
    <d v="2023-04-24T15:28:09"/>
    <d v="2023-04-27T15:28:0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733"/>
    <s v="733 | Communication and Advocacy"/>
    <x v="2"/>
    <s v="Operations - Junior"/>
    <s v="Business Partner"/>
    <s v="Operations-Business Partner"/>
    <s v="Junior"/>
    <d v="2023-04-22T15:28:09"/>
    <d v="2023-04-26T15:28:09"/>
    <s v="Yes"/>
    <d v="2023-05-14T15:28:09"/>
    <s v="Accepted"/>
    <m/>
    <d v="2023-05-19T15:28:09"/>
    <s v="Accepted"/>
    <d v="2023-05-15T15:28:09"/>
    <d v="2023-05-16T15:28:09"/>
    <d v="2023-05-18T15:28:09"/>
    <d v="2023-05-27T15:28:09"/>
    <n v="1"/>
    <d v="2023-05-30T15:28:09"/>
    <d v="2023-05-31T15:28:09"/>
    <d v="2023-06-02T15:28:09"/>
    <m/>
    <m/>
    <d v="2023-06-17T15:28:09"/>
    <m/>
    <m/>
    <n v="4"/>
    <n v="22"/>
    <n v="18"/>
    <x v="25"/>
    <n v="4"/>
    <d v="2023-08-16T15:28:09"/>
    <n v="3"/>
    <n v="30"/>
    <n v="15"/>
    <m/>
    <m/>
    <m/>
    <m/>
    <m/>
    <m/>
    <m/>
    <m/>
    <m/>
    <m/>
  </r>
  <r>
    <n v="681"/>
    <s v="681 | Communication and Advocacy"/>
    <x v="2"/>
    <s v="Operations - Junior"/>
    <s v="Business Partner"/>
    <s v="Operations-Business Partner"/>
    <s v="Junior"/>
    <d v="2023-06-23T02:46:21"/>
    <d v="2023-06-25T02:46:21"/>
    <s v="Yes"/>
    <d v="2023-07-14T02:46:21"/>
    <s v="Failed"/>
    <s v="Not a culture fit"/>
    <m/>
    <m/>
    <m/>
    <m/>
    <m/>
    <m/>
    <n v="0"/>
    <m/>
    <m/>
    <m/>
    <m/>
    <s v="Company"/>
    <m/>
    <m/>
    <m/>
    <n v="2"/>
    <n v="21"/>
    <n v="19"/>
    <x v="0"/>
    <s v=""/>
    <s v=""/>
    <s v=""/>
    <s v=""/>
    <s v=""/>
    <m/>
    <m/>
    <m/>
    <m/>
    <m/>
    <m/>
    <m/>
    <m/>
    <m/>
    <m/>
  </r>
  <r>
    <n v="568"/>
    <s v="568 | Communication and Advocacy"/>
    <x v="2"/>
    <s v="Operations - Junior"/>
    <s v="Business Partner"/>
    <s v="Operations-Business Partner"/>
    <s v="Junior"/>
    <d v="2022-10-30T23:10:12"/>
    <d v="2022-11-02T23:10:12"/>
    <s v="Yes"/>
    <d v="2022-11-24T23:10:12"/>
    <s v="Failed"/>
    <s v="Other"/>
    <m/>
    <m/>
    <m/>
    <m/>
    <d v="2022-11-27T23:10:12"/>
    <m/>
    <n v="0"/>
    <m/>
    <m/>
    <m/>
    <m/>
    <s v="Company"/>
    <m/>
    <m/>
    <m/>
    <n v="3"/>
    <n v="25"/>
    <n v="22"/>
    <x v="6"/>
    <n v="3"/>
    <d v="2023-02-25T23:10:12"/>
    <s v=""/>
    <s v=""/>
    <s v=""/>
    <m/>
    <m/>
    <m/>
    <m/>
    <m/>
    <m/>
    <m/>
    <m/>
    <m/>
    <m/>
  </r>
  <r>
    <n v="565"/>
    <s v="565 | Communication and Advocacy"/>
    <x v="2"/>
    <s v="Operations - Junior"/>
    <s v="Business Partner"/>
    <s v="Operations-Business Partner"/>
    <s v="Junior"/>
    <d v="2022-11-04T23:10:12"/>
    <d v="2022-11-05T23:10:12"/>
    <s v="Yes"/>
    <d v="2022-11-17T23:10:12"/>
    <s v="Accepted"/>
    <m/>
    <d v="2022-11-24T23:10:12"/>
    <s v="Accepted"/>
    <d v="2022-11-18T23:10:12"/>
    <d v="2022-11-20T23:10:12"/>
    <d v="2022-11-20T23:10:12"/>
    <d v="2022-11-25T23:10:12"/>
    <n v="1"/>
    <d v="2022-11-26T23:10:12"/>
    <d v="2022-11-27T23:10:12"/>
    <d v="2022-11-30T23:10:12"/>
    <m/>
    <m/>
    <d v="2022-12-11T23:10:12"/>
    <m/>
    <m/>
    <n v="1"/>
    <n v="13"/>
    <n v="12"/>
    <x v="20"/>
    <n v="3"/>
    <d v="2023-02-18T23:10:12"/>
    <n v="1"/>
    <n v="21"/>
    <n v="10"/>
    <m/>
    <m/>
    <m/>
    <m/>
    <m/>
    <m/>
    <m/>
    <m/>
    <m/>
    <m/>
  </r>
  <r>
    <n v="438"/>
    <s v="438 | Communication and Advocacy"/>
    <x v="2"/>
    <s v="Operations - Junior"/>
    <s v="Business Partner"/>
    <s v="Operations-Business Partner"/>
    <s v="Junior"/>
    <d v="2022-06-24T07:34:28"/>
    <d v="2022-06-28T07:34:28"/>
    <s v="Yes"/>
    <d v="2022-07-03T07:34:28"/>
    <s v="Declined"/>
    <m/>
    <d v="2022-07-08T07:34:28"/>
    <s v="Declined"/>
    <m/>
    <m/>
    <d v="2022-07-04T07:34:28"/>
    <m/>
    <n v="0"/>
    <m/>
    <m/>
    <m/>
    <m/>
    <m/>
    <m/>
    <m/>
    <m/>
    <n v="4"/>
    <n v="9"/>
    <n v="5"/>
    <x v="22"/>
    <n v="1"/>
    <d v="2022-10-02T07:34:28"/>
    <s v=""/>
    <s v=""/>
    <s v=""/>
    <m/>
    <m/>
    <m/>
    <m/>
    <m/>
    <m/>
    <m/>
    <m/>
    <m/>
    <m/>
  </r>
  <r>
    <n v="435"/>
    <s v="435 | Communication and Advocacy"/>
    <x v="2"/>
    <s v="Operations - Junior"/>
    <s v="Business Partner"/>
    <s v="Operations-Business Partner"/>
    <s v="Junior"/>
    <d v="2022-06-25T07:34:28"/>
    <d v="2022-06-27T07:34:28"/>
    <s v="Yes"/>
    <d v="2022-07-03T07:34:28"/>
    <s v="Declined"/>
    <m/>
    <d v="2022-07-10T07:34:28"/>
    <s v="Declined"/>
    <m/>
    <m/>
    <d v="2022-07-06T07:34:28"/>
    <m/>
    <n v="0"/>
    <m/>
    <m/>
    <m/>
    <m/>
    <m/>
    <m/>
    <m/>
    <m/>
    <n v="2"/>
    <n v="8"/>
    <n v="6"/>
    <x v="9"/>
    <n v="3"/>
    <d v="2022-10-04T07:34:28"/>
    <s v=""/>
    <s v=""/>
    <s v=""/>
    <m/>
    <m/>
    <m/>
    <m/>
    <m/>
    <m/>
    <m/>
    <m/>
    <m/>
    <m/>
  </r>
  <r>
    <n v="370"/>
    <s v="370 | Communication and Advocacy"/>
    <x v="2"/>
    <s v="Operations - Junior"/>
    <s v="Business Partner"/>
    <s v="Operations-Business Partner"/>
    <s v="Junior"/>
    <d v="2022-05-03T18:02:17"/>
    <d v="2022-05-05T18:02:17"/>
    <s v="Yes"/>
    <d v="2022-05-12T18:02:17"/>
    <s v="Failed"/>
    <s v="Not a culture fit"/>
    <m/>
    <m/>
    <m/>
    <m/>
    <d v="2022-05-15T18:02:17"/>
    <m/>
    <n v="0"/>
    <m/>
    <m/>
    <m/>
    <m/>
    <s v="Candidate"/>
    <m/>
    <m/>
    <m/>
    <n v="2"/>
    <n v="9"/>
    <n v="7"/>
    <x v="24"/>
    <n v="3"/>
    <d v="2022-08-13T18:02:17"/>
    <s v=""/>
    <s v=""/>
    <s v=""/>
    <m/>
    <m/>
    <m/>
    <m/>
    <m/>
    <m/>
    <m/>
    <m/>
    <m/>
    <m/>
  </r>
  <r>
    <n v="361"/>
    <s v="361 | Communication and Advocacy"/>
    <x v="2"/>
    <s v="Operations - Junior"/>
    <s v="Business Partner"/>
    <s v="Operations-Business Partner"/>
    <s v="Junior"/>
    <d v="2022-05-01T18:02:17"/>
    <d v="2022-05-02T18:02:1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359"/>
    <s v="359 | Communication and Advocacy"/>
    <x v="2"/>
    <s v="Operations - Junior"/>
    <s v="Business Partner"/>
    <s v="Operations-Business Partner"/>
    <s v="Junior"/>
    <d v="2022-10-07T04:14:17"/>
    <d v="2022-10-08T04:14:17"/>
    <s v="Yes"/>
    <d v="2022-10-18T04:14:17"/>
    <s v="Declined"/>
    <m/>
    <d v="2022-10-20T04:14:17"/>
    <s v="Declined"/>
    <m/>
    <m/>
    <d v="2022-10-19T04:14:17"/>
    <m/>
    <n v="0"/>
    <m/>
    <m/>
    <m/>
    <m/>
    <m/>
    <m/>
    <m/>
    <m/>
    <n v="1"/>
    <n v="11"/>
    <n v="10"/>
    <x v="24"/>
    <n v="1"/>
    <d v="2023-01-17T04:14:17"/>
    <s v=""/>
    <s v=""/>
    <s v=""/>
    <m/>
    <m/>
    <m/>
    <m/>
    <m/>
    <m/>
    <m/>
    <m/>
    <m/>
    <m/>
  </r>
  <r>
    <n v="2892"/>
    <s v="2892 | Communication and Advocacy"/>
    <x v="2"/>
    <s v="Operations - Executive"/>
    <s v="Lead"/>
    <s v="Operations-Lead"/>
    <s v="Executive"/>
    <d v="2023-02-05T16:21:51"/>
    <d v="2023-02-06T16:21:5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663"/>
    <s v="2663 | Communication and Advocacy"/>
    <x v="2"/>
    <s v="Operations - Executive"/>
    <s v="Lead"/>
    <s v="Operations-Lead"/>
    <s v="Executive"/>
    <d v="2022-12-04T21:41:18"/>
    <d v="2022-12-05T21:41:1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901"/>
    <s v="1901 | Communication and Advocacy"/>
    <x v="2"/>
    <s v="Operations - Executive"/>
    <s v="Lead"/>
    <s v="Operations-Lead"/>
    <s v="Executive"/>
    <d v="2023-03-12T16:28:31"/>
    <d v="2023-03-15T16:28:3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539"/>
    <s v="1539 | Communication and Advocacy"/>
    <x v="2"/>
    <s v="Operations - Executive"/>
    <s v="Lead"/>
    <s v="Operations-Lead"/>
    <s v="Executive"/>
    <d v="2023-05-06T13:06:51"/>
    <d v="2023-05-08T13:06:5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454"/>
    <s v="1454 | Communication and Advocacy"/>
    <x v="2"/>
    <s v="Operations - Executive"/>
    <s v="Lead"/>
    <s v="Operations-Lead"/>
    <s v="Executive"/>
    <d v="2023-04-10T13:44:16"/>
    <d v="2023-04-12T13:44:1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130"/>
    <s v="1130 | Communication and Advocacy"/>
    <x v="2"/>
    <s v="Operations - Executive"/>
    <s v="Lead"/>
    <s v="Operations-Lead"/>
    <s v="Executive"/>
    <d v="2023-06-17T13:28:38"/>
    <d v="2023-06-21T13:28:3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23"/>
    <s v="1123 | Communication and Advocacy"/>
    <x v="2"/>
    <s v="Operations - Executive"/>
    <s v="Lead"/>
    <s v="Operations-Lead"/>
    <s v="Executive"/>
    <d v="2023-06-17T13:28:38"/>
    <d v="2023-06-19T13:28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37"/>
    <s v="937 | Communication and Advocacy"/>
    <x v="2"/>
    <s v="Operations - Executive"/>
    <s v="Lead"/>
    <s v="Operations-Lead"/>
    <s v="Executive"/>
    <d v="2023-03-17T16:55:04"/>
    <d v="2023-03-19T16:55:04"/>
    <s v="Yes"/>
    <d v="2023-04-06T16:55:04"/>
    <s v="Failed"/>
    <s v="Not a culture fit"/>
    <m/>
    <m/>
    <m/>
    <m/>
    <d v="2023-04-09T16:55:04"/>
    <m/>
    <n v="0"/>
    <m/>
    <m/>
    <m/>
    <m/>
    <s v="Candidate"/>
    <m/>
    <m/>
    <m/>
    <n v="2"/>
    <n v="20"/>
    <n v="18"/>
    <x v="3"/>
    <n v="3"/>
    <d v="2023-07-08T16:55:04"/>
    <s v=""/>
    <s v=""/>
    <s v=""/>
    <m/>
    <m/>
    <m/>
    <m/>
    <m/>
    <m/>
    <m/>
    <m/>
    <m/>
    <m/>
  </r>
  <r>
    <n v="935"/>
    <s v="935 | Communication and Advocacy"/>
    <x v="2"/>
    <s v="Operations - Executive"/>
    <s v="Lead"/>
    <s v="Operations-Lead"/>
    <s v="Executive"/>
    <d v="2023-03-14T16:55:04"/>
    <d v="2023-03-17T16:55:04"/>
    <s v="Yes"/>
    <d v="2023-04-02T16:55:04"/>
    <s v="Declined"/>
    <m/>
    <d v="2023-04-06T16:55:04"/>
    <s v="Declined"/>
    <m/>
    <m/>
    <d v="2023-04-05T16:55:04"/>
    <m/>
    <n v="0"/>
    <m/>
    <m/>
    <m/>
    <m/>
    <m/>
    <m/>
    <m/>
    <m/>
    <n v="3"/>
    <n v="19"/>
    <n v="16"/>
    <x v="7"/>
    <n v="3"/>
    <d v="2023-07-04T16:55:04"/>
    <s v=""/>
    <s v=""/>
    <s v=""/>
    <m/>
    <m/>
    <m/>
    <m/>
    <m/>
    <m/>
    <m/>
    <m/>
    <m/>
    <m/>
  </r>
  <r>
    <n v="934"/>
    <s v="934 | Communication and Advocacy"/>
    <x v="2"/>
    <s v="Operations - Executive"/>
    <s v="Lead"/>
    <s v="Operations-Lead"/>
    <s v="Executive"/>
    <d v="2023-03-16T16:55:04"/>
    <d v="2023-03-18T16:55:04"/>
    <s v="Yes"/>
    <d v="2023-03-26T16:55:04"/>
    <s v="Failed"/>
    <s v="Position filled by another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932"/>
    <s v="932 | Communication and Advocacy"/>
    <x v="2"/>
    <s v="Operations - Executive"/>
    <s v="Lead"/>
    <s v="Operations-Lead"/>
    <s v="Executive"/>
    <d v="2023-03-11T16:55:04"/>
    <d v="2023-03-15T16:55:04"/>
    <s v="Yes"/>
    <d v="2023-03-27T16:55:04"/>
    <s v="Failed"/>
    <s v="Salary expectation too high"/>
    <m/>
    <m/>
    <m/>
    <m/>
    <m/>
    <m/>
    <n v="0"/>
    <m/>
    <m/>
    <m/>
    <m/>
    <s v="Company"/>
    <m/>
    <m/>
    <m/>
    <n v="4"/>
    <n v="16"/>
    <n v="12"/>
    <x v="0"/>
    <s v=""/>
    <s v=""/>
    <s v=""/>
    <s v=""/>
    <s v=""/>
    <m/>
    <m/>
    <m/>
    <m/>
    <m/>
    <m/>
    <m/>
    <m/>
    <m/>
    <m/>
  </r>
  <r>
    <n v="845"/>
    <s v="845 | Communication and Advocacy"/>
    <x v="2"/>
    <s v="Operations - Executive"/>
    <s v="Lead"/>
    <s v="Operations-Lead"/>
    <s v="Executive"/>
    <d v="2022-08-03T20:03:55"/>
    <d v="2022-08-05T20:03:55"/>
    <s v="Yes"/>
    <d v="2022-08-15T20:03:55"/>
    <s v="Declined"/>
    <m/>
    <d v="2022-08-19T20:03:55"/>
    <s v="Declined"/>
    <m/>
    <m/>
    <d v="2022-08-16T20:03:55"/>
    <m/>
    <n v="0"/>
    <m/>
    <m/>
    <m/>
    <m/>
    <m/>
    <m/>
    <m/>
    <m/>
    <n v="2"/>
    <n v="12"/>
    <n v="10"/>
    <x v="8"/>
    <n v="1"/>
    <d v="2022-11-14T20:03:55"/>
    <s v=""/>
    <s v=""/>
    <s v=""/>
    <m/>
    <m/>
    <m/>
    <m/>
    <m/>
    <m/>
    <m/>
    <m/>
    <m/>
    <m/>
  </r>
  <r>
    <n v="844"/>
    <s v="844 | Communication and Advocacy"/>
    <x v="2"/>
    <s v="Operations - Executive"/>
    <s v="Lead"/>
    <s v="Operations-Lead"/>
    <s v="Executive"/>
    <d v="2022-08-02T20:03:55"/>
    <d v="2022-08-04T20:03:55"/>
    <s v="Yes"/>
    <d v="2022-08-20T20:03:55"/>
    <s v="Failed"/>
    <s v="Other"/>
    <m/>
    <m/>
    <m/>
    <m/>
    <m/>
    <m/>
    <n v="0"/>
    <m/>
    <m/>
    <m/>
    <m/>
    <s v="Candidate"/>
    <m/>
    <m/>
    <m/>
    <n v="2"/>
    <n v="18"/>
    <n v="16"/>
    <x v="0"/>
    <s v=""/>
    <s v=""/>
    <s v=""/>
    <s v=""/>
    <s v=""/>
    <m/>
    <m/>
    <m/>
    <m/>
    <m/>
    <m/>
    <m/>
    <m/>
    <m/>
    <m/>
  </r>
  <r>
    <n v="842"/>
    <s v="842 | Communication and Advocacy"/>
    <x v="2"/>
    <s v="Operations - Executive"/>
    <s v="Lead"/>
    <s v="Operations-Lead"/>
    <s v="Executive"/>
    <d v="2022-08-03T20:03:55"/>
    <d v="2022-08-07T20:03:55"/>
    <s v="Yes"/>
    <d v="2022-08-16T20:03:55"/>
    <s v="Failed"/>
    <s v="Not a culture fit"/>
    <m/>
    <m/>
    <m/>
    <m/>
    <d v="2022-08-20T20:03:55"/>
    <m/>
    <n v="0"/>
    <m/>
    <m/>
    <m/>
    <m/>
    <s v="Candidate"/>
    <m/>
    <m/>
    <m/>
    <n v="4"/>
    <n v="13"/>
    <n v="9"/>
    <x v="14"/>
    <n v="4"/>
    <d v="2022-11-18T20:03:55"/>
    <s v=""/>
    <s v=""/>
    <s v=""/>
    <m/>
    <m/>
    <m/>
    <m/>
    <m/>
    <m/>
    <m/>
    <m/>
    <m/>
    <m/>
  </r>
  <r>
    <n v="785"/>
    <s v="785 | Communication and Advocacy"/>
    <x v="2"/>
    <s v="Operations - Executive"/>
    <s v="Lead"/>
    <s v="Operations-Lead"/>
    <s v="Executive"/>
    <d v="2023-01-11T23:55:35"/>
    <d v="2023-01-14T23:55:35"/>
    <s v="Yes"/>
    <d v="2023-02-02T23:55:35"/>
    <s v="Failed"/>
    <s v="Position filled by another"/>
    <m/>
    <m/>
    <m/>
    <m/>
    <d v="2023-02-04T23:55:35"/>
    <m/>
    <n v="0"/>
    <m/>
    <m/>
    <m/>
    <m/>
    <s v="Candidate"/>
    <m/>
    <m/>
    <m/>
    <n v="3"/>
    <n v="22"/>
    <n v="19"/>
    <x v="21"/>
    <n v="2"/>
    <d v="2023-05-05T23:55:35"/>
    <s v=""/>
    <s v=""/>
    <s v=""/>
    <m/>
    <m/>
    <m/>
    <m/>
    <m/>
    <m/>
    <m/>
    <m/>
    <m/>
    <m/>
  </r>
  <r>
    <n v="740"/>
    <s v="740 | Communication and Advocacy"/>
    <x v="2"/>
    <s v="Operations - Executive"/>
    <s v="Lead"/>
    <s v="Operations-Lead"/>
    <s v="Executive"/>
    <d v="2023-04-25T15:28:09"/>
    <d v="2023-04-28T15:28:0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86"/>
    <s v="686 | Communication and Advocacy"/>
    <x v="2"/>
    <s v="Operations - Executive"/>
    <s v="Director"/>
    <s v="Operations-Director"/>
    <s v="Executive"/>
    <d v="2023-06-25T02:46:21"/>
    <d v="2023-06-27T02:46:21"/>
    <s v="Yes"/>
    <d v="2023-07-03T02:46:21"/>
    <s v="Failed"/>
    <s v="Didn't pass technical test"/>
    <m/>
    <m/>
    <m/>
    <m/>
    <m/>
    <m/>
    <n v="0"/>
    <m/>
    <m/>
    <m/>
    <m/>
    <s v="Candidate"/>
    <m/>
    <m/>
    <m/>
    <n v="2"/>
    <n v="8"/>
    <n v="6"/>
    <x v="0"/>
    <s v=""/>
    <s v=""/>
    <s v=""/>
    <s v=""/>
    <s v=""/>
    <m/>
    <m/>
    <m/>
    <m/>
    <m/>
    <m/>
    <m/>
    <m/>
    <m/>
    <m/>
  </r>
  <r>
    <n v="562"/>
    <s v="562 | Communication and Advocacy"/>
    <x v="2"/>
    <s v="Operations - Executive"/>
    <s v="Director"/>
    <s v="Operations-Director"/>
    <s v="Executive"/>
    <d v="2022-11-01T23:10:12"/>
    <d v="2022-11-04T23:10:12"/>
    <s v="Yes"/>
    <d v="2022-11-21T23:10:12"/>
    <s v="Declined"/>
    <m/>
    <d v="2022-11-25T23:10:12"/>
    <s v="Declined"/>
    <m/>
    <m/>
    <d v="2022-11-24T23:10:12"/>
    <m/>
    <n v="0"/>
    <m/>
    <m/>
    <m/>
    <m/>
    <m/>
    <m/>
    <m/>
    <m/>
    <n v="3"/>
    <n v="20"/>
    <n v="17"/>
    <x v="3"/>
    <n v="3"/>
    <d v="2023-02-22T23:10:12"/>
    <s v=""/>
    <s v=""/>
    <s v=""/>
    <m/>
    <m/>
    <m/>
    <m/>
    <m/>
    <m/>
    <m/>
    <m/>
    <m/>
    <m/>
  </r>
  <r>
    <n v="561"/>
    <s v="561 | Communication and Advocacy"/>
    <x v="2"/>
    <s v="Operations - Executive"/>
    <s v="Director"/>
    <s v="Operations-Director"/>
    <s v="Executive"/>
    <d v="2022-10-31T23:10:12"/>
    <d v="2022-11-04T23:10:12"/>
    <s v="Yes"/>
    <d v="2022-11-21T23:10:12"/>
    <s v="Failed"/>
    <s v="Other"/>
    <m/>
    <m/>
    <m/>
    <m/>
    <d v="2022-11-24T23:10:12"/>
    <m/>
    <n v="0"/>
    <m/>
    <m/>
    <m/>
    <m/>
    <s v="Company"/>
    <m/>
    <m/>
    <m/>
    <n v="4"/>
    <n v="21"/>
    <n v="17"/>
    <x v="21"/>
    <n v="3"/>
    <d v="2023-02-22T23:10:12"/>
    <s v=""/>
    <s v=""/>
    <s v=""/>
    <m/>
    <m/>
    <m/>
    <m/>
    <m/>
    <m/>
    <m/>
    <m/>
    <m/>
    <m/>
  </r>
  <r>
    <n v="431"/>
    <s v="431 | Communication and Advocacy"/>
    <x v="2"/>
    <s v="Operations - Executive"/>
    <s v="Director"/>
    <s v="Operations-Director"/>
    <s v="Executive"/>
    <d v="2022-06-20T07:34:28"/>
    <d v="2022-06-23T07:34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328"/>
    <s v="328 | Communication and Advocacy"/>
    <x v="2"/>
    <s v="Operations - Executive"/>
    <s v="Director"/>
    <s v="Operations-Director"/>
    <s v="Executive"/>
    <d v="2022-01-19T22:01:29"/>
    <d v="2022-01-20T22:01:29"/>
    <s v="Yes"/>
    <d v="2022-01-31T22:01:29"/>
    <s v="Declined"/>
    <m/>
    <d v="2022-02-05T22:01:29"/>
    <s v="Declined"/>
    <m/>
    <m/>
    <d v="2022-02-04T22:01:29"/>
    <m/>
    <n v="0"/>
    <m/>
    <m/>
    <m/>
    <m/>
    <m/>
    <m/>
    <m/>
    <m/>
    <n v="1"/>
    <n v="12"/>
    <n v="11"/>
    <x v="20"/>
    <n v="4"/>
    <d v="2022-05-05T22:01:29"/>
    <s v=""/>
    <s v=""/>
    <s v=""/>
    <m/>
    <m/>
    <m/>
    <m/>
    <m/>
    <m/>
    <m/>
    <m/>
    <m/>
    <m/>
  </r>
  <r>
    <n v="322"/>
    <s v="322 | Communication and Advocacy"/>
    <x v="2"/>
    <s v="Operations - Executive"/>
    <s v="Director"/>
    <s v="Operations-Director"/>
    <s v="Executive"/>
    <d v="2022-01-11T22:01:29"/>
    <d v="2022-01-15T22:01:29"/>
    <s v="Yes"/>
    <d v="2022-01-25T22:01:29"/>
    <s v="Failed"/>
    <s v="Position filled by another"/>
    <m/>
    <m/>
    <m/>
    <m/>
    <d v="2022-01-29T22:01:29"/>
    <m/>
    <n v="0"/>
    <m/>
    <m/>
    <m/>
    <m/>
    <s v="Candidate"/>
    <m/>
    <m/>
    <m/>
    <n v="4"/>
    <n v="14"/>
    <n v="10"/>
    <x v="12"/>
    <n v="4"/>
    <d v="2022-04-29T22:01:29"/>
    <s v=""/>
    <s v=""/>
    <s v=""/>
    <m/>
    <m/>
    <m/>
    <m/>
    <m/>
    <m/>
    <m/>
    <m/>
    <m/>
    <m/>
  </r>
  <r>
    <n v="321"/>
    <s v="321 | Communication and Advocacy"/>
    <x v="2"/>
    <s v="Operations - Executive"/>
    <s v="Director"/>
    <s v="Operations-Director"/>
    <s v="Executive"/>
    <d v="2022-01-17T22:01:29"/>
    <d v="2022-01-20T22:01:2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91"/>
    <s v="291 | Communication and Advocacy"/>
    <x v="2"/>
    <s v="Operations - Executive"/>
    <s v="Director"/>
    <s v="Operations-Director"/>
    <s v="Executive"/>
    <d v="2023-07-22T17:45:37"/>
    <d v="2023-07-25T17:45:37"/>
    <s v="Yes"/>
    <d v="2023-08-04T17:45:37"/>
    <s v="Accepted"/>
    <m/>
    <d v="2023-08-09T17:45:37"/>
    <s v="Accepted"/>
    <d v="2023-08-06T17:45:37"/>
    <d v="2023-08-08T17:45:37"/>
    <d v="2023-08-06T17:45:37"/>
    <d v="2023-08-09T17:45:37"/>
    <n v="1"/>
    <d v="2023-08-13T17:45:37"/>
    <d v="2023-08-14T17:45:37"/>
    <d v="2023-08-17T17:45:37"/>
    <m/>
    <m/>
    <d v="2023-08-30T17:45:37"/>
    <m/>
    <m/>
    <n v="3"/>
    <n v="13"/>
    <n v="10"/>
    <x v="16"/>
    <n v="2"/>
    <d v="2023-11-04T17:45:37"/>
    <n v="4"/>
    <n v="24"/>
    <n v="11"/>
    <m/>
    <m/>
    <m/>
    <m/>
    <m/>
    <m/>
    <m/>
    <m/>
    <m/>
    <m/>
  </r>
  <r>
    <n v="276"/>
    <s v="276 | Communication and Advocacy"/>
    <x v="2"/>
    <s v="Operations - Executive"/>
    <s v="Director"/>
    <s v="Operations-Director"/>
    <s v="Executive"/>
    <d v="2022-10-14T14:13:05"/>
    <d v="2022-10-16T14:13:0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75"/>
    <s v="275 | Communication and Advocacy"/>
    <x v="2"/>
    <s v="Operations - Executive"/>
    <s v="Head of Department"/>
    <s v="Operations-Head of Department"/>
    <s v="Executive"/>
    <d v="2022-10-14T14:13:05"/>
    <d v="2022-10-17T14:13:05"/>
    <s v="Yes"/>
    <d v="2022-11-02T14:13:05"/>
    <s v="Accepted"/>
    <m/>
    <d v="2022-11-05T14:13:05"/>
    <s v="Accepted"/>
    <d v="2022-11-04T14:13:05"/>
    <d v="2022-11-07T14:13:05"/>
    <d v="2022-11-03T14:13:05"/>
    <d v="2022-11-13T14:13:05"/>
    <n v="1"/>
    <d v="2022-11-15T14:13:05"/>
    <d v="2022-11-18T14:13:05"/>
    <d v="2022-11-21T14:13:05"/>
    <m/>
    <m/>
    <d v="2022-12-06T14:13:05"/>
    <m/>
    <m/>
    <n v="3"/>
    <n v="19"/>
    <n v="16"/>
    <x v="15"/>
    <n v="1"/>
    <d v="2023-02-01T14:13:05"/>
    <n v="2"/>
    <n v="33"/>
    <n v="18"/>
    <m/>
    <m/>
    <m/>
    <m/>
    <m/>
    <m/>
    <m/>
    <m/>
    <m/>
    <m/>
  </r>
  <r>
    <n v="250"/>
    <s v="250 | Communication and Advocacy"/>
    <x v="2"/>
    <s v="Operations - Executive"/>
    <s v="Head of Department"/>
    <s v="Operations-Head of Department"/>
    <s v="Executive"/>
    <d v="2022-04-24T08:21:52"/>
    <d v="2022-04-25T08:21:52"/>
    <s v="Yes"/>
    <d v="2022-05-14T08:21:52"/>
    <s v="Declined"/>
    <m/>
    <d v="2022-05-21T08:21:52"/>
    <s v="Declined"/>
    <m/>
    <m/>
    <d v="2022-05-18T08:21:52"/>
    <m/>
    <n v="0"/>
    <m/>
    <m/>
    <m/>
    <m/>
    <m/>
    <m/>
    <m/>
    <m/>
    <n v="1"/>
    <n v="20"/>
    <n v="19"/>
    <x v="21"/>
    <n v="4"/>
    <d v="2022-08-16T08:21:52"/>
    <s v=""/>
    <s v=""/>
    <s v=""/>
    <m/>
    <m/>
    <m/>
    <m/>
    <m/>
    <m/>
    <m/>
    <m/>
    <m/>
    <m/>
  </r>
  <r>
    <n v="248"/>
    <s v="248 | Communication and Advocacy"/>
    <x v="2"/>
    <s v="Operations - Executive"/>
    <s v="Head of Department"/>
    <s v="Operations-Head of Department"/>
    <s v="Executive"/>
    <d v="2022-04-29T08:21:52"/>
    <d v="2022-04-30T08:21:52"/>
    <s v="Yes"/>
    <d v="2022-05-05T08:21:52"/>
    <s v="Failed"/>
    <s v="Position filled by another"/>
    <m/>
    <m/>
    <m/>
    <m/>
    <m/>
    <m/>
    <n v="0"/>
    <m/>
    <m/>
    <m/>
    <m/>
    <s v="Candidate"/>
    <m/>
    <m/>
    <m/>
    <n v="1"/>
    <n v="6"/>
    <n v="5"/>
    <x v="0"/>
    <s v=""/>
    <s v=""/>
    <s v=""/>
    <s v=""/>
    <s v=""/>
    <m/>
    <m/>
    <m/>
    <m/>
    <m/>
    <m/>
    <m/>
    <m/>
    <m/>
    <m/>
  </r>
  <r>
    <n v="246"/>
    <s v="246 | Communication and Advocacy"/>
    <x v="2"/>
    <s v="Operations - Executive"/>
    <s v="Head of Department"/>
    <s v="Operations-Head of Department"/>
    <s v="Executive"/>
    <d v="2022-04-26T08:21:52"/>
    <d v="2022-04-28T08:21:52"/>
    <s v="Yes"/>
    <d v="2022-05-05T08:21:52"/>
    <s v="Failed"/>
    <s v="Didn't pass technical test"/>
    <m/>
    <m/>
    <m/>
    <m/>
    <d v="2022-05-09T08:21:52"/>
    <m/>
    <n v="0"/>
    <m/>
    <m/>
    <m/>
    <m/>
    <s v="Candidate"/>
    <m/>
    <m/>
    <m/>
    <n v="2"/>
    <n v="9"/>
    <n v="7"/>
    <x v="8"/>
    <n v="4"/>
    <d v="2022-08-07T08:21:52"/>
    <s v=""/>
    <s v=""/>
    <s v=""/>
    <m/>
    <m/>
    <m/>
    <m/>
    <m/>
    <m/>
    <m/>
    <m/>
    <m/>
    <m/>
  </r>
  <r>
    <n v="245"/>
    <s v="245 | Communication and Advocacy"/>
    <x v="2"/>
    <s v="Operations - Executive"/>
    <s v="Head of Department"/>
    <s v="Operations-Head of Department"/>
    <s v="Executive"/>
    <d v="2022-04-25T08:21:52"/>
    <d v="2022-04-29T08:21:5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43"/>
    <s v="243 | Communication and Advocacy"/>
    <x v="2"/>
    <s v="Operations - Executive"/>
    <s v="Head of Department"/>
    <s v="Operations-Head of Department"/>
    <s v="Executive"/>
    <d v="2022-04-24T08:21:52"/>
    <d v="2022-04-27T08:21:52"/>
    <s v="Yes"/>
    <d v="2022-05-10T08:21:52"/>
    <s v="Failed"/>
    <s v="Position filled by another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198"/>
    <s v="198 | Communication and Advocacy"/>
    <x v="2"/>
    <s v="Operations - Executive"/>
    <s v="Head of Department"/>
    <s v="Operations-Head of Department"/>
    <s v="Executive"/>
    <d v="2022-06-13T18:28:45"/>
    <d v="2022-06-14T18:28:45"/>
    <s v="Yes"/>
    <d v="2022-06-22T18:28:45"/>
    <s v="Declined"/>
    <m/>
    <d v="2022-06-27T18:28:45"/>
    <s v="Declined"/>
    <m/>
    <m/>
    <d v="2022-06-25T18:28:45"/>
    <m/>
    <n v="0"/>
    <m/>
    <m/>
    <m/>
    <m/>
    <m/>
    <m/>
    <m/>
    <m/>
    <n v="1"/>
    <n v="9"/>
    <n v="8"/>
    <x v="24"/>
    <n v="3"/>
    <d v="2022-09-23T18:28:45"/>
    <s v=""/>
    <s v=""/>
    <s v=""/>
    <m/>
    <m/>
    <m/>
    <m/>
    <m/>
    <m/>
    <m/>
    <m/>
    <m/>
    <m/>
  </r>
  <r>
    <n v="195"/>
    <s v="195 | Communication and Advocacy"/>
    <x v="2"/>
    <s v="Operations - Executive"/>
    <s v="Director"/>
    <s v="Operations-Director"/>
    <s v="Executive"/>
    <d v="2022-06-16T18:28:45"/>
    <d v="2022-06-17T18:28:45"/>
    <s v="Yes"/>
    <d v="2022-07-03T18:28:45"/>
    <s v="Failed"/>
    <s v="Other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193"/>
    <s v="193 | Communication and Advocacy"/>
    <x v="2"/>
    <s v="Operations - Executive"/>
    <s v="Director"/>
    <s v="Operations-Director"/>
    <s v="Executive"/>
    <d v="2022-06-15T18:28:45"/>
    <d v="2022-06-18T18:28:45"/>
    <s v="Yes"/>
    <d v="2022-06-29T18:28:45"/>
    <s v="Failed"/>
    <s v="Not a culture fit"/>
    <m/>
    <m/>
    <m/>
    <m/>
    <d v="2022-07-02T18:28:45"/>
    <m/>
    <n v="0"/>
    <m/>
    <m/>
    <m/>
    <m/>
    <s v="Company"/>
    <m/>
    <m/>
    <m/>
    <n v="3"/>
    <n v="14"/>
    <n v="11"/>
    <x v="14"/>
    <n v="3"/>
    <d v="2022-09-30T18:28:45"/>
    <s v=""/>
    <s v=""/>
    <s v=""/>
    <m/>
    <m/>
    <m/>
    <m/>
    <m/>
    <m/>
    <m/>
    <m/>
    <m/>
    <m/>
  </r>
  <r>
    <n v="161"/>
    <s v="161 | Communication and Advocacy"/>
    <x v="2"/>
    <s v="Operations - Executive"/>
    <s v="Director"/>
    <s v="Operations-Director"/>
    <s v="Executive"/>
    <d v="2022-12-12T15:32:46"/>
    <d v="2022-12-13T15:32:46"/>
    <s v="Yes"/>
    <d v="2022-12-19T15:32:46"/>
    <s v="Accepted"/>
    <m/>
    <d v="2022-12-27T15:32:46"/>
    <s v="Accepted"/>
    <d v="2022-12-20T15:32:46"/>
    <d v="2022-12-23T15:32:46"/>
    <d v="2022-12-23T15:32:46"/>
    <d v="2022-12-28T15:32:46"/>
    <n v="1"/>
    <d v="2022-12-31T15:32:46"/>
    <d v="2023-01-03T15:32:46"/>
    <d v="2023-01-06T15:32:46"/>
    <m/>
    <m/>
    <d v="2023-01-17T15:32:46"/>
    <m/>
    <m/>
    <n v="1"/>
    <n v="7"/>
    <n v="6"/>
    <x v="9"/>
    <n v="4"/>
    <d v="2023-03-23T15:32:46"/>
    <n v="3"/>
    <n v="25"/>
    <n v="14"/>
    <m/>
    <m/>
    <m/>
    <m/>
    <m/>
    <m/>
    <m/>
    <m/>
    <m/>
    <m/>
  </r>
  <r>
    <n v="121"/>
    <s v="121 | Communication and Advocacy"/>
    <x v="2"/>
    <s v="Operations - Executive"/>
    <s v="Director"/>
    <s v="Operations-Director"/>
    <s v="Executive"/>
    <d v="2022-09-24T11:20:41"/>
    <d v="2022-09-28T11:20:41"/>
    <s v="Yes"/>
    <d v="2022-10-08T11:20:41"/>
    <s v="Declined"/>
    <m/>
    <d v="2022-10-14T11:20:41"/>
    <s v="Declined"/>
    <m/>
    <m/>
    <d v="2022-10-11T11:20:41"/>
    <m/>
    <n v="0"/>
    <m/>
    <m/>
    <m/>
    <m/>
    <m/>
    <m/>
    <m/>
    <m/>
    <n v="4"/>
    <n v="14"/>
    <n v="10"/>
    <x v="14"/>
    <n v="3"/>
    <d v="2023-01-09T11:20:41"/>
    <s v=""/>
    <s v=""/>
    <s v=""/>
    <m/>
    <m/>
    <m/>
    <m/>
    <m/>
    <m/>
    <m/>
    <m/>
    <m/>
    <m/>
  </r>
  <r>
    <n v="46"/>
    <s v="46 | Communication and Advocacy"/>
    <x v="2"/>
    <s v="Operations - Executive"/>
    <s v="Director"/>
    <s v="Operations-Director"/>
    <s v="Executive"/>
    <d v="2022-03-01T21:14:55"/>
    <d v="2022-03-03T21:14:55"/>
    <s v="Yes"/>
    <d v="2022-03-25T21:14:55"/>
    <s v="Declined"/>
    <m/>
    <d v="2022-04-02T21:14:55"/>
    <s v="Declined"/>
    <m/>
    <m/>
    <d v="2022-03-29T21:14:55"/>
    <m/>
    <n v="0"/>
    <m/>
    <m/>
    <m/>
    <m/>
    <m/>
    <m/>
    <m/>
    <m/>
    <n v="2"/>
    <n v="24"/>
    <n v="22"/>
    <x v="6"/>
    <n v="4"/>
    <d v="2022-06-27T21:14:55"/>
    <s v=""/>
    <s v=""/>
    <s v=""/>
    <m/>
    <m/>
    <m/>
    <m/>
    <m/>
    <m/>
    <m/>
    <m/>
    <m/>
    <m/>
  </r>
  <r>
    <n v="2641"/>
    <s v="2641 | Communication and Advocacy"/>
    <x v="2"/>
    <s v="Operations - Associate"/>
    <s v="Director"/>
    <s v="Operations-Director"/>
    <s v="Associate"/>
    <d v="2022-01-24T14:06:06"/>
    <d v="2022-01-28T14:06:06"/>
    <s v="Yes"/>
    <d v="2022-02-14T14:06:06"/>
    <s v="Accepted"/>
    <m/>
    <d v="2022-02-18T14:06:06"/>
    <s v="Accepted"/>
    <d v="2022-02-15T14:06:06"/>
    <d v="2022-02-18T14:06:06"/>
    <d v="2022-02-16T14:06:06"/>
    <d v="2022-02-18T14:06:06"/>
    <n v="1"/>
    <d v="2022-02-21T14:06:06"/>
    <d v="2022-02-24T14:06:06"/>
    <d v="2022-02-26T14:06:06"/>
    <m/>
    <m/>
    <d v="2022-03-11T14:06:06"/>
    <m/>
    <m/>
    <n v="4"/>
    <n v="21"/>
    <n v="17"/>
    <x v="3"/>
    <n v="2"/>
    <d v="2022-05-17T14:06:06"/>
    <n v="3"/>
    <n v="23"/>
    <n v="10"/>
    <m/>
    <m/>
    <m/>
    <m/>
    <m/>
    <m/>
    <m/>
    <m/>
    <m/>
    <m/>
  </r>
  <r>
    <n v="2413"/>
    <s v="2413 | Communication and Advocacy"/>
    <x v="2"/>
    <s v="Operations - Associate"/>
    <s v="Director"/>
    <s v="Operations-Director"/>
    <s v="Associate"/>
    <d v="2023-03-25T14:35:51"/>
    <d v="2023-03-26T14:35:5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333"/>
    <s v="2333 | Communication and Advocacy"/>
    <x v="2"/>
    <s v="Operations - Associate"/>
    <s v="Director"/>
    <s v="Operations-Director"/>
    <s v="Associate"/>
    <d v="2022-05-13T09:15:53"/>
    <d v="2022-05-15T09:15:5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253"/>
    <s v="2253 | Communication and Advocacy"/>
    <x v="2"/>
    <s v="Operations - Associate"/>
    <s v="Director"/>
    <s v="Operations-Director"/>
    <s v="Associate"/>
    <d v="2022-08-08T16:27:58"/>
    <d v="2022-08-09T16:27:5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150"/>
    <s v="2150 | Communication and Advocacy"/>
    <x v="2"/>
    <s v="Operations - Associate"/>
    <s v="Director"/>
    <s v="Operations-Director"/>
    <s v="Associate"/>
    <d v="2022-07-04T19:56:24"/>
    <d v="2022-07-06T19:56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052"/>
    <s v="2052 | Communication and Advocacy"/>
    <x v="2"/>
    <s v="Operations - Associate"/>
    <s v="Director"/>
    <s v="Operations-Director"/>
    <s v="Associate"/>
    <d v="2022-01-09T19:56:47"/>
    <d v="2022-01-13T19:56:4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897"/>
    <s v="1897 | Communication and Advocacy"/>
    <x v="2"/>
    <s v="Operations - Associate"/>
    <s v="Director"/>
    <s v="Operations-Director"/>
    <s v="Associate"/>
    <d v="2022-01-31T06:40:23"/>
    <d v="2022-02-04T06:40:2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747"/>
    <s v="1747 | Communication and Advocacy"/>
    <x v="2"/>
    <s v="Operations - Associate"/>
    <s v="Director"/>
    <s v="Operations-Director"/>
    <s v="Associate"/>
    <d v="2023-01-18T19:09:14"/>
    <d v="2023-01-22T19:09:1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428"/>
    <s v="1428 | Communication and Advocacy"/>
    <x v="2"/>
    <s v="Operations - Associate"/>
    <s v="Director"/>
    <s v="Operations-Director"/>
    <s v="Associate"/>
    <d v="2022-04-13T02:42:56"/>
    <d v="2022-04-14T02:42:5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11"/>
    <s v="1211 | Communication and Advocacy"/>
    <x v="2"/>
    <s v="Operations - Associate"/>
    <s v="Director"/>
    <s v="Operations-Director"/>
    <s v="Associate"/>
    <d v="2023-07-23T00:06:13"/>
    <d v="2023-07-27T00:06:13"/>
    <s v="Yes"/>
    <d v="2023-08-06T00:06:13"/>
    <s v="Accepted"/>
    <m/>
    <d v="2023-08-11T00:06:13"/>
    <s v="Accepted"/>
    <d v="2023-08-07T00:06:13"/>
    <d v="2023-08-10T00:06:13"/>
    <d v="2023-08-07T00:06:13"/>
    <d v="2023-08-14T00:06:13"/>
    <n v="1"/>
    <d v="2023-08-17T00:06:13"/>
    <d v="2023-08-20T00:06:13"/>
    <d v="2023-08-21T00:06:13"/>
    <m/>
    <m/>
    <d v="2023-09-07T00:06:13"/>
    <m/>
    <m/>
    <n v="4"/>
    <n v="14"/>
    <n v="10"/>
    <x v="16"/>
    <n v="1"/>
    <d v="2023-11-05T00:06:13"/>
    <n v="3"/>
    <n v="31"/>
    <n v="14"/>
    <m/>
    <m/>
    <m/>
    <m/>
    <m/>
    <m/>
    <m/>
    <m/>
    <m/>
    <m/>
  </r>
  <r>
    <n v="1139"/>
    <s v="1139 | Communication and Advocacy"/>
    <x v="2"/>
    <s v="Operations - Associate"/>
    <s v="Director"/>
    <s v="Operations-Director"/>
    <s v="Associate"/>
    <d v="2022-03-14T19:06:16"/>
    <d v="2022-03-16T19:06:1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022"/>
    <s v="1022 | Communication and Advocacy"/>
    <x v="2"/>
    <s v="Operations - Associate"/>
    <s v="Director"/>
    <s v="Operations-Director"/>
    <s v="Associate"/>
    <d v="2023-01-25T18:59:14"/>
    <d v="2023-01-26T18:59:1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36"/>
    <s v="936 | Communication and Advocacy"/>
    <x v="2"/>
    <s v="Operations - Associate"/>
    <s v="Director"/>
    <s v="Operations-Director"/>
    <s v="Associate"/>
    <d v="2023-03-13T16:55:04"/>
    <d v="2023-03-17T16:55:04"/>
    <s v="Yes"/>
    <d v="2023-04-03T16:55:04"/>
    <s v="Failed"/>
    <s v="Not a culture fit"/>
    <m/>
    <m/>
    <m/>
    <m/>
    <m/>
    <m/>
    <n v="0"/>
    <m/>
    <m/>
    <m/>
    <m/>
    <s v="Company"/>
    <m/>
    <m/>
    <m/>
    <n v="4"/>
    <n v="21"/>
    <n v="17"/>
    <x v="0"/>
    <s v=""/>
    <s v=""/>
    <s v=""/>
    <s v=""/>
    <s v=""/>
    <m/>
    <m/>
    <m/>
    <m/>
    <m/>
    <m/>
    <m/>
    <m/>
    <m/>
    <m/>
  </r>
  <r>
    <n v="850"/>
    <s v="850 | Communication and Advocacy"/>
    <x v="2"/>
    <s v="Operations - Associate"/>
    <s v="Director"/>
    <s v="Operations-Director"/>
    <s v="Associate"/>
    <d v="2022-08-05T20:03:55"/>
    <d v="2022-08-06T20:03:55"/>
    <s v="Yes"/>
    <d v="2022-08-17T20:03:55"/>
    <s v="Failed"/>
    <s v="Not a culture fit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818"/>
    <s v="818 | Communication and Advocacy"/>
    <x v="2"/>
    <s v="Operations - Associate"/>
    <s v="Director"/>
    <s v="Operations-Director"/>
    <s v="Associate"/>
    <d v="2022-04-21T21:29:01"/>
    <d v="2022-04-22T21:29:01"/>
    <s v="Yes"/>
    <d v="2022-05-03T21:29:01"/>
    <s v="Failed"/>
    <s v="Not a culture fit"/>
    <m/>
    <m/>
    <m/>
    <m/>
    <m/>
    <m/>
    <n v="0"/>
    <m/>
    <m/>
    <m/>
    <m/>
    <s v="Candidate"/>
    <m/>
    <m/>
    <m/>
    <n v="1"/>
    <n v="12"/>
    <n v="11"/>
    <x v="0"/>
    <s v=""/>
    <s v=""/>
    <s v=""/>
    <s v=""/>
    <s v=""/>
    <m/>
    <m/>
    <m/>
    <m/>
    <m/>
    <m/>
    <m/>
    <m/>
    <m/>
    <m/>
  </r>
  <r>
    <n v="817"/>
    <s v="817 | Communication and Advocacy"/>
    <x v="2"/>
    <s v="Operations - Associate"/>
    <s v="Director"/>
    <s v="Operations-Director"/>
    <s v="Associate"/>
    <d v="2022-04-21T21:29:01"/>
    <d v="2022-04-22T21:29:01"/>
    <s v="Yes"/>
    <d v="2022-05-01T21:29:01"/>
    <s v="Failed"/>
    <s v="Salary expectation too high"/>
    <m/>
    <m/>
    <m/>
    <m/>
    <m/>
    <m/>
    <n v="0"/>
    <m/>
    <m/>
    <m/>
    <m/>
    <s v="Candidate"/>
    <m/>
    <m/>
    <m/>
    <n v="1"/>
    <n v="10"/>
    <n v="9"/>
    <x v="0"/>
    <s v=""/>
    <s v=""/>
    <s v=""/>
    <s v=""/>
    <s v=""/>
    <m/>
    <m/>
    <m/>
    <m/>
    <m/>
    <m/>
    <m/>
    <m/>
    <m/>
    <m/>
  </r>
  <r>
    <n v="813"/>
    <s v="813 | Communication and Advocacy"/>
    <x v="2"/>
    <s v="Operations - Associate"/>
    <s v="Director"/>
    <s v="Operations-Director"/>
    <s v="Associate"/>
    <d v="2022-04-23T21:29:01"/>
    <d v="2022-04-24T21:29:01"/>
    <s v="Yes"/>
    <d v="2022-05-01T21:29:01"/>
    <s v="Failed"/>
    <s v="Position filled by another"/>
    <m/>
    <m/>
    <m/>
    <m/>
    <d v="2022-05-03T21:29:01"/>
    <m/>
    <n v="0"/>
    <m/>
    <m/>
    <m/>
    <m/>
    <s v="Candidate"/>
    <m/>
    <m/>
    <m/>
    <n v="1"/>
    <n v="8"/>
    <n v="7"/>
    <x v="22"/>
    <n v="2"/>
    <d v="2022-08-01T21:29:01"/>
    <s v=""/>
    <s v=""/>
    <s v=""/>
    <m/>
    <m/>
    <m/>
    <m/>
    <m/>
    <m/>
    <m/>
    <m/>
    <m/>
    <m/>
  </r>
  <r>
    <n v="812"/>
    <s v="812 | Communication and Advocacy"/>
    <x v="2"/>
    <s v="Operations - Associate"/>
    <s v="Director"/>
    <s v="Operations-Director"/>
    <s v="Associate"/>
    <d v="2022-04-23T21:29:01"/>
    <d v="2022-04-24T21:29:01"/>
    <s v="Yes"/>
    <d v="2022-04-29T21:29:01"/>
    <s v="Failed"/>
    <s v="Salary expectation too high"/>
    <m/>
    <m/>
    <m/>
    <m/>
    <m/>
    <m/>
    <n v="0"/>
    <m/>
    <m/>
    <m/>
    <m/>
    <s v="Candidate"/>
    <m/>
    <m/>
    <m/>
    <n v="1"/>
    <n v="6"/>
    <n v="5"/>
    <x v="0"/>
    <s v=""/>
    <s v=""/>
    <s v=""/>
    <s v=""/>
    <s v=""/>
    <m/>
    <m/>
    <m/>
    <m/>
    <m/>
    <m/>
    <m/>
    <m/>
    <m/>
    <m/>
  </r>
  <r>
    <n v="788"/>
    <s v="788 | Communication and Advocacy"/>
    <x v="2"/>
    <s v="Operations - Associate"/>
    <s v="Director"/>
    <s v="Operations-Director"/>
    <s v="Associate"/>
    <d v="2023-01-11T23:55:35"/>
    <d v="2023-01-13T23:55:35"/>
    <s v="Yes"/>
    <d v="2023-01-31T23:55:35"/>
    <s v="Failed"/>
    <s v="Didn't pass technical test"/>
    <m/>
    <m/>
    <m/>
    <m/>
    <d v="2023-02-02T23:55:35"/>
    <m/>
    <n v="0"/>
    <m/>
    <m/>
    <m/>
    <m/>
    <s v="Company"/>
    <m/>
    <m/>
    <m/>
    <n v="2"/>
    <n v="20"/>
    <n v="18"/>
    <x v="7"/>
    <n v="2"/>
    <d v="2023-05-03T23:55:35"/>
    <s v=""/>
    <s v=""/>
    <s v=""/>
    <m/>
    <m/>
    <m/>
    <m/>
    <m/>
    <m/>
    <m/>
    <m/>
    <m/>
    <m/>
  </r>
  <r>
    <n v="786"/>
    <s v="786 | Communication and Advocacy"/>
    <x v="2"/>
    <s v="Operations - Associate"/>
    <s v="Director"/>
    <s v="Operations-Director"/>
    <s v="Associate"/>
    <d v="2023-01-08T23:55:35"/>
    <d v="2023-01-12T23:55:3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783"/>
    <s v="783 | Communication and Advocacy"/>
    <x v="2"/>
    <s v="Operations - Associate"/>
    <s v="Director"/>
    <s v="Operations-Director"/>
    <s v="Associate"/>
    <d v="2023-01-12T23:55:35"/>
    <d v="2023-01-14T23:55:35"/>
    <s v="Yes"/>
    <d v="2023-01-22T23:55:35"/>
    <s v="Failed"/>
    <s v="Not a culture fit"/>
    <m/>
    <m/>
    <m/>
    <m/>
    <d v="2023-01-23T23:55:35"/>
    <m/>
    <n v="0"/>
    <m/>
    <m/>
    <m/>
    <m/>
    <s v="Company"/>
    <m/>
    <m/>
    <m/>
    <n v="2"/>
    <n v="10"/>
    <n v="8"/>
    <x v="9"/>
    <n v="1"/>
    <d v="2023-04-23T23:55:35"/>
    <s v=""/>
    <s v=""/>
    <s v=""/>
    <m/>
    <m/>
    <m/>
    <m/>
    <m/>
    <m/>
    <m/>
    <m/>
    <m/>
    <m/>
  </r>
  <r>
    <n v="732"/>
    <s v="732 | Communication and Advocacy"/>
    <x v="2"/>
    <s v="Operations - Associate"/>
    <s v="Director"/>
    <s v="Operations-Director"/>
    <s v="Associate"/>
    <d v="2023-04-28T15:28:09"/>
    <d v="2023-04-30T15:28:09"/>
    <s v="Yes"/>
    <d v="2023-05-03T15:28:09"/>
    <s v="Failed"/>
    <s v="Not a culture fit"/>
    <m/>
    <m/>
    <m/>
    <m/>
    <m/>
    <m/>
    <n v="0"/>
    <m/>
    <m/>
    <m/>
    <m/>
    <s v="Candidate"/>
    <m/>
    <m/>
    <m/>
    <n v="2"/>
    <n v="5"/>
    <n v="3"/>
    <x v="0"/>
    <s v=""/>
    <s v=""/>
    <s v=""/>
    <s v=""/>
    <s v=""/>
    <m/>
    <m/>
    <m/>
    <m/>
    <m/>
    <m/>
    <m/>
    <m/>
    <m/>
    <m/>
  </r>
  <r>
    <n v="731"/>
    <s v="731 | Communication and Advocacy"/>
    <x v="2"/>
    <s v="Operations - Associate"/>
    <s v="Head of Department"/>
    <s v="Operations-Head of Department"/>
    <s v="Associate"/>
    <d v="2023-04-25T15:28:09"/>
    <d v="2023-04-28T15:28:09"/>
    <s v="Yes"/>
    <d v="2023-05-12T15:28:09"/>
    <s v="Declined"/>
    <m/>
    <d v="2023-05-18T15:28:09"/>
    <s v="Declined"/>
    <m/>
    <m/>
    <d v="2023-05-16T15:28:09"/>
    <m/>
    <n v="0"/>
    <m/>
    <m/>
    <m/>
    <m/>
    <m/>
    <m/>
    <m/>
    <m/>
    <n v="3"/>
    <n v="17"/>
    <n v="14"/>
    <x v="19"/>
    <n v="4"/>
    <d v="2023-08-14T15:28:09"/>
    <s v=""/>
    <s v=""/>
    <s v=""/>
    <m/>
    <m/>
    <m/>
    <m/>
    <m/>
    <m/>
    <m/>
    <m/>
    <m/>
    <m/>
  </r>
  <r>
    <n v="690"/>
    <s v="690 | Communication and Advocacy"/>
    <x v="2"/>
    <s v="Operations - Associate"/>
    <s v="Head of Department"/>
    <s v="Operations-Head of Department"/>
    <s v="Associate"/>
    <d v="2023-06-22T02:46:21"/>
    <d v="2023-06-26T02:46:21"/>
    <s v="Yes"/>
    <d v="2023-07-06T02:46:21"/>
    <s v="Failed"/>
    <s v="Position filled by another"/>
    <m/>
    <m/>
    <m/>
    <m/>
    <m/>
    <m/>
    <n v="0"/>
    <m/>
    <m/>
    <m/>
    <m/>
    <s v="Candidate"/>
    <m/>
    <m/>
    <m/>
    <n v="4"/>
    <n v="14"/>
    <n v="10"/>
    <x v="0"/>
    <s v=""/>
    <s v=""/>
    <s v=""/>
    <s v=""/>
    <s v=""/>
    <m/>
    <m/>
    <m/>
    <m/>
    <m/>
    <m/>
    <m/>
    <m/>
    <m/>
    <m/>
  </r>
  <r>
    <n v="683"/>
    <s v="683 | Communication and Advocacy"/>
    <x v="2"/>
    <s v="Operations - Associate"/>
    <s v="Head of Department"/>
    <s v="Operations-Head of Department"/>
    <s v="Associate"/>
    <d v="2023-06-22T02:46:21"/>
    <d v="2023-06-23T02:46:21"/>
    <s v="Yes"/>
    <d v="2023-07-07T02:46:21"/>
    <s v="Failed"/>
    <s v="Other"/>
    <m/>
    <m/>
    <m/>
    <m/>
    <d v="2023-07-11T02:46:21"/>
    <m/>
    <n v="0"/>
    <m/>
    <m/>
    <m/>
    <m/>
    <s v="Candidate"/>
    <m/>
    <m/>
    <m/>
    <n v="1"/>
    <n v="15"/>
    <n v="14"/>
    <x v="13"/>
    <n v="4"/>
    <d v="2023-10-09T02:46:21"/>
    <s v=""/>
    <s v=""/>
    <s v=""/>
    <m/>
    <m/>
    <m/>
    <m/>
    <m/>
    <m/>
    <m/>
    <m/>
    <m/>
    <m/>
  </r>
  <r>
    <n v="564"/>
    <s v="564 | Communication and Advocacy"/>
    <x v="2"/>
    <s v="Operations - Associate"/>
    <s v="Head of Department"/>
    <s v="Operations-Head of Department"/>
    <s v="Associate"/>
    <d v="2022-11-02T23:10:12"/>
    <d v="2022-11-03T23:10:12"/>
    <s v="Yes"/>
    <d v="2022-11-16T23:10:12"/>
    <s v="Declined"/>
    <m/>
    <d v="2022-11-21T23:10:12"/>
    <s v="Declined"/>
    <m/>
    <m/>
    <d v="2022-11-19T23:10:12"/>
    <m/>
    <n v="0"/>
    <m/>
    <m/>
    <m/>
    <m/>
    <m/>
    <m/>
    <m/>
    <m/>
    <n v="1"/>
    <n v="14"/>
    <n v="13"/>
    <x v="14"/>
    <n v="3"/>
    <d v="2023-02-17T23:10:12"/>
    <s v=""/>
    <s v=""/>
    <s v=""/>
    <m/>
    <m/>
    <m/>
    <m/>
    <m/>
    <m/>
    <m/>
    <m/>
    <m/>
    <m/>
  </r>
  <r>
    <n v="440"/>
    <s v="440 | Communication and Advocacy"/>
    <x v="2"/>
    <s v="Operations - Associate"/>
    <s v="Head of Department"/>
    <s v="Operations-Head of Department"/>
    <s v="Associate"/>
    <d v="2022-06-24T07:34:28"/>
    <d v="2022-06-25T07:34:2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36"/>
    <s v="436 | Communication and Advocacy"/>
    <x v="2"/>
    <s v="Operations - Associate"/>
    <s v="Head of Department"/>
    <s v="Operations-Head of Department"/>
    <s v="Associate"/>
    <d v="2022-06-22T07:34:28"/>
    <d v="2022-06-25T07:34:28"/>
    <s v="Yes"/>
    <d v="2022-07-14T07:34:28"/>
    <s v="Failed"/>
    <s v="Position filled by another"/>
    <m/>
    <m/>
    <m/>
    <m/>
    <d v="2022-07-17T07:34:28"/>
    <m/>
    <n v="0"/>
    <m/>
    <m/>
    <m/>
    <m/>
    <s v="Company"/>
    <m/>
    <m/>
    <m/>
    <n v="3"/>
    <n v="22"/>
    <n v="19"/>
    <x v="11"/>
    <n v="3"/>
    <d v="2022-10-15T07:34:28"/>
    <s v=""/>
    <s v=""/>
    <s v=""/>
    <m/>
    <m/>
    <m/>
    <m/>
    <m/>
    <m/>
    <m/>
    <m/>
    <m/>
    <m/>
  </r>
  <r>
    <n v="433"/>
    <s v="433 | Communication and Advocacy"/>
    <x v="2"/>
    <s v="Operations - Associate"/>
    <s v="Head of Department"/>
    <s v="Operations-Head of Department"/>
    <s v="Associate"/>
    <d v="2022-06-25T07:34:28"/>
    <d v="2022-06-28T07:34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368"/>
    <s v="368 | Communication and Advocacy"/>
    <x v="2"/>
    <s v="Operations - Associate"/>
    <s v="Head of Department"/>
    <s v="Operations-Head of Department"/>
    <s v="Associate"/>
    <d v="2022-05-06T18:02:17"/>
    <d v="2022-05-07T18:02:17"/>
    <s v="Yes"/>
    <d v="2022-05-17T18:02:17"/>
    <s v="Failed"/>
    <s v="Salary expectation too high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367"/>
    <s v="367 | Communication and Advocacy"/>
    <x v="2"/>
    <s v="Operations - Associate"/>
    <s v="Head of Department"/>
    <s v="Operations-Head of Department"/>
    <s v="Associate"/>
    <d v="2022-05-05T18:02:17"/>
    <d v="2022-05-07T18:02:17"/>
    <s v="Yes"/>
    <d v="2022-05-22T18:02:17"/>
    <s v="Declined"/>
    <m/>
    <d v="2022-05-27T18:02:17"/>
    <s v="Declined"/>
    <m/>
    <m/>
    <d v="2022-05-23T18:02:17"/>
    <m/>
    <n v="0"/>
    <m/>
    <m/>
    <m/>
    <m/>
    <m/>
    <m/>
    <m/>
    <m/>
    <n v="2"/>
    <n v="17"/>
    <n v="15"/>
    <x v="12"/>
    <n v="1"/>
    <d v="2022-08-21T18:02:17"/>
    <s v=""/>
    <s v=""/>
    <s v=""/>
    <m/>
    <m/>
    <m/>
    <m/>
    <m/>
    <m/>
    <m/>
    <m/>
    <m/>
    <m/>
  </r>
  <r>
    <n v="362"/>
    <s v="362 | Communication and Advocacy"/>
    <x v="2"/>
    <s v="Operations - Associate"/>
    <s v="Head of Department"/>
    <s v="Operations-Head of Department"/>
    <s v="Associate"/>
    <d v="2022-04-30T18:02:17"/>
    <d v="2022-05-04T18:02:17"/>
    <s v="Yes"/>
    <d v="2022-05-14T18:02:17"/>
    <s v="Declined"/>
    <m/>
    <d v="2022-05-21T18:02:17"/>
    <s v="Declined"/>
    <m/>
    <m/>
    <d v="2022-05-18T18:02:17"/>
    <m/>
    <n v="0"/>
    <m/>
    <m/>
    <m/>
    <m/>
    <m/>
    <m/>
    <m/>
    <m/>
    <n v="4"/>
    <n v="14"/>
    <n v="10"/>
    <x v="12"/>
    <n v="4"/>
    <d v="2022-08-16T18:02:17"/>
    <s v=""/>
    <s v=""/>
    <s v=""/>
    <m/>
    <m/>
    <m/>
    <m/>
    <m/>
    <m/>
    <m/>
    <m/>
    <m/>
    <m/>
  </r>
  <r>
    <n v="356"/>
    <s v="356 | Communication and Advocacy"/>
    <x v="2"/>
    <s v="Operations - Associate"/>
    <s v="Head of Department"/>
    <s v="Operations-Head of Department"/>
    <s v="Associate"/>
    <d v="2022-09-30T04:14:17"/>
    <d v="2022-10-04T04:14:17"/>
    <s v="Yes"/>
    <d v="2022-10-23T04:14:17"/>
    <s v="Accepted"/>
    <m/>
    <d v="2022-10-30T04:14:17"/>
    <s v="Accepted"/>
    <d v="2022-10-25T04:14:17"/>
    <d v="2022-10-29T04:14:17"/>
    <d v="2022-10-27T04:14:17"/>
    <d v="2022-11-01T04:14:17"/>
    <n v="1"/>
    <d v="2022-11-03T04:14:17"/>
    <d v="2022-11-06T04:14:17"/>
    <d v="2022-11-09T04:14:17"/>
    <m/>
    <m/>
    <d v="2022-11-30T04:14:17"/>
    <m/>
    <m/>
    <n v="4"/>
    <n v="23"/>
    <n v="19"/>
    <x v="18"/>
    <n v="4"/>
    <d v="2023-01-25T04:14:17"/>
    <n v="2"/>
    <n v="34"/>
    <n v="13"/>
    <m/>
    <m/>
    <m/>
    <m/>
    <m/>
    <m/>
    <m/>
    <m/>
    <m/>
    <m/>
  </r>
  <r>
    <n v="351"/>
    <s v="351 | Communication and Advocacy"/>
    <x v="2"/>
    <s v="Operations - Associate"/>
    <s v="Head of Department"/>
    <s v="Operations-Head of Department"/>
    <s v="Associate"/>
    <d v="2022-10-02T04:14:17"/>
    <d v="2022-10-06T04:14:17"/>
    <s v="Yes"/>
    <d v="2022-10-14T04:14:17"/>
    <s v="Failed"/>
    <s v="Didn't pass technical test"/>
    <m/>
    <m/>
    <m/>
    <m/>
    <m/>
    <m/>
    <n v="0"/>
    <m/>
    <m/>
    <m/>
    <m/>
    <s v="Candidate"/>
    <m/>
    <m/>
    <m/>
    <n v="4"/>
    <n v="12"/>
    <n v="8"/>
    <x v="0"/>
    <s v=""/>
    <s v=""/>
    <s v=""/>
    <s v=""/>
    <s v=""/>
    <m/>
    <m/>
    <m/>
    <m/>
    <m/>
    <m/>
    <m/>
    <m/>
    <m/>
    <m/>
  </r>
  <r>
    <n v="325"/>
    <s v="325 | Communication and Advocacy"/>
    <x v="2"/>
    <s v="Operations - Associate"/>
    <s v="Head of Department"/>
    <s v="Operations-Head of Department"/>
    <s v="Associate"/>
    <d v="2022-01-16T22:01:29"/>
    <d v="2022-01-17T22:01:29"/>
    <s v="Yes"/>
    <d v="2022-01-23T22:01:29"/>
    <s v="Failed"/>
    <s v="Didn't pass technical test"/>
    <m/>
    <m/>
    <m/>
    <m/>
    <m/>
    <m/>
    <n v="0"/>
    <m/>
    <m/>
    <m/>
    <m/>
    <s v="Candidate"/>
    <m/>
    <m/>
    <m/>
    <n v="1"/>
    <n v="7"/>
    <n v="6"/>
    <x v="0"/>
    <s v=""/>
    <s v=""/>
    <s v=""/>
    <s v=""/>
    <s v=""/>
    <m/>
    <m/>
    <m/>
    <m/>
    <m/>
    <m/>
    <m/>
    <m/>
    <m/>
    <m/>
  </r>
  <r>
    <n v="300"/>
    <s v="300 | Communication and Advocacy"/>
    <x v="2"/>
    <s v="Operations - Associate"/>
    <s v="Head of Department"/>
    <s v="Operations-Head of Department"/>
    <s v="Associate"/>
    <d v="2023-07-25T17:45:37"/>
    <d v="2023-07-29T17:45:37"/>
    <s v="Yes"/>
    <d v="2023-08-07T17:45:37"/>
    <s v="Failed"/>
    <s v="Other"/>
    <m/>
    <m/>
    <m/>
    <m/>
    <m/>
    <m/>
    <n v="0"/>
    <m/>
    <m/>
    <m/>
    <m/>
    <s v="Company"/>
    <m/>
    <m/>
    <m/>
    <n v="4"/>
    <n v="13"/>
    <n v="9"/>
    <x v="0"/>
    <s v=""/>
    <s v=""/>
    <s v=""/>
    <s v=""/>
    <s v=""/>
    <m/>
    <m/>
    <m/>
    <m/>
    <m/>
    <m/>
    <m/>
    <m/>
    <m/>
    <m/>
  </r>
  <r>
    <n v="299"/>
    <s v="299 | Communication and Advocacy"/>
    <x v="2"/>
    <s v="Operations - Associate"/>
    <s v="Head of Department"/>
    <s v="Operations-Head of Department"/>
    <s v="Associate"/>
    <d v="2023-07-26T17:45:37"/>
    <d v="2023-07-30T17:45:37"/>
    <s v="Yes"/>
    <d v="2023-08-04T17:45:37"/>
    <s v="Pending"/>
    <m/>
    <d v="2023-08-07T17:45:37"/>
    <s v="Pending"/>
    <m/>
    <m/>
    <d v="2023-08-06T17:45:37"/>
    <m/>
    <n v="0"/>
    <m/>
    <m/>
    <m/>
    <m/>
    <m/>
    <m/>
    <m/>
    <m/>
    <n v="4"/>
    <n v="9"/>
    <n v="5"/>
    <x v="9"/>
    <n v="2"/>
    <d v="2023-11-04T17:45:37"/>
    <s v=""/>
    <s v=""/>
    <s v=""/>
    <m/>
    <m/>
    <m/>
    <m/>
    <m/>
    <m/>
    <m/>
    <m/>
    <m/>
    <m/>
  </r>
  <r>
    <n v="295"/>
    <s v="295 | Communication and Advocacy"/>
    <x v="2"/>
    <s v="Operations - Associate"/>
    <s v="Director"/>
    <s v="Operations-Director"/>
    <s v="Associate"/>
    <d v="2023-07-25T17:45:37"/>
    <d v="2023-07-26T17:45:3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94"/>
    <s v="294 | Communication and Advocacy"/>
    <x v="2"/>
    <s v="Operations - Associate"/>
    <s v="Director"/>
    <s v="Operations-Director"/>
    <s v="Associate"/>
    <d v="2023-07-23T17:45:37"/>
    <d v="2023-07-25T17:45:3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92"/>
    <s v="292 | Communication and Advocacy"/>
    <x v="2"/>
    <s v="Operations - Associate"/>
    <s v="Director"/>
    <s v="Operations-Director"/>
    <s v="Associate"/>
    <d v="2023-07-27T17:45:37"/>
    <d v="2023-07-29T17:45:37"/>
    <s v="Yes"/>
    <d v="2023-08-18T17:45:37"/>
    <s v="Failed"/>
    <s v="Salary expectation too high"/>
    <m/>
    <m/>
    <m/>
    <m/>
    <m/>
    <m/>
    <n v="0"/>
    <m/>
    <m/>
    <m/>
    <m/>
    <s v="Company"/>
    <m/>
    <m/>
    <m/>
    <n v="2"/>
    <n v="22"/>
    <n v="20"/>
    <x v="0"/>
    <s v=""/>
    <s v=""/>
    <s v=""/>
    <s v=""/>
    <s v=""/>
    <m/>
    <m/>
    <m/>
    <m/>
    <m/>
    <m/>
    <m/>
    <m/>
    <m/>
    <m/>
  </r>
  <r>
    <n v="200"/>
    <s v="200 | Communication and Advocacy"/>
    <x v="2"/>
    <s v="Operations - Associate"/>
    <s v="Director"/>
    <s v="Operations-Director"/>
    <s v="Associate"/>
    <d v="2022-06-14T18:28:45"/>
    <d v="2022-06-18T18:28:45"/>
    <s v="Yes"/>
    <d v="2022-06-26T18:28:45"/>
    <s v="Declined"/>
    <m/>
    <d v="2022-07-02T18:28:45"/>
    <s v="Declined"/>
    <m/>
    <m/>
    <d v="2022-06-28T18:28:45"/>
    <m/>
    <n v="0"/>
    <m/>
    <m/>
    <m/>
    <m/>
    <m/>
    <m/>
    <m/>
    <m/>
    <n v="4"/>
    <n v="12"/>
    <n v="8"/>
    <x v="1"/>
    <n v="2"/>
    <d v="2022-09-26T18:28:45"/>
    <s v=""/>
    <s v=""/>
    <s v=""/>
    <m/>
    <m/>
    <m/>
    <m/>
    <m/>
    <m/>
    <m/>
    <m/>
    <m/>
    <m/>
  </r>
  <r>
    <n v="191"/>
    <s v="191 | Communication and Advocacy"/>
    <x v="2"/>
    <s v="Operations - Associate"/>
    <s v="Director"/>
    <s v="Operations-Director"/>
    <s v="Associate"/>
    <d v="2022-06-13T18:28:45"/>
    <d v="2022-06-15T18:28:45"/>
    <s v="Yes"/>
    <d v="2022-07-03T18:28:45"/>
    <s v="Failed"/>
    <s v="Not a culture fit"/>
    <m/>
    <m/>
    <m/>
    <m/>
    <d v="2022-07-04T18:28:45"/>
    <m/>
    <n v="0"/>
    <m/>
    <m/>
    <m/>
    <m/>
    <s v="Candidate"/>
    <m/>
    <m/>
    <m/>
    <n v="2"/>
    <n v="20"/>
    <n v="18"/>
    <x v="19"/>
    <n v="1"/>
    <d v="2022-10-02T18:28:45"/>
    <s v=""/>
    <s v=""/>
    <s v=""/>
    <m/>
    <m/>
    <m/>
    <m/>
    <m/>
    <m/>
    <m/>
    <m/>
    <m/>
    <m/>
  </r>
  <r>
    <n v="164"/>
    <s v="164 | Communication and Advocacy"/>
    <x v="2"/>
    <s v="Operations - Associate"/>
    <s v="Lead"/>
    <s v="Operations-Lead"/>
    <s v="Associate"/>
    <d v="2022-12-11T15:32:46"/>
    <d v="2022-12-14T15:32:46"/>
    <s v="Yes"/>
    <d v="2022-12-22T15:32:46"/>
    <s v="Failed"/>
    <s v="Position filled by another"/>
    <m/>
    <m/>
    <m/>
    <m/>
    <m/>
    <m/>
    <n v="0"/>
    <m/>
    <m/>
    <m/>
    <m/>
    <s v="Company"/>
    <m/>
    <m/>
    <m/>
    <n v="3"/>
    <n v="11"/>
    <n v="8"/>
    <x v="0"/>
    <s v=""/>
    <s v=""/>
    <s v=""/>
    <s v=""/>
    <s v=""/>
    <m/>
    <m/>
    <m/>
    <m/>
    <m/>
    <m/>
    <m/>
    <m/>
    <m/>
    <m/>
  </r>
  <r>
    <n v="162"/>
    <s v="162 | Communication and Advocacy"/>
    <x v="2"/>
    <s v="Operations - Associate"/>
    <s v="Lead"/>
    <s v="Operations-Lead"/>
    <s v="Associate"/>
    <d v="2022-12-09T15:32:46"/>
    <d v="2022-12-12T15:32:46"/>
    <s v="Yes"/>
    <d v="2022-12-28T15:32:46"/>
    <s v="Failed"/>
    <s v="Position filled by another"/>
    <m/>
    <m/>
    <m/>
    <m/>
    <m/>
    <m/>
    <n v="0"/>
    <m/>
    <m/>
    <m/>
    <m/>
    <s v="Candidate"/>
    <m/>
    <m/>
    <m/>
    <n v="3"/>
    <n v="19"/>
    <n v="16"/>
    <x v="0"/>
    <s v=""/>
    <s v=""/>
    <s v=""/>
    <s v=""/>
    <s v=""/>
    <m/>
    <m/>
    <m/>
    <m/>
    <m/>
    <m/>
    <m/>
    <m/>
    <m/>
    <m/>
  </r>
  <r>
    <n v="89"/>
    <s v="89 | Communication and Advocacy"/>
    <x v="2"/>
    <s v="Operations - Associate"/>
    <s v="Lead"/>
    <s v="Operations-Lead"/>
    <s v="Associate"/>
    <d v="2022-06-15T02:13:25"/>
    <d v="2022-06-18T02:13:25"/>
    <s v="Yes"/>
    <d v="2022-06-24T02:13:25"/>
    <s v="Failed"/>
    <s v="Not a culture fit"/>
    <m/>
    <m/>
    <m/>
    <m/>
    <d v="2022-06-25T02:13:25"/>
    <m/>
    <n v="0"/>
    <m/>
    <m/>
    <m/>
    <m/>
    <s v="Candidate"/>
    <m/>
    <m/>
    <m/>
    <n v="3"/>
    <n v="9"/>
    <n v="6"/>
    <x v="22"/>
    <n v="1"/>
    <d v="2022-09-23T02:13:25"/>
    <s v=""/>
    <s v=""/>
    <s v=""/>
    <m/>
    <m/>
    <m/>
    <m/>
    <m/>
    <m/>
    <m/>
    <m/>
    <m/>
    <m/>
  </r>
  <r>
    <n v="83"/>
    <s v="83 | Communication and Advocacy"/>
    <x v="2"/>
    <s v="Operations - Associate"/>
    <s v="Lead"/>
    <s v="Operations-Lead"/>
    <s v="Associate"/>
    <d v="2022-06-10T02:13:25"/>
    <d v="2022-06-13T02:13:25"/>
    <s v="Yes"/>
    <d v="2022-07-02T02:13:25"/>
    <s v="Declined"/>
    <m/>
    <d v="2022-07-07T02:13:25"/>
    <s v="Declined"/>
    <m/>
    <m/>
    <d v="2022-07-04T02:13:25"/>
    <m/>
    <n v="0"/>
    <m/>
    <m/>
    <m/>
    <m/>
    <m/>
    <m/>
    <m/>
    <m/>
    <n v="3"/>
    <n v="22"/>
    <n v="19"/>
    <x v="21"/>
    <n v="2"/>
    <d v="2022-10-02T02:13:25"/>
    <s v=""/>
    <s v=""/>
    <s v=""/>
    <m/>
    <m/>
    <m/>
    <m/>
    <m/>
    <m/>
    <m/>
    <m/>
    <m/>
    <m/>
  </r>
  <r>
    <n v="82"/>
    <s v="82 | Communication and Advocacy"/>
    <x v="2"/>
    <s v="Operations - Associate"/>
    <s v="Lead"/>
    <s v="Operations-Lead"/>
    <s v="Associate"/>
    <d v="2022-06-17T02:13:25"/>
    <d v="2022-06-18T02:13:25"/>
    <s v="Yes"/>
    <d v="2022-06-26T02:13:25"/>
    <s v="Failed"/>
    <s v="Salary expectation too high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45"/>
    <s v="45 | Communication and Advocacy"/>
    <x v="2"/>
    <s v="Operations - Associate"/>
    <s v="Lead"/>
    <s v="Operations-Lead"/>
    <s v="Associate"/>
    <d v="2022-03-02T21:14:55"/>
    <d v="2022-03-03T21:14:5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988"/>
    <s v="2988 | M and E"/>
    <x v="3"/>
    <s v="M and E - Senior Management"/>
    <s v="Lead"/>
    <s v="M and E-Lead"/>
    <s v="Senior Management"/>
    <d v="2022-12-28T23:42:41"/>
    <d v="2023-01-01T23:42:41"/>
    <s v="Yes"/>
    <d v="2023-01-07T23:42:41"/>
    <s v="Failed"/>
    <s v="Salary expectation too high"/>
    <m/>
    <m/>
    <m/>
    <m/>
    <m/>
    <m/>
    <n v="0"/>
    <m/>
    <m/>
    <m/>
    <m/>
    <s v="Company"/>
    <m/>
    <m/>
    <m/>
    <n v="4"/>
    <n v="10"/>
    <n v="6"/>
    <x v="0"/>
    <s v=""/>
    <s v=""/>
    <s v=""/>
    <s v=""/>
    <s v=""/>
    <m/>
    <m/>
    <m/>
    <m/>
    <m/>
    <m/>
    <m/>
    <m/>
    <m/>
    <m/>
  </r>
  <r>
    <n v="2981"/>
    <s v="2981 | M and E"/>
    <x v="3"/>
    <s v="M and E - Senior Management"/>
    <s v="Lead"/>
    <s v="M and E-Lead"/>
    <s v="Senior Management"/>
    <d v="2022-12-29T23:42:41"/>
    <d v="2022-12-31T23:42:41"/>
    <s v="Yes"/>
    <d v="2023-01-20T23:42:41"/>
    <s v="Failed"/>
    <s v="Not a culture fit"/>
    <m/>
    <m/>
    <m/>
    <m/>
    <m/>
    <m/>
    <n v="0"/>
    <m/>
    <m/>
    <m/>
    <m/>
    <s v="Company"/>
    <m/>
    <m/>
    <m/>
    <n v="2"/>
    <n v="22"/>
    <n v="20"/>
    <x v="0"/>
    <s v=""/>
    <s v=""/>
    <s v=""/>
    <s v=""/>
    <s v=""/>
    <m/>
    <m/>
    <m/>
    <m/>
    <m/>
    <m/>
    <m/>
    <m/>
    <m/>
    <m/>
  </r>
  <r>
    <n v="2902"/>
    <s v="2902 | M and E"/>
    <x v="3"/>
    <s v="M and E - Senior Management"/>
    <s v="Lead"/>
    <s v="M and E-Lead"/>
    <s v="Senior Management"/>
    <d v="2022-02-27T07:11:44"/>
    <d v="2022-02-28T07:11:44"/>
    <s v="Yes"/>
    <d v="2022-03-09T07:11:44"/>
    <s v="Failed"/>
    <s v="Salary expectation too high"/>
    <m/>
    <m/>
    <m/>
    <m/>
    <m/>
    <m/>
    <n v="0"/>
    <m/>
    <m/>
    <m/>
    <m/>
    <s v="Company"/>
    <m/>
    <m/>
    <m/>
    <n v="1"/>
    <n v="10"/>
    <n v="9"/>
    <x v="0"/>
    <s v=""/>
    <s v=""/>
    <s v=""/>
    <s v=""/>
    <s v=""/>
    <m/>
    <m/>
    <m/>
    <m/>
    <m/>
    <m/>
    <m/>
    <m/>
    <m/>
    <m/>
  </r>
  <r>
    <n v="2901"/>
    <s v="2901 | M and E"/>
    <x v="3"/>
    <s v="M and E - Senior Management"/>
    <s v="Lead"/>
    <s v="M and E-Lead"/>
    <s v="Senior Management"/>
    <d v="2022-02-28T07:11:44"/>
    <d v="2022-03-01T07:11:44"/>
    <s v="Yes"/>
    <d v="2022-03-17T07:11:44"/>
    <s v="Failed"/>
    <s v="Other"/>
    <m/>
    <m/>
    <m/>
    <m/>
    <m/>
    <m/>
    <n v="0"/>
    <m/>
    <m/>
    <m/>
    <m/>
    <s v="Company"/>
    <m/>
    <m/>
    <m/>
    <n v="1"/>
    <n v="17"/>
    <n v="16"/>
    <x v="0"/>
    <s v=""/>
    <s v=""/>
    <s v=""/>
    <s v=""/>
    <s v=""/>
    <m/>
    <m/>
    <m/>
    <m/>
    <m/>
    <m/>
    <m/>
    <m/>
    <m/>
    <m/>
  </r>
  <r>
    <n v="2817"/>
    <s v="2817 | M and E"/>
    <x v="3"/>
    <s v="M and E - Senior Management"/>
    <s v="Lead"/>
    <s v="M and E-Lead"/>
    <s v="Senior Management"/>
    <d v="2022-11-30T20:42:08"/>
    <d v="2022-12-01T20:42:08"/>
    <s v="Yes"/>
    <d v="2022-12-12T20:42:08"/>
    <s v="Failed"/>
    <s v="Didn't pass technical test"/>
    <m/>
    <m/>
    <m/>
    <m/>
    <d v="2022-12-16T20:42:08"/>
    <m/>
    <n v="0"/>
    <m/>
    <m/>
    <m/>
    <m/>
    <s v="Candidate"/>
    <m/>
    <m/>
    <m/>
    <n v="1"/>
    <n v="12"/>
    <n v="11"/>
    <x v="20"/>
    <n v="4"/>
    <d v="2023-03-16T20:42:08"/>
    <s v=""/>
    <s v=""/>
    <s v=""/>
    <m/>
    <m/>
    <m/>
    <m/>
    <m/>
    <m/>
    <m/>
    <m/>
    <m/>
    <m/>
  </r>
  <r>
    <n v="2696"/>
    <s v="2696 | M and E"/>
    <x v="3"/>
    <s v="M and E - Senior Management"/>
    <s v="Lead"/>
    <s v="M and E-Lead"/>
    <s v="Senior Management"/>
    <d v="2023-04-01T23:49:48"/>
    <d v="2023-04-05T23:49:48"/>
    <s v="Yes"/>
    <d v="2023-04-18T23:49:48"/>
    <s v="Failed"/>
    <s v="Not a culture fit"/>
    <m/>
    <m/>
    <m/>
    <m/>
    <m/>
    <m/>
    <n v="0"/>
    <m/>
    <m/>
    <m/>
    <m/>
    <s v="Company"/>
    <m/>
    <m/>
    <m/>
    <n v="4"/>
    <n v="17"/>
    <n v="13"/>
    <x v="0"/>
    <s v=""/>
    <s v=""/>
    <s v=""/>
    <s v=""/>
    <s v=""/>
    <m/>
    <m/>
    <m/>
    <m/>
    <m/>
    <m/>
    <m/>
    <m/>
    <m/>
    <m/>
  </r>
  <r>
    <n v="2347"/>
    <s v="2347 | M and E"/>
    <x v="3"/>
    <s v="M and E - Senior Management"/>
    <s v="Lead"/>
    <s v="M and E-Lead"/>
    <s v="Senior Management"/>
    <d v="2023-05-09T08:44:55"/>
    <d v="2023-05-11T08:44:55"/>
    <s v="Yes"/>
    <d v="2023-05-22T08:44:55"/>
    <s v="Failed"/>
    <s v="Didn't pass technical test"/>
    <m/>
    <m/>
    <m/>
    <m/>
    <m/>
    <m/>
    <n v="0"/>
    <m/>
    <m/>
    <m/>
    <m/>
    <s v="Candidate"/>
    <m/>
    <m/>
    <m/>
    <n v="2"/>
    <n v="13"/>
    <n v="11"/>
    <x v="0"/>
    <s v=""/>
    <s v=""/>
    <s v=""/>
    <s v=""/>
    <s v=""/>
    <m/>
    <m/>
    <m/>
    <m/>
    <m/>
    <m/>
    <m/>
    <m/>
    <m/>
    <m/>
  </r>
  <r>
    <n v="2298"/>
    <s v="2298 | M and E"/>
    <x v="3"/>
    <s v="M and E - Senior Management"/>
    <s v="Lead"/>
    <s v="M and E-Lead"/>
    <s v="Senior Management"/>
    <d v="2023-07-02T15:45:36"/>
    <d v="2023-07-05T15:45:36"/>
    <s v="Yes"/>
    <d v="2023-07-20T15:45:36"/>
    <s v="Failed"/>
    <s v="Not a culture fit"/>
    <m/>
    <m/>
    <m/>
    <m/>
    <d v="2023-07-22T15:45:36"/>
    <m/>
    <n v="0"/>
    <m/>
    <m/>
    <m/>
    <m/>
    <s v="Company"/>
    <m/>
    <m/>
    <m/>
    <n v="3"/>
    <n v="18"/>
    <n v="15"/>
    <x v="15"/>
    <n v="2"/>
    <d v="2023-10-20T15:45:36"/>
    <s v=""/>
    <s v=""/>
    <s v=""/>
    <m/>
    <m/>
    <m/>
    <m/>
    <m/>
    <m/>
    <m/>
    <m/>
    <m/>
    <m/>
  </r>
  <r>
    <n v="2048"/>
    <s v="2048 | M and E"/>
    <x v="3"/>
    <s v="M and E - Senior Management"/>
    <s v="Lead"/>
    <s v="M and E-Lead"/>
    <s v="Senior Management"/>
    <d v="2022-07-13T04:48:46"/>
    <d v="2022-07-17T04:48:46"/>
    <s v="Yes"/>
    <d v="2022-08-02T04:48:46"/>
    <s v="Failed"/>
    <s v="Salary expectation too high"/>
    <m/>
    <m/>
    <m/>
    <m/>
    <m/>
    <m/>
    <n v="0"/>
    <m/>
    <m/>
    <m/>
    <m/>
    <s v="Company"/>
    <m/>
    <m/>
    <m/>
    <n v="4"/>
    <n v="20"/>
    <n v="16"/>
    <x v="0"/>
    <s v=""/>
    <s v=""/>
    <s v=""/>
    <s v=""/>
    <s v=""/>
    <m/>
    <m/>
    <m/>
    <m/>
    <m/>
    <m/>
    <m/>
    <m/>
    <m/>
    <m/>
  </r>
  <r>
    <n v="2019"/>
    <s v="2019 | M and E"/>
    <x v="3"/>
    <s v="M and E - Senior Management"/>
    <s v="Lead"/>
    <s v="M and E-Lead"/>
    <s v="Senior Management"/>
    <d v="2023-06-05T14:00:49"/>
    <d v="2023-06-08T14:00:49"/>
    <s v="Yes"/>
    <d v="2023-06-14T14:00:49"/>
    <s v="Failed"/>
    <s v="Not a culture fit"/>
    <m/>
    <m/>
    <m/>
    <m/>
    <d v="2023-06-17T14:00:49"/>
    <m/>
    <n v="0"/>
    <m/>
    <m/>
    <m/>
    <m/>
    <s v="Company"/>
    <m/>
    <m/>
    <m/>
    <n v="3"/>
    <n v="9"/>
    <n v="6"/>
    <x v="24"/>
    <n v="3"/>
    <d v="2023-09-15T14:00:49"/>
    <s v=""/>
    <s v=""/>
    <s v=""/>
    <m/>
    <m/>
    <m/>
    <m/>
    <m/>
    <m/>
    <m/>
    <m/>
    <m/>
    <m/>
  </r>
  <r>
    <n v="1948"/>
    <s v="1948 | M and E"/>
    <x v="3"/>
    <s v="M and E - Senior Management"/>
    <s v="Senior Manager"/>
    <s v="M and E-Senior Manager"/>
    <s v="Senior Management"/>
    <d v="2023-02-24T06:20:20"/>
    <d v="2023-02-27T06:20:20"/>
    <s v="Yes"/>
    <d v="2023-03-20T06:20:20"/>
    <s v="Failed"/>
    <s v="Not a culture fit"/>
    <m/>
    <m/>
    <m/>
    <m/>
    <m/>
    <m/>
    <n v="0"/>
    <m/>
    <m/>
    <m/>
    <m/>
    <s v="Company"/>
    <m/>
    <m/>
    <m/>
    <n v="3"/>
    <n v="24"/>
    <n v="21"/>
    <x v="0"/>
    <s v=""/>
    <s v=""/>
    <s v=""/>
    <s v=""/>
    <s v=""/>
    <m/>
    <m/>
    <m/>
    <m/>
    <m/>
    <m/>
    <m/>
    <m/>
    <m/>
    <m/>
  </r>
  <r>
    <n v="1840"/>
    <s v="1840 | M and E"/>
    <x v="3"/>
    <s v="M and E - Senior Management"/>
    <s v="Senior Manager"/>
    <s v="M and E-Senior Manager"/>
    <s v="Senior Management"/>
    <d v="2023-04-21T08:48:53"/>
    <d v="2023-04-23T08:48:53"/>
    <s v="Yes"/>
    <d v="2023-05-01T08:48:53"/>
    <s v="Failed"/>
    <s v="Salary expectation too high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1781"/>
    <s v="1781 | M and E"/>
    <x v="3"/>
    <s v="M and E - Senior Management"/>
    <s v="Senior Manager"/>
    <s v="M and E-Senior Manager"/>
    <s v="Senior Management"/>
    <d v="2022-04-07T08:33:21"/>
    <d v="2022-04-08T08:33:21"/>
    <s v="Yes"/>
    <d v="2022-04-22T08:33:21"/>
    <s v="Failed"/>
    <s v="Didn't pass technical test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1728"/>
    <s v="1728 | M and E"/>
    <x v="3"/>
    <s v="M and E - Senior Management"/>
    <s v="Senior Manager"/>
    <s v="M and E-Senior Manager"/>
    <s v="Senior Management"/>
    <d v="2022-10-26T12:00:37"/>
    <d v="2022-10-30T12:00:37"/>
    <s v="Yes"/>
    <d v="2022-11-11T12:00:37"/>
    <s v="Failed"/>
    <s v="Didn't pass technical test"/>
    <m/>
    <m/>
    <m/>
    <m/>
    <d v="2022-11-13T12:00:37"/>
    <m/>
    <n v="0"/>
    <m/>
    <m/>
    <m/>
    <m/>
    <s v="Company"/>
    <m/>
    <m/>
    <m/>
    <n v="4"/>
    <n v="16"/>
    <n v="12"/>
    <x v="12"/>
    <n v="2"/>
    <d v="2023-02-11T12:00:37"/>
    <s v=""/>
    <s v=""/>
    <s v=""/>
    <m/>
    <m/>
    <m/>
    <m/>
    <m/>
    <m/>
    <m/>
    <m/>
    <m/>
    <m/>
  </r>
  <r>
    <n v="1371"/>
    <s v="1371 | M and E"/>
    <x v="3"/>
    <s v="M and E - Senior Management"/>
    <s v="Senior Manager"/>
    <s v="M and E-Senior Manager"/>
    <s v="Senior Management"/>
    <d v="2022-10-31T03:08:08"/>
    <d v="2022-11-03T03:08:08"/>
    <s v="Yes"/>
    <d v="2022-11-21T03:08:08"/>
    <s v="Failed"/>
    <s v="Not a culture fit"/>
    <m/>
    <m/>
    <m/>
    <m/>
    <d v="2022-11-25T03:08:08"/>
    <m/>
    <n v="0"/>
    <m/>
    <m/>
    <m/>
    <m/>
    <s v="Company"/>
    <m/>
    <m/>
    <m/>
    <n v="3"/>
    <n v="21"/>
    <n v="18"/>
    <x v="11"/>
    <n v="4"/>
    <d v="2023-02-23T03:08:08"/>
    <s v=""/>
    <s v=""/>
    <s v=""/>
    <m/>
    <m/>
    <m/>
    <m/>
    <m/>
    <m/>
    <m/>
    <m/>
    <m/>
    <m/>
  </r>
  <r>
    <n v="1058"/>
    <s v="1058 | M and E"/>
    <x v="3"/>
    <s v="M and E - Senior Management"/>
    <s v="Senior Manager"/>
    <s v="M and E-Senior Manager"/>
    <s v="Senior Management"/>
    <d v="2023-08-15T04:19:54"/>
    <d v="2023-08-19T04:19:54"/>
    <s v="Yes"/>
    <d v="2023-09-05T04:19:54"/>
    <s v="Failed"/>
    <s v="Salary expectation too high"/>
    <m/>
    <m/>
    <m/>
    <m/>
    <m/>
    <m/>
    <n v="0"/>
    <m/>
    <m/>
    <m/>
    <m/>
    <s v="Candidate"/>
    <m/>
    <m/>
    <m/>
    <n v="4"/>
    <n v="21"/>
    <n v="17"/>
    <x v="0"/>
    <s v=""/>
    <s v=""/>
    <s v=""/>
    <s v=""/>
    <s v=""/>
    <m/>
    <m/>
    <m/>
    <m/>
    <m/>
    <m/>
    <m/>
    <m/>
    <m/>
    <m/>
  </r>
  <r>
    <n v="2986"/>
    <s v="2986 | M and E"/>
    <x v="3"/>
    <s v="M and E - Senior"/>
    <s v="Auditor"/>
    <s v="M and E-Auditor"/>
    <s v="Senior"/>
    <d v="2022-12-31T23:42:41"/>
    <d v="2023-01-03T23:42:41"/>
    <s v="Yes"/>
    <d v="2023-01-09T23:42:41"/>
    <s v="Accepted"/>
    <m/>
    <d v="2023-01-14T23:42:41"/>
    <s v="Accepted"/>
    <d v="2023-01-10T23:42:41"/>
    <d v="2023-01-14T23:42:41"/>
    <d v="2023-01-11T23:42:41"/>
    <d v="2023-01-16T23:42:41"/>
    <n v="1"/>
    <d v="2023-01-18T23:42:41"/>
    <d v="2023-01-21T23:42:41"/>
    <d v="2023-01-23T23:42:41"/>
    <m/>
    <m/>
    <d v="2023-02-02T23:42:41"/>
    <m/>
    <m/>
    <n v="3"/>
    <n v="9"/>
    <n v="6"/>
    <x v="9"/>
    <n v="2"/>
    <d v="2023-04-11T23:42:41"/>
    <n v="2"/>
    <n v="22"/>
    <n v="12"/>
    <m/>
    <m/>
    <m/>
    <m/>
    <m/>
    <m/>
    <m/>
    <m/>
    <m/>
    <m/>
  </r>
  <r>
    <n v="2903"/>
    <s v="2903 | M and E"/>
    <x v="3"/>
    <s v="M and E - Senior"/>
    <s v="Auditor"/>
    <s v="M and E-Auditor"/>
    <s v="Senior"/>
    <d v="2022-02-23T07:11:44"/>
    <d v="2022-02-26T07:11:44"/>
    <s v="Yes"/>
    <d v="2022-03-15T07:11:44"/>
    <s v="Failed"/>
    <s v="Salary expectation too high"/>
    <m/>
    <m/>
    <m/>
    <m/>
    <d v="2022-03-18T07:11:44"/>
    <m/>
    <n v="0"/>
    <m/>
    <m/>
    <m/>
    <m/>
    <s v="Company"/>
    <m/>
    <m/>
    <m/>
    <n v="3"/>
    <n v="20"/>
    <n v="17"/>
    <x v="3"/>
    <n v="3"/>
    <d v="2022-06-16T07:11:44"/>
    <s v=""/>
    <s v=""/>
    <s v=""/>
    <m/>
    <m/>
    <m/>
    <m/>
    <m/>
    <m/>
    <m/>
    <m/>
    <m/>
    <m/>
  </r>
  <r>
    <n v="2873"/>
    <s v="2873 | M and E"/>
    <x v="3"/>
    <s v="M and E - Senior"/>
    <s v="Auditor"/>
    <s v="M and E-Auditor"/>
    <s v="Senior"/>
    <d v="2023-07-04T03:57:06"/>
    <d v="2023-07-08T03:57:06"/>
    <s v="Yes"/>
    <d v="2023-07-16T03:57:06"/>
    <s v="Failed"/>
    <s v="Position filled by another"/>
    <m/>
    <m/>
    <m/>
    <m/>
    <d v="2023-07-20T03:57:06"/>
    <m/>
    <n v="0"/>
    <m/>
    <m/>
    <m/>
    <m/>
    <s v="Company"/>
    <m/>
    <m/>
    <m/>
    <n v="4"/>
    <n v="12"/>
    <n v="8"/>
    <x v="20"/>
    <n v="4"/>
    <d v="2023-10-18T03:57:06"/>
    <s v=""/>
    <s v=""/>
    <s v=""/>
    <m/>
    <m/>
    <m/>
    <m/>
    <m/>
    <m/>
    <m/>
    <m/>
    <m/>
    <m/>
  </r>
  <r>
    <n v="2872"/>
    <s v="2872 | M and E"/>
    <x v="3"/>
    <s v="M and E - Senior"/>
    <s v="Auditor"/>
    <s v="M and E-Auditor"/>
    <s v="Senior"/>
    <d v="2023-07-10T03:57:06"/>
    <d v="2023-07-11T03:57:06"/>
    <s v="Yes"/>
    <d v="2023-07-22T03:57:06"/>
    <s v="Failed"/>
    <s v="Other"/>
    <m/>
    <m/>
    <m/>
    <m/>
    <m/>
    <m/>
    <n v="0"/>
    <m/>
    <m/>
    <m/>
    <m/>
    <s v="Candidate"/>
    <m/>
    <m/>
    <m/>
    <n v="1"/>
    <n v="12"/>
    <n v="11"/>
    <x v="0"/>
    <s v=""/>
    <s v=""/>
    <s v=""/>
    <s v=""/>
    <s v=""/>
    <m/>
    <m/>
    <m/>
    <m/>
    <m/>
    <m/>
    <m/>
    <m/>
    <m/>
    <m/>
  </r>
  <r>
    <n v="2820"/>
    <s v="2820 | M and E"/>
    <x v="3"/>
    <s v="M and E - Senior"/>
    <s v="Auditor"/>
    <s v="M and E-Auditor"/>
    <s v="Senior"/>
    <d v="2022-11-30T20:42:08"/>
    <d v="2022-12-01T20:42:08"/>
    <s v="Yes"/>
    <d v="2022-12-18T20:42:08"/>
    <s v="Failed"/>
    <s v="Not a culture fit"/>
    <m/>
    <m/>
    <m/>
    <m/>
    <m/>
    <m/>
    <n v="0"/>
    <m/>
    <m/>
    <m/>
    <m/>
    <s v="Company"/>
    <m/>
    <m/>
    <m/>
    <n v="1"/>
    <n v="18"/>
    <n v="17"/>
    <x v="0"/>
    <s v=""/>
    <s v=""/>
    <s v=""/>
    <s v=""/>
    <s v=""/>
    <m/>
    <m/>
    <m/>
    <m/>
    <m/>
    <m/>
    <m/>
    <m/>
    <m/>
    <m/>
  </r>
  <r>
    <n v="2813"/>
    <s v="2813 | M and E"/>
    <x v="3"/>
    <s v="M and E - Senior"/>
    <s v="Auditor"/>
    <s v="M and E-Auditor"/>
    <s v="Senior"/>
    <d v="2022-11-29T20:42:08"/>
    <d v="2022-12-01T20:42:0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715"/>
    <s v="2715 | M and E"/>
    <x v="3"/>
    <s v="M and E - Senior"/>
    <s v="Auditor"/>
    <s v="M and E-Auditor"/>
    <s v="Senior"/>
    <d v="2023-01-28T01:18:41"/>
    <d v="2023-01-31T01:18:41"/>
    <s v="Yes"/>
    <d v="2023-02-06T01:18:41"/>
    <s v="Declined"/>
    <m/>
    <d v="2023-02-10T01:18:41"/>
    <s v="Declined"/>
    <m/>
    <m/>
    <d v="2023-02-07T01:18:41"/>
    <m/>
    <n v="0"/>
    <m/>
    <m/>
    <m/>
    <m/>
    <m/>
    <m/>
    <m/>
    <m/>
    <n v="3"/>
    <n v="9"/>
    <n v="6"/>
    <x v="22"/>
    <n v="1"/>
    <d v="2023-05-08T01:18:41"/>
    <s v=""/>
    <s v=""/>
    <s v=""/>
    <m/>
    <m/>
    <m/>
    <m/>
    <m/>
    <m/>
    <m/>
    <m/>
    <m/>
    <m/>
  </r>
  <r>
    <n v="2712"/>
    <s v="2712 | M and E"/>
    <x v="3"/>
    <s v="M and E - Senior"/>
    <s v="Auditor"/>
    <s v="M and E-Auditor"/>
    <s v="Senior"/>
    <d v="2023-01-26T01:18:41"/>
    <d v="2023-01-27T01:18:41"/>
    <s v="Yes"/>
    <d v="2023-02-14T01:18:41"/>
    <s v="Failed"/>
    <s v="Position filled by another"/>
    <m/>
    <m/>
    <m/>
    <m/>
    <d v="2023-02-18T01:18:41"/>
    <m/>
    <n v="0"/>
    <m/>
    <m/>
    <m/>
    <m/>
    <s v="Candidate"/>
    <m/>
    <m/>
    <m/>
    <n v="1"/>
    <n v="19"/>
    <n v="18"/>
    <x v="3"/>
    <n v="4"/>
    <d v="2023-05-19T01:18:41"/>
    <s v=""/>
    <s v=""/>
    <s v=""/>
    <m/>
    <m/>
    <m/>
    <m/>
    <m/>
    <m/>
    <m/>
    <m/>
    <m/>
    <m/>
  </r>
  <r>
    <n v="2711"/>
    <s v="2711 | M and E"/>
    <x v="3"/>
    <s v="M and E - Senior"/>
    <s v="Auditor"/>
    <s v="M and E-Auditor"/>
    <s v="Senior"/>
    <d v="2023-01-27T01:18:41"/>
    <d v="2023-01-29T01:18:41"/>
    <s v="Yes"/>
    <d v="2023-02-08T01:18:41"/>
    <s v="Failed"/>
    <s v="Other"/>
    <m/>
    <m/>
    <m/>
    <m/>
    <m/>
    <m/>
    <n v="0"/>
    <m/>
    <m/>
    <m/>
    <m/>
    <s v="Candidate"/>
    <m/>
    <m/>
    <m/>
    <n v="2"/>
    <n v="12"/>
    <n v="10"/>
    <x v="0"/>
    <s v=""/>
    <s v=""/>
    <s v=""/>
    <s v=""/>
    <s v=""/>
    <m/>
    <m/>
    <m/>
    <m/>
    <m/>
    <m/>
    <m/>
    <m/>
    <m/>
    <m/>
  </r>
  <r>
    <n v="2700"/>
    <s v="2700 | M and E"/>
    <x v="3"/>
    <s v="M and E - Senior"/>
    <s v="Auditor"/>
    <s v="M and E-Auditor"/>
    <s v="Senior"/>
    <d v="2023-03-31T23:49:48"/>
    <d v="2023-04-03T23:49:48"/>
    <s v="Yes"/>
    <d v="2023-04-12T23:49:48"/>
    <s v="Accepted"/>
    <m/>
    <d v="2023-04-19T23:49:48"/>
    <s v="Accepted"/>
    <d v="2023-04-13T23:49:48"/>
    <d v="2023-04-15T23:49:48"/>
    <d v="2023-04-16T23:49:48"/>
    <d v="2023-04-20T23:49:48"/>
    <n v="1"/>
    <d v="2023-04-22T23:49:48"/>
    <d v="2023-04-25T23:49:48"/>
    <d v="2023-04-26T23:49:48"/>
    <m/>
    <m/>
    <d v="2023-05-06T23:49:48"/>
    <m/>
    <m/>
    <n v="3"/>
    <n v="12"/>
    <n v="9"/>
    <x v="20"/>
    <n v="4"/>
    <d v="2023-07-15T23:49:48"/>
    <n v="2"/>
    <n v="20"/>
    <n v="10"/>
    <m/>
    <m/>
    <m/>
    <m/>
    <m/>
    <m/>
    <m/>
    <m/>
    <m/>
    <m/>
  </r>
  <r>
    <n v="2698"/>
    <s v="2698 | M and E"/>
    <x v="3"/>
    <s v="M and E - Senior"/>
    <s v="Auditor"/>
    <s v="M and E-Auditor"/>
    <s v="Senior"/>
    <d v="2023-03-31T23:49:48"/>
    <d v="2023-04-02T23:49:4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97"/>
    <s v="2697 | M and E"/>
    <x v="3"/>
    <s v="M and E - Senior"/>
    <s v="Auditor"/>
    <s v="M and E-Auditor"/>
    <s v="Senior"/>
    <d v="2023-04-04T23:49:48"/>
    <d v="2023-04-06T23:49:48"/>
    <s v="Yes"/>
    <d v="2023-04-13T23:49:48"/>
    <s v="Failed"/>
    <s v="Position filled by another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2654"/>
    <s v="2654 | M and E"/>
    <x v="3"/>
    <s v="M and E - Senior"/>
    <s v="Auditor"/>
    <s v="M and E-Auditor"/>
    <s v="Senior"/>
    <d v="2022-02-05T10:00:31"/>
    <d v="2022-02-08T10:00:31"/>
    <s v="Yes"/>
    <d v="2022-02-17T10:00:31"/>
    <s v="Declined"/>
    <m/>
    <d v="2022-02-21T10:00:31"/>
    <s v="Declined"/>
    <m/>
    <m/>
    <d v="2022-02-19T10:00:31"/>
    <m/>
    <n v="0"/>
    <m/>
    <m/>
    <m/>
    <m/>
    <m/>
    <m/>
    <m/>
    <m/>
    <n v="3"/>
    <n v="12"/>
    <n v="9"/>
    <x v="1"/>
    <n v="2"/>
    <d v="2022-05-20T10:00:31"/>
    <s v=""/>
    <s v=""/>
    <s v=""/>
    <m/>
    <m/>
    <m/>
    <m/>
    <m/>
    <m/>
    <m/>
    <m/>
    <m/>
    <m/>
  </r>
  <r>
    <n v="2651"/>
    <s v="2651 | M and E"/>
    <x v="3"/>
    <s v="M and E - Senior"/>
    <s v="Auditor"/>
    <s v="M and E-Auditor"/>
    <s v="Senior"/>
    <d v="2022-02-04T10:00:31"/>
    <d v="2022-02-07T10:00:31"/>
    <s v="Yes"/>
    <d v="2022-02-27T10:00:31"/>
    <s v="Failed"/>
    <s v="Position filled by another"/>
    <m/>
    <m/>
    <m/>
    <m/>
    <d v="2022-03-03T10:00:31"/>
    <m/>
    <n v="0"/>
    <m/>
    <m/>
    <m/>
    <m/>
    <s v="Company"/>
    <m/>
    <m/>
    <m/>
    <n v="3"/>
    <n v="23"/>
    <n v="20"/>
    <x v="18"/>
    <n v="4"/>
    <d v="2022-06-01T10:00:31"/>
    <s v=""/>
    <s v=""/>
    <s v=""/>
    <m/>
    <m/>
    <m/>
    <m/>
    <m/>
    <m/>
    <m/>
    <m/>
    <m/>
    <m/>
  </r>
  <r>
    <n v="2499"/>
    <s v="2499 | M and E"/>
    <x v="3"/>
    <s v="M and E - Senior"/>
    <s v="Auditor"/>
    <s v="M and E-Auditor"/>
    <s v="Senior"/>
    <d v="2022-01-29T13:06:55"/>
    <d v="2022-02-01T13:06:55"/>
    <s v="Yes"/>
    <d v="2022-02-17T13:06:55"/>
    <s v="Accepted"/>
    <m/>
    <d v="2022-02-21T13:06:55"/>
    <s v="Accepted"/>
    <d v="2022-02-19T13:06:55"/>
    <d v="2022-02-21T13:06:55"/>
    <d v="2022-02-18T13:06:55"/>
    <d v="2022-02-19T13:06:55"/>
    <n v="1"/>
    <d v="2022-02-20T13:06:55"/>
    <d v="2022-02-21T13:06:55"/>
    <d v="2022-02-22T13:06:55"/>
    <m/>
    <m/>
    <d v="2022-03-14T13:06:55"/>
    <m/>
    <m/>
    <n v="3"/>
    <n v="19"/>
    <n v="16"/>
    <x v="15"/>
    <n v="1"/>
    <d v="2022-05-19T13:06:55"/>
    <n v="1"/>
    <n v="24"/>
    <n v="4"/>
    <m/>
    <m/>
    <m/>
    <m/>
    <m/>
    <m/>
    <m/>
    <m/>
    <m/>
    <m/>
  </r>
  <r>
    <n v="2498"/>
    <s v="2498 | M and E"/>
    <x v="3"/>
    <s v="M and E - Senior"/>
    <s v="Auditor"/>
    <s v="M and E-Auditor"/>
    <s v="Senior"/>
    <d v="2022-01-31T13:06:55"/>
    <d v="2022-02-01T13:06:55"/>
    <s v="Yes"/>
    <d v="2022-02-07T13:06:55"/>
    <s v="Failed"/>
    <s v="Position filled by another"/>
    <m/>
    <m/>
    <m/>
    <m/>
    <m/>
    <m/>
    <n v="0"/>
    <m/>
    <m/>
    <m/>
    <m/>
    <s v="Candidate"/>
    <m/>
    <m/>
    <m/>
    <n v="1"/>
    <n v="7"/>
    <n v="6"/>
    <x v="0"/>
    <s v=""/>
    <s v=""/>
    <s v=""/>
    <s v=""/>
    <s v=""/>
    <m/>
    <m/>
    <m/>
    <m/>
    <m/>
    <m/>
    <m/>
    <m/>
    <m/>
    <m/>
  </r>
  <r>
    <n v="2494"/>
    <s v="2494 | M and E"/>
    <x v="3"/>
    <s v="M and E - Senior"/>
    <s v="Auditor"/>
    <s v="M and E-Auditor"/>
    <s v="Senior"/>
    <d v="2022-02-01T13:06:55"/>
    <d v="2022-02-02T13:06:5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346"/>
    <s v="2346 | M and E"/>
    <x v="3"/>
    <s v="M and E - Senior"/>
    <s v="Auditor"/>
    <s v="M and E-Auditor"/>
    <s v="Senior"/>
    <d v="2023-05-12T08:44:55"/>
    <d v="2023-05-13T08:44:5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208"/>
    <s v="2208 | M and E"/>
    <x v="3"/>
    <s v="M and E - Senior"/>
    <s v="Auditor"/>
    <s v="M and E-Auditor"/>
    <s v="Senior"/>
    <d v="2023-06-15T04:51:46"/>
    <d v="2023-06-17T04:51:4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207"/>
    <s v="2207 | M and E"/>
    <x v="3"/>
    <s v="M and E - Senior"/>
    <s v="Auditor"/>
    <s v="M and E-Auditor"/>
    <s v="Senior"/>
    <d v="2023-06-14T04:51:46"/>
    <d v="2023-06-17T04:51:46"/>
    <s v="Yes"/>
    <d v="2023-06-27T04:51:46"/>
    <s v="Failed"/>
    <s v="Salary expectation too high"/>
    <m/>
    <m/>
    <m/>
    <m/>
    <d v="2023-06-29T04:51:46"/>
    <m/>
    <n v="0"/>
    <m/>
    <m/>
    <m/>
    <m/>
    <s v="Company"/>
    <m/>
    <m/>
    <m/>
    <n v="3"/>
    <n v="13"/>
    <n v="10"/>
    <x v="16"/>
    <n v="2"/>
    <d v="2023-09-27T04:51:46"/>
    <s v=""/>
    <s v=""/>
    <s v=""/>
    <m/>
    <m/>
    <m/>
    <m/>
    <m/>
    <m/>
    <m/>
    <m/>
    <m/>
    <m/>
  </r>
  <r>
    <n v="2205"/>
    <s v="2205 | M and E"/>
    <x v="3"/>
    <s v="M and E - Senior"/>
    <s v="Auditor"/>
    <s v="M and E-Auditor"/>
    <s v="Senior"/>
    <d v="2023-06-17T04:51:46"/>
    <d v="2023-06-18T04:51:46"/>
    <s v="Yes"/>
    <d v="2023-06-28T04:51:46"/>
    <s v="Accepted"/>
    <m/>
    <d v="2023-07-01T04:51:46"/>
    <s v="Accepted"/>
    <d v="2023-06-30T04:51:46"/>
    <d v="2023-07-04T04:51:46"/>
    <d v="2023-06-30T04:51:46"/>
    <d v="2023-07-02T04:51:46"/>
    <n v="1"/>
    <d v="2023-07-06T04:51:46"/>
    <d v="2023-07-09T04:51:46"/>
    <d v="2023-07-12T04:51:46"/>
    <m/>
    <m/>
    <d v="2023-07-27T04:51:46"/>
    <m/>
    <m/>
    <n v="1"/>
    <n v="11"/>
    <n v="10"/>
    <x v="8"/>
    <n v="2"/>
    <d v="2023-09-28T04:51:46"/>
    <n v="4"/>
    <n v="27"/>
    <n v="12"/>
    <m/>
    <m/>
    <m/>
    <m/>
    <m/>
    <m/>
    <m/>
    <m/>
    <m/>
    <m/>
  </r>
  <r>
    <n v="2184"/>
    <s v="2184 | M and E"/>
    <x v="3"/>
    <s v="M and E - Senior"/>
    <s v="Auditor"/>
    <s v="M and E-Auditor"/>
    <s v="Senior"/>
    <d v="2023-03-07T12:45:42"/>
    <d v="2023-03-09T12:45:42"/>
    <s v="Yes"/>
    <d v="2023-03-30T12:45:42"/>
    <s v="Declined"/>
    <m/>
    <d v="2023-04-04T12:45:42"/>
    <s v="Declined"/>
    <m/>
    <m/>
    <d v="2023-04-02T12:45:42"/>
    <m/>
    <n v="0"/>
    <m/>
    <m/>
    <m/>
    <m/>
    <m/>
    <m/>
    <m/>
    <m/>
    <n v="2"/>
    <n v="23"/>
    <n v="21"/>
    <x v="25"/>
    <n v="3"/>
    <d v="2023-07-01T12:45:42"/>
    <s v=""/>
    <s v=""/>
    <s v=""/>
    <m/>
    <m/>
    <m/>
    <m/>
    <m/>
    <m/>
    <m/>
    <m/>
    <m/>
    <m/>
  </r>
  <r>
    <n v="2183"/>
    <s v="2183 | M and E"/>
    <x v="3"/>
    <s v="M and E - Senior"/>
    <s v="Auditor"/>
    <s v="M and E-Auditor"/>
    <s v="Senior"/>
    <d v="2023-03-11T12:45:42"/>
    <d v="2023-03-14T12:45:42"/>
    <s v="Yes"/>
    <d v="2023-03-23T12:45:42"/>
    <s v="Failed"/>
    <s v="Didn't pass technical test"/>
    <m/>
    <m/>
    <m/>
    <m/>
    <d v="2023-03-24T12:45:42"/>
    <m/>
    <n v="0"/>
    <m/>
    <m/>
    <m/>
    <m/>
    <s v="Candidate"/>
    <m/>
    <m/>
    <m/>
    <n v="3"/>
    <n v="12"/>
    <n v="9"/>
    <x v="8"/>
    <n v="1"/>
    <d v="2023-06-22T12:45:42"/>
    <s v=""/>
    <s v=""/>
    <s v=""/>
    <m/>
    <m/>
    <m/>
    <m/>
    <m/>
    <m/>
    <m/>
    <m/>
    <m/>
    <m/>
  </r>
  <r>
    <n v="2181"/>
    <s v="2181 | M and E"/>
    <x v="3"/>
    <s v="M and E - Senior"/>
    <s v="Auditor"/>
    <s v="M and E-Auditor"/>
    <s v="Senior"/>
    <d v="2023-03-11T12:45:42"/>
    <d v="2023-03-14T12:45:4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080"/>
    <s v="2080 | M and E"/>
    <x v="3"/>
    <s v="M and E - Senior"/>
    <s v="Auditor"/>
    <s v="M and E-Auditor"/>
    <s v="Senior"/>
    <d v="2022-12-21T10:35:07"/>
    <d v="2022-12-24T10:35:07"/>
    <s v="Yes"/>
    <d v="2023-01-11T10:35:07"/>
    <s v="Accepted"/>
    <m/>
    <d v="2023-01-17T10:35:07"/>
    <s v="Accepted"/>
    <d v="2023-01-12T10:35:07"/>
    <d v="2023-01-13T10:35:07"/>
    <d v="2023-01-14T10:35:07"/>
    <d v="2023-01-18T10:35:07"/>
    <n v="1"/>
    <d v="2023-01-22T10:35:07"/>
    <d v="2023-01-23T10:35:07"/>
    <d v="2023-01-26T10:35:07"/>
    <m/>
    <m/>
    <d v="2023-02-07T10:35:07"/>
    <m/>
    <m/>
    <n v="3"/>
    <n v="21"/>
    <n v="18"/>
    <x v="21"/>
    <n v="3"/>
    <d v="2023-04-14T10:35:07"/>
    <n v="4"/>
    <n v="24"/>
    <n v="12"/>
    <m/>
    <m/>
    <m/>
    <m/>
    <m/>
    <m/>
    <m/>
    <m/>
    <m/>
    <m/>
  </r>
  <r>
    <n v="2075"/>
    <s v="2075 | M and E"/>
    <x v="3"/>
    <s v="M and E - Senior"/>
    <s v="Auditor"/>
    <s v="M and E-Auditor"/>
    <s v="Senior"/>
    <d v="2022-12-26T10:35:07"/>
    <d v="2022-12-27T10:35:07"/>
    <s v="Yes"/>
    <d v="2023-01-05T10:35:07"/>
    <s v="Failed"/>
    <s v="Salary expectation too high"/>
    <m/>
    <m/>
    <m/>
    <m/>
    <m/>
    <m/>
    <n v="0"/>
    <m/>
    <m/>
    <m/>
    <m/>
    <s v="Candidate"/>
    <m/>
    <m/>
    <m/>
    <n v="1"/>
    <n v="10"/>
    <n v="9"/>
    <x v="0"/>
    <s v=""/>
    <s v=""/>
    <s v=""/>
    <s v=""/>
    <s v=""/>
    <m/>
    <m/>
    <m/>
    <m/>
    <m/>
    <m/>
    <m/>
    <m/>
    <m/>
    <m/>
  </r>
  <r>
    <n v="2074"/>
    <s v="2074 | M and E"/>
    <x v="3"/>
    <s v="M and E - Senior"/>
    <s v="Auditor"/>
    <s v="M and E-Auditor"/>
    <s v="Senior"/>
    <d v="2022-12-21T10:35:07"/>
    <d v="2022-12-24T10:35:07"/>
    <s v="Yes"/>
    <d v="2023-01-15T10:35:07"/>
    <s v="Failed"/>
    <s v="Didn't pass technical test"/>
    <m/>
    <m/>
    <m/>
    <m/>
    <m/>
    <m/>
    <n v="0"/>
    <m/>
    <m/>
    <m/>
    <m/>
    <s v="Candidate"/>
    <m/>
    <m/>
    <m/>
    <n v="3"/>
    <n v="25"/>
    <n v="22"/>
    <x v="0"/>
    <s v=""/>
    <s v=""/>
    <s v=""/>
    <s v=""/>
    <s v=""/>
    <m/>
    <m/>
    <m/>
    <m/>
    <m/>
    <m/>
    <m/>
    <m/>
    <m/>
    <m/>
  </r>
  <r>
    <n v="2049"/>
    <s v="2049 | M and E"/>
    <x v="3"/>
    <s v="M and E - Senior"/>
    <s v="Auditor"/>
    <s v="M and E-Auditor"/>
    <s v="Senior"/>
    <d v="2022-07-20T04:48:46"/>
    <d v="2022-07-21T04:48:4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46"/>
    <s v="2046 | M and E"/>
    <x v="3"/>
    <s v="M and E - Senior"/>
    <s v="Auditor"/>
    <s v="M and E-Auditor"/>
    <s v="Senior"/>
    <d v="2022-07-13T04:48:46"/>
    <d v="2022-07-17T04:48:4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041"/>
    <s v="2041 | M and E"/>
    <x v="3"/>
    <s v="M and E - Senior"/>
    <s v="Auditor"/>
    <s v="M and E-Auditor"/>
    <s v="Senior"/>
    <d v="2022-07-20T04:48:46"/>
    <d v="2022-07-21T04:48:46"/>
    <s v="Yes"/>
    <d v="2022-08-04T04:48:46"/>
    <s v="Failed"/>
    <s v="Position filled by another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2017"/>
    <s v="2017 | M and E"/>
    <x v="3"/>
    <s v="M and E - Senior"/>
    <s v="Business Partner"/>
    <s v="M and E-Business Partner"/>
    <s v="Senior"/>
    <d v="2023-06-03T14:00:49"/>
    <d v="2023-06-06T14:00:49"/>
    <s v="Yes"/>
    <d v="2023-06-20T14:00:49"/>
    <s v="Failed"/>
    <s v="Position filled by another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2014"/>
    <s v="2014 | M and E"/>
    <x v="3"/>
    <s v="M and E - Senior"/>
    <s v="Business Partner"/>
    <s v="M and E-Business Partner"/>
    <s v="Senior"/>
    <d v="2023-06-03T14:00:49"/>
    <d v="2023-06-04T14:00:49"/>
    <s v="Yes"/>
    <d v="2023-06-23T14:00:49"/>
    <s v="Failed"/>
    <s v="Other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2011"/>
    <s v="2011 | M and E"/>
    <x v="3"/>
    <s v="M and E - Senior"/>
    <s v="Business Partner"/>
    <s v="M and E-Business Partner"/>
    <s v="Senior"/>
    <d v="2023-06-04T14:00:49"/>
    <d v="2023-06-08T14:00:49"/>
    <s v="Yes"/>
    <d v="2023-06-25T14:00:49"/>
    <s v="Pending"/>
    <m/>
    <d v="2023-06-30T14:00:49"/>
    <s v="Pending"/>
    <m/>
    <m/>
    <d v="2023-06-27T14:00:49"/>
    <m/>
    <n v="0"/>
    <m/>
    <m/>
    <m/>
    <m/>
    <m/>
    <m/>
    <m/>
    <m/>
    <n v="4"/>
    <n v="21"/>
    <n v="17"/>
    <x v="3"/>
    <n v="2"/>
    <d v="2023-09-25T14:00:49"/>
    <s v=""/>
    <s v=""/>
    <s v=""/>
    <m/>
    <m/>
    <m/>
    <m/>
    <m/>
    <m/>
    <m/>
    <m/>
    <m/>
    <m/>
  </r>
  <r>
    <n v="1949"/>
    <s v="1949 | M and E"/>
    <x v="3"/>
    <s v="M and E - Senior"/>
    <s v="Business Partner"/>
    <s v="M and E-Business Partner"/>
    <s v="Senior"/>
    <d v="2023-02-27T06:20:20"/>
    <d v="2023-03-02T06:20:20"/>
    <s v="Yes"/>
    <d v="2023-03-08T06:20:20"/>
    <s v="Pending"/>
    <m/>
    <d v="2023-03-12T06:20:20"/>
    <s v="Pending"/>
    <m/>
    <m/>
    <d v="2023-03-10T06:20:20"/>
    <m/>
    <n v="0"/>
    <m/>
    <m/>
    <m/>
    <m/>
    <m/>
    <m/>
    <m/>
    <m/>
    <n v="3"/>
    <n v="9"/>
    <n v="6"/>
    <x v="9"/>
    <n v="2"/>
    <d v="2023-06-08T06:20:20"/>
    <s v=""/>
    <s v=""/>
    <s v=""/>
    <m/>
    <m/>
    <m/>
    <m/>
    <m/>
    <m/>
    <m/>
    <m/>
    <m/>
    <m/>
  </r>
  <r>
    <n v="1946"/>
    <s v="1946 | M and E"/>
    <x v="3"/>
    <s v="M and E - Senior"/>
    <s v="Business Partner"/>
    <s v="M and E-Business Partner"/>
    <s v="Senior"/>
    <d v="2023-02-28T06:20:20"/>
    <d v="2023-03-02T06:20:20"/>
    <s v="Yes"/>
    <d v="2023-03-11T06:20:20"/>
    <s v="Accepted"/>
    <m/>
    <d v="2023-03-13T06:20:20"/>
    <s v="Accepted"/>
    <d v="2023-03-13T06:20:20"/>
    <d v="2023-03-15T06:20:20"/>
    <d v="2023-03-12T06:20:20"/>
    <d v="2023-03-17T06:20:20"/>
    <n v="1"/>
    <d v="2023-03-20T06:20:20"/>
    <d v="2023-03-21T06:20:20"/>
    <d v="2023-03-22T06:20:20"/>
    <m/>
    <m/>
    <d v="2023-04-05T06:20:20"/>
    <m/>
    <m/>
    <n v="2"/>
    <n v="11"/>
    <n v="9"/>
    <x v="24"/>
    <n v="1"/>
    <d v="2023-06-10T06:20:20"/>
    <n v="3"/>
    <n v="24"/>
    <n v="10"/>
    <m/>
    <m/>
    <m/>
    <m/>
    <m/>
    <m/>
    <m/>
    <m/>
    <m/>
    <m/>
  </r>
  <r>
    <n v="1941"/>
    <s v="1941 | M and E"/>
    <x v="3"/>
    <s v="M and E - Senior"/>
    <s v="Business Partner"/>
    <s v="M and E-Business Partner"/>
    <s v="Senior"/>
    <d v="2023-02-25T06:20:20"/>
    <d v="2023-02-27T06:20:2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36"/>
    <s v="1836 | M and E"/>
    <x v="3"/>
    <s v="M and E - Senior"/>
    <s v="Business Partner"/>
    <s v="M and E-Business Partner"/>
    <s v="Senior"/>
    <d v="2023-04-18T08:48:53"/>
    <d v="2023-04-22T08:48:53"/>
    <s v="Yes"/>
    <d v="2023-05-08T08:48:53"/>
    <s v="Failed"/>
    <s v="Other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1788"/>
    <s v="1788 | M and E"/>
    <x v="3"/>
    <s v="M and E - Senior"/>
    <s v="Business Partner"/>
    <s v="M and E-Business Partner"/>
    <s v="Senior"/>
    <d v="2022-04-08T08:33:21"/>
    <d v="2022-04-09T08:33:21"/>
    <s v="Yes"/>
    <d v="2022-04-17T08:33:21"/>
    <s v="Accepted"/>
    <m/>
    <d v="2022-04-25T08:33:21"/>
    <s v="Accepted"/>
    <d v="2022-04-19T08:33:21"/>
    <d v="2022-04-21T08:33:21"/>
    <d v="2022-04-21T08:33:21"/>
    <d v="2022-04-28T08:33:21"/>
    <n v="1"/>
    <d v="2022-05-02T08:33:21"/>
    <d v="2022-05-05T08:33:21"/>
    <d v="2022-05-08T08:33:21"/>
    <m/>
    <m/>
    <d v="2022-05-17T08:33:21"/>
    <m/>
    <m/>
    <n v="1"/>
    <n v="9"/>
    <n v="8"/>
    <x v="8"/>
    <n v="4"/>
    <d v="2022-07-20T08:33:21"/>
    <n v="4"/>
    <n v="26"/>
    <n v="17"/>
    <m/>
    <m/>
    <m/>
    <m/>
    <m/>
    <m/>
    <m/>
    <m/>
    <m/>
    <m/>
  </r>
  <r>
    <n v="1784"/>
    <s v="1784 | M and E"/>
    <x v="3"/>
    <s v="M and E - Senior"/>
    <s v="Business Partner"/>
    <s v="M and E-Business Partner"/>
    <s v="Senior"/>
    <d v="2022-04-06T08:33:21"/>
    <d v="2022-04-10T08:33:21"/>
    <s v="Yes"/>
    <d v="2022-04-20T08:33:21"/>
    <s v="Accepted"/>
    <m/>
    <d v="2022-04-28T08:33:21"/>
    <s v="Accepted"/>
    <d v="2022-04-21T08:33:21"/>
    <d v="2022-04-22T08:33:21"/>
    <d v="2022-04-24T08:33:21"/>
    <d v="2022-05-01T08:33:21"/>
    <n v="1"/>
    <d v="2022-05-04T08:33:21"/>
    <d v="2022-05-06T08:33:21"/>
    <d v="2022-05-08T08:33:21"/>
    <m/>
    <m/>
    <d v="2022-05-23T08:33:21"/>
    <m/>
    <m/>
    <n v="4"/>
    <n v="14"/>
    <n v="10"/>
    <x v="12"/>
    <n v="4"/>
    <d v="2022-07-23T08:33:21"/>
    <n v="3"/>
    <n v="29"/>
    <n v="14"/>
    <m/>
    <m/>
    <m/>
    <m/>
    <m/>
    <m/>
    <m/>
    <m/>
    <m/>
    <m/>
  </r>
  <r>
    <n v="1767"/>
    <s v="1767 | M and E"/>
    <x v="3"/>
    <s v="M and E - Senior"/>
    <s v="Business Partner"/>
    <s v="M and E-Business Partner"/>
    <s v="Senior"/>
    <d v="2023-06-19T15:39:43"/>
    <d v="2023-06-23T15:39:43"/>
    <s v="Yes"/>
    <d v="2023-07-05T15:39:43"/>
    <s v="Declined"/>
    <m/>
    <d v="2023-07-11T15:39:43"/>
    <s v="Declined"/>
    <m/>
    <m/>
    <d v="2023-07-09T15:39:43"/>
    <m/>
    <n v="0"/>
    <m/>
    <m/>
    <m/>
    <m/>
    <m/>
    <m/>
    <m/>
    <m/>
    <n v="4"/>
    <n v="16"/>
    <n v="12"/>
    <x v="15"/>
    <n v="4"/>
    <d v="2023-10-07T15:39:43"/>
    <s v=""/>
    <s v=""/>
    <s v=""/>
    <m/>
    <m/>
    <m/>
    <m/>
    <m/>
    <m/>
    <m/>
    <m/>
    <m/>
    <m/>
  </r>
  <r>
    <n v="1766"/>
    <s v="1766 | M and E"/>
    <x v="3"/>
    <s v="M and E - Senior"/>
    <s v="Business Partner"/>
    <s v="M and E-Business Partner"/>
    <s v="Senior"/>
    <d v="2023-06-22T15:39:43"/>
    <d v="2023-06-24T15:39:43"/>
    <s v="Yes"/>
    <d v="2023-07-14T15:39:43"/>
    <s v="Failed"/>
    <s v="Other"/>
    <m/>
    <m/>
    <m/>
    <m/>
    <d v="2023-07-18T15:39:43"/>
    <m/>
    <n v="0"/>
    <m/>
    <m/>
    <m/>
    <m/>
    <s v="Candidate"/>
    <m/>
    <m/>
    <m/>
    <n v="2"/>
    <n v="22"/>
    <n v="20"/>
    <x v="25"/>
    <n v="4"/>
    <d v="2023-10-16T15:39:43"/>
    <s v=""/>
    <s v=""/>
    <s v=""/>
    <m/>
    <m/>
    <m/>
    <m/>
    <m/>
    <m/>
    <m/>
    <m/>
    <m/>
    <m/>
  </r>
  <r>
    <n v="1763"/>
    <s v="1763 | M and E"/>
    <x v="3"/>
    <s v="M and E - Senior"/>
    <s v="Business Partner"/>
    <s v="M and E-Business Partner"/>
    <s v="Senior"/>
    <d v="2023-06-21T15:39:43"/>
    <d v="2023-06-22T15:39:43"/>
    <s v="Yes"/>
    <d v="2023-07-02T15:39:43"/>
    <s v="Failed"/>
    <s v="Salary expectation too high"/>
    <m/>
    <m/>
    <m/>
    <m/>
    <m/>
    <m/>
    <n v="0"/>
    <m/>
    <m/>
    <m/>
    <m/>
    <s v="Candidate"/>
    <m/>
    <m/>
    <m/>
    <n v="1"/>
    <n v="11"/>
    <n v="10"/>
    <x v="0"/>
    <s v=""/>
    <s v=""/>
    <s v=""/>
    <s v=""/>
    <s v=""/>
    <m/>
    <m/>
    <m/>
    <m/>
    <m/>
    <m/>
    <m/>
    <m/>
    <m/>
    <m/>
  </r>
  <r>
    <n v="1761"/>
    <s v="1761 | M and E"/>
    <x v="3"/>
    <s v="M and E - Senior"/>
    <s v="Business Partner"/>
    <s v="M and E-Business Partner"/>
    <s v="Senior"/>
    <d v="2023-06-24T15:39:43"/>
    <d v="2023-06-27T15:39:4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60"/>
    <s v="1660 | M and E"/>
    <x v="3"/>
    <s v="M and E - Senior"/>
    <s v="Business Partner"/>
    <s v="M and E-Business Partner"/>
    <s v="Senior"/>
    <d v="2022-11-09T04:40:47"/>
    <d v="2022-11-12T04:40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55"/>
    <s v="1655 | M and E"/>
    <x v="3"/>
    <s v="M and E - Senior"/>
    <s v="Business Partner"/>
    <s v="M and E-Business Partner"/>
    <s v="Senior"/>
    <d v="2022-11-15T04:40:47"/>
    <d v="2022-11-16T04:40:47"/>
    <s v="Yes"/>
    <d v="2022-11-30T04:40:47"/>
    <s v="Accepted"/>
    <m/>
    <d v="2022-12-05T04:40:47"/>
    <s v="Accepted"/>
    <d v="2022-12-01T04:40:47"/>
    <d v="2022-12-05T04:40:47"/>
    <d v="2022-12-02T04:40:47"/>
    <d v="2022-12-09T04:40:47"/>
    <n v="1"/>
    <d v="2022-12-11T04:40:47"/>
    <d v="2022-12-14T04:40:47"/>
    <d v="2022-12-16T04:40:47"/>
    <m/>
    <m/>
    <d v="2023-01-01T04:40:47"/>
    <m/>
    <m/>
    <n v="1"/>
    <n v="15"/>
    <n v="14"/>
    <x v="14"/>
    <n v="2"/>
    <d v="2023-03-02T04:40:47"/>
    <n v="2"/>
    <n v="30"/>
    <n v="14"/>
    <m/>
    <m/>
    <m/>
    <m/>
    <m/>
    <m/>
    <m/>
    <m/>
    <m/>
    <m/>
  </r>
  <r>
    <n v="1653"/>
    <s v="1653 | M and E"/>
    <x v="3"/>
    <s v="M and E - Senior"/>
    <s v="Business Partner"/>
    <s v="M and E-Business Partner"/>
    <s v="Senior"/>
    <d v="2022-11-11T04:40:47"/>
    <d v="2022-11-12T04:40:4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630"/>
    <s v="1630 | M and E"/>
    <x v="3"/>
    <s v="M and E - Senior"/>
    <s v="Business Partner"/>
    <s v="M and E-Business Partner"/>
    <s v="Senior"/>
    <d v="2022-03-17T07:08:59"/>
    <d v="2022-03-20T07:08:59"/>
    <s v="Yes"/>
    <d v="2022-04-04T07:08:59"/>
    <s v="Failed"/>
    <s v="Other"/>
    <m/>
    <m/>
    <m/>
    <m/>
    <m/>
    <m/>
    <n v="0"/>
    <m/>
    <m/>
    <m/>
    <m/>
    <s v="Candidate"/>
    <m/>
    <m/>
    <m/>
    <n v="3"/>
    <n v="18"/>
    <n v="15"/>
    <x v="0"/>
    <s v=""/>
    <s v=""/>
    <s v=""/>
    <s v=""/>
    <s v=""/>
    <m/>
    <m/>
    <m/>
    <m/>
    <m/>
    <m/>
    <m/>
    <m/>
    <m/>
    <m/>
  </r>
  <r>
    <n v="1627"/>
    <s v="1627 | M and E"/>
    <x v="3"/>
    <s v="M and E - Senior"/>
    <s v="Business Partner"/>
    <s v="M and E-Business Partner"/>
    <s v="Senior"/>
    <d v="2022-03-18T07:08:59"/>
    <d v="2022-03-20T07:08:59"/>
    <s v="Yes"/>
    <d v="2022-04-10T07:08:59"/>
    <s v="Failed"/>
    <s v="Salary expectation too high"/>
    <m/>
    <m/>
    <m/>
    <m/>
    <d v="2022-04-13T07:08:59"/>
    <m/>
    <n v="0"/>
    <m/>
    <m/>
    <m/>
    <m/>
    <s v="Candidate"/>
    <m/>
    <m/>
    <m/>
    <n v="2"/>
    <n v="23"/>
    <n v="21"/>
    <x v="25"/>
    <n v="3"/>
    <d v="2022-07-12T07:08:59"/>
    <s v=""/>
    <s v=""/>
    <s v=""/>
    <m/>
    <m/>
    <m/>
    <m/>
    <m/>
    <m/>
    <m/>
    <m/>
    <m/>
    <m/>
  </r>
  <r>
    <n v="1480"/>
    <s v="1480 | M and E"/>
    <x v="3"/>
    <s v="M and E - Senior"/>
    <s v="Business Partner"/>
    <s v="M and E-Business Partner"/>
    <s v="Senior"/>
    <d v="2023-01-19T06:41:41"/>
    <d v="2023-01-22T06:41:41"/>
    <s v="Yes"/>
    <d v="2023-02-02T06:41:41"/>
    <s v="Failed"/>
    <s v="Position filled by another"/>
    <m/>
    <m/>
    <m/>
    <m/>
    <d v="2023-02-03T06:41:41"/>
    <m/>
    <n v="0"/>
    <m/>
    <m/>
    <m/>
    <m/>
    <s v="Candidate"/>
    <m/>
    <m/>
    <m/>
    <n v="3"/>
    <n v="14"/>
    <n v="11"/>
    <x v="16"/>
    <n v="1"/>
    <d v="2023-05-04T06:41:41"/>
    <s v=""/>
    <s v=""/>
    <s v=""/>
    <m/>
    <m/>
    <m/>
    <m/>
    <m/>
    <m/>
    <m/>
    <m/>
    <m/>
    <m/>
  </r>
  <r>
    <n v="1476"/>
    <s v="1476 | M and E"/>
    <x v="3"/>
    <s v="M and E - Senior"/>
    <s v="Business Partner"/>
    <s v="M and E-Business Partner"/>
    <s v="Senior"/>
    <d v="2023-01-22T06:41:41"/>
    <d v="2023-01-26T06:41:41"/>
    <s v="Yes"/>
    <d v="2023-01-30T06:41:41"/>
    <s v="Declined"/>
    <m/>
    <d v="2023-02-04T06:41:41"/>
    <s v="Declined"/>
    <m/>
    <m/>
    <d v="2023-02-03T06:41:41"/>
    <m/>
    <n v="0"/>
    <m/>
    <m/>
    <m/>
    <m/>
    <m/>
    <m/>
    <m/>
    <m/>
    <n v="4"/>
    <n v="8"/>
    <n v="4"/>
    <x v="24"/>
    <n v="4"/>
    <d v="2023-05-04T06:41:41"/>
    <s v=""/>
    <s v=""/>
    <s v=""/>
    <m/>
    <m/>
    <m/>
    <m/>
    <m/>
    <m/>
    <m/>
    <m/>
    <m/>
    <m/>
  </r>
  <r>
    <n v="1474"/>
    <s v="1474 | M and E"/>
    <x v="3"/>
    <s v="M and E - Senior"/>
    <s v="Business Partner"/>
    <s v="M and E-Business Partner"/>
    <s v="Senior"/>
    <d v="2023-01-23T06:41:41"/>
    <d v="2023-01-26T06:41:41"/>
    <s v="Yes"/>
    <d v="2023-02-10T06:41:41"/>
    <s v="Failed"/>
    <s v="Other"/>
    <m/>
    <m/>
    <m/>
    <m/>
    <d v="2023-02-14T06:41:41"/>
    <m/>
    <n v="0"/>
    <m/>
    <m/>
    <m/>
    <m/>
    <s v="Company"/>
    <m/>
    <m/>
    <m/>
    <n v="3"/>
    <n v="18"/>
    <n v="15"/>
    <x v="7"/>
    <n v="4"/>
    <d v="2023-05-15T06:41:41"/>
    <s v=""/>
    <s v=""/>
    <s v=""/>
    <m/>
    <m/>
    <m/>
    <m/>
    <m/>
    <m/>
    <m/>
    <m/>
    <m/>
    <m/>
  </r>
  <r>
    <n v="1472"/>
    <s v="1472 | M and E"/>
    <x v="3"/>
    <s v="M and E - Senior"/>
    <s v="Business Partner"/>
    <s v="M and E-Business Partner"/>
    <s v="Senior"/>
    <d v="2023-01-22T06:41:41"/>
    <d v="2023-01-24T06:41:41"/>
    <s v="Yes"/>
    <d v="2023-02-10T06:41:41"/>
    <s v="Pending"/>
    <m/>
    <d v="2023-02-18T06:41:41"/>
    <s v="Pending"/>
    <m/>
    <m/>
    <d v="2023-02-14T06:41:41"/>
    <m/>
    <n v="0"/>
    <m/>
    <m/>
    <m/>
    <m/>
    <m/>
    <m/>
    <m/>
    <m/>
    <n v="2"/>
    <n v="19"/>
    <n v="17"/>
    <x v="3"/>
    <n v="4"/>
    <d v="2023-05-15T06:41:41"/>
    <s v=""/>
    <s v=""/>
    <s v=""/>
    <m/>
    <m/>
    <m/>
    <m/>
    <m/>
    <m/>
    <m/>
    <m/>
    <m/>
    <m/>
  </r>
  <r>
    <n v="1471"/>
    <s v="1471 | M and E"/>
    <x v="3"/>
    <s v="M and E - Senior"/>
    <s v="Business Partner"/>
    <s v="M and E-Business Partner"/>
    <s v="Senior"/>
    <d v="2023-01-18T06:41:41"/>
    <d v="2023-01-22T06:41:41"/>
    <s v="Yes"/>
    <d v="2023-02-12T06:41:41"/>
    <s v="Declined"/>
    <m/>
    <d v="2023-02-16T06:41:41"/>
    <s v="Declined"/>
    <m/>
    <m/>
    <d v="2023-02-14T06:41:41"/>
    <m/>
    <n v="0"/>
    <m/>
    <m/>
    <m/>
    <m/>
    <m/>
    <m/>
    <m/>
    <m/>
    <n v="4"/>
    <n v="25"/>
    <n v="21"/>
    <x v="18"/>
    <n v="2"/>
    <d v="2023-05-15T06:41:41"/>
    <s v=""/>
    <s v=""/>
    <s v=""/>
    <m/>
    <m/>
    <m/>
    <m/>
    <m/>
    <m/>
    <m/>
    <m/>
    <m/>
    <m/>
  </r>
  <r>
    <n v="1380"/>
    <s v="1380 | M and E"/>
    <x v="3"/>
    <s v="M and E - Senior"/>
    <s v="Analyst"/>
    <s v="M and E-Analyst"/>
    <s v="Senior"/>
    <d v="2022-10-27T03:08:08"/>
    <d v="2022-10-31T03:08:08"/>
    <s v="Yes"/>
    <d v="2022-11-05T03:08:08"/>
    <s v="Failed"/>
    <s v="Position filled by another"/>
    <m/>
    <m/>
    <m/>
    <m/>
    <m/>
    <m/>
    <n v="0"/>
    <m/>
    <m/>
    <m/>
    <m/>
    <s v="Company"/>
    <m/>
    <m/>
    <m/>
    <n v="4"/>
    <n v="9"/>
    <n v="5"/>
    <x v="0"/>
    <s v=""/>
    <s v=""/>
    <s v=""/>
    <s v=""/>
    <s v=""/>
    <m/>
    <m/>
    <m/>
    <m/>
    <m/>
    <m/>
    <m/>
    <m/>
    <m/>
    <m/>
  </r>
  <r>
    <n v="1375"/>
    <s v="1375 | M and E"/>
    <x v="3"/>
    <s v="M and E - Senior"/>
    <s v="Analyst"/>
    <s v="M and E-Analyst"/>
    <s v="Senior"/>
    <d v="2022-10-25T03:08:08"/>
    <d v="2022-10-29T03:08:08"/>
    <s v="Yes"/>
    <d v="2022-11-16T03:08:08"/>
    <s v="Failed"/>
    <s v="Other"/>
    <m/>
    <m/>
    <m/>
    <m/>
    <d v="2022-11-17T03:08:08"/>
    <m/>
    <n v="0"/>
    <m/>
    <m/>
    <m/>
    <m/>
    <s v="Candidate"/>
    <m/>
    <m/>
    <m/>
    <n v="4"/>
    <n v="22"/>
    <n v="18"/>
    <x v="3"/>
    <n v="1"/>
    <d v="2023-02-15T03:08:08"/>
    <s v=""/>
    <s v=""/>
    <s v=""/>
    <m/>
    <m/>
    <m/>
    <m/>
    <m/>
    <m/>
    <m/>
    <m/>
    <m/>
    <m/>
  </r>
  <r>
    <n v="1349"/>
    <s v="1349 | M and E"/>
    <x v="3"/>
    <s v="M and E - Senior"/>
    <s v="Analyst"/>
    <s v="M and E-Analyst"/>
    <s v="Senior"/>
    <d v="2023-06-15T00:56:18"/>
    <d v="2023-06-18T00:56:18"/>
    <s v="Yes"/>
    <d v="2023-06-30T00:56:18"/>
    <s v="Failed"/>
    <s v="Not a culture fit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1344"/>
    <s v="1344 | M and E"/>
    <x v="3"/>
    <s v="M and E - Senior"/>
    <s v="Analyst"/>
    <s v="M and E-Analyst"/>
    <s v="Senior"/>
    <d v="2023-06-14T00:56:18"/>
    <d v="2023-06-18T00:56:18"/>
    <s v="Yes"/>
    <d v="2023-06-28T00:56:18"/>
    <s v="Declined"/>
    <m/>
    <d v="2023-07-01T00:56:18"/>
    <s v="Declined"/>
    <m/>
    <m/>
    <d v="2023-06-30T00:56:18"/>
    <m/>
    <n v="0"/>
    <m/>
    <m/>
    <m/>
    <m/>
    <m/>
    <m/>
    <m/>
    <m/>
    <n v="4"/>
    <n v="14"/>
    <n v="10"/>
    <x v="20"/>
    <n v="2"/>
    <d v="2023-09-28T00:56:18"/>
    <s v=""/>
    <s v=""/>
    <s v=""/>
    <m/>
    <m/>
    <m/>
    <m/>
    <m/>
    <m/>
    <m/>
    <m/>
    <m/>
    <m/>
  </r>
  <r>
    <n v="1092"/>
    <s v="1092 | M and E"/>
    <x v="3"/>
    <s v="M and E - Senior"/>
    <s v="Analyst"/>
    <s v="M and E-Analyst"/>
    <s v="Senior"/>
    <d v="2023-04-25T06:21:04"/>
    <d v="2023-04-29T06:21:04"/>
    <s v="Yes"/>
    <d v="2023-05-04T06:21:04"/>
    <s v="Accepted"/>
    <m/>
    <d v="2023-05-09T06:21:04"/>
    <s v="Accepted"/>
    <d v="2023-05-06T06:21:04"/>
    <d v="2023-05-09T06:21:04"/>
    <d v="2023-05-06T06:21:04"/>
    <d v="2023-05-16T06:21:04"/>
    <n v="1"/>
    <d v="2023-05-17T06:21:04"/>
    <d v="2023-05-18T06:21:04"/>
    <d v="2023-05-19T06:21:04"/>
    <m/>
    <m/>
    <d v="2023-06-06T06:21:04"/>
    <m/>
    <m/>
    <n v="4"/>
    <n v="9"/>
    <n v="5"/>
    <x v="9"/>
    <n v="2"/>
    <d v="2023-08-04T06:21:04"/>
    <n v="1"/>
    <n v="31"/>
    <n v="13"/>
    <m/>
    <m/>
    <m/>
    <m/>
    <m/>
    <m/>
    <m/>
    <m/>
    <m/>
    <m/>
  </r>
  <r>
    <n v="1052"/>
    <s v="1052 | M and E"/>
    <x v="3"/>
    <s v="M and E - Senior"/>
    <s v="Analyst"/>
    <s v="M and E-Analyst"/>
    <s v="Senior"/>
    <d v="2023-08-20T04:19:54"/>
    <d v="2023-08-24T04:19:54"/>
    <s v="Yes"/>
    <d v="2023-08-31T04:19:54"/>
    <s v="Failed"/>
    <s v="Other"/>
    <m/>
    <m/>
    <m/>
    <m/>
    <d v="2023-09-01T04:19:54"/>
    <m/>
    <n v="0"/>
    <m/>
    <m/>
    <m/>
    <m/>
    <s v="Candidate"/>
    <m/>
    <m/>
    <m/>
    <n v="4"/>
    <n v="11"/>
    <n v="7"/>
    <x v="24"/>
    <n v="1"/>
    <d v="2023-11-30T04:19:54"/>
    <s v=""/>
    <s v=""/>
    <s v=""/>
    <m/>
    <m/>
    <m/>
    <m/>
    <m/>
    <m/>
    <m/>
    <m/>
    <m/>
    <m/>
  </r>
  <r>
    <n v="1051"/>
    <s v="1051 | M and E"/>
    <x v="3"/>
    <s v="M and E - Senior"/>
    <s v="Analyst"/>
    <s v="M and E-Analyst"/>
    <s v="Senior"/>
    <d v="2023-08-21T04:19:54"/>
    <d v="2023-08-23T04:19:5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006"/>
    <s v="1006 | M and E"/>
    <x v="3"/>
    <s v="M and E - Senior"/>
    <s v="Analyst"/>
    <s v="M and E-Analyst"/>
    <s v="Senior"/>
    <d v="2022-12-23T16:31:31"/>
    <d v="2022-12-27T16:31:31"/>
    <s v="Yes"/>
    <d v="2023-01-10T16:31:31"/>
    <s v="Failed"/>
    <s v="Other"/>
    <m/>
    <m/>
    <m/>
    <m/>
    <d v="2023-01-14T16:31:31"/>
    <m/>
    <n v="0"/>
    <m/>
    <m/>
    <m/>
    <m/>
    <s v="Company"/>
    <m/>
    <m/>
    <m/>
    <n v="4"/>
    <n v="18"/>
    <n v="14"/>
    <x v="7"/>
    <n v="4"/>
    <d v="2023-04-14T16:31:31"/>
    <s v=""/>
    <s v=""/>
    <s v=""/>
    <m/>
    <m/>
    <m/>
    <m/>
    <m/>
    <m/>
    <m/>
    <m/>
    <m/>
    <m/>
  </r>
  <r>
    <n v="1004"/>
    <s v="1004 | M and E"/>
    <x v="3"/>
    <s v="M and E - Senior"/>
    <s v="Analyst"/>
    <s v="M and E-Analyst"/>
    <s v="Senior"/>
    <d v="2022-12-23T16:31:31"/>
    <d v="2022-12-26T16:31:3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003"/>
    <s v="1003 | M and E"/>
    <x v="3"/>
    <s v="M and E - Senior"/>
    <s v="Analyst"/>
    <s v="M and E-Analyst"/>
    <s v="Senior"/>
    <d v="2022-12-18T16:31:31"/>
    <d v="2022-12-22T16:31:31"/>
    <s v="Yes"/>
    <d v="2023-01-11T16:31:31"/>
    <s v="Accepted"/>
    <m/>
    <d v="2023-01-15T16:31:31"/>
    <s v="Accepted"/>
    <d v="2023-01-13T16:31:31"/>
    <d v="2023-01-14T16:31:31"/>
    <d v="2023-01-12T16:31:31"/>
    <d v="2023-01-22T16:31:31"/>
    <n v="1"/>
    <d v="2023-01-25T16:31:31"/>
    <d v="2023-01-28T16:31:31"/>
    <d v="2023-01-31T16:31:31"/>
    <m/>
    <m/>
    <d v="2023-02-16T16:31:31"/>
    <m/>
    <m/>
    <n v="4"/>
    <n v="24"/>
    <n v="20"/>
    <x v="11"/>
    <n v="1"/>
    <d v="2023-04-12T16:31:31"/>
    <n v="3"/>
    <n v="35"/>
    <n v="19"/>
    <m/>
    <m/>
    <m/>
    <m/>
    <m/>
    <m/>
    <m/>
    <m/>
    <m/>
    <m/>
  </r>
  <r>
    <n v="990"/>
    <s v="990 | M and E"/>
    <x v="3"/>
    <s v="M and E - Senior"/>
    <s v="Analyst"/>
    <s v="M and E-Analyst"/>
    <s v="Senior"/>
    <d v="2022-08-23T05:47:20"/>
    <d v="2022-08-26T05:47:20"/>
    <s v="Yes"/>
    <d v="2022-09-04T05:47:20"/>
    <s v="Accepted"/>
    <m/>
    <d v="2022-09-07T05:47:20"/>
    <s v="Accepted"/>
    <d v="2022-09-06T05:47:20"/>
    <d v="2022-09-07T05:47:20"/>
    <d v="2022-09-05T05:47:20"/>
    <d v="2022-09-08T05:47:20"/>
    <n v="1"/>
    <d v="2022-09-11T05:47:20"/>
    <d v="2022-09-14T05:47:20"/>
    <d v="2022-09-15T05:47:20"/>
    <m/>
    <m/>
    <d v="2022-10-08T05:47:20"/>
    <m/>
    <m/>
    <n v="3"/>
    <n v="12"/>
    <n v="9"/>
    <x v="8"/>
    <n v="1"/>
    <d v="2022-12-04T05:47:20"/>
    <n v="3"/>
    <n v="33"/>
    <n v="10"/>
    <m/>
    <m/>
    <m/>
    <m/>
    <m/>
    <m/>
    <m/>
    <m/>
    <m/>
    <m/>
  </r>
  <r>
    <n v="989"/>
    <s v="989 | M and E"/>
    <x v="3"/>
    <s v="M and E - Senior"/>
    <s v="Analyst"/>
    <s v="M and E-Analyst"/>
    <s v="Senior"/>
    <d v="2022-08-28T05:47:20"/>
    <d v="2022-08-29T05:47:20"/>
    <s v="Yes"/>
    <d v="2022-09-16T05:47:20"/>
    <s v="Declined"/>
    <m/>
    <d v="2022-09-21T05:47:20"/>
    <s v="Declined"/>
    <m/>
    <m/>
    <d v="2022-09-17T05:47:20"/>
    <m/>
    <n v="0"/>
    <m/>
    <m/>
    <m/>
    <m/>
    <m/>
    <m/>
    <m/>
    <m/>
    <n v="1"/>
    <n v="19"/>
    <n v="18"/>
    <x v="15"/>
    <n v="1"/>
    <d v="2022-12-16T05:47:20"/>
    <s v=""/>
    <s v=""/>
    <s v=""/>
    <m/>
    <m/>
    <m/>
    <m/>
    <m/>
    <m/>
    <m/>
    <m/>
    <m/>
    <m/>
  </r>
  <r>
    <n v="988"/>
    <s v="988 | M and E"/>
    <x v="3"/>
    <s v="M and E - Senior"/>
    <s v="Analyst"/>
    <s v="M and E-Analyst"/>
    <s v="Senior"/>
    <d v="2022-08-22T05:47:20"/>
    <d v="2022-08-25T05:47:2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986"/>
    <s v="986 | M and E"/>
    <x v="3"/>
    <s v="M and E - Senior"/>
    <s v="Analyst"/>
    <s v="M and E-Analyst"/>
    <s v="Senior"/>
    <d v="2022-08-25T05:47:20"/>
    <d v="2022-08-26T05:47:20"/>
    <s v="Yes"/>
    <d v="2022-09-12T05:47:20"/>
    <s v="Declined"/>
    <m/>
    <d v="2022-09-15T05:47:20"/>
    <s v="Declined"/>
    <m/>
    <m/>
    <d v="2022-09-13T05:47:20"/>
    <m/>
    <n v="0"/>
    <m/>
    <m/>
    <m/>
    <m/>
    <m/>
    <m/>
    <m/>
    <m/>
    <n v="1"/>
    <n v="18"/>
    <n v="17"/>
    <x v="13"/>
    <n v="1"/>
    <d v="2022-12-12T05:47:20"/>
    <s v=""/>
    <s v=""/>
    <s v=""/>
    <m/>
    <m/>
    <m/>
    <m/>
    <m/>
    <m/>
    <m/>
    <m/>
    <m/>
    <m/>
  </r>
  <r>
    <n v="985"/>
    <s v="985 | M and E"/>
    <x v="3"/>
    <s v="M and E - Senior"/>
    <s v="Analyst"/>
    <s v="M and E-Analyst"/>
    <s v="Senior"/>
    <d v="2022-08-23T05:47:20"/>
    <d v="2022-08-25T05:47:20"/>
    <s v="Yes"/>
    <d v="2022-09-03T05:47:20"/>
    <s v="Failed"/>
    <s v="Didn't pass technical test"/>
    <m/>
    <m/>
    <m/>
    <m/>
    <m/>
    <m/>
    <n v="0"/>
    <m/>
    <m/>
    <m/>
    <m/>
    <s v="Candidate"/>
    <m/>
    <m/>
    <m/>
    <n v="2"/>
    <n v="11"/>
    <n v="9"/>
    <x v="0"/>
    <s v=""/>
    <s v=""/>
    <s v=""/>
    <s v=""/>
    <s v=""/>
    <m/>
    <m/>
    <m/>
    <m/>
    <m/>
    <m/>
    <m/>
    <m/>
    <m/>
    <m/>
  </r>
  <r>
    <n v="983"/>
    <s v="983 | M and E"/>
    <x v="3"/>
    <s v="M and E - Senior"/>
    <s v="Analyst"/>
    <s v="M and E-Analyst"/>
    <s v="Senior"/>
    <d v="2022-08-28T05:47:20"/>
    <d v="2022-08-29T05:47:20"/>
    <s v="Yes"/>
    <d v="2022-09-06T05:47:20"/>
    <s v="Accepted"/>
    <m/>
    <d v="2022-09-08T05:47:20"/>
    <s v="Accepted"/>
    <d v="2022-09-08T05:47:20"/>
    <d v="2022-09-11T05:47:20"/>
    <d v="2022-09-07T05:47:20"/>
    <d v="2022-09-13T05:47:20"/>
    <n v="1"/>
    <d v="2022-09-16T05:47:20"/>
    <d v="2022-09-18T05:47:20"/>
    <d v="2022-09-20T05:47:20"/>
    <m/>
    <m/>
    <d v="2022-10-08T05:47:20"/>
    <m/>
    <m/>
    <n v="1"/>
    <n v="9"/>
    <n v="8"/>
    <x v="22"/>
    <n v="1"/>
    <d v="2022-12-06T05:47:20"/>
    <n v="3"/>
    <n v="31"/>
    <n v="13"/>
    <m/>
    <m/>
    <m/>
    <m/>
    <m/>
    <m/>
    <m/>
    <m/>
    <m/>
    <m/>
  </r>
  <r>
    <n v="878"/>
    <s v="878 | M and E"/>
    <x v="3"/>
    <s v="M and E - Senior"/>
    <s v="Analyst"/>
    <s v="M and E-Analyst"/>
    <s v="Senior"/>
    <d v="2022-07-18T19:23:12"/>
    <d v="2022-07-21T19:23:12"/>
    <s v="Yes"/>
    <d v="2022-08-05T19:23:12"/>
    <s v="Declined"/>
    <m/>
    <d v="2022-08-09T19:23:12"/>
    <s v="Declined"/>
    <m/>
    <m/>
    <d v="2022-08-08T19:23:12"/>
    <m/>
    <n v="0"/>
    <m/>
    <m/>
    <m/>
    <m/>
    <m/>
    <m/>
    <m/>
    <m/>
    <n v="3"/>
    <n v="18"/>
    <n v="15"/>
    <x v="19"/>
    <n v="3"/>
    <d v="2022-11-06T19:23:12"/>
    <s v=""/>
    <s v=""/>
    <s v=""/>
    <m/>
    <m/>
    <m/>
    <m/>
    <m/>
    <m/>
    <m/>
    <m/>
    <m/>
    <m/>
  </r>
  <r>
    <n v="874"/>
    <s v="874 | M and E"/>
    <x v="3"/>
    <s v="M and E - Senior"/>
    <s v="Analyst"/>
    <s v="M and E-Analyst"/>
    <s v="Senior"/>
    <d v="2022-07-17T19:23:12"/>
    <d v="2022-07-21T19:23:12"/>
    <s v="Yes"/>
    <d v="2022-07-31T19:23:12"/>
    <s v="Failed"/>
    <s v="Salary expectation too high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753"/>
    <s v="753 | M and E"/>
    <x v="3"/>
    <s v="M and E - Senior"/>
    <s v="Analyst"/>
    <s v="M and E-Analyst"/>
    <s v="Senior"/>
    <d v="2023-01-15T21:12:47"/>
    <d v="2023-01-16T21:12:47"/>
    <s v="Yes"/>
    <d v="2023-02-06T21:12:47"/>
    <s v="Failed"/>
    <s v="Position filled by another"/>
    <m/>
    <m/>
    <m/>
    <m/>
    <m/>
    <m/>
    <n v="0"/>
    <m/>
    <m/>
    <m/>
    <m/>
    <s v="Candidate"/>
    <m/>
    <m/>
    <m/>
    <n v="1"/>
    <n v="22"/>
    <n v="21"/>
    <x v="0"/>
    <s v=""/>
    <s v=""/>
    <s v=""/>
    <s v=""/>
    <s v=""/>
    <m/>
    <m/>
    <m/>
    <m/>
    <m/>
    <m/>
    <m/>
    <m/>
    <m/>
    <m/>
  </r>
  <r>
    <n v="700"/>
    <s v="700 | M and E"/>
    <x v="3"/>
    <s v="M and E - Senior"/>
    <s v="Analyst"/>
    <s v="M and E-Analyst"/>
    <s v="Senior"/>
    <d v="2022-11-05T06:56:27"/>
    <d v="2022-11-09T06:56:27"/>
    <s v="Yes"/>
    <d v="2022-11-13T06:56:27"/>
    <s v="Failed"/>
    <s v="Not a culture fit"/>
    <m/>
    <m/>
    <m/>
    <m/>
    <m/>
    <m/>
    <n v="0"/>
    <m/>
    <m/>
    <m/>
    <m/>
    <s v="Company"/>
    <m/>
    <m/>
    <m/>
    <n v="4"/>
    <n v="8"/>
    <n v="4"/>
    <x v="0"/>
    <s v=""/>
    <s v=""/>
    <s v=""/>
    <s v=""/>
    <s v=""/>
    <m/>
    <m/>
    <m/>
    <m/>
    <m/>
    <m/>
    <m/>
    <m/>
    <m/>
    <m/>
  </r>
  <r>
    <n v="645"/>
    <s v="645 | M and E"/>
    <x v="3"/>
    <s v="M and E - Senior"/>
    <s v="Analyst"/>
    <s v="M and E-Analyst"/>
    <s v="Senior"/>
    <d v="2022-08-12T18:15:27"/>
    <d v="2022-08-13T18:15:27"/>
    <s v="Yes"/>
    <d v="2022-08-19T18:15:27"/>
    <s v="Accepted"/>
    <m/>
    <d v="2022-08-24T18:15:27"/>
    <s v="Accepted"/>
    <d v="2022-08-20T18:15:27"/>
    <d v="2022-08-22T18:15:27"/>
    <d v="2022-08-22T18:15:27"/>
    <d v="2022-08-28T18:15:27"/>
    <n v="1"/>
    <d v="2022-08-30T18:15:27"/>
    <d v="2022-09-02T18:15:27"/>
    <d v="2022-09-05T18:15:27"/>
    <m/>
    <m/>
    <d v="2022-09-13T18:15:27"/>
    <m/>
    <m/>
    <n v="1"/>
    <n v="7"/>
    <n v="6"/>
    <x v="22"/>
    <n v="3"/>
    <d v="2022-11-20T18:15:27"/>
    <n v="2"/>
    <n v="22"/>
    <n v="14"/>
    <m/>
    <m/>
    <m/>
    <m/>
    <m/>
    <m/>
    <m/>
    <m/>
    <m/>
    <m/>
  </r>
  <r>
    <n v="644"/>
    <s v="644 | M and E"/>
    <x v="3"/>
    <s v="M and E - Senior"/>
    <s v="Analyst"/>
    <s v="M and E-Analyst"/>
    <s v="Senior"/>
    <d v="2022-08-08T18:15:27"/>
    <d v="2022-08-11T18:15:27"/>
    <s v="Yes"/>
    <d v="2022-08-24T18:15:27"/>
    <s v="Accepted"/>
    <m/>
    <d v="2022-08-29T18:15:27"/>
    <s v="Accepted"/>
    <d v="2022-08-25T18:15:27"/>
    <d v="2022-08-27T18:15:27"/>
    <d v="2022-08-28T18:15:27"/>
    <d v="2022-08-31T18:15:27"/>
    <n v="1"/>
    <d v="2022-09-01T18:15:27"/>
    <d v="2022-09-04T18:15:27"/>
    <d v="2022-09-05T18:15:27"/>
    <m/>
    <m/>
    <d v="2022-09-26T18:15:27"/>
    <m/>
    <m/>
    <n v="3"/>
    <n v="16"/>
    <n v="13"/>
    <x v="15"/>
    <n v="4"/>
    <d v="2022-11-26T18:15:27"/>
    <n v="1"/>
    <n v="29"/>
    <n v="8"/>
    <m/>
    <m/>
    <m/>
    <m/>
    <m/>
    <m/>
    <m/>
    <m/>
    <m/>
    <m/>
  </r>
  <r>
    <n v="558"/>
    <s v="558 | M and E"/>
    <x v="3"/>
    <s v="M and E - Senior"/>
    <s v="Analyst"/>
    <s v="M and E-Analyst"/>
    <s v="Senior"/>
    <d v="2023-06-09T00:15:10"/>
    <d v="2023-06-11T00:15:1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554"/>
    <s v="554 | M and E"/>
    <x v="3"/>
    <s v="M and E - Senior"/>
    <s v="Analyst"/>
    <s v="M and E-Analyst"/>
    <s v="Senior"/>
    <d v="2023-06-09T00:15:10"/>
    <d v="2023-06-11T00:15:10"/>
    <s v="Yes"/>
    <d v="2023-06-18T00:15:10"/>
    <s v="Failed"/>
    <s v="Other"/>
    <m/>
    <m/>
    <m/>
    <m/>
    <d v="2023-06-19T00:15:10"/>
    <m/>
    <n v="0"/>
    <m/>
    <m/>
    <m/>
    <m/>
    <s v="Candidate"/>
    <m/>
    <m/>
    <m/>
    <n v="2"/>
    <n v="9"/>
    <n v="7"/>
    <x v="22"/>
    <n v="1"/>
    <d v="2023-09-17T00:15:10"/>
    <s v=""/>
    <s v=""/>
    <s v=""/>
    <m/>
    <m/>
    <m/>
    <m/>
    <m/>
    <m/>
    <m/>
    <m/>
    <m/>
    <m/>
  </r>
  <r>
    <n v="2989"/>
    <s v="2989 | M and E"/>
    <x v="3"/>
    <s v="M and E - Manager Level"/>
    <s v="Manager"/>
    <s v="M and E-Manager"/>
    <s v="Manager Level"/>
    <d v="2023-01-02T23:42:41"/>
    <d v="2023-01-04T23:42:41"/>
    <s v="Yes"/>
    <d v="2023-01-19T23:42:41"/>
    <s v="Failed"/>
    <s v="Not a culture fit"/>
    <m/>
    <m/>
    <m/>
    <m/>
    <d v="2023-01-21T23:42:41"/>
    <m/>
    <n v="0"/>
    <m/>
    <m/>
    <m/>
    <m/>
    <s v="Candidate"/>
    <m/>
    <m/>
    <m/>
    <n v="2"/>
    <n v="17"/>
    <n v="15"/>
    <x v="13"/>
    <n v="2"/>
    <d v="2023-04-21T23:42:41"/>
    <s v=""/>
    <s v=""/>
    <s v=""/>
    <m/>
    <m/>
    <m/>
    <m/>
    <m/>
    <m/>
    <m/>
    <m/>
    <m/>
    <m/>
  </r>
  <r>
    <n v="2907"/>
    <s v="2907 | M and E"/>
    <x v="3"/>
    <s v="M and E - Manager Level"/>
    <s v="Manager"/>
    <s v="M and E-Manager"/>
    <s v="Manager Level"/>
    <d v="2022-02-24T07:11:44"/>
    <d v="2022-02-25T07:11:44"/>
    <s v="Yes"/>
    <d v="2022-03-16T07:11:44"/>
    <s v="Failed"/>
    <s v="Didn't pass technical test"/>
    <m/>
    <m/>
    <m/>
    <m/>
    <d v="2022-03-19T07:11:44"/>
    <m/>
    <n v="0"/>
    <m/>
    <m/>
    <m/>
    <m/>
    <s v="Company"/>
    <m/>
    <m/>
    <m/>
    <n v="1"/>
    <n v="20"/>
    <n v="19"/>
    <x v="3"/>
    <n v="3"/>
    <d v="2022-06-17T07:11:44"/>
    <s v=""/>
    <s v=""/>
    <s v=""/>
    <m/>
    <m/>
    <m/>
    <m/>
    <m/>
    <m/>
    <m/>
    <m/>
    <m/>
    <m/>
  </r>
  <r>
    <n v="2880"/>
    <s v="2880 | M and E"/>
    <x v="3"/>
    <s v="M and E - Manager Level"/>
    <s v="Manager"/>
    <s v="M and E-Manager"/>
    <s v="Manager Level"/>
    <d v="2023-07-10T03:57:06"/>
    <d v="2023-07-12T03:57:06"/>
    <s v="Yes"/>
    <d v="2023-07-24T03:57:06"/>
    <s v="Accepted"/>
    <m/>
    <d v="2023-07-30T03:57:06"/>
    <s v="Accepted"/>
    <d v="2023-07-25T03:57:06"/>
    <d v="2023-07-26T03:57:06"/>
    <d v="2023-07-27T03:57:06"/>
    <d v="2023-07-29T03:57:06"/>
    <n v="1"/>
    <d v="2023-07-31T03:57:06"/>
    <d v="2023-08-01T03:57:06"/>
    <d v="2023-08-02T03:57:06"/>
    <m/>
    <m/>
    <d v="2023-08-12T03:57:06"/>
    <m/>
    <m/>
    <n v="2"/>
    <n v="14"/>
    <n v="12"/>
    <x v="14"/>
    <n v="3"/>
    <d v="2023-10-25T03:57:06"/>
    <n v="2"/>
    <n v="16"/>
    <n v="6"/>
    <m/>
    <m/>
    <m/>
    <m/>
    <m/>
    <m/>
    <m/>
    <m/>
    <m/>
    <m/>
  </r>
  <r>
    <n v="2876"/>
    <s v="2876 | M and E"/>
    <x v="3"/>
    <s v="M and E - Manager Level"/>
    <s v="Manager"/>
    <s v="M and E-Manager"/>
    <s v="Manager Level"/>
    <d v="2023-07-11T03:57:06"/>
    <d v="2023-07-12T03:57:06"/>
    <s v="Yes"/>
    <d v="2023-07-27T03:57:06"/>
    <s v="Declined"/>
    <m/>
    <d v="2023-08-02T03:57:06"/>
    <s v="Declined"/>
    <m/>
    <m/>
    <d v="2023-07-31T03:57:06"/>
    <m/>
    <n v="0"/>
    <m/>
    <m/>
    <m/>
    <m/>
    <m/>
    <m/>
    <m/>
    <m/>
    <n v="1"/>
    <n v="16"/>
    <n v="15"/>
    <x v="15"/>
    <n v="4"/>
    <d v="2023-10-29T03:57:06"/>
    <s v=""/>
    <s v=""/>
    <s v=""/>
    <m/>
    <m/>
    <m/>
    <m/>
    <m/>
    <m/>
    <m/>
    <m/>
    <m/>
    <m/>
  </r>
  <r>
    <n v="2875"/>
    <s v="2875 | M and E"/>
    <x v="3"/>
    <s v="M and E - Manager Level"/>
    <s v="Manager"/>
    <s v="M and E-Manager"/>
    <s v="Manager Level"/>
    <d v="2023-07-07T03:57:06"/>
    <d v="2023-07-08T03:57:0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871"/>
    <s v="2871 | M and E"/>
    <x v="3"/>
    <s v="M and E - Manager Level"/>
    <s v="Manager"/>
    <s v="M and E-Manager"/>
    <s v="Manager Level"/>
    <d v="2023-07-12T03:57:06"/>
    <d v="2023-07-13T03:57:06"/>
    <s v="Yes"/>
    <d v="2023-07-21T03:57:06"/>
    <s v="Accepted"/>
    <m/>
    <d v="2023-07-29T03:57:06"/>
    <s v="Accepted"/>
    <d v="2023-07-23T03:57:06"/>
    <d v="2023-07-27T03:57:06"/>
    <d v="2023-07-25T03:57:06"/>
    <d v="2023-07-31T03:57:06"/>
    <n v="1"/>
    <d v="2023-08-04T03:57:06"/>
    <d v="2023-08-06T03:57:06"/>
    <d v="2023-08-09T03:57:06"/>
    <m/>
    <m/>
    <d v="2023-08-28T03:57:06"/>
    <m/>
    <m/>
    <n v="1"/>
    <n v="9"/>
    <n v="8"/>
    <x v="8"/>
    <n v="4"/>
    <d v="2023-10-23T03:57:06"/>
    <n v="4"/>
    <n v="34"/>
    <n v="15"/>
    <m/>
    <m/>
    <m/>
    <m/>
    <m/>
    <m/>
    <m/>
    <m/>
    <m/>
    <m/>
  </r>
  <r>
    <n v="2811"/>
    <s v="2811 | M and E"/>
    <x v="3"/>
    <s v="M and E - Manager Level"/>
    <s v="Manager"/>
    <s v="M and E-Manager"/>
    <s v="Manager Level"/>
    <d v="2022-11-28T20:42:08"/>
    <d v="2022-12-01T20:42:08"/>
    <s v="Yes"/>
    <d v="2022-12-10T20:42:08"/>
    <s v="Declined"/>
    <m/>
    <d v="2022-12-14T20:42:08"/>
    <s v="Declined"/>
    <m/>
    <m/>
    <d v="2022-12-12T20:42:08"/>
    <m/>
    <n v="0"/>
    <m/>
    <m/>
    <m/>
    <m/>
    <m/>
    <m/>
    <m/>
    <m/>
    <n v="3"/>
    <n v="12"/>
    <n v="9"/>
    <x v="1"/>
    <n v="2"/>
    <d v="2023-03-12T20:42:08"/>
    <s v=""/>
    <s v=""/>
    <s v=""/>
    <m/>
    <m/>
    <m/>
    <m/>
    <m/>
    <m/>
    <m/>
    <m/>
    <m/>
    <m/>
  </r>
  <r>
    <n v="2718"/>
    <s v="2718 | M and E"/>
    <x v="3"/>
    <s v="M and E - Manager Level"/>
    <s v="Manager"/>
    <s v="M and E-Manager"/>
    <s v="Manager Level"/>
    <d v="2023-01-28T01:18:41"/>
    <d v="2023-01-31T01:18:41"/>
    <s v="Yes"/>
    <d v="2023-02-10T01:18:41"/>
    <s v="Failed"/>
    <s v="Salary expectation too high"/>
    <m/>
    <m/>
    <m/>
    <m/>
    <d v="2023-02-11T01:18:41"/>
    <m/>
    <n v="0"/>
    <m/>
    <m/>
    <m/>
    <m/>
    <s v="Company"/>
    <m/>
    <m/>
    <m/>
    <n v="3"/>
    <n v="13"/>
    <n v="10"/>
    <x v="1"/>
    <n v="1"/>
    <d v="2023-05-12T01:18:41"/>
    <s v=""/>
    <s v=""/>
    <s v=""/>
    <m/>
    <m/>
    <m/>
    <m/>
    <m/>
    <m/>
    <m/>
    <m/>
    <m/>
    <m/>
  </r>
  <r>
    <n v="2714"/>
    <s v="2714 | M and E"/>
    <x v="3"/>
    <s v="M and E - Manager Level"/>
    <s v="Manager"/>
    <s v="M and E-Manager"/>
    <s v="Manager Level"/>
    <d v="2023-01-29T01:18:41"/>
    <d v="2023-01-31T01:18:41"/>
    <s v="Yes"/>
    <d v="2023-02-09T01:18:41"/>
    <s v="Failed"/>
    <s v="Position filled by another"/>
    <m/>
    <m/>
    <m/>
    <m/>
    <m/>
    <m/>
    <n v="0"/>
    <m/>
    <m/>
    <m/>
    <m/>
    <s v="Candidate"/>
    <m/>
    <m/>
    <m/>
    <n v="2"/>
    <n v="11"/>
    <n v="9"/>
    <x v="0"/>
    <s v=""/>
    <s v=""/>
    <s v=""/>
    <s v=""/>
    <s v=""/>
    <m/>
    <m/>
    <m/>
    <m/>
    <m/>
    <m/>
    <m/>
    <m/>
    <m/>
    <m/>
  </r>
  <r>
    <n v="2652"/>
    <s v="2652 | M and E"/>
    <x v="3"/>
    <s v="M and E - Manager Level"/>
    <s v="Manager"/>
    <s v="M and E-Manager"/>
    <s v="Manager Level"/>
    <d v="2022-02-08T10:00:31"/>
    <d v="2022-02-10T10:00:31"/>
    <s v="Yes"/>
    <d v="2022-03-03T10:00:31"/>
    <s v="Failed"/>
    <s v="Not a culture fit"/>
    <m/>
    <m/>
    <m/>
    <m/>
    <m/>
    <m/>
    <n v="0"/>
    <m/>
    <m/>
    <m/>
    <m/>
    <s v="Company"/>
    <m/>
    <m/>
    <m/>
    <n v="2"/>
    <n v="23"/>
    <n v="21"/>
    <x v="0"/>
    <s v=""/>
    <s v=""/>
    <s v=""/>
    <s v=""/>
    <s v=""/>
    <m/>
    <m/>
    <m/>
    <m/>
    <m/>
    <m/>
    <m/>
    <m/>
    <m/>
    <m/>
  </r>
  <r>
    <n v="2608"/>
    <s v="2608 | M and E"/>
    <x v="3"/>
    <s v="M and E - Manager Level"/>
    <s v="Manager"/>
    <s v="M and E-Manager"/>
    <s v="Manager Level"/>
    <d v="2023-04-25T16:37:27"/>
    <d v="2023-04-28T16:37:27"/>
    <s v="Yes"/>
    <d v="2023-05-14T16:37:27"/>
    <s v="Failed"/>
    <s v="Not a culture fit"/>
    <m/>
    <m/>
    <m/>
    <m/>
    <m/>
    <m/>
    <n v="0"/>
    <m/>
    <m/>
    <m/>
    <m/>
    <s v="Candidate"/>
    <m/>
    <m/>
    <m/>
    <n v="3"/>
    <n v="19"/>
    <n v="16"/>
    <x v="0"/>
    <s v=""/>
    <s v=""/>
    <s v=""/>
    <s v=""/>
    <s v=""/>
    <m/>
    <m/>
    <m/>
    <m/>
    <m/>
    <m/>
    <m/>
    <m/>
    <m/>
    <m/>
  </r>
  <r>
    <n v="2605"/>
    <s v="2605 | M and E"/>
    <x v="3"/>
    <s v="M and E - Manager Level"/>
    <s v="Manager"/>
    <s v="M and E-Manager"/>
    <s v="Manager Level"/>
    <d v="2023-04-26T16:37:27"/>
    <d v="2023-04-27T16:37:27"/>
    <s v="Yes"/>
    <d v="2023-05-16T16:37:27"/>
    <s v="Failed"/>
    <s v="Salary expectation too high"/>
    <m/>
    <m/>
    <m/>
    <m/>
    <m/>
    <m/>
    <n v="0"/>
    <m/>
    <m/>
    <m/>
    <m/>
    <s v="Candidate"/>
    <m/>
    <m/>
    <m/>
    <n v="1"/>
    <n v="20"/>
    <n v="19"/>
    <x v="0"/>
    <s v=""/>
    <s v=""/>
    <s v=""/>
    <s v=""/>
    <s v=""/>
    <m/>
    <m/>
    <m/>
    <m/>
    <m/>
    <m/>
    <m/>
    <m/>
    <m/>
    <m/>
  </r>
  <r>
    <n v="2470"/>
    <s v="2470 | M and E"/>
    <x v="3"/>
    <s v="M and E - Manager Level"/>
    <s v="Manager"/>
    <s v="M and E-Manager"/>
    <s v="Manager Level"/>
    <d v="2023-03-29T20:12:18"/>
    <d v="2023-04-01T20:12:18"/>
    <s v="Yes"/>
    <d v="2023-04-08T20:12:18"/>
    <s v="Accepted"/>
    <m/>
    <d v="2023-04-16T20:12:18"/>
    <s v="Accepted"/>
    <d v="2023-04-09T20:12:18"/>
    <d v="2023-04-12T20:12:18"/>
    <d v="2023-04-12T20:12:18"/>
    <d v="2023-04-14T20:12:18"/>
    <n v="1"/>
    <d v="2023-04-18T20:12:18"/>
    <d v="2023-04-19T20:12:18"/>
    <d v="2023-04-21T20:12:18"/>
    <m/>
    <m/>
    <d v="2023-05-11T20:12:18"/>
    <m/>
    <m/>
    <n v="3"/>
    <n v="10"/>
    <n v="7"/>
    <x v="1"/>
    <n v="4"/>
    <d v="2023-07-11T20:12:18"/>
    <n v="4"/>
    <n v="29"/>
    <n v="9"/>
    <m/>
    <m/>
    <m/>
    <m/>
    <m/>
    <m/>
    <m/>
    <m/>
    <m/>
    <m/>
  </r>
  <r>
    <n v="2466"/>
    <s v="2466 | M and E"/>
    <x v="3"/>
    <s v="M and E - Manager Level"/>
    <s v="Manager"/>
    <s v="M and E-Manager"/>
    <s v="Manager Level"/>
    <d v="2023-04-01T20:12:18"/>
    <d v="2023-04-03T20:12:18"/>
    <s v="Yes"/>
    <d v="2023-04-20T20:12:18"/>
    <s v="Pending"/>
    <m/>
    <d v="2023-04-28T20:12:18"/>
    <s v="Pending"/>
    <m/>
    <m/>
    <d v="2023-04-24T20:12:18"/>
    <m/>
    <n v="0"/>
    <m/>
    <m/>
    <m/>
    <m/>
    <m/>
    <m/>
    <m/>
    <m/>
    <n v="2"/>
    <n v="19"/>
    <n v="17"/>
    <x v="3"/>
    <n v="4"/>
    <d v="2023-07-23T20:12:18"/>
    <s v=""/>
    <s v=""/>
    <s v=""/>
    <m/>
    <m/>
    <m/>
    <m/>
    <m/>
    <m/>
    <m/>
    <m/>
    <m/>
    <m/>
  </r>
  <r>
    <n v="2433"/>
    <s v="2433 | M and E"/>
    <x v="3"/>
    <s v="M and E - Manager Level"/>
    <s v="Manager"/>
    <s v="M and E-Manager"/>
    <s v="Manager Level"/>
    <d v="2022-07-02T03:02:50"/>
    <d v="2022-07-03T03:02:50"/>
    <s v="Yes"/>
    <d v="2022-07-16T03:02:50"/>
    <s v="Failed"/>
    <s v="Salary expectation too high"/>
    <m/>
    <m/>
    <m/>
    <m/>
    <d v="2022-07-20T03:02:50"/>
    <m/>
    <n v="0"/>
    <m/>
    <m/>
    <m/>
    <m/>
    <s v="Company"/>
    <m/>
    <m/>
    <m/>
    <n v="1"/>
    <n v="14"/>
    <n v="13"/>
    <x v="12"/>
    <n v="4"/>
    <d v="2022-10-18T03:02:50"/>
    <s v=""/>
    <s v=""/>
    <s v=""/>
    <m/>
    <m/>
    <m/>
    <m/>
    <m/>
    <m/>
    <m/>
    <m/>
    <m/>
    <m/>
  </r>
  <r>
    <n v="2350"/>
    <s v="2350 | M and E"/>
    <x v="3"/>
    <s v="M and E - Manager Level"/>
    <s v="Manager"/>
    <s v="M and E-Manager"/>
    <s v="Manager Level"/>
    <d v="2023-05-08T08:44:55"/>
    <d v="2023-05-12T08:44:55"/>
    <s v="Yes"/>
    <d v="2023-05-22T08:44:55"/>
    <s v="Failed"/>
    <s v="Not a culture fit"/>
    <m/>
    <m/>
    <m/>
    <m/>
    <d v="2023-05-23T08:44:55"/>
    <m/>
    <n v="0"/>
    <m/>
    <m/>
    <m/>
    <m/>
    <s v="Company"/>
    <m/>
    <m/>
    <m/>
    <n v="4"/>
    <n v="14"/>
    <n v="10"/>
    <x v="16"/>
    <n v="1"/>
    <d v="2023-08-21T08:44:55"/>
    <s v=""/>
    <s v=""/>
    <s v=""/>
    <m/>
    <m/>
    <m/>
    <m/>
    <m/>
    <m/>
    <m/>
    <m/>
    <m/>
    <m/>
  </r>
  <r>
    <n v="2343"/>
    <s v="2343 | M and E"/>
    <x v="3"/>
    <s v="M and E - Manager Level"/>
    <s v="Manager"/>
    <s v="M and E-Manager"/>
    <s v="Manager Level"/>
    <d v="2023-05-09T08:44:55"/>
    <d v="2023-05-11T08:44:5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82"/>
    <s v="2182 | M and E"/>
    <x v="3"/>
    <s v="M and E - Manager Level"/>
    <s v="Manager"/>
    <s v="M and E-Manager"/>
    <s v="Manager Level"/>
    <d v="2023-03-08T12:45:42"/>
    <d v="2023-03-11T12:45:42"/>
    <s v="Yes"/>
    <d v="2023-03-19T12:45:42"/>
    <s v="Accepted"/>
    <m/>
    <d v="2023-03-22T12:45:42"/>
    <s v="Accepted"/>
    <d v="2023-03-20T12:45:42"/>
    <d v="2023-03-24T12:45:42"/>
    <d v="2023-03-21T12:45:42"/>
    <d v="2023-03-31T12:45:42"/>
    <n v="1"/>
    <d v="2023-04-02T12:45:42"/>
    <d v="2023-04-05T12:45:42"/>
    <d v="2023-04-08T12:45:42"/>
    <m/>
    <m/>
    <d v="2023-04-25T12:45:42"/>
    <m/>
    <m/>
    <n v="3"/>
    <n v="11"/>
    <n v="8"/>
    <x v="8"/>
    <n v="2"/>
    <d v="2023-06-19T12:45:42"/>
    <n v="2"/>
    <n v="35"/>
    <n v="18"/>
    <m/>
    <m/>
    <m/>
    <m/>
    <m/>
    <m/>
    <m/>
    <m/>
    <m/>
    <m/>
  </r>
  <r>
    <n v="2079"/>
    <s v="2079 | M and E"/>
    <x v="3"/>
    <s v="M and E - Manager Level"/>
    <s v="Manager"/>
    <s v="M and E-Manager"/>
    <s v="Manager Level"/>
    <d v="2022-12-19T10:35:07"/>
    <d v="2022-12-22T10:35:07"/>
    <s v="Yes"/>
    <d v="2023-01-04T10:35:07"/>
    <s v="Accepted"/>
    <m/>
    <d v="2023-01-09T10:35:07"/>
    <s v="Accepted"/>
    <d v="2023-01-06T10:35:07"/>
    <d v="2023-01-07T10:35:07"/>
    <d v="2023-01-05T10:35:07"/>
    <d v="2023-01-08T10:35:07"/>
    <n v="1"/>
    <d v="2023-01-11T10:35:07"/>
    <d v="2023-01-12T10:35:07"/>
    <d v="2023-01-13T10:35:07"/>
    <m/>
    <m/>
    <d v="2023-02-04T10:35:07"/>
    <m/>
    <m/>
    <n v="3"/>
    <n v="16"/>
    <n v="13"/>
    <x v="14"/>
    <n v="1"/>
    <d v="2023-04-05T10:35:07"/>
    <n v="3"/>
    <n v="30"/>
    <n v="8"/>
    <m/>
    <m/>
    <m/>
    <m/>
    <m/>
    <m/>
    <m/>
    <m/>
    <m/>
    <m/>
  </r>
  <r>
    <n v="2076"/>
    <s v="2076 | M and E"/>
    <x v="3"/>
    <s v="M and E - Manager Level"/>
    <s v="Manager"/>
    <s v="M and E-Manager"/>
    <s v="Manager Level"/>
    <d v="2022-12-25T10:35:07"/>
    <d v="2022-12-27T10:35:07"/>
    <s v="Yes"/>
    <d v="2023-01-11T10:35:07"/>
    <s v="Declined"/>
    <m/>
    <d v="2023-01-16T10:35:07"/>
    <s v="Declined"/>
    <m/>
    <m/>
    <d v="2023-01-15T10:35:07"/>
    <m/>
    <n v="0"/>
    <m/>
    <m/>
    <m/>
    <m/>
    <m/>
    <m/>
    <m/>
    <m/>
    <n v="2"/>
    <n v="17"/>
    <n v="15"/>
    <x v="19"/>
    <n v="4"/>
    <d v="2023-04-15T10:35:07"/>
    <s v=""/>
    <s v=""/>
    <s v=""/>
    <m/>
    <m/>
    <m/>
    <m/>
    <m/>
    <m/>
    <m/>
    <m/>
    <m/>
    <m/>
  </r>
  <r>
    <n v="2020"/>
    <s v="2020 | M and E"/>
    <x v="3"/>
    <s v="M and E - Manager Level"/>
    <s v="Manager"/>
    <s v="M and E-Manager"/>
    <s v="Manager Level"/>
    <d v="2023-06-05T14:00:49"/>
    <d v="2023-06-06T14:00:49"/>
    <s v="Yes"/>
    <d v="2023-06-24T14:00:49"/>
    <s v="Pending"/>
    <m/>
    <d v="2023-06-29T14:00:49"/>
    <s v="Pending"/>
    <m/>
    <m/>
    <d v="2023-06-28T14:00:49"/>
    <m/>
    <n v="0"/>
    <m/>
    <m/>
    <m/>
    <m/>
    <m/>
    <m/>
    <m/>
    <m/>
    <n v="1"/>
    <n v="19"/>
    <n v="18"/>
    <x v="3"/>
    <n v="4"/>
    <d v="2023-09-26T14:00:49"/>
    <s v=""/>
    <s v=""/>
    <s v=""/>
    <m/>
    <m/>
    <m/>
    <m/>
    <m/>
    <m/>
    <m/>
    <m/>
    <m/>
    <m/>
  </r>
  <r>
    <n v="1950"/>
    <s v="1950 | M and E"/>
    <x v="3"/>
    <s v="M and E - Manager Level"/>
    <s v="Manager"/>
    <s v="M and E-Manager"/>
    <s v="Manager Level"/>
    <d v="2023-03-02T06:20:20"/>
    <d v="2023-03-03T06:20:20"/>
    <s v="Yes"/>
    <d v="2023-03-06T06:20:20"/>
    <s v="Accepted"/>
    <m/>
    <d v="2023-03-10T06:20:20"/>
    <s v="Accepted"/>
    <d v="2023-03-07T06:20:20"/>
    <d v="2023-03-08T06:20:20"/>
    <d v="2023-03-08T06:20:20"/>
    <d v="2023-03-15T06:20:20"/>
    <n v="1"/>
    <d v="2023-03-17T06:20:20"/>
    <d v="2023-03-20T06:20:20"/>
    <d v="2023-03-23T06:20:20"/>
    <m/>
    <m/>
    <d v="2023-03-31T06:20:20"/>
    <m/>
    <m/>
    <n v="1"/>
    <n v="4"/>
    <n v="3"/>
    <x v="27"/>
    <n v="2"/>
    <d v="2023-06-06T06:20:20"/>
    <n v="2"/>
    <n v="23"/>
    <n v="15"/>
    <m/>
    <m/>
    <m/>
    <m/>
    <m/>
    <m/>
    <m/>
    <m/>
    <m/>
    <m/>
  </r>
  <r>
    <n v="1945"/>
    <s v="1945 | M and E"/>
    <x v="3"/>
    <s v="M and E - Manager Level"/>
    <s v="Manager"/>
    <s v="M and E-Manager"/>
    <s v="Manager Level"/>
    <d v="2023-02-25T06:20:20"/>
    <d v="2023-02-27T06:20:20"/>
    <s v="Yes"/>
    <d v="2023-03-14T06:20:20"/>
    <s v="Failed"/>
    <s v="Not a culture fit"/>
    <m/>
    <m/>
    <m/>
    <m/>
    <m/>
    <m/>
    <n v="0"/>
    <m/>
    <m/>
    <m/>
    <m/>
    <s v="Candidate"/>
    <m/>
    <m/>
    <m/>
    <n v="2"/>
    <n v="17"/>
    <n v="15"/>
    <x v="0"/>
    <s v=""/>
    <s v=""/>
    <s v=""/>
    <s v=""/>
    <s v=""/>
    <m/>
    <m/>
    <m/>
    <m/>
    <m/>
    <m/>
    <m/>
    <m/>
    <m/>
    <m/>
  </r>
  <r>
    <n v="1942"/>
    <s v="1942 | M and E"/>
    <x v="3"/>
    <s v="M and E - Manager Level"/>
    <s v="Manager"/>
    <s v="M and E-Manager"/>
    <s v="Manager Level"/>
    <d v="2023-02-27T06:20:20"/>
    <d v="2023-03-03T06:20:20"/>
    <s v="Yes"/>
    <d v="2023-03-14T06:20:20"/>
    <s v="Accepted"/>
    <m/>
    <d v="2023-03-18T06:20:20"/>
    <s v="Accepted"/>
    <d v="2023-03-16T06:20:20"/>
    <d v="2023-03-19T06:20:20"/>
    <d v="2023-03-16T06:20:20"/>
    <d v="2023-03-23T06:20:20"/>
    <n v="1"/>
    <d v="2023-03-25T06:20:20"/>
    <d v="2023-03-27T06:20:20"/>
    <d v="2023-03-28T06:20:20"/>
    <m/>
    <m/>
    <d v="2023-04-11T06:20:20"/>
    <m/>
    <m/>
    <n v="4"/>
    <n v="15"/>
    <n v="11"/>
    <x v="14"/>
    <n v="2"/>
    <d v="2023-06-14T06:20:20"/>
    <n v="2"/>
    <n v="26"/>
    <n v="12"/>
    <m/>
    <m/>
    <m/>
    <m/>
    <m/>
    <m/>
    <m/>
    <m/>
    <m/>
    <m/>
  </r>
  <r>
    <n v="1927"/>
    <s v="1927 | M and E"/>
    <x v="3"/>
    <s v="M and E - Manager Level"/>
    <s v="Manager"/>
    <s v="M and E-Manager"/>
    <s v="Manager Level"/>
    <d v="2022-08-22T09:24:23"/>
    <d v="2022-08-23T09:24:2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923"/>
    <s v="1923 | M and E"/>
    <x v="3"/>
    <s v="M and E - Manager Level"/>
    <s v="Manager"/>
    <s v="M and E-Manager"/>
    <s v="Manager Level"/>
    <d v="2022-08-23T09:24:23"/>
    <d v="2022-08-24T09:24:23"/>
    <s v="Yes"/>
    <d v="2022-09-03T09:24:23"/>
    <s v="Failed"/>
    <s v="Not a culture fit"/>
    <m/>
    <m/>
    <m/>
    <m/>
    <d v="2022-09-05T09:24:23"/>
    <m/>
    <n v="0"/>
    <m/>
    <m/>
    <m/>
    <m/>
    <s v="Candidate"/>
    <m/>
    <m/>
    <m/>
    <n v="1"/>
    <n v="11"/>
    <n v="10"/>
    <x v="8"/>
    <n v="2"/>
    <d v="2022-12-04T09:24:23"/>
    <s v=""/>
    <s v=""/>
    <s v=""/>
    <m/>
    <m/>
    <m/>
    <m/>
    <m/>
    <m/>
    <m/>
    <m/>
    <m/>
    <m/>
  </r>
  <r>
    <n v="1839"/>
    <s v="1839 | M and E"/>
    <x v="3"/>
    <s v="M and E - Manager Level"/>
    <s v="Manager"/>
    <s v="M and E-Manager"/>
    <s v="Manager Level"/>
    <d v="2023-04-22T08:48:53"/>
    <d v="2023-04-23T08:48:53"/>
    <s v="Yes"/>
    <d v="2023-05-10T08:48:53"/>
    <s v="Declined"/>
    <m/>
    <d v="2023-05-15T08:48:53"/>
    <s v="Declined"/>
    <m/>
    <m/>
    <d v="2023-05-12T08:48:53"/>
    <m/>
    <n v="0"/>
    <m/>
    <m/>
    <m/>
    <m/>
    <m/>
    <m/>
    <m/>
    <m/>
    <n v="1"/>
    <n v="18"/>
    <n v="17"/>
    <x v="15"/>
    <n v="2"/>
    <d v="2023-08-10T08:48:53"/>
    <s v=""/>
    <s v=""/>
    <s v=""/>
    <m/>
    <m/>
    <m/>
    <m/>
    <m/>
    <m/>
    <m/>
    <m/>
    <m/>
    <m/>
  </r>
  <r>
    <n v="1790"/>
    <s v="1790 | M and E"/>
    <x v="3"/>
    <s v="M and E - Manager Level"/>
    <s v="Manager"/>
    <s v="M and E-Manager"/>
    <s v="Manager Level"/>
    <d v="2022-04-07T08:33:21"/>
    <d v="2022-04-10T08:33:2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782"/>
    <s v="1782 | M and E"/>
    <x v="3"/>
    <s v="M and E - Manager Level"/>
    <s v="Manager"/>
    <s v="M and E-Manager"/>
    <s v="Manager Level"/>
    <d v="2022-04-08T08:33:21"/>
    <d v="2022-04-11T08:33:21"/>
    <s v="Yes"/>
    <d v="2022-04-19T08:33:21"/>
    <s v="Declined"/>
    <m/>
    <d v="2022-04-22T08:33:21"/>
    <s v="Declined"/>
    <m/>
    <m/>
    <d v="2022-04-21T08:33:21"/>
    <m/>
    <n v="0"/>
    <m/>
    <m/>
    <m/>
    <m/>
    <m/>
    <m/>
    <m/>
    <m/>
    <n v="3"/>
    <n v="11"/>
    <n v="8"/>
    <x v="8"/>
    <n v="2"/>
    <d v="2022-07-20T08:33:21"/>
    <s v=""/>
    <s v=""/>
    <s v=""/>
    <m/>
    <m/>
    <m/>
    <m/>
    <m/>
    <m/>
    <m/>
    <m/>
    <m/>
    <m/>
  </r>
  <r>
    <n v="1768"/>
    <s v="1768 | M and E"/>
    <x v="3"/>
    <s v="M and E - Manager Level"/>
    <s v="Manager"/>
    <s v="M and E-Manager"/>
    <s v="Manager Level"/>
    <d v="2023-06-20T15:39:43"/>
    <d v="2023-06-24T15:39:43"/>
    <s v="Yes"/>
    <d v="2023-07-14T15:39:43"/>
    <s v="Accepted"/>
    <m/>
    <d v="2023-07-21T15:39:43"/>
    <s v="Accepted"/>
    <d v="2023-07-16T15:39:43"/>
    <d v="2023-07-20T15:39:43"/>
    <d v="2023-07-17T15:39:43"/>
    <d v="2023-07-27T15:39:43"/>
    <n v="1"/>
    <d v="2023-07-28T15:39:43"/>
    <d v="2023-07-31T15:39:43"/>
    <d v="2023-08-01T15:39:43"/>
    <m/>
    <m/>
    <d v="2023-08-16T15:39:43"/>
    <m/>
    <m/>
    <n v="4"/>
    <n v="24"/>
    <n v="20"/>
    <x v="18"/>
    <n v="3"/>
    <d v="2023-10-15T15:39:43"/>
    <n v="1"/>
    <n v="30"/>
    <n v="15"/>
    <m/>
    <m/>
    <m/>
    <m/>
    <m/>
    <m/>
    <m/>
    <m/>
    <m/>
    <m/>
  </r>
  <r>
    <n v="1765"/>
    <s v="1765 | M and E"/>
    <x v="3"/>
    <s v="M and E - Manager Level"/>
    <s v="Manager"/>
    <s v="M and E-Manager"/>
    <s v="Manager Level"/>
    <d v="2023-06-24T15:39:43"/>
    <d v="2023-06-27T15:39:43"/>
    <s v="Yes"/>
    <d v="2023-07-11T15:39:43"/>
    <s v="Declined"/>
    <m/>
    <d v="2023-07-16T15:39:43"/>
    <s v="Declined"/>
    <m/>
    <m/>
    <d v="2023-07-15T15:39:43"/>
    <m/>
    <n v="0"/>
    <m/>
    <m/>
    <m/>
    <m/>
    <m/>
    <m/>
    <m/>
    <m/>
    <n v="3"/>
    <n v="17"/>
    <n v="14"/>
    <x v="19"/>
    <n v="4"/>
    <d v="2023-10-13T15:39:43"/>
    <s v=""/>
    <s v=""/>
    <s v=""/>
    <m/>
    <m/>
    <m/>
    <m/>
    <m/>
    <m/>
    <m/>
    <m/>
    <m/>
    <m/>
  </r>
  <r>
    <n v="1764"/>
    <s v="1764 | M and E"/>
    <x v="3"/>
    <s v="M and E - Manager Level"/>
    <s v="Manager"/>
    <s v="M and E-Manager"/>
    <s v="Manager Level"/>
    <d v="2023-06-22T15:39:43"/>
    <d v="2023-06-26T15:39:43"/>
    <s v="Yes"/>
    <d v="2023-07-08T15:39:43"/>
    <s v="Failed"/>
    <s v="Position filled by another"/>
    <m/>
    <m/>
    <m/>
    <m/>
    <d v="2023-07-09T15:39:43"/>
    <m/>
    <n v="0"/>
    <m/>
    <m/>
    <m/>
    <m/>
    <s v="Company"/>
    <m/>
    <m/>
    <m/>
    <n v="4"/>
    <n v="16"/>
    <n v="12"/>
    <x v="14"/>
    <n v="1"/>
    <d v="2023-10-07T15:39:43"/>
    <s v=""/>
    <s v=""/>
    <s v=""/>
    <m/>
    <m/>
    <m/>
    <m/>
    <m/>
    <m/>
    <m/>
    <m/>
    <m/>
    <m/>
  </r>
  <r>
    <n v="1729"/>
    <s v="1729 | M and E"/>
    <x v="3"/>
    <s v="M and E - Manager Level"/>
    <s v="Manager"/>
    <s v="M and E-Manager"/>
    <s v="Manager Level"/>
    <d v="2022-10-27T12:00:37"/>
    <d v="2022-10-29T12:00:37"/>
    <s v="Yes"/>
    <d v="2022-11-16T12:00:37"/>
    <s v="Failed"/>
    <s v="Position filled by another"/>
    <m/>
    <m/>
    <m/>
    <m/>
    <m/>
    <m/>
    <n v="0"/>
    <m/>
    <m/>
    <m/>
    <m/>
    <s v="Company"/>
    <m/>
    <m/>
    <m/>
    <n v="2"/>
    <n v="20"/>
    <n v="18"/>
    <x v="0"/>
    <s v=""/>
    <s v=""/>
    <s v=""/>
    <s v=""/>
    <s v=""/>
    <m/>
    <m/>
    <m/>
    <m/>
    <m/>
    <m/>
    <m/>
    <m/>
    <m/>
    <m/>
  </r>
  <r>
    <n v="1721"/>
    <s v="1721 | M and E"/>
    <x v="3"/>
    <s v="M and E - Manager Level"/>
    <s v="Manager"/>
    <s v="M and E-Manager"/>
    <s v="Manager Level"/>
    <d v="2022-10-28T12:00:37"/>
    <d v="2022-11-01T12:00:3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651"/>
    <s v="1651 | M and E"/>
    <x v="3"/>
    <s v="M and E - Manager Level"/>
    <s v="Manager"/>
    <s v="M and E-Manager"/>
    <s v="Manager Level"/>
    <d v="2022-11-11T04:40:47"/>
    <d v="2022-11-15T04:40:47"/>
    <s v="Yes"/>
    <d v="2022-11-21T04:40:47"/>
    <s v="Failed"/>
    <s v="Other"/>
    <m/>
    <m/>
    <m/>
    <m/>
    <m/>
    <m/>
    <n v="0"/>
    <m/>
    <m/>
    <m/>
    <m/>
    <s v="Company"/>
    <m/>
    <m/>
    <m/>
    <n v="4"/>
    <n v="10"/>
    <n v="6"/>
    <x v="0"/>
    <s v=""/>
    <s v=""/>
    <s v=""/>
    <s v=""/>
    <s v=""/>
    <m/>
    <m/>
    <m/>
    <m/>
    <m/>
    <m/>
    <m/>
    <m/>
    <m/>
    <m/>
  </r>
  <r>
    <n v="1626"/>
    <s v="1626 | M and E"/>
    <x v="3"/>
    <s v="M and E - Manager Level"/>
    <s v="Manager"/>
    <s v="M and E-Manager"/>
    <s v="Manager Level"/>
    <d v="2022-03-19T07:08:59"/>
    <d v="2022-03-23T07:08:59"/>
    <s v="Yes"/>
    <d v="2022-04-02T07:08:59"/>
    <s v="Declined"/>
    <m/>
    <d v="2022-04-05T07:08:59"/>
    <s v="Declined"/>
    <m/>
    <m/>
    <d v="2022-04-04T07:08:59"/>
    <m/>
    <n v="0"/>
    <m/>
    <m/>
    <m/>
    <m/>
    <m/>
    <m/>
    <m/>
    <m/>
    <n v="4"/>
    <n v="14"/>
    <n v="10"/>
    <x v="20"/>
    <n v="2"/>
    <d v="2022-07-03T07:08:59"/>
    <s v=""/>
    <s v=""/>
    <s v=""/>
    <m/>
    <m/>
    <m/>
    <m/>
    <m/>
    <m/>
    <m/>
    <m/>
    <m/>
    <m/>
  </r>
  <r>
    <n v="1610"/>
    <s v="1610 | M and E"/>
    <x v="3"/>
    <s v="M and E - Manager Level"/>
    <s v="Manager"/>
    <s v="M and E-Manager"/>
    <s v="Manager Level"/>
    <d v="2022-01-03T19:39:24"/>
    <d v="2022-01-05T19:39:24"/>
    <s v="Yes"/>
    <d v="2022-01-17T19:39:24"/>
    <s v="Declined"/>
    <m/>
    <d v="2022-01-20T19:39:24"/>
    <s v="Declined"/>
    <m/>
    <m/>
    <d v="2022-01-18T19:39:24"/>
    <m/>
    <n v="0"/>
    <m/>
    <m/>
    <m/>
    <m/>
    <m/>
    <m/>
    <m/>
    <m/>
    <n v="2"/>
    <n v="14"/>
    <n v="12"/>
    <x v="16"/>
    <n v="1"/>
    <d v="2022-04-18T19:39:24"/>
    <s v=""/>
    <s v=""/>
    <s v=""/>
    <m/>
    <m/>
    <m/>
    <m/>
    <m/>
    <m/>
    <m/>
    <m/>
    <m/>
    <m/>
  </r>
  <r>
    <n v="1609"/>
    <s v="1609 | M and E"/>
    <x v="3"/>
    <s v="M and E - Manager Level"/>
    <s v="Manager"/>
    <s v="M and E-Manager"/>
    <s v="Manager Level"/>
    <d v="2022-01-01T19:39:24"/>
    <d v="2022-01-03T19:39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608"/>
    <s v="1608 | M and E"/>
    <x v="3"/>
    <s v="M and E - Manager Level"/>
    <s v="Manager"/>
    <s v="M and E-Manager"/>
    <s v="Manager Level"/>
    <d v="2022-01-01T19:39:24"/>
    <d v="2022-01-03T19:39:24"/>
    <s v="Yes"/>
    <d v="2022-01-12T19:39:24"/>
    <s v="Failed"/>
    <s v="Not a culture fit"/>
    <m/>
    <m/>
    <m/>
    <m/>
    <d v="2022-01-16T19:39:24"/>
    <m/>
    <n v="0"/>
    <m/>
    <m/>
    <m/>
    <m/>
    <s v="Company"/>
    <m/>
    <m/>
    <m/>
    <n v="2"/>
    <n v="11"/>
    <n v="9"/>
    <x v="16"/>
    <n v="4"/>
    <d v="2022-04-16T19:39:24"/>
    <s v=""/>
    <s v=""/>
    <s v=""/>
    <m/>
    <m/>
    <m/>
    <m/>
    <m/>
    <m/>
    <m/>
    <m/>
    <m/>
    <m/>
  </r>
  <r>
    <n v="1604"/>
    <s v="1604 | M and E"/>
    <x v="3"/>
    <s v="M and E - Manager Level"/>
    <s v="Manager"/>
    <s v="M and E-Manager"/>
    <s v="Manager Level"/>
    <d v="2021-12-31T19:39:24"/>
    <d v="2022-01-03T19:39:24"/>
    <s v="Yes"/>
    <d v="2022-01-14T19:39:24"/>
    <s v="Failed"/>
    <s v="Position filled by an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1475"/>
    <s v="1475 | M and E"/>
    <x v="3"/>
    <s v="M and E - Manager Level"/>
    <s v="Manager"/>
    <s v="M and E-Manager"/>
    <s v="Manager Level"/>
    <d v="2023-01-20T06:41:41"/>
    <d v="2023-01-22T06:41:41"/>
    <s v="Yes"/>
    <d v="2023-02-03T06:41:41"/>
    <s v="Pending"/>
    <m/>
    <d v="2023-02-09T06:41:41"/>
    <s v="Pending"/>
    <m/>
    <m/>
    <d v="2023-02-05T06:41:41"/>
    <m/>
    <n v="0"/>
    <m/>
    <m/>
    <m/>
    <m/>
    <m/>
    <m/>
    <m/>
    <m/>
    <n v="2"/>
    <n v="14"/>
    <n v="12"/>
    <x v="20"/>
    <n v="2"/>
    <d v="2023-05-06T06:41:41"/>
    <s v=""/>
    <s v=""/>
    <s v=""/>
    <m/>
    <m/>
    <m/>
    <m/>
    <m/>
    <m/>
    <m/>
    <m/>
    <m/>
    <m/>
  </r>
  <r>
    <n v="1055"/>
    <s v="1055 | M and E"/>
    <x v="3"/>
    <s v="M and E - Manager Level"/>
    <s v="Manager"/>
    <s v="M and E-Manager"/>
    <s v="Manager Level"/>
    <d v="2023-08-17T04:19:54"/>
    <d v="2023-08-21T04:19:54"/>
    <s v="Yes"/>
    <d v="2023-09-03T04:19:54"/>
    <s v="Accepted"/>
    <m/>
    <d v="2023-09-08T04:19:54"/>
    <s v="Accepted"/>
    <d v="2023-09-05T04:19:54"/>
    <d v="2023-09-09T04:19:54"/>
    <d v="2023-09-04T04:19:54"/>
    <d v="2023-09-09T04:19:54"/>
    <n v="1"/>
    <d v="2023-09-11T04:19:54"/>
    <d v="2023-09-14T04:19:54"/>
    <d v="2023-09-17T04:19:54"/>
    <m/>
    <m/>
    <d v="2023-10-03T04:19:54"/>
    <m/>
    <m/>
    <n v="4"/>
    <n v="17"/>
    <n v="13"/>
    <x v="12"/>
    <n v="1"/>
    <d v="2023-12-03T04:19:54"/>
    <n v="2"/>
    <n v="29"/>
    <n v="13"/>
    <m/>
    <m/>
    <m/>
    <m/>
    <m/>
    <m/>
    <m/>
    <m/>
    <m/>
    <m/>
  </r>
  <r>
    <n v="1001"/>
    <s v="1001 | M and E"/>
    <x v="3"/>
    <s v="M and E - Manager Level"/>
    <s v="Manager"/>
    <s v="M and E-Manager"/>
    <s v="Manager Level"/>
    <d v="2022-12-24T16:31:31"/>
    <d v="2022-12-27T16:31:31"/>
    <s v="Yes"/>
    <d v="2023-01-13T16:31:31"/>
    <s v="Declined"/>
    <m/>
    <d v="2023-01-17T16:31:31"/>
    <s v="Declined"/>
    <m/>
    <m/>
    <d v="2023-01-15T16:31:31"/>
    <m/>
    <n v="0"/>
    <m/>
    <m/>
    <m/>
    <m/>
    <m/>
    <m/>
    <m/>
    <m/>
    <n v="3"/>
    <n v="20"/>
    <n v="17"/>
    <x v="7"/>
    <n v="2"/>
    <d v="2023-04-15T16:31:31"/>
    <s v=""/>
    <s v=""/>
    <s v=""/>
    <m/>
    <m/>
    <m/>
    <m/>
    <m/>
    <m/>
    <m/>
    <m/>
    <m/>
    <m/>
  </r>
  <r>
    <n v="982"/>
    <s v="982 | M and E"/>
    <x v="3"/>
    <s v="M and E - Manager Level"/>
    <s v="Manager"/>
    <s v="M and E-Manager"/>
    <s v="Manager Level"/>
    <d v="2022-08-24T05:47:20"/>
    <d v="2022-08-25T05:47:20"/>
    <s v="Yes"/>
    <d v="2022-09-07T05:47:20"/>
    <s v="Declined"/>
    <m/>
    <d v="2022-09-12T05:47:20"/>
    <s v="Declined"/>
    <m/>
    <m/>
    <d v="2022-09-10T05:47:20"/>
    <m/>
    <n v="0"/>
    <m/>
    <m/>
    <m/>
    <m/>
    <m/>
    <m/>
    <m/>
    <m/>
    <n v="1"/>
    <n v="14"/>
    <n v="13"/>
    <x v="14"/>
    <n v="3"/>
    <d v="2022-12-09T05:47:20"/>
    <s v=""/>
    <s v=""/>
    <s v=""/>
    <m/>
    <m/>
    <m/>
    <m/>
    <m/>
    <m/>
    <m/>
    <m/>
    <m/>
    <m/>
  </r>
  <r>
    <n v="873"/>
    <s v="873 | M and E"/>
    <x v="3"/>
    <s v="M and E - Manager Level"/>
    <s v="Manager"/>
    <s v="M and E-Manager"/>
    <s v="Manager Level"/>
    <d v="2022-07-21T19:23:12"/>
    <d v="2022-07-24T19:23:12"/>
    <s v="Yes"/>
    <d v="2022-08-02T19:23:12"/>
    <s v="Declined"/>
    <m/>
    <d v="2022-08-10T19:23:12"/>
    <s v="Declined"/>
    <m/>
    <m/>
    <d v="2022-08-06T19:23:12"/>
    <m/>
    <n v="0"/>
    <m/>
    <m/>
    <m/>
    <m/>
    <m/>
    <m/>
    <m/>
    <m/>
    <n v="3"/>
    <n v="12"/>
    <n v="9"/>
    <x v="20"/>
    <n v="4"/>
    <d v="2022-11-04T19:23:12"/>
    <s v=""/>
    <s v=""/>
    <s v=""/>
    <m/>
    <m/>
    <m/>
    <m/>
    <m/>
    <m/>
    <m/>
    <m/>
    <m/>
    <m/>
  </r>
  <r>
    <n v="871"/>
    <s v="871 | M and E"/>
    <x v="3"/>
    <s v="M and E - Manager Level"/>
    <s v="Manager"/>
    <s v="M and E-Manager"/>
    <s v="Manager Level"/>
    <d v="2022-07-16T19:23:12"/>
    <d v="2022-07-20T19:23:12"/>
    <s v="Yes"/>
    <d v="2022-07-29T19:23:12"/>
    <s v="Accepted"/>
    <m/>
    <d v="2022-08-06T19:23:12"/>
    <s v="Accepted"/>
    <d v="2022-07-30T19:23:12"/>
    <d v="2022-08-02T19:23:12"/>
    <d v="2022-08-02T19:23:12"/>
    <d v="2022-08-03T19:23:12"/>
    <n v="1"/>
    <d v="2022-08-04T19:23:12"/>
    <d v="2022-08-05T19:23:12"/>
    <d v="2022-08-06T19:23:12"/>
    <m/>
    <m/>
    <d v="2022-08-23T19:23:12"/>
    <m/>
    <m/>
    <n v="4"/>
    <n v="13"/>
    <n v="9"/>
    <x v="14"/>
    <n v="4"/>
    <d v="2022-10-31T19:23:12"/>
    <n v="1"/>
    <n v="21"/>
    <n v="4"/>
    <m/>
    <m/>
    <m/>
    <m/>
    <m/>
    <m/>
    <m/>
    <m/>
    <m/>
    <m/>
  </r>
  <r>
    <n v="752"/>
    <s v="752 | M and E"/>
    <x v="3"/>
    <s v="M and E - Manager Level"/>
    <s v="Manager"/>
    <s v="M and E-Manager"/>
    <s v="Manager Level"/>
    <d v="2023-01-17T21:12:47"/>
    <d v="2023-01-19T21:12:47"/>
    <s v="Yes"/>
    <d v="2023-01-27T21:12:47"/>
    <s v="Accepted"/>
    <m/>
    <d v="2023-01-30T21:12:47"/>
    <s v="Accepted"/>
    <d v="2023-01-28T21:12:47"/>
    <d v="2023-01-29T21:12:47"/>
    <d v="2023-01-28T21:12:47"/>
    <d v="2023-02-05T21:12:47"/>
    <n v="1"/>
    <d v="2023-02-08T21:12:47"/>
    <d v="2023-02-09T21:12:47"/>
    <d v="2023-02-11T21:12:47"/>
    <m/>
    <m/>
    <d v="2023-02-23T21:12:47"/>
    <m/>
    <m/>
    <n v="2"/>
    <n v="10"/>
    <n v="8"/>
    <x v="9"/>
    <n v="1"/>
    <d v="2023-04-28T21:12:47"/>
    <n v="3"/>
    <n v="26"/>
    <n v="14"/>
    <m/>
    <m/>
    <m/>
    <m/>
    <m/>
    <m/>
    <m/>
    <m/>
    <m/>
    <m/>
  </r>
  <r>
    <n v="699"/>
    <s v="699 | M and E"/>
    <x v="3"/>
    <s v="M and E - Manager Level"/>
    <s v="Manager"/>
    <s v="M and E-Manager"/>
    <s v="Manager Level"/>
    <d v="2022-11-06T06:56:27"/>
    <d v="2022-11-08T06:56:27"/>
    <s v="Yes"/>
    <d v="2022-11-20T06:56:27"/>
    <s v="Failed"/>
    <s v="Not a culture fit"/>
    <m/>
    <m/>
    <m/>
    <m/>
    <d v="2022-11-22T06:56:27"/>
    <m/>
    <n v="0"/>
    <m/>
    <m/>
    <m/>
    <m/>
    <s v="Company"/>
    <m/>
    <m/>
    <m/>
    <n v="2"/>
    <n v="14"/>
    <n v="12"/>
    <x v="20"/>
    <n v="2"/>
    <d v="2023-02-20T06:56:27"/>
    <s v=""/>
    <s v=""/>
    <s v=""/>
    <m/>
    <m/>
    <m/>
    <m/>
    <m/>
    <m/>
    <m/>
    <m/>
    <m/>
    <m/>
  </r>
  <r>
    <n v="698"/>
    <s v="698 | M and E"/>
    <x v="3"/>
    <s v="M and E - Manager Level"/>
    <s v="Manager"/>
    <s v="M and E-Manager"/>
    <s v="Manager Level"/>
    <d v="2022-11-08T06:56:27"/>
    <d v="2022-11-09T06:56:2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96"/>
    <s v="696 | M and E"/>
    <x v="3"/>
    <s v="M and E - Manager Level"/>
    <s v="Manager"/>
    <s v="M and E-Manager"/>
    <s v="Manager Level"/>
    <d v="2022-11-03T06:56:27"/>
    <d v="2022-11-04T06:56:2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95"/>
    <s v="695 | M and E"/>
    <x v="3"/>
    <s v="M and E - Manager Level"/>
    <s v="Manager"/>
    <s v="M and E-Manager"/>
    <s v="Manager Level"/>
    <d v="2022-11-04T06:56:27"/>
    <d v="2022-11-06T06:56:27"/>
    <s v="Yes"/>
    <d v="2022-11-17T06:56:27"/>
    <s v="Failed"/>
    <s v="Other"/>
    <m/>
    <m/>
    <m/>
    <m/>
    <d v="2022-11-18T06:56:27"/>
    <m/>
    <n v="0"/>
    <m/>
    <m/>
    <m/>
    <m/>
    <s v="Company"/>
    <m/>
    <m/>
    <m/>
    <n v="2"/>
    <n v="13"/>
    <n v="11"/>
    <x v="1"/>
    <n v="1"/>
    <d v="2023-02-16T06:56:27"/>
    <s v=""/>
    <s v=""/>
    <s v=""/>
    <m/>
    <m/>
    <m/>
    <m/>
    <m/>
    <m/>
    <m/>
    <m/>
    <m/>
    <m/>
  </r>
  <r>
    <n v="648"/>
    <s v="648 | M and E"/>
    <x v="3"/>
    <s v="M and E - Manager Level"/>
    <s v="Manager"/>
    <s v="M and E-Manager"/>
    <s v="Manager Level"/>
    <d v="2022-08-10T18:15:27"/>
    <d v="2022-08-14T18:15:2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643"/>
    <s v="643 | M and E"/>
    <x v="3"/>
    <s v="M and E - Manager Level"/>
    <s v="Manager"/>
    <s v="M and E-Manager"/>
    <s v="Manager Level"/>
    <d v="2022-08-10T18:15:27"/>
    <d v="2022-08-12T18:15:27"/>
    <s v="Yes"/>
    <d v="2022-08-29T18:15:27"/>
    <s v="Failed"/>
    <s v="Not a culture fit"/>
    <m/>
    <m/>
    <m/>
    <m/>
    <m/>
    <m/>
    <n v="0"/>
    <m/>
    <m/>
    <m/>
    <m/>
    <s v="Company"/>
    <m/>
    <m/>
    <m/>
    <n v="2"/>
    <n v="19"/>
    <n v="17"/>
    <x v="0"/>
    <s v=""/>
    <s v=""/>
    <s v=""/>
    <s v=""/>
    <s v=""/>
    <m/>
    <m/>
    <m/>
    <m/>
    <m/>
    <m/>
    <m/>
    <m/>
    <m/>
    <m/>
  </r>
  <r>
    <n v="642"/>
    <s v="642 | M and E"/>
    <x v="3"/>
    <s v="M and E - Manager Level"/>
    <s v="Manager"/>
    <s v="M and E-Manager"/>
    <s v="Manager Level"/>
    <d v="2022-08-07T18:15:27"/>
    <d v="2022-08-09T18:15:27"/>
    <s v="Yes"/>
    <d v="2022-08-19T18:15:27"/>
    <s v="Declined"/>
    <m/>
    <d v="2022-08-26T18:15:27"/>
    <s v="Declined"/>
    <m/>
    <m/>
    <d v="2022-08-23T18:15:27"/>
    <m/>
    <n v="0"/>
    <m/>
    <m/>
    <m/>
    <m/>
    <m/>
    <m/>
    <m/>
    <m/>
    <n v="2"/>
    <n v="12"/>
    <n v="10"/>
    <x v="20"/>
    <n v="4"/>
    <d v="2022-11-21T18:15:27"/>
    <s v=""/>
    <s v=""/>
    <s v=""/>
    <m/>
    <m/>
    <m/>
    <m/>
    <m/>
    <m/>
    <m/>
    <m/>
    <m/>
    <m/>
  </r>
  <r>
    <n v="589"/>
    <s v="589 | M and E"/>
    <x v="3"/>
    <s v="M and E - Manager Level"/>
    <s v="Manager"/>
    <s v="M and E-Manager"/>
    <s v="Manager Level"/>
    <d v="2022-11-26T09:55:12"/>
    <d v="2022-11-28T09:55:12"/>
    <s v="Yes"/>
    <d v="2022-12-03T09:55:12"/>
    <s v="Failed"/>
    <s v="Other"/>
    <m/>
    <m/>
    <m/>
    <m/>
    <m/>
    <m/>
    <n v="0"/>
    <m/>
    <m/>
    <m/>
    <m/>
    <s v="Company"/>
    <m/>
    <m/>
    <m/>
    <n v="2"/>
    <n v="7"/>
    <n v="5"/>
    <x v="0"/>
    <s v=""/>
    <s v=""/>
    <s v=""/>
    <s v=""/>
    <s v=""/>
    <m/>
    <m/>
    <m/>
    <m/>
    <m/>
    <m/>
    <m/>
    <m/>
    <m/>
    <m/>
  </r>
  <r>
    <n v="586"/>
    <s v="586 | M and E"/>
    <x v="3"/>
    <s v="M and E - Manager Level"/>
    <s v="Manager"/>
    <s v="M and E-Manager"/>
    <s v="Manager Level"/>
    <d v="2022-11-22T09:55:12"/>
    <d v="2022-11-26T09:55:12"/>
    <s v="Yes"/>
    <d v="2022-12-04T09:55:12"/>
    <s v="Failed"/>
    <s v="Didn't pass technical test"/>
    <m/>
    <m/>
    <m/>
    <m/>
    <d v="2022-12-05T09:55:12"/>
    <m/>
    <n v="0"/>
    <m/>
    <m/>
    <m/>
    <m/>
    <s v="Candidate"/>
    <m/>
    <m/>
    <m/>
    <n v="4"/>
    <n v="12"/>
    <n v="8"/>
    <x v="8"/>
    <n v="1"/>
    <d v="2023-03-05T09:55:12"/>
    <s v=""/>
    <s v=""/>
    <s v=""/>
    <m/>
    <m/>
    <m/>
    <m/>
    <m/>
    <m/>
    <m/>
    <m/>
    <m/>
    <m/>
  </r>
  <r>
    <n v="585"/>
    <s v="585 | M and E"/>
    <x v="3"/>
    <s v="M and E - Manager Level"/>
    <s v="Manager"/>
    <s v="M and E-Manager"/>
    <s v="Manager Level"/>
    <d v="2022-11-27T09:55:12"/>
    <d v="2022-11-30T09:55:12"/>
    <s v="Yes"/>
    <d v="2022-12-15T09:55:12"/>
    <s v="Pending"/>
    <m/>
    <d v="2022-12-20T09:55:12"/>
    <s v="Pending"/>
    <m/>
    <m/>
    <d v="2022-12-16T09:55:12"/>
    <m/>
    <n v="0"/>
    <m/>
    <m/>
    <m/>
    <m/>
    <m/>
    <m/>
    <m/>
    <m/>
    <n v="3"/>
    <n v="18"/>
    <n v="15"/>
    <x v="13"/>
    <n v="1"/>
    <d v="2023-03-16T09:55:12"/>
    <s v=""/>
    <s v=""/>
    <s v=""/>
    <m/>
    <m/>
    <m/>
    <m/>
    <m/>
    <m/>
    <m/>
    <m/>
    <m/>
    <m/>
  </r>
  <r>
    <n v="584"/>
    <s v="584 | M and E"/>
    <x v="3"/>
    <s v="M and E - Manager Level"/>
    <s v="Manager"/>
    <s v="M and E-Manager"/>
    <s v="Manager Level"/>
    <d v="2022-11-26T09:55:12"/>
    <d v="2022-11-29T09:55:12"/>
    <s v="Yes"/>
    <d v="2022-12-16T09:55:12"/>
    <s v="Accepted"/>
    <m/>
    <d v="2022-12-24T09:55:12"/>
    <s v="Accepted"/>
    <d v="2022-12-17T09:55:12"/>
    <d v="2022-12-21T09:55:12"/>
    <d v="2022-12-20T09:55:12"/>
    <d v="2022-12-27T09:55:12"/>
    <n v="1"/>
    <d v="2022-12-29T09:55:12"/>
    <d v="2022-12-31T09:55:12"/>
    <d v="2023-01-03T09:55:12"/>
    <m/>
    <m/>
    <d v="2023-01-13T09:55:12"/>
    <m/>
    <m/>
    <n v="3"/>
    <n v="20"/>
    <n v="17"/>
    <x v="21"/>
    <n v="4"/>
    <d v="2023-03-20T09:55:12"/>
    <n v="2"/>
    <n v="24"/>
    <n v="14"/>
    <m/>
    <m/>
    <m/>
    <m/>
    <m/>
    <m/>
    <m/>
    <m/>
    <m/>
    <m/>
  </r>
  <r>
    <n v="581"/>
    <s v="581 | M and E"/>
    <x v="3"/>
    <s v="M and E - Manager Level"/>
    <s v="Manager"/>
    <s v="M and E-Manager"/>
    <s v="Manager Level"/>
    <d v="2022-11-21T09:55:12"/>
    <d v="2022-11-25T09:55:12"/>
    <s v="Yes"/>
    <d v="2022-12-18T09:55:12"/>
    <s v="Failed"/>
    <s v="Not a culture fit"/>
    <m/>
    <m/>
    <m/>
    <m/>
    <d v="2022-12-22T09:55:12"/>
    <m/>
    <n v="0"/>
    <m/>
    <m/>
    <m/>
    <m/>
    <s v="Candidate"/>
    <m/>
    <m/>
    <m/>
    <n v="4"/>
    <n v="27"/>
    <n v="23"/>
    <x v="17"/>
    <n v="4"/>
    <d v="2023-03-22T09:55:12"/>
    <s v=""/>
    <s v=""/>
    <s v=""/>
    <m/>
    <m/>
    <m/>
    <m/>
    <m/>
    <m/>
    <m/>
    <m/>
    <m/>
    <m/>
  </r>
  <r>
    <n v="555"/>
    <s v="555 | M and E"/>
    <x v="3"/>
    <s v="M and E - Manager Level"/>
    <s v="Manager"/>
    <s v="M and E-Manager"/>
    <s v="Manager Level"/>
    <d v="2023-06-07T00:15:10"/>
    <d v="2023-06-11T00:15:10"/>
    <s v="Yes"/>
    <d v="2023-06-25T00:15:10"/>
    <s v="Declined"/>
    <m/>
    <d v="2023-06-29T00:15:10"/>
    <s v="Declined"/>
    <m/>
    <m/>
    <d v="2023-06-26T00:15:10"/>
    <m/>
    <n v="0"/>
    <m/>
    <m/>
    <m/>
    <m/>
    <m/>
    <m/>
    <m/>
    <m/>
    <n v="4"/>
    <n v="18"/>
    <n v="14"/>
    <x v="13"/>
    <n v="1"/>
    <d v="2023-09-24T00:15:10"/>
    <s v=""/>
    <s v=""/>
    <s v=""/>
    <m/>
    <m/>
    <m/>
    <m/>
    <m/>
    <m/>
    <m/>
    <m/>
    <m/>
    <m/>
  </r>
  <r>
    <n v="542"/>
    <s v="542 | M and E"/>
    <x v="3"/>
    <s v="M and E - Manager Level"/>
    <s v="Manager"/>
    <s v="M and E-Manager"/>
    <s v="Manager Level"/>
    <d v="2023-02-02T15:37:34"/>
    <d v="2023-02-06T15:37:3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529"/>
    <s v="529 | M and E"/>
    <x v="3"/>
    <s v="M and E - Manager Level"/>
    <s v="Manager"/>
    <s v="M and E-Manager"/>
    <s v="Manager Level"/>
    <d v="2022-02-12T20:00:49"/>
    <d v="2022-02-14T20:00:49"/>
    <s v="Yes"/>
    <d v="2022-02-22T20:00:49"/>
    <s v="Failed"/>
    <s v="Other"/>
    <m/>
    <m/>
    <m/>
    <m/>
    <d v="2022-02-26T20:00:49"/>
    <m/>
    <n v="0"/>
    <m/>
    <m/>
    <m/>
    <m/>
    <s v="Company"/>
    <m/>
    <m/>
    <m/>
    <n v="2"/>
    <n v="10"/>
    <n v="8"/>
    <x v="1"/>
    <n v="4"/>
    <d v="2022-05-27T20:00:49"/>
    <s v=""/>
    <s v=""/>
    <s v=""/>
    <m/>
    <m/>
    <m/>
    <m/>
    <m/>
    <m/>
    <m/>
    <m/>
    <m/>
    <m/>
  </r>
  <r>
    <n v="526"/>
    <s v="526 | M and E"/>
    <x v="3"/>
    <s v="M and E - Manager Level"/>
    <s v="Manager"/>
    <s v="M and E-Manager"/>
    <s v="Manager Level"/>
    <d v="2022-02-10T20:00:49"/>
    <d v="2022-02-13T20:00:4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908"/>
    <s v="2908 | M and E"/>
    <x v="3"/>
    <s v="M and E - Junior"/>
    <s v="Analyst"/>
    <s v="M and E-Analyst"/>
    <s v="Junior"/>
    <d v="2022-02-23T07:11:44"/>
    <d v="2022-02-25T07:11:44"/>
    <s v="Yes"/>
    <d v="2022-03-17T07:11:44"/>
    <s v="Accepted"/>
    <m/>
    <d v="2022-03-22T07:11:44"/>
    <s v="Accepted"/>
    <d v="2022-03-18T07:11:44"/>
    <d v="2022-03-20T07:11:44"/>
    <d v="2022-03-21T07:11:44"/>
    <d v="2022-03-27T07:11:44"/>
    <n v="1"/>
    <d v="2022-03-29T07:11:44"/>
    <d v="2022-03-31T07:11:44"/>
    <d v="2022-04-01T07:11:44"/>
    <m/>
    <m/>
    <d v="2022-04-16T07:11:44"/>
    <m/>
    <m/>
    <n v="2"/>
    <n v="22"/>
    <n v="20"/>
    <x v="25"/>
    <n v="4"/>
    <d v="2022-06-19T07:11:44"/>
    <n v="2"/>
    <n v="26"/>
    <n v="11"/>
    <m/>
    <m/>
    <m/>
    <m/>
    <m/>
    <m/>
    <m/>
    <m/>
    <m/>
    <m/>
  </r>
  <r>
    <n v="2906"/>
    <s v="2906 | M and E"/>
    <x v="3"/>
    <s v="M and E - Junior"/>
    <s v="Analyst"/>
    <s v="M and E-Analyst"/>
    <s v="Junior"/>
    <d v="2022-02-23T07:11:44"/>
    <d v="2022-02-26T07:11:44"/>
    <s v="Yes"/>
    <d v="2022-03-09T07:11:44"/>
    <s v="Declined"/>
    <m/>
    <d v="2022-03-14T07:11:44"/>
    <s v="Declined"/>
    <m/>
    <m/>
    <d v="2022-03-12T07:11:44"/>
    <m/>
    <n v="0"/>
    <m/>
    <m/>
    <m/>
    <m/>
    <m/>
    <m/>
    <m/>
    <m/>
    <n v="3"/>
    <n v="14"/>
    <n v="11"/>
    <x v="14"/>
    <n v="3"/>
    <d v="2022-06-10T07:11:44"/>
    <s v=""/>
    <s v=""/>
    <s v=""/>
    <m/>
    <m/>
    <m/>
    <m/>
    <m/>
    <m/>
    <m/>
    <m/>
    <m/>
    <m/>
  </r>
  <r>
    <n v="2904"/>
    <s v="2904 | M and E"/>
    <x v="3"/>
    <s v="M and E - Junior"/>
    <s v="Analyst"/>
    <s v="M and E-Analyst"/>
    <s v="Junior"/>
    <d v="2022-02-28T07:11:44"/>
    <d v="2022-03-01T07:11:4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812"/>
    <s v="2812 | M and E"/>
    <x v="3"/>
    <s v="M and E - Junior"/>
    <s v="Analyst"/>
    <s v="M and E-Analyst"/>
    <s v="Junior"/>
    <d v="2022-11-26T20:42:08"/>
    <d v="2022-11-29T20:42:08"/>
    <s v="Yes"/>
    <d v="2022-12-10T20:42:08"/>
    <s v="Failed"/>
    <s v="Position filled by an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2720"/>
    <s v="2720 | M and E"/>
    <x v="3"/>
    <s v="M and E - Junior"/>
    <s v="Analyst"/>
    <s v="M and E-Analyst"/>
    <s v="Junior"/>
    <d v="2023-01-26T01:18:41"/>
    <d v="2023-01-30T01:18:41"/>
    <s v="Yes"/>
    <d v="2023-02-16T01:18:41"/>
    <s v="Declined"/>
    <m/>
    <d v="2023-02-23T01:18:41"/>
    <s v="Declined"/>
    <m/>
    <m/>
    <d v="2023-02-20T01:18:41"/>
    <m/>
    <n v="0"/>
    <m/>
    <m/>
    <m/>
    <m/>
    <m/>
    <m/>
    <m/>
    <m/>
    <n v="4"/>
    <n v="21"/>
    <n v="17"/>
    <x v="11"/>
    <n v="4"/>
    <d v="2023-05-21T01:18:41"/>
    <s v=""/>
    <s v=""/>
    <s v=""/>
    <m/>
    <m/>
    <m/>
    <m/>
    <m/>
    <m/>
    <m/>
    <m/>
    <m/>
    <m/>
  </r>
  <r>
    <n v="2719"/>
    <s v="2719 | M and E"/>
    <x v="3"/>
    <s v="M and E - Junior"/>
    <s v="Analyst"/>
    <s v="M and E-Analyst"/>
    <s v="Junior"/>
    <d v="2023-01-26T01:18:41"/>
    <d v="2023-01-30T01:18:41"/>
    <s v="Yes"/>
    <d v="2023-02-05T01:18:41"/>
    <s v="Declined"/>
    <m/>
    <d v="2023-02-07T01:18:41"/>
    <s v="Declined"/>
    <m/>
    <m/>
    <d v="2023-02-06T01:18:41"/>
    <m/>
    <n v="0"/>
    <m/>
    <m/>
    <m/>
    <m/>
    <m/>
    <m/>
    <m/>
    <m/>
    <n v="4"/>
    <n v="10"/>
    <n v="6"/>
    <x v="9"/>
    <n v="1"/>
    <d v="2023-05-07T01:18:41"/>
    <s v=""/>
    <s v=""/>
    <s v=""/>
    <m/>
    <m/>
    <m/>
    <m/>
    <m/>
    <m/>
    <m/>
    <m/>
    <m/>
    <m/>
  </r>
  <r>
    <n v="2693"/>
    <s v="2693 | M and E"/>
    <x v="3"/>
    <s v="M and E - Junior"/>
    <s v="Analyst"/>
    <s v="M and E-Analyst"/>
    <s v="Junior"/>
    <d v="2023-04-01T23:49:48"/>
    <d v="2023-04-03T23:49:48"/>
    <s v="Yes"/>
    <d v="2023-04-19T23:49:48"/>
    <s v="Pending"/>
    <m/>
    <d v="2023-04-23T23:49:48"/>
    <s v="Pending"/>
    <m/>
    <m/>
    <d v="2023-04-20T23:49:48"/>
    <m/>
    <n v="0"/>
    <m/>
    <m/>
    <m/>
    <m/>
    <m/>
    <m/>
    <m/>
    <m/>
    <n v="2"/>
    <n v="18"/>
    <n v="16"/>
    <x v="13"/>
    <n v="1"/>
    <d v="2023-07-19T23:49:48"/>
    <s v=""/>
    <s v=""/>
    <s v=""/>
    <m/>
    <m/>
    <m/>
    <m/>
    <m/>
    <m/>
    <m/>
    <m/>
    <m/>
    <m/>
  </r>
  <r>
    <n v="2659"/>
    <s v="2659 | M and E"/>
    <x v="3"/>
    <s v="M and E - Junior"/>
    <s v="Analyst"/>
    <s v="M and E-Analyst"/>
    <s v="Junior"/>
    <d v="2022-02-07T10:00:31"/>
    <d v="2022-02-08T10:00:31"/>
    <s v="Yes"/>
    <d v="2022-02-26T10:00:31"/>
    <s v="Declined"/>
    <m/>
    <d v="2022-03-04T10:00:31"/>
    <s v="Declined"/>
    <m/>
    <m/>
    <d v="2022-03-02T10:00:31"/>
    <m/>
    <n v="0"/>
    <m/>
    <m/>
    <m/>
    <m/>
    <m/>
    <m/>
    <m/>
    <m/>
    <n v="1"/>
    <n v="19"/>
    <n v="18"/>
    <x v="3"/>
    <n v="4"/>
    <d v="2022-05-31T10:00:31"/>
    <s v=""/>
    <s v=""/>
    <s v=""/>
    <m/>
    <m/>
    <m/>
    <m/>
    <m/>
    <m/>
    <m/>
    <m/>
    <m/>
    <m/>
  </r>
  <r>
    <n v="2658"/>
    <s v="2658 | M and E"/>
    <x v="3"/>
    <s v="M and E - Junior"/>
    <s v="Analyst"/>
    <s v="M and E-Analyst"/>
    <s v="Junior"/>
    <d v="2022-02-08T10:00:31"/>
    <d v="2022-02-10T10:00:31"/>
    <s v="Yes"/>
    <d v="2022-02-14T10:00:31"/>
    <s v="Accepted"/>
    <m/>
    <d v="2022-02-19T10:00:31"/>
    <s v="Accepted"/>
    <d v="2022-02-16T10:00:31"/>
    <d v="2022-02-20T10:00:31"/>
    <d v="2022-02-16T10:00:31"/>
    <d v="2022-02-25T10:00:31"/>
    <n v="1"/>
    <d v="2022-03-01T10:00:31"/>
    <d v="2022-03-02T10:00:31"/>
    <d v="2022-03-05T10:00:31"/>
    <m/>
    <m/>
    <d v="2022-03-18T10:00:31"/>
    <m/>
    <m/>
    <n v="2"/>
    <n v="6"/>
    <n v="4"/>
    <x v="10"/>
    <n v="2"/>
    <d v="2022-05-17T10:00:31"/>
    <n v="4"/>
    <n v="30"/>
    <n v="17"/>
    <m/>
    <m/>
    <m/>
    <m/>
    <m/>
    <m/>
    <m/>
    <m/>
    <m/>
    <m/>
  </r>
  <r>
    <n v="2656"/>
    <s v="2656 | M and E"/>
    <x v="3"/>
    <s v="M and E - Junior"/>
    <s v="Analyst"/>
    <s v="M and E-Analyst"/>
    <s v="Junior"/>
    <d v="2022-02-09T10:00:31"/>
    <d v="2022-02-11T10:00:31"/>
    <s v="Yes"/>
    <d v="2022-02-20T10:00:31"/>
    <s v="Accepted"/>
    <m/>
    <d v="2022-02-26T10:00:31"/>
    <s v="Accepted"/>
    <d v="2022-02-21T10:00:31"/>
    <d v="2022-02-23T10:00:31"/>
    <d v="2022-02-22T10:00:31"/>
    <d v="2022-02-25T10:00:31"/>
    <n v="1"/>
    <d v="2022-02-26T10:00:31"/>
    <d v="2022-02-27T10:00:31"/>
    <d v="2022-03-02T10:00:31"/>
    <m/>
    <m/>
    <d v="2022-03-17T10:00:31"/>
    <m/>
    <m/>
    <n v="2"/>
    <n v="11"/>
    <n v="9"/>
    <x v="8"/>
    <n v="2"/>
    <d v="2022-05-23T10:00:31"/>
    <n v="1"/>
    <n v="23"/>
    <n v="8"/>
    <m/>
    <m/>
    <m/>
    <m/>
    <m/>
    <m/>
    <m/>
    <m/>
    <m/>
    <m/>
  </r>
  <r>
    <n v="2655"/>
    <s v="2655 | M and E"/>
    <x v="3"/>
    <s v="M and E - Junior"/>
    <s v="Analyst"/>
    <s v="M and E-Analyst"/>
    <s v="Junior"/>
    <d v="2022-02-07T10:00:31"/>
    <d v="2022-02-09T10:00:31"/>
    <s v="Yes"/>
    <d v="2022-02-17T10:00:31"/>
    <s v="Accepted"/>
    <m/>
    <d v="2022-02-21T10:00:31"/>
    <s v="Accepted"/>
    <d v="2022-02-18T10:00:31"/>
    <d v="2022-02-19T10:00:31"/>
    <d v="2022-02-18T10:00:31"/>
    <d v="2022-02-28T10:00:31"/>
    <n v="1"/>
    <d v="2022-03-03T10:00:31"/>
    <d v="2022-03-06T10:00:31"/>
    <d v="2022-03-09T10:00:31"/>
    <m/>
    <m/>
    <d v="2022-03-19T10:00:31"/>
    <m/>
    <m/>
    <n v="2"/>
    <n v="10"/>
    <n v="8"/>
    <x v="9"/>
    <n v="1"/>
    <d v="2022-05-19T10:00:31"/>
    <n v="3"/>
    <n v="29"/>
    <n v="19"/>
    <m/>
    <m/>
    <m/>
    <m/>
    <m/>
    <m/>
    <m/>
    <m/>
    <m/>
    <m/>
  </r>
  <r>
    <n v="2610"/>
    <s v="2610 | M and E"/>
    <x v="3"/>
    <s v="M and E - Junior"/>
    <s v="Extension Officer"/>
    <s v="M and E-Extension Officer"/>
    <s v="Junior"/>
    <d v="2023-04-25T16:37:27"/>
    <d v="2023-04-26T16:37:27"/>
    <s v="Yes"/>
    <d v="2023-05-12T16:37:27"/>
    <s v="Declined"/>
    <m/>
    <d v="2023-05-18T16:37:27"/>
    <s v="Declined"/>
    <m/>
    <m/>
    <d v="2023-05-16T16:37:27"/>
    <m/>
    <n v="0"/>
    <m/>
    <m/>
    <m/>
    <m/>
    <m/>
    <m/>
    <m/>
    <m/>
    <n v="1"/>
    <n v="17"/>
    <n v="16"/>
    <x v="19"/>
    <n v="4"/>
    <d v="2023-08-14T16:37:27"/>
    <s v=""/>
    <s v=""/>
    <s v=""/>
    <m/>
    <m/>
    <m/>
    <m/>
    <m/>
    <m/>
    <m/>
    <m/>
    <m/>
    <m/>
  </r>
  <r>
    <n v="2609"/>
    <s v="2609 | M and E"/>
    <x v="3"/>
    <s v="M and E - Junior"/>
    <s v="Extension Officer"/>
    <s v="M and E-Extension Officer"/>
    <s v="Junior"/>
    <d v="2023-04-21T16:37:27"/>
    <d v="2023-04-24T16:37:27"/>
    <s v="Yes"/>
    <d v="2023-05-10T16:37:27"/>
    <s v="Declined"/>
    <m/>
    <d v="2023-05-15T16:37:27"/>
    <s v="Declined"/>
    <m/>
    <m/>
    <d v="2023-05-11T16:37:27"/>
    <m/>
    <n v="0"/>
    <m/>
    <m/>
    <m/>
    <m/>
    <m/>
    <m/>
    <m/>
    <m/>
    <n v="3"/>
    <n v="19"/>
    <n v="16"/>
    <x v="15"/>
    <n v="1"/>
    <d v="2023-08-09T16:37:27"/>
    <s v=""/>
    <s v=""/>
    <s v=""/>
    <m/>
    <m/>
    <m/>
    <m/>
    <m/>
    <m/>
    <m/>
    <m/>
    <m/>
    <m/>
  </r>
  <r>
    <n v="2606"/>
    <s v="2606 | M and E"/>
    <x v="3"/>
    <s v="M and E - Junior"/>
    <s v="Extension Officer"/>
    <s v="M and E-Extension Officer"/>
    <s v="Junior"/>
    <d v="2023-04-24T16:37:27"/>
    <d v="2023-04-27T16:37:27"/>
    <s v="Yes"/>
    <d v="2023-05-06T16:37:27"/>
    <s v="Declined"/>
    <m/>
    <d v="2023-05-10T16:37:27"/>
    <s v="Declined"/>
    <m/>
    <m/>
    <d v="2023-05-09T16:37:27"/>
    <m/>
    <n v="0"/>
    <m/>
    <m/>
    <m/>
    <m/>
    <m/>
    <m/>
    <m/>
    <m/>
    <n v="3"/>
    <n v="12"/>
    <n v="9"/>
    <x v="16"/>
    <n v="3"/>
    <d v="2023-08-07T16:37:27"/>
    <s v=""/>
    <s v=""/>
    <s v=""/>
    <m/>
    <m/>
    <m/>
    <m/>
    <m/>
    <m/>
    <m/>
    <m/>
    <m/>
    <m/>
  </r>
  <r>
    <n v="2603"/>
    <s v="2603 | M and E"/>
    <x v="3"/>
    <s v="M and E - Junior"/>
    <s v="Extension Officer"/>
    <s v="M and E-Extension Officer"/>
    <s v="Junior"/>
    <d v="2023-04-25T16:37:27"/>
    <d v="2023-04-29T16:37:27"/>
    <s v="Yes"/>
    <d v="2023-05-13T16:37:27"/>
    <s v="Failed"/>
    <s v="Didn't pass technical test"/>
    <m/>
    <m/>
    <m/>
    <m/>
    <d v="2023-05-14T16:37:27"/>
    <m/>
    <n v="0"/>
    <m/>
    <m/>
    <m/>
    <m/>
    <s v="Candidate"/>
    <m/>
    <m/>
    <m/>
    <n v="4"/>
    <n v="18"/>
    <n v="14"/>
    <x v="13"/>
    <n v="1"/>
    <d v="2023-08-12T16:37:27"/>
    <s v=""/>
    <s v=""/>
    <s v=""/>
    <m/>
    <m/>
    <m/>
    <m/>
    <m/>
    <m/>
    <m/>
    <m/>
    <m/>
    <m/>
  </r>
  <r>
    <n v="2602"/>
    <s v="2602 | M and E"/>
    <x v="3"/>
    <s v="M and E - Junior"/>
    <s v="Extension Officer"/>
    <s v="M and E-Extension Officer"/>
    <s v="Junior"/>
    <d v="2023-04-23T16:37:27"/>
    <d v="2023-04-25T16:37:27"/>
    <s v="Yes"/>
    <d v="2023-05-09T16:37:27"/>
    <s v="Pending"/>
    <m/>
    <d v="2023-05-13T16:37:27"/>
    <s v="Pending"/>
    <m/>
    <m/>
    <d v="2023-05-12T16:37:27"/>
    <m/>
    <n v="0"/>
    <m/>
    <m/>
    <m/>
    <m/>
    <m/>
    <m/>
    <m/>
    <m/>
    <n v="2"/>
    <n v="16"/>
    <n v="14"/>
    <x v="13"/>
    <n v="3"/>
    <d v="2023-08-10T16:37:27"/>
    <s v=""/>
    <s v=""/>
    <s v=""/>
    <m/>
    <m/>
    <m/>
    <m/>
    <m/>
    <m/>
    <m/>
    <m/>
    <m/>
    <m/>
  </r>
  <r>
    <n v="2496"/>
    <s v="2496 | M and E"/>
    <x v="3"/>
    <s v="M and E - Junior"/>
    <s v="Extension Officer"/>
    <s v="M and E-Extension Officer"/>
    <s v="Junior"/>
    <d v="2022-01-28T13:06:55"/>
    <d v="2022-01-31T13:06:55"/>
    <s v="Yes"/>
    <d v="2022-02-11T13:06:55"/>
    <s v="Failed"/>
    <s v="Salary expectation too high"/>
    <m/>
    <m/>
    <m/>
    <m/>
    <m/>
    <m/>
    <n v="0"/>
    <m/>
    <m/>
    <m/>
    <m/>
    <s v="Company"/>
    <m/>
    <m/>
    <m/>
    <n v="3"/>
    <n v="14"/>
    <n v="11"/>
    <x v="0"/>
    <s v=""/>
    <s v=""/>
    <s v=""/>
    <s v=""/>
    <s v=""/>
    <m/>
    <m/>
    <m/>
    <m/>
    <m/>
    <m/>
    <m/>
    <m/>
    <m/>
    <m/>
  </r>
  <r>
    <n v="2492"/>
    <s v="2492 | M and E"/>
    <x v="3"/>
    <s v="M and E - Junior"/>
    <s v="Extension Officer"/>
    <s v="M and E-Extension Officer"/>
    <s v="Junior"/>
    <d v="2022-01-30T13:06:55"/>
    <d v="2022-02-01T13:06:55"/>
    <s v="Yes"/>
    <d v="2022-02-12T13:06:55"/>
    <s v="Accepted"/>
    <m/>
    <d v="2022-02-17T13:06:55"/>
    <s v="Accepted"/>
    <d v="2022-02-14T13:06:55"/>
    <d v="2022-02-15T13:06:55"/>
    <d v="2022-02-16T13:06:55"/>
    <d v="2022-02-21T13:06:55"/>
    <n v="1"/>
    <d v="2022-02-24T13:06:55"/>
    <d v="2022-02-25T13:06:55"/>
    <d v="2022-02-26T13:06:55"/>
    <m/>
    <m/>
    <d v="2022-03-18T13:06:55"/>
    <m/>
    <m/>
    <n v="2"/>
    <n v="13"/>
    <n v="11"/>
    <x v="14"/>
    <n v="4"/>
    <d v="2022-05-17T13:06:55"/>
    <n v="3"/>
    <n v="30"/>
    <n v="10"/>
    <m/>
    <m/>
    <m/>
    <m/>
    <m/>
    <m/>
    <m/>
    <m/>
    <m/>
    <m/>
  </r>
  <r>
    <n v="2469"/>
    <s v="2469 | M and E"/>
    <x v="3"/>
    <s v="M and E - Junior"/>
    <s v="Extension Officer"/>
    <s v="M and E-Extension Officer"/>
    <s v="Junior"/>
    <d v="2023-03-31T20:12:18"/>
    <d v="2023-04-01T20:12:18"/>
    <s v="Yes"/>
    <d v="2023-04-22T20:12:18"/>
    <s v="Failed"/>
    <s v="Salary expectation too high"/>
    <m/>
    <m/>
    <m/>
    <m/>
    <m/>
    <m/>
    <n v="0"/>
    <m/>
    <m/>
    <m/>
    <m/>
    <s v="Company"/>
    <m/>
    <m/>
    <m/>
    <n v="1"/>
    <n v="22"/>
    <n v="21"/>
    <x v="0"/>
    <s v=""/>
    <s v=""/>
    <s v=""/>
    <s v=""/>
    <s v=""/>
    <m/>
    <m/>
    <m/>
    <m/>
    <m/>
    <m/>
    <m/>
    <m/>
    <m/>
    <m/>
  </r>
  <r>
    <n v="2464"/>
    <s v="2464 | M and E"/>
    <x v="3"/>
    <s v="M and E - Junior"/>
    <s v="Extension Officer"/>
    <s v="M and E-Extension Officer"/>
    <s v="Junior"/>
    <d v="2023-04-01T20:12:18"/>
    <d v="2023-04-05T20:12:18"/>
    <s v="Yes"/>
    <d v="2023-04-11T20:12:18"/>
    <s v="Declined"/>
    <m/>
    <d v="2023-04-18T20:12:18"/>
    <s v="Declined"/>
    <m/>
    <m/>
    <d v="2023-04-15T20:12:18"/>
    <m/>
    <n v="0"/>
    <m/>
    <m/>
    <m/>
    <m/>
    <m/>
    <m/>
    <m/>
    <m/>
    <n v="4"/>
    <n v="10"/>
    <n v="6"/>
    <x v="1"/>
    <n v="4"/>
    <d v="2023-07-14T20:12:18"/>
    <s v=""/>
    <s v=""/>
    <s v=""/>
    <m/>
    <m/>
    <m/>
    <m/>
    <m/>
    <m/>
    <m/>
    <m/>
    <m/>
    <m/>
  </r>
  <r>
    <n v="2432"/>
    <s v="2432 | M and E"/>
    <x v="3"/>
    <s v="M and E - Junior"/>
    <s v="Extension Officer"/>
    <s v="M and E-Extension Officer"/>
    <s v="Junior"/>
    <d v="2022-07-05T03:02:50"/>
    <d v="2022-07-06T03:02:50"/>
    <s v="Yes"/>
    <d v="2022-07-12T03:02:50"/>
    <s v="Declined"/>
    <m/>
    <d v="2022-07-16T03:02:50"/>
    <s v="Declined"/>
    <m/>
    <m/>
    <d v="2022-07-13T03:02:50"/>
    <m/>
    <n v="0"/>
    <m/>
    <m/>
    <m/>
    <m/>
    <m/>
    <m/>
    <m/>
    <m/>
    <n v="1"/>
    <n v="7"/>
    <n v="6"/>
    <x v="10"/>
    <n v="1"/>
    <d v="2022-10-11T03:02:50"/>
    <s v=""/>
    <s v=""/>
    <s v=""/>
    <m/>
    <m/>
    <m/>
    <m/>
    <m/>
    <m/>
    <m/>
    <m/>
    <m/>
    <m/>
  </r>
  <r>
    <n v="2344"/>
    <s v="2344 | M and E"/>
    <x v="3"/>
    <s v="M and E - Junior"/>
    <s v="Extension Officer"/>
    <s v="M and E-Extension Officer"/>
    <s v="Junior"/>
    <d v="2023-05-06T08:44:55"/>
    <d v="2023-05-08T08:44:55"/>
    <s v="Yes"/>
    <d v="2023-05-22T08:44:55"/>
    <s v="Failed"/>
    <s v="Other"/>
    <m/>
    <m/>
    <m/>
    <m/>
    <d v="2023-05-24T08:44:55"/>
    <m/>
    <n v="0"/>
    <m/>
    <m/>
    <m/>
    <m/>
    <s v="Company"/>
    <m/>
    <m/>
    <m/>
    <n v="2"/>
    <n v="16"/>
    <n v="14"/>
    <x v="12"/>
    <n v="2"/>
    <d v="2023-08-22T08:44:55"/>
    <s v=""/>
    <s v=""/>
    <s v=""/>
    <m/>
    <m/>
    <m/>
    <m/>
    <m/>
    <m/>
    <m/>
    <m/>
    <m/>
    <m/>
  </r>
  <r>
    <n v="2209"/>
    <s v="2209 | M and E"/>
    <x v="3"/>
    <s v="M and E - Junior"/>
    <s v="Extension Officer"/>
    <s v="M and E-Extension Officer"/>
    <s v="Junior"/>
    <d v="2023-06-19T04:51:46"/>
    <d v="2023-06-20T04:51:46"/>
    <s v="Yes"/>
    <d v="2023-07-06T04:51:46"/>
    <s v="Accepted"/>
    <m/>
    <d v="2023-07-12T04:51:46"/>
    <s v="Accepted"/>
    <d v="2023-07-08T04:51:46"/>
    <d v="2023-07-10T04:51:46"/>
    <d v="2023-07-09T04:51:46"/>
    <d v="2023-07-10T04:51:46"/>
    <n v="1"/>
    <d v="2023-07-12T04:51:46"/>
    <d v="2023-07-13T04:51:46"/>
    <d v="2023-07-16T04:51:46"/>
    <m/>
    <m/>
    <d v="2023-07-31T04:51:46"/>
    <m/>
    <m/>
    <n v="1"/>
    <n v="17"/>
    <n v="16"/>
    <x v="15"/>
    <n v="3"/>
    <d v="2023-10-07T04:51:46"/>
    <n v="2"/>
    <n v="22"/>
    <n v="7"/>
    <m/>
    <m/>
    <m/>
    <m/>
    <m/>
    <m/>
    <m/>
    <m/>
    <m/>
    <m/>
  </r>
  <r>
    <n v="2206"/>
    <s v="2206 | M and E"/>
    <x v="3"/>
    <s v="M and E - Junior"/>
    <s v="Extension Officer"/>
    <s v="M and E-Extension Officer"/>
    <s v="Junior"/>
    <d v="2023-06-14T04:51:46"/>
    <d v="2023-06-16T04:51:46"/>
    <s v="Yes"/>
    <d v="2023-06-25T04:51:46"/>
    <s v="Failed"/>
    <s v="Not a culture fit"/>
    <m/>
    <m/>
    <m/>
    <m/>
    <d v="2023-06-26T04:51:46"/>
    <m/>
    <n v="0"/>
    <m/>
    <m/>
    <m/>
    <m/>
    <s v="Company"/>
    <m/>
    <m/>
    <m/>
    <n v="2"/>
    <n v="11"/>
    <n v="9"/>
    <x v="24"/>
    <n v="1"/>
    <d v="2023-09-24T04:51:46"/>
    <s v=""/>
    <s v=""/>
    <s v=""/>
    <m/>
    <m/>
    <m/>
    <m/>
    <m/>
    <m/>
    <m/>
    <m/>
    <m/>
    <m/>
  </r>
  <r>
    <n v="2188"/>
    <s v="2188 | M and E"/>
    <x v="3"/>
    <s v="M and E - Junior"/>
    <s v="Extension Officer"/>
    <s v="M and E-Extension Officer"/>
    <s v="Junior"/>
    <d v="2023-03-11T12:45:42"/>
    <d v="2023-03-12T12:45:42"/>
    <s v="Yes"/>
    <d v="2023-03-30T12:45:42"/>
    <s v="Failed"/>
    <s v="Position filled by another"/>
    <m/>
    <m/>
    <m/>
    <m/>
    <d v="2023-03-31T12:45:42"/>
    <m/>
    <n v="0"/>
    <m/>
    <m/>
    <m/>
    <m/>
    <s v="Candidate"/>
    <m/>
    <m/>
    <m/>
    <n v="1"/>
    <n v="19"/>
    <n v="18"/>
    <x v="15"/>
    <n v="1"/>
    <d v="2023-06-29T12:45:42"/>
    <s v=""/>
    <s v=""/>
    <s v=""/>
    <m/>
    <m/>
    <m/>
    <m/>
    <m/>
    <m/>
    <m/>
    <m/>
    <m/>
    <m/>
  </r>
  <r>
    <n v="2186"/>
    <s v="2186 | M and E"/>
    <x v="3"/>
    <s v="M and E - Junior"/>
    <s v="Extension Officer"/>
    <s v="M and E-Extension Officer"/>
    <s v="Junior"/>
    <d v="2023-03-11T12:45:42"/>
    <d v="2023-03-12T12:45:42"/>
    <s v="Yes"/>
    <d v="2023-03-27T12:45:42"/>
    <s v="Failed"/>
    <s v="Position filled by another"/>
    <m/>
    <m/>
    <m/>
    <m/>
    <m/>
    <m/>
    <n v="0"/>
    <m/>
    <m/>
    <m/>
    <m/>
    <s v="Company"/>
    <m/>
    <m/>
    <m/>
    <n v="1"/>
    <n v="16"/>
    <n v="15"/>
    <x v="0"/>
    <s v=""/>
    <s v=""/>
    <s v=""/>
    <s v=""/>
    <s v=""/>
    <m/>
    <m/>
    <m/>
    <m/>
    <m/>
    <m/>
    <m/>
    <m/>
    <m/>
    <m/>
  </r>
  <r>
    <n v="2185"/>
    <s v="2185 | M and E"/>
    <x v="3"/>
    <s v="M and E - Junior"/>
    <s v="Extension Officer"/>
    <s v="M and E-Extension Officer"/>
    <s v="Junior"/>
    <d v="2023-03-12T12:45:42"/>
    <d v="2023-03-14T12:45:42"/>
    <s v="Yes"/>
    <d v="2023-03-21T12:45:42"/>
    <s v="Declined"/>
    <m/>
    <d v="2023-03-26T12:45:42"/>
    <s v="Declined"/>
    <m/>
    <m/>
    <d v="2023-03-23T12:45:42"/>
    <m/>
    <n v="0"/>
    <m/>
    <m/>
    <m/>
    <m/>
    <m/>
    <m/>
    <m/>
    <m/>
    <n v="2"/>
    <n v="9"/>
    <n v="7"/>
    <x v="9"/>
    <n v="2"/>
    <d v="2023-06-21T12:45:42"/>
    <s v=""/>
    <s v=""/>
    <s v=""/>
    <m/>
    <m/>
    <m/>
    <m/>
    <m/>
    <m/>
    <m/>
    <m/>
    <m/>
    <m/>
  </r>
  <r>
    <n v="2077"/>
    <s v="2077 | M and E"/>
    <x v="3"/>
    <s v="M and E - Junior"/>
    <s v="Extension Officer"/>
    <s v="M and E-Extension Officer"/>
    <s v="Junior"/>
    <d v="2022-12-21T10:35:07"/>
    <d v="2022-12-23T10:35:07"/>
    <s v="Yes"/>
    <d v="2023-01-04T10:35:07"/>
    <s v="Accepted"/>
    <m/>
    <d v="2023-01-08T10:35:07"/>
    <s v="Accepted"/>
    <d v="2023-01-05T10:35:07"/>
    <d v="2023-01-08T10:35:07"/>
    <d v="2023-01-05T10:35:07"/>
    <d v="2023-01-14T10:35:07"/>
    <n v="1"/>
    <d v="2023-01-18T10:35:07"/>
    <d v="2023-01-21T10:35:07"/>
    <d v="2023-01-24T10:35:07"/>
    <m/>
    <m/>
    <d v="2023-02-14T10:35:07"/>
    <m/>
    <m/>
    <n v="2"/>
    <n v="14"/>
    <n v="12"/>
    <x v="16"/>
    <n v="1"/>
    <d v="2023-04-05T10:35:07"/>
    <n v="4"/>
    <n v="40"/>
    <n v="19"/>
    <m/>
    <m/>
    <m/>
    <m/>
    <m/>
    <m/>
    <m/>
    <m/>
    <m/>
    <m/>
  </r>
  <r>
    <n v="2016"/>
    <s v="2016 | M and E"/>
    <x v="3"/>
    <s v="M and E - Junior"/>
    <s v="Extension Officer"/>
    <s v="M and E-Extension Officer"/>
    <s v="Junior"/>
    <d v="2023-06-02T14:00:49"/>
    <d v="2023-06-06T14:00:49"/>
    <s v="Yes"/>
    <d v="2023-06-13T14:00:49"/>
    <s v="Failed"/>
    <s v="Didn't pass technical test"/>
    <m/>
    <m/>
    <m/>
    <m/>
    <d v="2023-06-17T14:00:49"/>
    <m/>
    <n v="0"/>
    <m/>
    <m/>
    <m/>
    <m/>
    <s v="Company"/>
    <m/>
    <m/>
    <m/>
    <n v="4"/>
    <n v="11"/>
    <n v="7"/>
    <x v="16"/>
    <n v="4"/>
    <d v="2023-09-15T14:00:49"/>
    <s v=""/>
    <s v=""/>
    <s v=""/>
    <m/>
    <m/>
    <m/>
    <m/>
    <m/>
    <m/>
    <m/>
    <m/>
    <m/>
    <m/>
  </r>
  <r>
    <n v="2013"/>
    <s v="2013 | M and E"/>
    <x v="3"/>
    <s v="M and E - Junior"/>
    <s v="Extension Officer"/>
    <s v="M and E-Extension Officer"/>
    <s v="Junior"/>
    <d v="2023-06-05T14:00:49"/>
    <d v="2023-06-07T14:00:49"/>
    <s v="Yes"/>
    <d v="2023-06-17T14:00:49"/>
    <s v="Declined"/>
    <m/>
    <d v="2023-06-22T14:00:49"/>
    <s v="Declined"/>
    <m/>
    <m/>
    <d v="2023-06-20T14:00:49"/>
    <m/>
    <n v="0"/>
    <m/>
    <m/>
    <m/>
    <m/>
    <m/>
    <m/>
    <m/>
    <m/>
    <n v="2"/>
    <n v="12"/>
    <n v="10"/>
    <x v="16"/>
    <n v="3"/>
    <d v="2023-09-18T14:00:49"/>
    <s v=""/>
    <s v=""/>
    <s v=""/>
    <m/>
    <m/>
    <m/>
    <m/>
    <m/>
    <m/>
    <m/>
    <m/>
    <m/>
    <m/>
  </r>
  <r>
    <n v="1944"/>
    <s v="1944 | M and E"/>
    <x v="3"/>
    <s v="M and E - Junior"/>
    <s v="Extension Officer"/>
    <s v="M and E-Extension Officer"/>
    <s v="Junior"/>
    <d v="2023-03-01T06:20:20"/>
    <d v="2023-03-04T06:20:20"/>
    <s v="Yes"/>
    <d v="2023-03-13T06:20:20"/>
    <s v="Failed"/>
    <s v="Position filled by another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1922"/>
    <s v="1922 | M and E"/>
    <x v="3"/>
    <s v="M and E - Junior"/>
    <s v="Extension Officer"/>
    <s v="M and E-Extension Officer"/>
    <s v="Junior"/>
    <d v="2022-08-20T09:24:23"/>
    <d v="2022-08-21T09:24:23"/>
    <s v="Yes"/>
    <d v="2022-08-28T09:24:23"/>
    <s v="Pending"/>
    <m/>
    <d v="2022-09-01T09:24:23"/>
    <s v="Pending"/>
    <m/>
    <m/>
    <d v="2022-08-30T09:24:23"/>
    <m/>
    <n v="0"/>
    <m/>
    <m/>
    <m/>
    <m/>
    <m/>
    <m/>
    <m/>
    <m/>
    <n v="1"/>
    <n v="8"/>
    <n v="7"/>
    <x v="22"/>
    <n v="2"/>
    <d v="2022-11-28T09:24:23"/>
    <s v=""/>
    <s v=""/>
    <s v=""/>
    <m/>
    <m/>
    <m/>
    <m/>
    <m/>
    <m/>
    <m/>
    <m/>
    <m/>
    <m/>
  </r>
  <r>
    <n v="1834"/>
    <s v="1834 | M and E"/>
    <x v="3"/>
    <s v="M and E - Junior"/>
    <s v="Extension Officer"/>
    <s v="M and E-Extension Officer"/>
    <s v="Junior"/>
    <d v="2023-04-20T08:48:53"/>
    <d v="2023-04-21T08:48:53"/>
    <s v="Yes"/>
    <d v="2023-05-10T08:48:53"/>
    <s v="Failed"/>
    <s v="Salary expectation too high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1789"/>
    <s v="1789 | M and E"/>
    <x v="3"/>
    <s v="M and E - Junior"/>
    <s v="Extension Officer"/>
    <s v="M and E-Extension Officer"/>
    <s v="Junior"/>
    <d v="2022-04-10T08:33:21"/>
    <d v="2022-04-11T08:33:21"/>
    <s v="Yes"/>
    <d v="2022-04-17T08:33:21"/>
    <s v="Accepted"/>
    <m/>
    <d v="2022-04-22T08:33:21"/>
    <s v="Accepted"/>
    <d v="2022-04-19T08:33:21"/>
    <d v="2022-04-22T08:33:21"/>
    <d v="2022-04-20T08:33:21"/>
    <d v="2022-04-26T08:33:21"/>
    <n v="1"/>
    <d v="2022-04-30T08:33:21"/>
    <d v="2022-05-03T08:33:21"/>
    <d v="2022-05-05T08:33:21"/>
    <m/>
    <m/>
    <d v="2022-05-22T08:33:21"/>
    <m/>
    <m/>
    <n v="1"/>
    <n v="7"/>
    <n v="6"/>
    <x v="22"/>
    <n v="3"/>
    <d v="2022-07-19T08:33:21"/>
    <n v="4"/>
    <n v="32"/>
    <n v="15"/>
    <m/>
    <m/>
    <m/>
    <m/>
    <m/>
    <m/>
    <m/>
    <m/>
    <m/>
    <m/>
  </r>
  <r>
    <n v="1786"/>
    <s v="1786 | M and E"/>
    <x v="3"/>
    <s v="M and E - Junior"/>
    <s v="Extension Officer"/>
    <s v="M and E-Extension Officer"/>
    <s v="Junior"/>
    <d v="2022-04-11T08:33:21"/>
    <d v="2022-04-13T08:33:2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783"/>
    <s v="1783 | M and E"/>
    <x v="3"/>
    <s v="M and E - Junior"/>
    <s v="Extension Officer"/>
    <s v="M and E-Extension Officer"/>
    <s v="Junior"/>
    <d v="2022-04-08T08:33:21"/>
    <d v="2022-04-12T08:33:21"/>
    <s v="Yes"/>
    <d v="2022-04-22T08:33:21"/>
    <s v="Declined"/>
    <m/>
    <d v="2022-04-27T08:33:21"/>
    <s v="Declined"/>
    <m/>
    <m/>
    <d v="2022-04-23T08:33:21"/>
    <m/>
    <n v="0"/>
    <m/>
    <m/>
    <m/>
    <m/>
    <m/>
    <m/>
    <m/>
    <m/>
    <n v="4"/>
    <n v="14"/>
    <n v="10"/>
    <x v="16"/>
    <n v="1"/>
    <d v="2022-07-22T08:33:21"/>
    <s v=""/>
    <s v=""/>
    <s v=""/>
    <m/>
    <m/>
    <m/>
    <m/>
    <m/>
    <m/>
    <m/>
    <m/>
    <m/>
    <m/>
  </r>
  <r>
    <n v="1769"/>
    <s v="1769 | M and E"/>
    <x v="3"/>
    <s v="M and E - Junior"/>
    <s v="Extension Officer"/>
    <s v="M and E-Extension Officer"/>
    <s v="Junior"/>
    <d v="2023-06-22T15:39:43"/>
    <d v="2023-06-23T15:39:43"/>
    <s v="Yes"/>
    <d v="2023-07-02T15:39:43"/>
    <s v="Accepted"/>
    <m/>
    <d v="2023-07-08T15:39:43"/>
    <s v="Accepted"/>
    <d v="2023-07-04T15:39:43"/>
    <d v="2023-07-08T15:39:43"/>
    <d v="2023-07-04T15:39:43"/>
    <d v="2023-07-14T15:39:43"/>
    <n v="1"/>
    <d v="2023-07-16T15:39:43"/>
    <d v="2023-07-19T15:39:43"/>
    <d v="2023-07-20T15:39:43"/>
    <m/>
    <m/>
    <d v="2023-08-11T15:39:43"/>
    <m/>
    <m/>
    <n v="1"/>
    <n v="10"/>
    <n v="9"/>
    <x v="24"/>
    <n v="2"/>
    <d v="2023-10-02T15:39:43"/>
    <n v="2"/>
    <n v="38"/>
    <n v="16"/>
    <m/>
    <m/>
    <m/>
    <m/>
    <m/>
    <m/>
    <m/>
    <m/>
    <m/>
    <m/>
  </r>
  <r>
    <n v="1762"/>
    <s v="1762 | M and E"/>
    <x v="3"/>
    <s v="M and E - Junior"/>
    <s v="Extension Officer"/>
    <s v="M and E-Extension Officer"/>
    <s v="Junior"/>
    <d v="2023-06-25T15:39:43"/>
    <d v="2023-06-26T15:39:43"/>
    <s v="Yes"/>
    <d v="2023-07-04T15:39:43"/>
    <s v="Failed"/>
    <s v="Didn't pass technical test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1725"/>
    <s v="1725 | M and E"/>
    <x v="3"/>
    <s v="M and E - Junior"/>
    <s v="Extension Officer"/>
    <s v="M and E-Extension Officer"/>
    <s v="Junior"/>
    <d v="2022-10-26T12:00:37"/>
    <d v="2022-10-29T12:00:37"/>
    <s v="Yes"/>
    <d v="2022-11-17T12:00:37"/>
    <s v="Failed"/>
    <s v="Didn't pass technical test"/>
    <m/>
    <m/>
    <m/>
    <m/>
    <m/>
    <m/>
    <n v="0"/>
    <m/>
    <m/>
    <m/>
    <m/>
    <s v="Company"/>
    <m/>
    <m/>
    <m/>
    <n v="3"/>
    <n v="22"/>
    <n v="19"/>
    <x v="0"/>
    <s v=""/>
    <s v=""/>
    <s v=""/>
    <s v=""/>
    <s v=""/>
    <m/>
    <m/>
    <m/>
    <m/>
    <m/>
    <m/>
    <m/>
    <m/>
    <m/>
    <m/>
  </r>
  <r>
    <n v="1723"/>
    <s v="1723 | M and E"/>
    <x v="3"/>
    <s v="M and E - Junior"/>
    <s v="Extension Officer"/>
    <s v="M and E-Extension Officer"/>
    <s v="Junior"/>
    <d v="2022-10-27T12:00:37"/>
    <d v="2022-10-29T12:00:3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622"/>
    <s v="1622 | M and E"/>
    <x v="3"/>
    <s v="M and E - Junior"/>
    <s v="Extension Officer"/>
    <s v="M and E-Extension Officer"/>
    <s v="Junior"/>
    <d v="2022-03-19T07:08:59"/>
    <d v="2022-03-20T07:08:59"/>
    <s v="Yes"/>
    <d v="2022-04-04T07:08:59"/>
    <s v="Pending"/>
    <m/>
    <d v="2022-04-07T07:08:59"/>
    <s v="Pending"/>
    <m/>
    <m/>
    <d v="2022-04-06T07:08:59"/>
    <m/>
    <n v="0"/>
    <m/>
    <m/>
    <m/>
    <m/>
    <m/>
    <m/>
    <m/>
    <m/>
    <n v="1"/>
    <n v="16"/>
    <n v="15"/>
    <x v="12"/>
    <n v="2"/>
    <d v="2022-07-05T07:08:59"/>
    <s v=""/>
    <s v=""/>
    <s v=""/>
    <m/>
    <m/>
    <m/>
    <m/>
    <m/>
    <m/>
    <m/>
    <m/>
    <m/>
    <m/>
  </r>
  <r>
    <n v="1607"/>
    <s v="1607 | M and E"/>
    <x v="3"/>
    <s v="M and E - Junior"/>
    <s v="Extension Officer"/>
    <s v="M and E-Extension Officer"/>
    <s v="Junior"/>
    <d v="2021-12-31T19:39:24"/>
    <d v="2022-01-03T19:39:24"/>
    <s v="Yes"/>
    <d v="2022-01-20T19:39:24"/>
    <s v="Failed"/>
    <s v="Position filled by another"/>
    <m/>
    <m/>
    <m/>
    <m/>
    <d v="2022-01-23T19:39:24"/>
    <m/>
    <n v="0"/>
    <m/>
    <m/>
    <m/>
    <m/>
    <s v="Candidate"/>
    <m/>
    <m/>
    <m/>
    <n v="3"/>
    <n v="20"/>
    <n v="17"/>
    <x v="3"/>
    <n v="3"/>
    <d v="2022-04-23T19:39:24"/>
    <s v=""/>
    <s v=""/>
    <s v=""/>
    <m/>
    <m/>
    <m/>
    <m/>
    <m/>
    <m/>
    <m/>
    <m/>
    <m/>
    <m/>
  </r>
  <r>
    <n v="1606"/>
    <s v="1606 | M and E"/>
    <x v="3"/>
    <s v="M and E - Junior"/>
    <s v="Extension Officer"/>
    <s v="M and E-Extension Officer"/>
    <s v="Junior"/>
    <d v="2022-01-02T19:39:24"/>
    <d v="2022-01-04T19:39:24"/>
    <s v="Yes"/>
    <d v="2022-01-11T19:39:24"/>
    <s v="Declined"/>
    <m/>
    <d v="2022-01-13T19:39:24"/>
    <s v="Declined"/>
    <m/>
    <m/>
    <d v="2022-01-12T19:39:24"/>
    <m/>
    <n v="0"/>
    <m/>
    <m/>
    <m/>
    <m/>
    <m/>
    <m/>
    <m/>
    <m/>
    <n v="2"/>
    <n v="9"/>
    <n v="7"/>
    <x v="22"/>
    <n v="1"/>
    <d v="2022-04-12T19:39:24"/>
    <s v=""/>
    <s v=""/>
    <s v=""/>
    <m/>
    <m/>
    <m/>
    <m/>
    <m/>
    <m/>
    <m/>
    <m/>
    <m/>
    <m/>
  </r>
  <r>
    <n v="1605"/>
    <s v="1605 | M and E"/>
    <x v="3"/>
    <s v="M and E - Junior"/>
    <s v="Extension Officer"/>
    <s v="M and E-Extension Officer"/>
    <s v="Junior"/>
    <d v="2021-12-30T19:39:24"/>
    <d v="2022-01-03T19:39:2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601"/>
    <s v="1601 | M and E"/>
    <x v="3"/>
    <s v="M and E - Junior"/>
    <s v="Extension Officer"/>
    <s v="M and E-Extension Officer"/>
    <s v="Junior"/>
    <d v="2022-01-02T19:39:24"/>
    <d v="2022-01-04T19:39:24"/>
    <s v="Yes"/>
    <d v="2022-01-22T19:39:24"/>
    <s v="Failed"/>
    <s v="Other"/>
    <m/>
    <m/>
    <m/>
    <m/>
    <d v="2022-01-26T19:39:24"/>
    <m/>
    <n v="0"/>
    <m/>
    <m/>
    <m/>
    <m/>
    <s v="Company"/>
    <m/>
    <m/>
    <m/>
    <n v="2"/>
    <n v="20"/>
    <n v="18"/>
    <x v="21"/>
    <n v="4"/>
    <d v="2022-04-26T19:39:24"/>
    <s v=""/>
    <s v=""/>
    <s v=""/>
    <m/>
    <m/>
    <m/>
    <m/>
    <m/>
    <m/>
    <m/>
    <m/>
    <m/>
    <m/>
  </r>
  <r>
    <n v="1479"/>
    <s v="1479 | M and E"/>
    <x v="3"/>
    <s v="M and E - Junior"/>
    <s v="Extension Officer"/>
    <s v="M and E-Extension Officer"/>
    <s v="Junior"/>
    <d v="2023-01-25T06:41:41"/>
    <d v="2023-01-26T06:41:41"/>
    <s v="Yes"/>
    <d v="2023-02-01T06:41:41"/>
    <s v="Failed"/>
    <s v="Position filled by another"/>
    <m/>
    <m/>
    <m/>
    <m/>
    <m/>
    <m/>
    <n v="0"/>
    <m/>
    <m/>
    <m/>
    <m/>
    <s v="Candidate"/>
    <m/>
    <m/>
    <m/>
    <n v="1"/>
    <n v="7"/>
    <n v="6"/>
    <x v="0"/>
    <s v=""/>
    <s v=""/>
    <s v=""/>
    <s v=""/>
    <s v=""/>
    <m/>
    <m/>
    <m/>
    <m/>
    <m/>
    <m/>
    <m/>
    <m/>
    <m/>
    <m/>
  </r>
  <r>
    <n v="1379"/>
    <s v="1379 | M and E"/>
    <x v="3"/>
    <s v="M and E - Junior"/>
    <s v="Extension Officer"/>
    <s v="M and E-Extension Officer"/>
    <s v="Junior"/>
    <d v="2022-10-30T03:08:08"/>
    <d v="2022-10-31T03:08:08"/>
    <s v="Yes"/>
    <d v="2022-11-12T03:08:08"/>
    <s v="Failed"/>
    <s v="Not a culture fit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1377"/>
    <s v="1377 | M and E"/>
    <x v="3"/>
    <s v="M and E - Junior"/>
    <s v="Extension Officer"/>
    <s v="M and E-Extension Officer"/>
    <s v="Junior"/>
    <d v="2022-11-01T03:08:08"/>
    <d v="2022-11-03T03:08:08"/>
    <s v="Yes"/>
    <d v="2022-11-21T03:08:08"/>
    <s v="Failed"/>
    <s v="Position filled by another"/>
    <m/>
    <m/>
    <m/>
    <m/>
    <m/>
    <m/>
    <n v="0"/>
    <m/>
    <m/>
    <m/>
    <m/>
    <s v="Candidate"/>
    <m/>
    <m/>
    <m/>
    <n v="2"/>
    <n v="20"/>
    <n v="18"/>
    <x v="0"/>
    <s v=""/>
    <s v=""/>
    <s v=""/>
    <s v=""/>
    <s v=""/>
    <m/>
    <m/>
    <m/>
    <m/>
    <m/>
    <m/>
    <m/>
    <m/>
    <m/>
    <m/>
  </r>
  <r>
    <n v="1350"/>
    <s v="1350 | M and E"/>
    <x v="3"/>
    <s v="M and E - Junior"/>
    <s v="Extension Officer"/>
    <s v="M and E-Extension Officer"/>
    <s v="Junior"/>
    <d v="2023-06-15T00:56:18"/>
    <d v="2023-06-18T00:56:18"/>
    <s v="Yes"/>
    <d v="2023-06-27T00:56:18"/>
    <s v="Failed"/>
    <s v="Other"/>
    <m/>
    <m/>
    <m/>
    <m/>
    <d v="2023-06-28T00:56:18"/>
    <m/>
    <n v="0"/>
    <m/>
    <m/>
    <m/>
    <m/>
    <s v="Candidate"/>
    <m/>
    <m/>
    <m/>
    <n v="3"/>
    <n v="12"/>
    <n v="9"/>
    <x v="8"/>
    <n v="1"/>
    <d v="2023-09-26T00:56:18"/>
    <s v=""/>
    <s v=""/>
    <s v=""/>
    <m/>
    <m/>
    <m/>
    <m/>
    <m/>
    <m/>
    <m/>
    <m/>
    <m/>
    <m/>
  </r>
  <r>
    <n v="1347"/>
    <s v="1347 | M and E"/>
    <x v="3"/>
    <s v="M and E - Junior"/>
    <s v="Extension Officer"/>
    <s v="M and E-Extension Officer"/>
    <s v="Junior"/>
    <d v="2023-06-17T00:56:18"/>
    <d v="2023-06-20T00:56:18"/>
    <s v="Yes"/>
    <d v="2023-06-28T00:56:18"/>
    <s v="Accepted"/>
    <m/>
    <d v="2023-07-02T00:56:18"/>
    <s v="Accepted"/>
    <d v="2023-06-29T00:56:18"/>
    <d v="2023-07-01T00:56:18"/>
    <d v="2023-07-01T00:56:18"/>
    <d v="2023-07-10T00:56:18"/>
    <n v="1"/>
    <d v="2023-07-12T00:56:18"/>
    <d v="2023-07-14T00:56:18"/>
    <d v="2023-07-17T00:56:18"/>
    <m/>
    <m/>
    <d v="2023-08-03T00:56:18"/>
    <m/>
    <m/>
    <n v="3"/>
    <n v="11"/>
    <n v="8"/>
    <x v="1"/>
    <n v="3"/>
    <d v="2023-09-29T00:56:18"/>
    <n v="2"/>
    <n v="33"/>
    <n v="16"/>
    <m/>
    <m/>
    <m/>
    <m/>
    <m/>
    <m/>
    <m/>
    <m/>
    <m/>
    <m/>
  </r>
  <r>
    <n v="1346"/>
    <s v="1346 | M and E"/>
    <x v="3"/>
    <s v="M and E - Junior"/>
    <s v="Extension Officer"/>
    <s v="M and E-Extension Officer"/>
    <s v="Junior"/>
    <d v="2023-06-20T00:56:18"/>
    <d v="2023-06-22T00:56:1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341"/>
    <s v="1341 | M and E"/>
    <x v="3"/>
    <s v="M and E - Junior"/>
    <s v="Extension Officer"/>
    <s v="M and E-Extension Officer"/>
    <s v="Junior"/>
    <d v="2023-06-19T00:56:18"/>
    <d v="2023-06-20T00:56:18"/>
    <s v="Yes"/>
    <d v="2023-07-03T00:56:18"/>
    <s v="Failed"/>
    <s v="Didn't pass technical test"/>
    <m/>
    <m/>
    <m/>
    <m/>
    <d v="2023-07-05T00:56:18"/>
    <m/>
    <n v="0"/>
    <m/>
    <m/>
    <m/>
    <m/>
    <s v="Company"/>
    <m/>
    <m/>
    <m/>
    <n v="1"/>
    <n v="14"/>
    <n v="13"/>
    <x v="20"/>
    <n v="2"/>
    <d v="2023-10-03T00:56:18"/>
    <s v=""/>
    <s v=""/>
    <s v=""/>
    <m/>
    <m/>
    <m/>
    <m/>
    <m/>
    <m/>
    <m/>
    <m/>
    <m/>
    <m/>
  </r>
  <r>
    <n v="1095"/>
    <s v="1095 | M and E"/>
    <x v="3"/>
    <s v="M and E - Junior"/>
    <s v="Extension Officer"/>
    <s v="M and E-Extension Officer"/>
    <s v="Junior"/>
    <d v="2023-04-22T06:21:04"/>
    <d v="2023-04-26T06:21:04"/>
    <s v="Yes"/>
    <d v="2023-05-10T06:21:04"/>
    <s v="Failed"/>
    <s v="Didn't pass technical test"/>
    <m/>
    <m/>
    <m/>
    <m/>
    <d v="2023-05-14T06:21:04"/>
    <m/>
    <n v="0"/>
    <m/>
    <m/>
    <m/>
    <m/>
    <s v="Company"/>
    <m/>
    <m/>
    <m/>
    <n v="4"/>
    <n v="18"/>
    <n v="14"/>
    <x v="7"/>
    <n v="4"/>
    <d v="2023-08-12T06:21:04"/>
    <s v=""/>
    <s v=""/>
    <s v=""/>
    <m/>
    <m/>
    <m/>
    <m/>
    <m/>
    <m/>
    <m/>
    <m/>
    <m/>
    <m/>
  </r>
  <r>
    <n v="1053"/>
    <s v="1053 | M and E"/>
    <x v="3"/>
    <s v="M and E - Junior"/>
    <s v="Extension Officer"/>
    <s v="M and E-Extension Officer"/>
    <s v="Junior"/>
    <d v="2023-08-17T04:19:54"/>
    <d v="2023-08-20T04:19:54"/>
    <s v="Yes"/>
    <d v="2023-09-07T04:19:54"/>
    <s v="Declined"/>
    <m/>
    <d v="2023-09-12T04:19:54"/>
    <s v="Declined"/>
    <m/>
    <m/>
    <d v="2023-09-11T04:19:54"/>
    <m/>
    <n v="0"/>
    <m/>
    <m/>
    <m/>
    <m/>
    <m/>
    <m/>
    <m/>
    <m/>
    <n v="3"/>
    <n v="21"/>
    <n v="18"/>
    <x v="11"/>
    <n v="4"/>
    <d v="2023-12-10T04:19:54"/>
    <s v=""/>
    <s v=""/>
    <s v=""/>
    <m/>
    <m/>
    <m/>
    <m/>
    <m/>
    <m/>
    <m/>
    <m/>
    <m/>
    <m/>
  </r>
  <r>
    <n v="1002"/>
    <s v="1002 | M and E"/>
    <x v="3"/>
    <s v="M and E - Junior"/>
    <s v="Extension Officer"/>
    <s v="M and E-Extension Officer"/>
    <s v="Junior"/>
    <d v="2022-12-23T16:31:31"/>
    <d v="2022-12-24T16:31:3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84"/>
    <s v="984 | M and E"/>
    <x v="3"/>
    <s v="M and E - Junior"/>
    <s v="Extension Officer"/>
    <s v="M and E-Extension Officer"/>
    <s v="Junior"/>
    <d v="2022-08-22T05:47:20"/>
    <d v="2022-08-24T05:47:2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880"/>
    <s v="880 | M and E"/>
    <x v="3"/>
    <s v="M and E - Junior"/>
    <s v="Extension Officer"/>
    <s v="M and E-Extension Officer"/>
    <s v="Junior"/>
    <d v="2022-07-17T19:23:12"/>
    <d v="2022-07-21T19:23:12"/>
    <s v="Yes"/>
    <d v="2022-08-01T19:23:12"/>
    <s v="Failed"/>
    <s v="Not a culture fit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758"/>
    <s v="758 | M and E"/>
    <x v="3"/>
    <s v="M and E - Junior"/>
    <s v="Extension Officer"/>
    <s v="M and E-Extension Officer"/>
    <s v="Junior"/>
    <d v="2023-01-14T21:12:47"/>
    <d v="2023-01-17T21:12:47"/>
    <s v="Yes"/>
    <d v="2023-01-30T21:12:47"/>
    <s v="Pending"/>
    <m/>
    <d v="2023-02-05T21:12:47"/>
    <s v="Pending"/>
    <m/>
    <m/>
    <d v="2023-02-02T21:12:47"/>
    <m/>
    <n v="0"/>
    <m/>
    <m/>
    <m/>
    <m/>
    <m/>
    <m/>
    <m/>
    <m/>
    <n v="3"/>
    <n v="16"/>
    <n v="13"/>
    <x v="13"/>
    <n v="3"/>
    <d v="2023-05-03T21:12:47"/>
    <s v=""/>
    <s v=""/>
    <s v=""/>
    <m/>
    <m/>
    <m/>
    <m/>
    <m/>
    <m/>
    <m/>
    <m/>
    <m/>
    <m/>
  </r>
  <r>
    <n v="755"/>
    <s v="755 | M and E"/>
    <x v="3"/>
    <s v="M and E - Junior"/>
    <s v="Extension Officer"/>
    <s v="M and E-Extension Officer"/>
    <s v="Junior"/>
    <d v="2023-01-16T21:12:47"/>
    <d v="2023-01-20T21:12:47"/>
    <s v="Yes"/>
    <d v="2023-02-08T21:12:47"/>
    <s v="Declined"/>
    <m/>
    <d v="2023-02-13T21:12:47"/>
    <s v="Declined"/>
    <m/>
    <m/>
    <d v="2023-02-10T21:12:47"/>
    <m/>
    <n v="0"/>
    <m/>
    <m/>
    <m/>
    <m/>
    <m/>
    <m/>
    <m/>
    <m/>
    <n v="4"/>
    <n v="23"/>
    <n v="19"/>
    <x v="11"/>
    <n v="2"/>
    <d v="2023-05-11T21:12:47"/>
    <s v=""/>
    <s v=""/>
    <s v=""/>
    <m/>
    <m/>
    <m/>
    <m/>
    <m/>
    <m/>
    <m/>
    <m/>
    <m/>
    <m/>
  </r>
  <r>
    <n v="754"/>
    <s v="754 | M and E"/>
    <x v="3"/>
    <s v="M and E - Junior"/>
    <s v="Extension Officer"/>
    <s v="M and E-Extension Officer"/>
    <s v="Junior"/>
    <d v="2023-01-17T21:12:47"/>
    <d v="2023-01-18T21:12:47"/>
    <s v="Yes"/>
    <d v="2023-01-28T21:12:47"/>
    <s v="Declined"/>
    <m/>
    <d v="2023-02-02T21:12:47"/>
    <s v="Declined"/>
    <m/>
    <m/>
    <d v="2023-01-31T21:12:47"/>
    <m/>
    <n v="0"/>
    <m/>
    <m/>
    <m/>
    <m/>
    <m/>
    <m/>
    <m/>
    <m/>
    <n v="1"/>
    <n v="11"/>
    <n v="10"/>
    <x v="1"/>
    <n v="3"/>
    <d v="2023-05-01T21:12:47"/>
    <s v=""/>
    <s v=""/>
    <s v=""/>
    <m/>
    <m/>
    <m/>
    <m/>
    <m/>
    <m/>
    <m/>
    <m/>
    <m/>
    <m/>
  </r>
  <r>
    <n v="692"/>
    <s v="692 | M and E"/>
    <x v="3"/>
    <s v="M and E - Junior"/>
    <s v="Extension Officer"/>
    <s v="M and E-Extension Officer"/>
    <s v="Junior"/>
    <d v="2022-10-31T06:56:27"/>
    <d v="2022-11-04T06:56:27"/>
    <s v="Yes"/>
    <d v="2022-11-25T06:56:27"/>
    <s v="Failed"/>
    <s v="Not a culture fit"/>
    <m/>
    <m/>
    <m/>
    <m/>
    <m/>
    <m/>
    <n v="0"/>
    <m/>
    <m/>
    <m/>
    <m/>
    <s v="Company"/>
    <m/>
    <m/>
    <m/>
    <n v="4"/>
    <n v="25"/>
    <n v="21"/>
    <x v="0"/>
    <s v=""/>
    <s v=""/>
    <s v=""/>
    <s v=""/>
    <s v=""/>
    <m/>
    <m/>
    <m/>
    <m/>
    <m/>
    <m/>
    <m/>
    <m/>
    <m/>
    <m/>
  </r>
  <r>
    <n v="559"/>
    <s v="559 | M and E"/>
    <x v="3"/>
    <s v="M and E - Junior"/>
    <s v="Extension Officer"/>
    <s v="M and E-Extension Officer"/>
    <s v="Junior"/>
    <d v="2023-06-09T00:15:10"/>
    <d v="2023-06-11T00:15:10"/>
    <s v="Yes"/>
    <d v="2023-06-16T00:15:10"/>
    <s v="Failed"/>
    <s v="Position filled by another"/>
    <m/>
    <m/>
    <m/>
    <m/>
    <m/>
    <m/>
    <n v="0"/>
    <m/>
    <m/>
    <m/>
    <m/>
    <s v="Candidate"/>
    <m/>
    <m/>
    <m/>
    <n v="2"/>
    <n v="7"/>
    <n v="5"/>
    <x v="0"/>
    <s v=""/>
    <s v=""/>
    <s v=""/>
    <s v=""/>
    <s v=""/>
    <m/>
    <m/>
    <m/>
    <m/>
    <m/>
    <m/>
    <m/>
    <m/>
    <m/>
    <m/>
  </r>
  <r>
    <n v="553"/>
    <s v="553 | M and E"/>
    <x v="3"/>
    <s v="M and E - Junior"/>
    <s v="Extension Officer"/>
    <s v="M and E-Extension Officer"/>
    <s v="Junior"/>
    <d v="2023-06-05T00:15:10"/>
    <d v="2023-06-09T00:15:10"/>
    <s v="Yes"/>
    <d v="2023-06-23T00:15:10"/>
    <s v="Pending"/>
    <m/>
    <d v="2023-06-30T00:15:10"/>
    <s v="Pending"/>
    <m/>
    <m/>
    <d v="2023-06-27T00:15:10"/>
    <m/>
    <n v="0"/>
    <m/>
    <m/>
    <m/>
    <m/>
    <m/>
    <m/>
    <m/>
    <m/>
    <n v="4"/>
    <n v="18"/>
    <n v="14"/>
    <x v="7"/>
    <n v="4"/>
    <d v="2023-09-25T00:15:10"/>
    <s v=""/>
    <s v=""/>
    <s v=""/>
    <m/>
    <m/>
    <m/>
    <m/>
    <m/>
    <m/>
    <m/>
    <m/>
    <m/>
    <m/>
  </r>
  <r>
    <n v="552"/>
    <s v="552 | M and E"/>
    <x v="3"/>
    <s v="M and E - Junior"/>
    <s v="Extension Officer"/>
    <s v="M and E-Extension Officer"/>
    <s v="Junior"/>
    <d v="2023-06-07T00:15:10"/>
    <d v="2023-06-08T00:15:10"/>
    <s v="Yes"/>
    <d v="2023-06-21T00:15:10"/>
    <s v="Failed"/>
    <s v="Position filled by another"/>
    <m/>
    <m/>
    <m/>
    <m/>
    <d v="2023-06-24T00:15:10"/>
    <m/>
    <n v="0"/>
    <m/>
    <m/>
    <m/>
    <m/>
    <s v="Candidate"/>
    <m/>
    <m/>
    <m/>
    <n v="1"/>
    <n v="14"/>
    <n v="13"/>
    <x v="14"/>
    <n v="3"/>
    <d v="2023-09-22T00:15:10"/>
    <s v=""/>
    <s v=""/>
    <s v=""/>
    <m/>
    <m/>
    <m/>
    <m/>
    <m/>
    <m/>
    <m/>
    <m/>
    <m/>
    <m/>
  </r>
  <r>
    <n v="551"/>
    <s v="551 | M and E"/>
    <x v="3"/>
    <s v="M and E - Junior"/>
    <s v="Extension Officer"/>
    <s v="M and E-Extension Officer"/>
    <s v="Junior"/>
    <d v="2023-06-11T00:15:10"/>
    <d v="2023-06-13T00:15:10"/>
    <s v="Yes"/>
    <d v="2023-06-30T00:15:10"/>
    <s v="Declined"/>
    <m/>
    <d v="2023-07-05T00:15:10"/>
    <s v="Declined"/>
    <m/>
    <m/>
    <d v="2023-07-03T00:15:10"/>
    <m/>
    <n v="0"/>
    <m/>
    <m/>
    <m/>
    <m/>
    <m/>
    <m/>
    <m/>
    <m/>
    <n v="2"/>
    <n v="19"/>
    <n v="17"/>
    <x v="7"/>
    <n v="3"/>
    <d v="2023-10-01T00:15:10"/>
    <s v=""/>
    <s v=""/>
    <s v=""/>
    <m/>
    <m/>
    <m/>
    <m/>
    <m/>
    <m/>
    <m/>
    <m/>
    <m/>
    <m/>
  </r>
  <r>
    <n v="547"/>
    <s v="547 | M and E"/>
    <x v="3"/>
    <s v="M and E - Junior"/>
    <s v="Extension Officer"/>
    <s v="M and E-Extension Officer"/>
    <s v="Junior"/>
    <d v="2023-02-01T15:37:34"/>
    <d v="2023-02-02T15:37:34"/>
    <s v="Yes"/>
    <d v="2023-02-11T15:37:34"/>
    <s v="Declined"/>
    <m/>
    <d v="2023-02-16T15:37:34"/>
    <s v="Declined"/>
    <m/>
    <m/>
    <d v="2023-02-14T15:37:34"/>
    <m/>
    <n v="0"/>
    <m/>
    <m/>
    <m/>
    <m/>
    <m/>
    <m/>
    <m/>
    <m/>
    <n v="1"/>
    <n v="10"/>
    <n v="9"/>
    <x v="8"/>
    <n v="3"/>
    <d v="2023-05-15T15:37:34"/>
    <s v=""/>
    <s v=""/>
    <s v=""/>
    <m/>
    <m/>
    <m/>
    <m/>
    <m/>
    <m/>
    <m/>
    <m/>
    <m/>
    <m/>
  </r>
  <r>
    <n v="545"/>
    <s v="545 | M and E"/>
    <x v="3"/>
    <s v="M and E - Junior"/>
    <s v="Extension Officer"/>
    <s v="M and E-Extension Officer"/>
    <s v="Junior"/>
    <d v="2023-02-01T15:37:34"/>
    <d v="2023-02-03T15:37:34"/>
    <s v="Yes"/>
    <d v="2023-02-14T15:37:34"/>
    <s v="Failed"/>
    <s v="Not a culture fit"/>
    <m/>
    <m/>
    <m/>
    <m/>
    <m/>
    <m/>
    <n v="0"/>
    <m/>
    <m/>
    <m/>
    <m/>
    <s v="Candidate"/>
    <m/>
    <m/>
    <m/>
    <n v="2"/>
    <n v="13"/>
    <n v="11"/>
    <x v="0"/>
    <s v=""/>
    <s v=""/>
    <s v=""/>
    <s v=""/>
    <s v=""/>
    <m/>
    <m/>
    <m/>
    <m/>
    <m/>
    <m/>
    <m/>
    <m/>
    <m/>
    <m/>
  </r>
  <r>
    <n v="541"/>
    <s v="541 | M and E"/>
    <x v="3"/>
    <s v="M and E - Junior"/>
    <s v="Extension Officer"/>
    <s v="M and E-Extension Officer"/>
    <s v="Junior"/>
    <d v="2023-02-01T15:37:34"/>
    <d v="2023-02-03T15:37:34"/>
    <s v="Yes"/>
    <d v="2023-02-21T15:37:34"/>
    <s v="Failed"/>
    <s v="Didn't pass technical test"/>
    <m/>
    <m/>
    <m/>
    <m/>
    <d v="2023-02-23T15:37:34"/>
    <m/>
    <n v="0"/>
    <m/>
    <m/>
    <m/>
    <m/>
    <s v="Company"/>
    <m/>
    <m/>
    <m/>
    <n v="2"/>
    <n v="20"/>
    <n v="18"/>
    <x v="7"/>
    <n v="2"/>
    <d v="2023-05-24T15:37:34"/>
    <s v=""/>
    <s v=""/>
    <s v=""/>
    <m/>
    <m/>
    <m/>
    <m/>
    <m/>
    <m/>
    <m/>
    <m/>
    <m/>
    <m/>
  </r>
  <r>
    <n v="2982"/>
    <s v="2982 | M and E"/>
    <x v="3"/>
    <s v="M and E - Executive"/>
    <s v="Lead"/>
    <s v="M and E-Lead"/>
    <s v="Executive"/>
    <d v="2022-12-27T23:42:41"/>
    <d v="2022-12-31T23:42:4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462"/>
    <s v="2462 | M and E"/>
    <x v="3"/>
    <s v="M and E - Executive"/>
    <s v="Lead"/>
    <s v="M and E-Lead"/>
    <s v="Executive"/>
    <d v="2023-03-31T20:12:18"/>
    <d v="2023-04-03T20:12:1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341"/>
    <s v="2341 | M and E"/>
    <x v="3"/>
    <s v="M and E - Executive"/>
    <s v="Lead"/>
    <s v="M and E-Lead"/>
    <s v="Executive"/>
    <d v="2023-05-08T08:44:55"/>
    <d v="2023-05-10T08:44:5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291"/>
    <s v="2291 | M and E"/>
    <x v="3"/>
    <s v="M and E - Executive"/>
    <s v="Lead"/>
    <s v="M and E-Lead"/>
    <s v="Executive"/>
    <d v="2023-06-27T15:45:36"/>
    <d v="2023-07-01T15:45:3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201"/>
    <s v="2201 | M and E"/>
    <x v="3"/>
    <s v="M and E - Executive"/>
    <s v="Lead"/>
    <s v="M and E-Lead"/>
    <s v="Executive"/>
    <d v="2023-06-13T04:51:46"/>
    <d v="2023-06-15T04:51:4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078"/>
    <s v="2078 | M and E"/>
    <x v="3"/>
    <s v="M and E - Executive"/>
    <s v="Lead"/>
    <s v="M and E-Lead"/>
    <s v="Executive"/>
    <d v="2022-12-18T10:35:07"/>
    <d v="2022-12-22T10:35:0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073"/>
    <s v="2073 | M and E"/>
    <x v="3"/>
    <s v="M and E - Executive"/>
    <s v="Lead"/>
    <s v="M and E-Lead"/>
    <s v="Executive"/>
    <d v="2022-12-26T10:35:07"/>
    <d v="2022-12-27T10:35:0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50"/>
    <s v="2050 | M and E"/>
    <x v="3"/>
    <s v="M and E - Executive"/>
    <s v="Lead"/>
    <s v="M and E-Lead"/>
    <s v="Executive"/>
    <d v="2022-07-17T04:48:46"/>
    <d v="2022-07-20T04:48:4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929"/>
    <s v="1929 | M and E"/>
    <x v="3"/>
    <s v="M and E - Executive"/>
    <s v="Lead"/>
    <s v="M and E-Lead"/>
    <s v="Executive"/>
    <d v="2022-08-20T09:24:23"/>
    <d v="2022-08-23T09:24:2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75"/>
    <s v="875 | M and E"/>
    <x v="3"/>
    <s v="M and E - Executive"/>
    <s v="Lead"/>
    <s v="M and E-Lead"/>
    <s v="Executive"/>
    <d v="2022-07-23T19:23:12"/>
    <d v="2022-07-24T19:23:12"/>
    <s v="Yes"/>
    <d v="2022-07-28T19:23:12"/>
    <s v="Accepted"/>
    <m/>
    <d v="2022-08-03T19:23:12"/>
    <s v="Accepted"/>
    <d v="2022-07-30T19:23:12"/>
    <d v="2022-07-31T19:23:12"/>
    <d v="2022-07-31T19:23:12"/>
    <d v="2022-08-07T19:23:12"/>
    <n v="1"/>
    <d v="2022-08-09T19:23:12"/>
    <d v="2022-08-10T19:23:12"/>
    <d v="2022-08-12T19:23:12"/>
    <m/>
    <m/>
    <d v="2022-08-31T19:23:12"/>
    <m/>
    <m/>
    <n v="1"/>
    <n v="5"/>
    <n v="4"/>
    <x v="10"/>
    <n v="3"/>
    <d v="2022-10-29T19:23:12"/>
    <n v="2"/>
    <n v="31"/>
    <n v="12"/>
    <m/>
    <m/>
    <m/>
    <m/>
    <m/>
    <m/>
    <m/>
    <m/>
    <m/>
    <m/>
  </r>
  <r>
    <n v="756"/>
    <s v="756 | M and E"/>
    <x v="3"/>
    <s v="M and E - Executive"/>
    <s v="Lead"/>
    <s v="M and E-Lead"/>
    <s v="Executive"/>
    <d v="2023-01-15T21:12:47"/>
    <d v="2023-01-19T21:12:47"/>
    <s v="Yes"/>
    <d v="2023-02-07T21:12:47"/>
    <s v="Declined"/>
    <m/>
    <d v="2023-02-14T21:12:47"/>
    <s v="Declined"/>
    <m/>
    <m/>
    <d v="2023-02-11T21:12:47"/>
    <m/>
    <n v="0"/>
    <m/>
    <m/>
    <m/>
    <m/>
    <m/>
    <m/>
    <m/>
    <m/>
    <n v="4"/>
    <n v="23"/>
    <n v="19"/>
    <x v="18"/>
    <n v="4"/>
    <d v="2023-05-12T21:12:47"/>
    <s v=""/>
    <s v=""/>
    <s v=""/>
    <m/>
    <m/>
    <m/>
    <m/>
    <m/>
    <m/>
    <m/>
    <m/>
    <m/>
    <m/>
  </r>
  <r>
    <n v="697"/>
    <s v="697 | M and E"/>
    <x v="3"/>
    <s v="M and E - Executive"/>
    <s v="Lead"/>
    <s v="M and E-Lead"/>
    <s v="Executive"/>
    <d v="2022-11-03T06:56:27"/>
    <d v="2022-11-06T06:56:27"/>
    <s v="Yes"/>
    <d v="2022-11-18T06:56:27"/>
    <s v="Failed"/>
    <s v="Position filled by another"/>
    <m/>
    <m/>
    <m/>
    <m/>
    <d v="2022-11-21T06:56:27"/>
    <m/>
    <n v="0"/>
    <m/>
    <m/>
    <m/>
    <m/>
    <s v="Company"/>
    <m/>
    <m/>
    <m/>
    <n v="3"/>
    <n v="15"/>
    <n v="12"/>
    <x v="12"/>
    <n v="3"/>
    <d v="2023-02-19T06:56:27"/>
    <s v=""/>
    <s v=""/>
    <s v=""/>
    <m/>
    <m/>
    <m/>
    <m/>
    <m/>
    <m/>
    <m/>
    <m/>
    <m/>
    <m/>
  </r>
  <r>
    <n v="649"/>
    <s v="649 | M and E"/>
    <x v="3"/>
    <s v="M and E - Executive"/>
    <s v="Associate Director"/>
    <s v="M and E-Associate Director"/>
    <s v="Executive"/>
    <d v="2022-08-10T18:15:27"/>
    <d v="2022-08-14T18:15:27"/>
    <s v="Yes"/>
    <d v="2022-08-27T18:15:27"/>
    <s v="Failed"/>
    <s v="Other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647"/>
    <s v="647 | M and E"/>
    <x v="3"/>
    <s v="M and E - Executive"/>
    <s v="Associate Director"/>
    <s v="M and E-Associate Director"/>
    <s v="Executive"/>
    <d v="2022-08-09T18:15:27"/>
    <d v="2022-08-12T18:15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582"/>
    <s v="582 | M and E"/>
    <x v="3"/>
    <s v="M and E - Executive"/>
    <s v="Associate Director"/>
    <s v="M and E-Associate Director"/>
    <s v="Executive"/>
    <d v="2022-11-28T09:55:12"/>
    <d v="2022-11-29T09:55:12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560"/>
    <s v="560 | M and E"/>
    <x v="3"/>
    <s v="M and E - Executive"/>
    <s v="Associate Director"/>
    <s v="M and E-Associate Director"/>
    <s v="Executive"/>
    <d v="2023-06-09T00:15:10"/>
    <d v="2023-06-11T00:15:10"/>
    <s v="Yes"/>
    <d v="2023-06-20T00:15:10"/>
    <s v="Accepted"/>
    <m/>
    <d v="2023-06-24T00:15:10"/>
    <s v="Accepted"/>
    <d v="2023-06-22T00:15:10"/>
    <d v="2023-06-23T00:15:10"/>
    <d v="2023-06-21T00:15:10"/>
    <d v="2023-06-23T00:15:10"/>
    <n v="1"/>
    <d v="2023-06-24T00:15:10"/>
    <d v="2023-06-27T00:15:10"/>
    <d v="2023-06-28T00:15:10"/>
    <m/>
    <m/>
    <d v="2023-07-12T00:15:10"/>
    <m/>
    <m/>
    <n v="2"/>
    <n v="11"/>
    <n v="9"/>
    <x v="24"/>
    <n v="1"/>
    <d v="2023-09-19T00:15:10"/>
    <n v="1"/>
    <n v="21"/>
    <n v="7"/>
    <m/>
    <m/>
    <m/>
    <m/>
    <m/>
    <m/>
    <m/>
    <m/>
    <m/>
    <m/>
  </r>
  <r>
    <n v="556"/>
    <s v="556 | M and E"/>
    <x v="3"/>
    <s v="M and E - Executive"/>
    <s v="Associate Director"/>
    <s v="M and E-Associate Director"/>
    <s v="Executive"/>
    <d v="2023-06-07T00:15:10"/>
    <d v="2023-06-11T00:15:10"/>
    <s v="Yes"/>
    <d v="2023-06-17T00:15:10"/>
    <s v="Failed"/>
    <s v="Not a culture fit"/>
    <m/>
    <m/>
    <m/>
    <m/>
    <m/>
    <m/>
    <n v="0"/>
    <m/>
    <m/>
    <m/>
    <m/>
    <s v="Company"/>
    <m/>
    <m/>
    <m/>
    <n v="4"/>
    <n v="10"/>
    <n v="6"/>
    <x v="0"/>
    <s v=""/>
    <s v=""/>
    <s v=""/>
    <s v=""/>
    <s v=""/>
    <m/>
    <m/>
    <m/>
    <m/>
    <m/>
    <m/>
    <m/>
    <m/>
    <m/>
    <m/>
  </r>
  <r>
    <n v="544"/>
    <s v="544 | M and E"/>
    <x v="3"/>
    <s v="M and E - Executive"/>
    <s v="Associate Director"/>
    <s v="M and E-Associate Director"/>
    <s v="Executive"/>
    <d v="2023-01-30T15:37:34"/>
    <d v="2023-02-01T15:37:34"/>
    <s v="Yes"/>
    <d v="2023-02-23T15:37:34"/>
    <s v="Accepted"/>
    <m/>
    <d v="2023-02-25T15:37:34"/>
    <s v="Accepted"/>
    <d v="2023-02-24T15:37:34"/>
    <d v="2023-02-25T15:37:34"/>
    <d v="2023-02-24T15:37:34"/>
    <d v="2023-03-03T15:37:34"/>
    <n v="1"/>
    <d v="2023-03-06T15:37:34"/>
    <d v="2023-03-07T15:37:34"/>
    <d v="2023-03-10T15:37:34"/>
    <m/>
    <m/>
    <d v="2023-03-28T15:37:34"/>
    <m/>
    <m/>
    <n v="2"/>
    <n v="24"/>
    <n v="22"/>
    <x v="11"/>
    <n v="1"/>
    <d v="2023-05-25T15:37:34"/>
    <n v="3"/>
    <n v="32"/>
    <n v="14"/>
    <m/>
    <m/>
    <m/>
    <m/>
    <m/>
    <m/>
    <m/>
    <m/>
    <m/>
    <m/>
  </r>
  <r>
    <n v="2878"/>
    <s v="2878 | M and E"/>
    <x v="3"/>
    <s v="M and E - Associate"/>
    <s v="Extension Officer"/>
    <s v="M and E-Extension Officer"/>
    <s v="Associate"/>
    <d v="2023-07-07T03:57:06"/>
    <d v="2023-07-08T03:57:06"/>
    <s v="Yes"/>
    <d v="2023-07-18T03:57:06"/>
    <s v="Failed"/>
    <s v="Didn't pass technical test"/>
    <m/>
    <m/>
    <m/>
    <m/>
    <d v="2023-07-21T03:57:06"/>
    <m/>
    <n v="0"/>
    <m/>
    <m/>
    <m/>
    <m/>
    <s v="Candidate"/>
    <m/>
    <m/>
    <m/>
    <n v="1"/>
    <n v="11"/>
    <n v="10"/>
    <x v="1"/>
    <n v="3"/>
    <d v="2023-10-19T03:57:06"/>
    <s v=""/>
    <s v=""/>
    <s v=""/>
    <m/>
    <m/>
    <m/>
    <m/>
    <m/>
    <m/>
    <m/>
    <m/>
    <m/>
    <m/>
  </r>
  <r>
    <n v="2874"/>
    <s v="2874 | M and E"/>
    <x v="3"/>
    <s v="M and E - Associate"/>
    <s v="Extension Officer"/>
    <s v="M and E-Extension Officer"/>
    <s v="Associate"/>
    <d v="2023-07-06T03:57:06"/>
    <d v="2023-07-09T03:57:06"/>
    <s v="Yes"/>
    <d v="2023-07-18T03:57:06"/>
    <s v="Declined"/>
    <m/>
    <d v="2023-07-23T03:57:06"/>
    <s v="Declined"/>
    <m/>
    <m/>
    <d v="2023-07-19T03:57:06"/>
    <m/>
    <n v="0"/>
    <m/>
    <m/>
    <m/>
    <m/>
    <m/>
    <m/>
    <m/>
    <m/>
    <n v="3"/>
    <n v="12"/>
    <n v="9"/>
    <x v="8"/>
    <n v="1"/>
    <d v="2023-10-17T03:57:06"/>
    <s v=""/>
    <s v=""/>
    <s v=""/>
    <m/>
    <m/>
    <m/>
    <m/>
    <m/>
    <m/>
    <m/>
    <m/>
    <m/>
    <m/>
  </r>
  <r>
    <n v="2818"/>
    <s v="2818 | M and E"/>
    <x v="3"/>
    <s v="M and E - Associate"/>
    <s v="Extension Officer"/>
    <s v="M and E-Extension Officer"/>
    <s v="Associate"/>
    <d v="2022-11-25T20:42:08"/>
    <d v="2022-11-28T20:42:08"/>
    <s v="Yes"/>
    <d v="2022-12-19T20:42:08"/>
    <s v="Failed"/>
    <s v="Position filled by another"/>
    <m/>
    <m/>
    <m/>
    <m/>
    <d v="2022-12-20T20:42:08"/>
    <m/>
    <n v="0"/>
    <m/>
    <m/>
    <m/>
    <m/>
    <s v="Company"/>
    <m/>
    <m/>
    <m/>
    <n v="3"/>
    <n v="24"/>
    <n v="21"/>
    <x v="11"/>
    <n v="1"/>
    <d v="2023-03-20T20:42:08"/>
    <s v=""/>
    <s v=""/>
    <s v=""/>
    <m/>
    <m/>
    <m/>
    <m/>
    <m/>
    <m/>
    <m/>
    <m/>
    <m/>
    <m/>
  </r>
  <r>
    <n v="2815"/>
    <s v="2815 | M and E"/>
    <x v="3"/>
    <s v="M and E - Associate"/>
    <s v="Extension Officer"/>
    <s v="M and E-Extension Officer"/>
    <s v="Associate"/>
    <d v="2022-11-29T20:42:08"/>
    <d v="2022-12-02T20:42:08"/>
    <s v="Yes"/>
    <d v="2022-12-15T20:42:08"/>
    <s v="Failed"/>
    <s v="Other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2717"/>
    <s v="2717 | M and E"/>
    <x v="3"/>
    <s v="M and E - Associate"/>
    <s v="Extension Officer"/>
    <s v="M and E-Extension Officer"/>
    <s v="Associate"/>
    <d v="2023-01-27T01:18:41"/>
    <d v="2023-01-30T01:18:41"/>
    <s v="Yes"/>
    <d v="2023-02-13T01:18:41"/>
    <s v="Pending"/>
    <m/>
    <d v="2023-02-17T01:18:41"/>
    <s v="Pending"/>
    <m/>
    <m/>
    <d v="2023-02-16T01:18:41"/>
    <m/>
    <n v="0"/>
    <m/>
    <m/>
    <m/>
    <m/>
    <m/>
    <m/>
    <m/>
    <m/>
    <n v="3"/>
    <n v="17"/>
    <n v="14"/>
    <x v="15"/>
    <n v="3"/>
    <d v="2023-05-17T01:18:41"/>
    <s v=""/>
    <s v=""/>
    <s v=""/>
    <m/>
    <m/>
    <m/>
    <m/>
    <m/>
    <m/>
    <m/>
    <m/>
    <m/>
    <m/>
  </r>
  <r>
    <n v="2716"/>
    <s v="2716 | M and E"/>
    <x v="3"/>
    <s v="M and E - Associate"/>
    <s v="Extension Officer"/>
    <s v="M and E-Extension Officer"/>
    <s v="Associate"/>
    <d v="2023-01-26T01:18:41"/>
    <d v="2023-01-29T01:18:41"/>
    <s v="Yes"/>
    <d v="2023-02-17T01:18:41"/>
    <s v="Failed"/>
    <s v="Not a culture fit"/>
    <m/>
    <m/>
    <m/>
    <m/>
    <d v="2023-02-19T01:18:41"/>
    <m/>
    <n v="0"/>
    <m/>
    <m/>
    <m/>
    <m/>
    <s v="Company"/>
    <m/>
    <m/>
    <m/>
    <n v="3"/>
    <n v="22"/>
    <n v="19"/>
    <x v="21"/>
    <n v="2"/>
    <d v="2023-05-20T01:18:41"/>
    <s v=""/>
    <s v=""/>
    <s v=""/>
    <m/>
    <m/>
    <m/>
    <m/>
    <m/>
    <m/>
    <m/>
    <m/>
    <m/>
    <m/>
  </r>
  <r>
    <n v="2713"/>
    <s v="2713 | M and E"/>
    <x v="3"/>
    <s v="M and E - Associate"/>
    <s v="Extension Officer"/>
    <s v="M and E-Extension Officer"/>
    <s v="Associate"/>
    <d v="2023-01-28T01:18:41"/>
    <d v="2023-01-31T01:18:41"/>
    <s v="Yes"/>
    <d v="2023-02-04T01:18:41"/>
    <s v="Failed"/>
    <s v="Not a culture fit"/>
    <m/>
    <m/>
    <m/>
    <m/>
    <m/>
    <m/>
    <n v="0"/>
    <m/>
    <m/>
    <m/>
    <m/>
    <s v="Candidate"/>
    <m/>
    <m/>
    <m/>
    <n v="3"/>
    <n v="7"/>
    <n v="4"/>
    <x v="0"/>
    <s v=""/>
    <s v=""/>
    <s v=""/>
    <s v=""/>
    <s v=""/>
    <m/>
    <m/>
    <m/>
    <m/>
    <m/>
    <m/>
    <m/>
    <m/>
    <m/>
    <m/>
  </r>
  <r>
    <n v="2699"/>
    <s v="2699 | M and E"/>
    <x v="3"/>
    <s v="M and E - Associate"/>
    <s v="Extension Officer"/>
    <s v="M and E-Extension Officer"/>
    <s v="Associate"/>
    <d v="2023-04-05T23:49:48"/>
    <d v="2023-04-06T23:49:48"/>
    <s v="Yes"/>
    <d v="2023-04-17T23:49:48"/>
    <s v="Declined"/>
    <m/>
    <d v="2023-04-23T23:49:48"/>
    <s v="Declined"/>
    <m/>
    <m/>
    <d v="2023-04-19T23:49:48"/>
    <m/>
    <n v="0"/>
    <m/>
    <m/>
    <m/>
    <m/>
    <m/>
    <m/>
    <m/>
    <m/>
    <n v="1"/>
    <n v="12"/>
    <n v="11"/>
    <x v="1"/>
    <n v="2"/>
    <d v="2023-07-18T23:49:48"/>
    <s v=""/>
    <s v=""/>
    <s v=""/>
    <m/>
    <m/>
    <m/>
    <m/>
    <m/>
    <m/>
    <m/>
    <m/>
    <m/>
    <m/>
  </r>
  <r>
    <n v="2694"/>
    <s v="2694 | M and E"/>
    <x v="3"/>
    <s v="M and E - Associate"/>
    <s v="Extension Officer"/>
    <s v="M and E-Extension Officer"/>
    <s v="Associate"/>
    <d v="2023-03-30T23:49:48"/>
    <d v="2023-04-03T23:49:48"/>
    <s v="Yes"/>
    <d v="2023-04-10T23:49:48"/>
    <s v="Declined"/>
    <m/>
    <d v="2023-04-16T23:49:48"/>
    <s v="Declined"/>
    <m/>
    <m/>
    <d v="2023-04-12T23:49:48"/>
    <m/>
    <n v="0"/>
    <m/>
    <m/>
    <m/>
    <m/>
    <m/>
    <m/>
    <m/>
    <m/>
    <n v="4"/>
    <n v="11"/>
    <n v="7"/>
    <x v="8"/>
    <n v="2"/>
    <d v="2023-07-11T23:49:48"/>
    <s v=""/>
    <s v=""/>
    <s v=""/>
    <m/>
    <m/>
    <m/>
    <m/>
    <m/>
    <m/>
    <m/>
    <m/>
    <m/>
    <m/>
  </r>
  <r>
    <n v="2660"/>
    <s v="2660 | M and E"/>
    <x v="3"/>
    <s v="M and E - Associate"/>
    <s v="Officer"/>
    <s v="M and E-Officer"/>
    <s v="Associate"/>
    <d v="2022-02-03T10:00:31"/>
    <d v="2022-02-07T10:00:31"/>
    <s v="Yes"/>
    <d v="2022-02-28T10:00:31"/>
    <s v="Failed"/>
    <s v="Position filled by another"/>
    <m/>
    <m/>
    <m/>
    <m/>
    <d v="2022-03-04T10:00:31"/>
    <m/>
    <n v="0"/>
    <m/>
    <m/>
    <m/>
    <m/>
    <s v="Candidate"/>
    <m/>
    <m/>
    <m/>
    <n v="4"/>
    <n v="25"/>
    <n v="21"/>
    <x v="23"/>
    <n v="4"/>
    <d v="2022-06-02T10:00:31"/>
    <s v=""/>
    <s v=""/>
    <s v=""/>
    <m/>
    <m/>
    <m/>
    <m/>
    <m/>
    <m/>
    <m/>
    <m/>
    <m/>
    <m/>
  </r>
  <r>
    <n v="2657"/>
    <s v="2657 | M and E"/>
    <x v="3"/>
    <s v="M and E - Associate"/>
    <s v="Officer"/>
    <s v="M and E-Officer"/>
    <s v="Associate"/>
    <d v="2022-02-08T10:00:31"/>
    <d v="2022-02-09T10:00:31"/>
    <s v="Yes"/>
    <d v="2022-02-23T10:00:31"/>
    <s v="Failed"/>
    <s v="Other"/>
    <m/>
    <m/>
    <m/>
    <m/>
    <d v="2022-02-26T10:00:31"/>
    <m/>
    <n v="0"/>
    <m/>
    <m/>
    <m/>
    <m/>
    <s v="Company"/>
    <m/>
    <m/>
    <m/>
    <n v="1"/>
    <n v="15"/>
    <n v="14"/>
    <x v="12"/>
    <n v="3"/>
    <d v="2022-05-27T10:00:31"/>
    <s v=""/>
    <s v=""/>
    <s v=""/>
    <m/>
    <m/>
    <m/>
    <m/>
    <m/>
    <m/>
    <m/>
    <m/>
    <m/>
    <m/>
  </r>
  <r>
    <n v="2653"/>
    <s v="2653 | M and E"/>
    <x v="3"/>
    <s v="M and E - Associate"/>
    <s v="Officer"/>
    <s v="M and E-Officer"/>
    <s v="Associate"/>
    <d v="2022-02-07T10:00:31"/>
    <d v="2022-02-08T10:00:31"/>
    <s v="Yes"/>
    <d v="2022-02-28T10:00:31"/>
    <s v="Accepted"/>
    <m/>
    <d v="2022-03-05T10:00:31"/>
    <s v="Accepted"/>
    <d v="2022-03-01T10:00:31"/>
    <d v="2022-03-03T10:00:31"/>
    <d v="2022-03-04T10:00:31"/>
    <d v="2022-03-09T10:00:31"/>
    <n v="1"/>
    <d v="2022-03-13T10:00:31"/>
    <d v="2022-03-14T10:00:31"/>
    <d v="2022-03-17T10:00:31"/>
    <m/>
    <m/>
    <d v="2022-04-05T10:00:31"/>
    <m/>
    <m/>
    <n v="1"/>
    <n v="21"/>
    <n v="20"/>
    <x v="11"/>
    <n v="4"/>
    <d v="2022-06-02T10:00:31"/>
    <n v="4"/>
    <n v="32"/>
    <n v="13"/>
    <m/>
    <m/>
    <m/>
    <m/>
    <m/>
    <m/>
    <m/>
    <m/>
    <m/>
    <m/>
  </r>
  <r>
    <n v="2604"/>
    <s v="2604 | M and E"/>
    <x v="3"/>
    <s v="M and E - Associate"/>
    <s v="Officer"/>
    <s v="M and E-Officer"/>
    <s v="Associate"/>
    <d v="2023-04-20T16:37:27"/>
    <d v="2023-04-24T16:37:27"/>
    <s v="Yes"/>
    <d v="2023-05-10T16:37:27"/>
    <s v="Failed"/>
    <s v="Not a culture fit"/>
    <m/>
    <m/>
    <m/>
    <m/>
    <d v="2023-05-11T16:37:27"/>
    <m/>
    <n v="0"/>
    <m/>
    <m/>
    <m/>
    <m/>
    <s v="Company"/>
    <m/>
    <m/>
    <m/>
    <n v="4"/>
    <n v="20"/>
    <n v="16"/>
    <x v="19"/>
    <n v="1"/>
    <d v="2023-08-09T16:37:27"/>
    <s v=""/>
    <s v=""/>
    <s v=""/>
    <m/>
    <m/>
    <m/>
    <m/>
    <m/>
    <m/>
    <m/>
    <m/>
    <m/>
    <m/>
  </r>
  <r>
    <n v="2601"/>
    <s v="2601 | M and E"/>
    <x v="3"/>
    <s v="M and E - Associate"/>
    <s v="Officer"/>
    <s v="M and E-Officer"/>
    <s v="Associate"/>
    <d v="2023-04-23T16:37:27"/>
    <d v="2023-04-27T16:37:27"/>
    <s v="Yes"/>
    <d v="2023-05-05T16:37:27"/>
    <s v="Accepted"/>
    <m/>
    <d v="2023-05-11T16:37:27"/>
    <s v="Accepted"/>
    <d v="2023-05-07T16:37:27"/>
    <d v="2023-05-08T16:37:27"/>
    <d v="2023-05-07T16:37:27"/>
    <d v="2023-05-11T16:37:27"/>
    <n v="1"/>
    <d v="2023-05-12T16:37:27"/>
    <d v="2023-05-15T16:37:27"/>
    <d v="2023-05-17T16:37:27"/>
    <m/>
    <m/>
    <d v="2023-06-05T16:37:27"/>
    <m/>
    <m/>
    <n v="4"/>
    <n v="12"/>
    <n v="8"/>
    <x v="1"/>
    <n v="2"/>
    <d v="2023-08-05T16:37:27"/>
    <n v="1"/>
    <n v="29"/>
    <n v="10"/>
    <m/>
    <m/>
    <m/>
    <m/>
    <m/>
    <m/>
    <m/>
    <m/>
    <m/>
    <m/>
  </r>
  <r>
    <n v="2497"/>
    <s v="2497 | M and E"/>
    <x v="3"/>
    <s v="M and E - Associate"/>
    <s v="Officer"/>
    <s v="M and E-Officer"/>
    <s v="Associate"/>
    <d v="2022-01-31T13:06:55"/>
    <d v="2022-02-01T13:06:55"/>
    <s v="Yes"/>
    <d v="2022-02-16T13:06:55"/>
    <s v="Failed"/>
    <s v="Position filled by another"/>
    <m/>
    <m/>
    <m/>
    <m/>
    <d v="2022-02-20T13:06:55"/>
    <m/>
    <n v="0"/>
    <m/>
    <m/>
    <m/>
    <m/>
    <s v="Company"/>
    <m/>
    <m/>
    <m/>
    <n v="1"/>
    <n v="16"/>
    <n v="15"/>
    <x v="15"/>
    <n v="4"/>
    <d v="2022-05-21T13:06:55"/>
    <s v=""/>
    <s v=""/>
    <s v=""/>
    <m/>
    <m/>
    <m/>
    <m/>
    <m/>
    <m/>
    <m/>
    <m/>
    <m/>
    <m/>
  </r>
  <r>
    <n v="2493"/>
    <s v="2493 | M and E"/>
    <x v="3"/>
    <s v="M and E - Associate"/>
    <s v="Officer"/>
    <s v="M and E-Officer"/>
    <s v="Associate"/>
    <d v="2022-01-28T13:06:55"/>
    <d v="2022-02-01T13:06:55"/>
    <s v="Yes"/>
    <d v="2022-02-12T13:06:55"/>
    <s v="Failed"/>
    <s v="Not a culture fit"/>
    <m/>
    <m/>
    <m/>
    <m/>
    <d v="2022-02-16T13:06:55"/>
    <m/>
    <n v="0"/>
    <m/>
    <m/>
    <m/>
    <m/>
    <s v="Candidate"/>
    <m/>
    <m/>
    <m/>
    <n v="4"/>
    <n v="15"/>
    <n v="11"/>
    <x v="13"/>
    <n v="4"/>
    <d v="2022-05-17T13:06:55"/>
    <s v=""/>
    <s v=""/>
    <s v=""/>
    <m/>
    <m/>
    <m/>
    <m/>
    <m/>
    <m/>
    <m/>
    <m/>
    <m/>
    <m/>
  </r>
  <r>
    <n v="2491"/>
    <s v="2491 | M and E"/>
    <x v="3"/>
    <s v="M and E - Associate"/>
    <s v="Officer"/>
    <s v="M and E-Officer"/>
    <s v="Associate"/>
    <d v="2022-01-26T13:06:55"/>
    <d v="2022-01-30T13:06:55"/>
    <s v="Yes"/>
    <d v="2022-02-13T13:06:55"/>
    <s v="Failed"/>
    <s v="Didn't pass technical test"/>
    <m/>
    <m/>
    <m/>
    <m/>
    <d v="2022-02-16T13:06:55"/>
    <m/>
    <n v="0"/>
    <m/>
    <m/>
    <m/>
    <m/>
    <s v="Company"/>
    <m/>
    <m/>
    <m/>
    <n v="4"/>
    <n v="18"/>
    <n v="14"/>
    <x v="19"/>
    <n v="3"/>
    <d v="2022-05-17T13:06:55"/>
    <s v=""/>
    <s v=""/>
    <s v=""/>
    <m/>
    <m/>
    <m/>
    <m/>
    <m/>
    <m/>
    <m/>
    <m/>
    <m/>
    <m/>
  </r>
  <r>
    <n v="2467"/>
    <s v="2467 | M and E"/>
    <x v="3"/>
    <s v="M and E - Associate"/>
    <s v="Officer"/>
    <s v="M and E-Officer"/>
    <s v="Associate"/>
    <d v="2023-04-01T20:12:18"/>
    <d v="2023-04-05T20:12:1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463"/>
    <s v="2463 | M and E"/>
    <x v="3"/>
    <s v="M and E - Associate"/>
    <s v="Officer"/>
    <s v="M and E-Officer"/>
    <s v="Associate"/>
    <d v="2023-03-31T20:12:18"/>
    <d v="2023-04-04T20:12:18"/>
    <s v="Yes"/>
    <d v="2023-04-15T20:12:18"/>
    <s v="Accepted"/>
    <m/>
    <d v="2023-04-20T20:12:18"/>
    <s v="Accepted"/>
    <d v="2023-04-17T20:12:18"/>
    <d v="2023-04-20T20:12:18"/>
    <d v="2023-04-19T20:12:18"/>
    <d v="2023-04-27T20:12:18"/>
    <n v="1"/>
    <d v="2023-05-01T20:12:18"/>
    <d v="2023-05-03T20:12:18"/>
    <d v="2023-05-06T20:12:18"/>
    <m/>
    <m/>
    <d v="2023-05-21T20:12:18"/>
    <m/>
    <m/>
    <n v="4"/>
    <n v="15"/>
    <n v="11"/>
    <x v="13"/>
    <n v="4"/>
    <d v="2023-07-18T20:12:18"/>
    <n v="4"/>
    <n v="32"/>
    <n v="17"/>
    <m/>
    <m/>
    <m/>
    <m/>
    <m/>
    <m/>
    <m/>
    <m/>
    <m/>
    <m/>
  </r>
  <r>
    <n v="2440"/>
    <s v="2440 | M and E"/>
    <x v="3"/>
    <s v="M and E - Associate"/>
    <s v="Officer"/>
    <s v="M and E-Officer"/>
    <s v="Associate"/>
    <d v="2022-07-04T03:02:50"/>
    <d v="2022-07-05T03:02:50"/>
    <s v="Yes"/>
    <d v="2022-07-18T03:02:50"/>
    <s v="Declined"/>
    <m/>
    <d v="2022-07-26T03:02:50"/>
    <s v="Declined"/>
    <m/>
    <m/>
    <d v="2022-07-22T03:02:50"/>
    <m/>
    <n v="0"/>
    <m/>
    <m/>
    <m/>
    <m/>
    <m/>
    <m/>
    <m/>
    <m/>
    <n v="1"/>
    <n v="14"/>
    <n v="13"/>
    <x v="12"/>
    <n v="4"/>
    <d v="2022-10-20T03:02:50"/>
    <s v=""/>
    <s v=""/>
    <s v=""/>
    <m/>
    <m/>
    <m/>
    <m/>
    <m/>
    <m/>
    <m/>
    <m/>
    <m/>
    <m/>
  </r>
  <r>
    <n v="2439"/>
    <s v="2439 | M and E"/>
    <x v="3"/>
    <s v="M and E - Associate"/>
    <s v="Officer"/>
    <s v="M and E-Officer"/>
    <s v="Associate"/>
    <d v="2022-07-01T03:02:50"/>
    <d v="2022-07-03T03:02:5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438"/>
    <s v="2438 | M and E"/>
    <x v="3"/>
    <s v="M and E - Associate"/>
    <s v="Officer"/>
    <s v="M and E-Officer"/>
    <s v="Associate"/>
    <d v="2022-07-04T03:02:50"/>
    <d v="2022-07-05T03:02:50"/>
    <s v="Yes"/>
    <d v="2022-07-13T03:02:50"/>
    <s v="Failed"/>
    <s v="Position filled by another"/>
    <m/>
    <m/>
    <m/>
    <m/>
    <m/>
    <m/>
    <n v="0"/>
    <m/>
    <m/>
    <m/>
    <m/>
    <s v="Company"/>
    <m/>
    <m/>
    <m/>
    <n v="1"/>
    <n v="9"/>
    <n v="8"/>
    <x v="0"/>
    <s v=""/>
    <s v=""/>
    <s v=""/>
    <s v=""/>
    <s v=""/>
    <m/>
    <m/>
    <m/>
    <m/>
    <m/>
    <m/>
    <m/>
    <m/>
    <m/>
    <m/>
  </r>
  <r>
    <n v="2437"/>
    <s v="2437 | M and E"/>
    <x v="3"/>
    <s v="M and E - Associate"/>
    <s v="Officer"/>
    <s v="M and E-Officer"/>
    <s v="Associate"/>
    <d v="2022-07-02T03:02:50"/>
    <d v="2022-07-06T03:02:50"/>
    <s v="Yes"/>
    <d v="2022-07-16T03:02:50"/>
    <s v="Declined"/>
    <m/>
    <d v="2022-07-19T03:02:50"/>
    <s v="Declined"/>
    <m/>
    <m/>
    <d v="2022-07-17T03:02:50"/>
    <m/>
    <n v="0"/>
    <m/>
    <m/>
    <m/>
    <m/>
    <m/>
    <m/>
    <m/>
    <m/>
    <n v="4"/>
    <n v="14"/>
    <n v="10"/>
    <x v="16"/>
    <n v="1"/>
    <d v="2022-10-15T03:02:50"/>
    <s v=""/>
    <s v=""/>
    <s v=""/>
    <m/>
    <m/>
    <m/>
    <m/>
    <m/>
    <m/>
    <m/>
    <m/>
    <m/>
    <m/>
  </r>
  <r>
    <n v="2436"/>
    <s v="2436 | M and E"/>
    <x v="3"/>
    <s v="M and E - Associate"/>
    <s v="Officer"/>
    <s v="M and E-Officer"/>
    <s v="Associate"/>
    <d v="2022-06-30T03:02:50"/>
    <d v="2022-07-01T03:02:50"/>
    <s v="Yes"/>
    <d v="2022-07-15T03:02:50"/>
    <s v="Declined"/>
    <m/>
    <d v="2022-07-23T03:02:50"/>
    <s v="Declined"/>
    <m/>
    <m/>
    <d v="2022-07-19T03:02:50"/>
    <m/>
    <n v="0"/>
    <m/>
    <m/>
    <m/>
    <m/>
    <m/>
    <m/>
    <m/>
    <m/>
    <n v="1"/>
    <n v="15"/>
    <n v="14"/>
    <x v="13"/>
    <n v="4"/>
    <d v="2022-10-17T03:02:50"/>
    <s v=""/>
    <s v=""/>
    <s v=""/>
    <m/>
    <m/>
    <m/>
    <m/>
    <m/>
    <m/>
    <m/>
    <m/>
    <m/>
    <m/>
  </r>
  <r>
    <n v="2349"/>
    <s v="2349 | M and E"/>
    <x v="3"/>
    <s v="M and E - Associate"/>
    <s v="Officer"/>
    <s v="M and E-Officer"/>
    <s v="Associate"/>
    <d v="2023-05-07T08:44:55"/>
    <d v="2023-05-10T08:44:55"/>
    <s v="Yes"/>
    <d v="2023-05-22T08:44:55"/>
    <s v="Failed"/>
    <s v="Didn't pass technical test"/>
    <m/>
    <m/>
    <m/>
    <m/>
    <m/>
    <m/>
    <n v="0"/>
    <m/>
    <m/>
    <m/>
    <m/>
    <s v="Company"/>
    <m/>
    <m/>
    <m/>
    <n v="3"/>
    <n v="15"/>
    <n v="12"/>
    <x v="0"/>
    <s v=""/>
    <s v=""/>
    <s v=""/>
    <s v=""/>
    <s v=""/>
    <m/>
    <m/>
    <m/>
    <m/>
    <m/>
    <m/>
    <m/>
    <m/>
    <m/>
    <m/>
  </r>
  <r>
    <n v="2300"/>
    <s v="2300 | M and E"/>
    <x v="3"/>
    <s v="M and E - Associate"/>
    <s v="Officer"/>
    <s v="M and E-Officer"/>
    <s v="Associate"/>
    <d v="2023-07-01T15:45:36"/>
    <d v="2023-07-03T15:45:36"/>
    <s v="Yes"/>
    <d v="2023-07-17T15:45:36"/>
    <s v="Failed"/>
    <s v="Other"/>
    <m/>
    <m/>
    <m/>
    <m/>
    <m/>
    <m/>
    <n v="0"/>
    <m/>
    <m/>
    <m/>
    <m/>
    <s v="Candidate"/>
    <m/>
    <m/>
    <m/>
    <n v="2"/>
    <n v="16"/>
    <n v="14"/>
    <x v="0"/>
    <s v=""/>
    <s v=""/>
    <s v=""/>
    <s v=""/>
    <s v=""/>
    <m/>
    <m/>
    <m/>
    <m/>
    <m/>
    <m/>
    <m/>
    <m/>
    <m/>
    <m/>
  </r>
  <r>
    <n v="2296"/>
    <s v="2296 | M and E"/>
    <x v="3"/>
    <s v="M and E - Associate"/>
    <s v="Officer"/>
    <s v="M and E-Officer"/>
    <s v="Associate"/>
    <d v="2023-06-28T15:45:36"/>
    <d v="2023-07-01T15:45:3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293"/>
    <s v="2293 | M and E"/>
    <x v="3"/>
    <s v="M and E - Associate"/>
    <s v="Officer"/>
    <s v="M and E-Officer"/>
    <s v="Associate"/>
    <d v="2023-07-02T15:45:36"/>
    <d v="2023-07-03T15:45:36"/>
    <s v="Yes"/>
    <d v="2023-07-14T15:45:36"/>
    <s v="Failed"/>
    <s v="Not a culture fit"/>
    <m/>
    <m/>
    <m/>
    <m/>
    <d v="2023-07-15T15:45:36"/>
    <m/>
    <n v="0"/>
    <m/>
    <m/>
    <m/>
    <m/>
    <s v="Company"/>
    <m/>
    <m/>
    <m/>
    <n v="1"/>
    <n v="12"/>
    <n v="11"/>
    <x v="8"/>
    <n v="1"/>
    <d v="2023-10-13T15:45:36"/>
    <s v=""/>
    <s v=""/>
    <s v=""/>
    <m/>
    <m/>
    <m/>
    <m/>
    <m/>
    <m/>
    <m/>
    <m/>
    <m/>
    <m/>
  </r>
  <r>
    <n v="2292"/>
    <s v="2292 | M and E"/>
    <x v="3"/>
    <s v="M and E - Associate"/>
    <s v="Officer"/>
    <s v="M and E-Officer"/>
    <s v="Associate"/>
    <d v="2023-06-28T15:45:36"/>
    <d v="2023-07-02T15:45:3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204"/>
    <s v="2204 | M and E"/>
    <x v="3"/>
    <s v="M and E - Associate"/>
    <s v="Officer"/>
    <s v="M and E-Officer"/>
    <s v="Associate"/>
    <d v="2023-06-15T04:51:46"/>
    <d v="2023-06-16T04:51:46"/>
    <s v="Yes"/>
    <d v="2023-07-08T04:51:46"/>
    <s v="Failed"/>
    <s v="Other"/>
    <m/>
    <m/>
    <m/>
    <m/>
    <d v="2023-07-11T04:51:46"/>
    <m/>
    <n v="0"/>
    <m/>
    <m/>
    <m/>
    <m/>
    <s v="Company"/>
    <m/>
    <m/>
    <m/>
    <n v="1"/>
    <n v="23"/>
    <n v="22"/>
    <x v="25"/>
    <n v="3"/>
    <d v="2023-10-09T04:51:46"/>
    <s v=""/>
    <s v=""/>
    <s v=""/>
    <m/>
    <m/>
    <m/>
    <m/>
    <m/>
    <m/>
    <m/>
    <m/>
    <m/>
    <m/>
  </r>
  <r>
    <n v="2202"/>
    <s v="2202 | M and E"/>
    <x v="3"/>
    <s v="M and E - Associate"/>
    <s v="Officer"/>
    <s v="M and E-Officer"/>
    <s v="Associate"/>
    <d v="2023-06-15T04:51:46"/>
    <d v="2023-06-19T04:51:46"/>
    <s v="Yes"/>
    <d v="2023-07-01T04:51:46"/>
    <s v="Declined"/>
    <m/>
    <d v="2023-07-07T04:51:46"/>
    <s v="Declined"/>
    <m/>
    <m/>
    <d v="2023-07-05T04:51:46"/>
    <m/>
    <n v="0"/>
    <m/>
    <m/>
    <m/>
    <m/>
    <m/>
    <m/>
    <m/>
    <m/>
    <n v="4"/>
    <n v="16"/>
    <n v="12"/>
    <x v="15"/>
    <n v="4"/>
    <d v="2023-10-03T04:51:46"/>
    <s v=""/>
    <s v=""/>
    <s v=""/>
    <m/>
    <m/>
    <m/>
    <m/>
    <m/>
    <m/>
    <m/>
    <m/>
    <m/>
    <m/>
  </r>
  <r>
    <n v="2187"/>
    <s v="2187 | M and E"/>
    <x v="3"/>
    <s v="M and E - Associate"/>
    <s v="Officer"/>
    <s v="M and E-Officer"/>
    <s v="Associate"/>
    <d v="2023-03-10T12:45:42"/>
    <d v="2023-03-11T12:45:42"/>
    <s v="Yes"/>
    <d v="2023-03-31T12:45:42"/>
    <s v="Failed"/>
    <s v="Salary expectation too high"/>
    <m/>
    <m/>
    <m/>
    <m/>
    <d v="2023-04-04T12:45:42"/>
    <m/>
    <n v="0"/>
    <m/>
    <m/>
    <m/>
    <m/>
    <s v="Company"/>
    <m/>
    <m/>
    <m/>
    <n v="1"/>
    <n v="21"/>
    <n v="20"/>
    <x v="11"/>
    <n v="4"/>
    <d v="2023-07-03T12:45:42"/>
    <s v=""/>
    <s v=""/>
    <s v=""/>
    <m/>
    <m/>
    <m/>
    <m/>
    <m/>
    <m/>
    <m/>
    <m/>
    <m/>
    <m/>
  </r>
  <r>
    <n v="2072"/>
    <s v="2072 | M and E"/>
    <x v="3"/>
    <s v="M and E - Associate"/>
    <s v="Officer"/>
    <s v="M and E-Officer"/>
    <s v="Associate"/>
    <d v="2022-12-23T10:35:07"/>
    <d v="2022-12-25T10:35:07"/>
    <s v="Yes"/>
    <d v="2023-01-01T10:35:07"/>
    <s v="Declined"/>
    <m/>
    <d v="2023-01-08T10:35:07"/>
    <s v="Declined"/>
    <m/>
    <m/>
    <d v="2023-01-04T10:35:07"/>
    <m/>
    <n v="0"/>
    <m/>
    <m/>
    <m/>
    <m/>
    <m/>
    <m/>
    <m/>
    <m/>
    <n v="2"/>
    <n v="9"/>
    <n v="7"/>
    <x v="24"/>
    <n v="3"/>
    <d v="2023-04-04T10:35:07"/>
    <s v=""/>
    <s v=""/>
    <s v=""/>
    <m/>
    <m/>
    <m/>
    <m/>
    <m/>
    <m/>
    <m/>
    <m/>
    <m/>
    <m/>
  </r>
  <r>
    <n v="2047"/>
    <s v="2047 | M and E"/>
    <x v="3"/>
    <s v="M and E - Associate"/>
    <s v="Officer"/>
    <s v="M and E-Officer"/>
    <s v="Associate"/>
    <d v="2022-07-16T04:48:46"/>
    <d v="2022-07-19T04:48:4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015"/>
    <s v="2015 | M and E"/>
    <x v="3"/>
    <s v="M and E - Associate"/>
    <s v="Officer"/>
    <s v="M and E-Officer"/>
    <s v="Associate"/>
    <d v="2023-06-07T14:00:49"/>
    <d v="2023-06-08T14:00:4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943"/>
    <s v="1943 | M and E"/>
    <x v="3"/>
    <s v="M and E - Associate"/>
    <s v="Officer"/>
    <s v="M and E-Officer"/>
    <s v="Associate"/>
    <d v="2023-03-02T06:20:20"/>
    <d v="2023-03-03T06:20:2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926"/>
    <s v="1926 | M and E"/>
    <x v="3"/>
    <s v="M and E - Associate"/>
    <s v="Officer"/>
    <s v="M and E-Officer"/>
    <s v="Associate"/>
    <d v="2022-08-23T09:24:23"/>
    <d v="2022-08-24T09:24:23"/>
    <s v="Yes"/>
    <d v="2022-09-03T09:24:23"/>
    <s v="Failed"/>
    <s v="Other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1924"/>
    <s v="1924 | M and E"/>
    <x v="3"/>
    <s v="M and E - Associate"/>
    <s v="Officer"/>
    <s v="M and E-Officer"/>
    <s v="Associate"/>
    <d v="2022-08-15T09:24:23"/>
    <d v="2022-08-19T09:24:23"/>
    <s v="Yes"/>
    <d v="2022-09-10T09:24:23"/>
    <s v="Accepted"/>
    <m/>
    <d v="2022-09-13T09:24:23"/>
    <s v="Accepted"/>
    <d v="2022-09-11T09:24:23"/>
    <d v="2022-09-13T09:24:23"/>
    <d v="2022-09-11T09:24:23"/>
    <d v="2022-09-13T09:24:23"/>
    <n v="1"/>
    <d v="2022-09-15T09:24:23"/>
    <d v="2022-09-17T09:24:23"/>
    <d v="2022-09-19T09:24:23"/>
    <m/>
    <m/>
    <d v="2022-10-10T09:24:23"/>
    <m/>
    <m/>
    <n v="4"/>
    <n v="26"/>
    <n v="22"/>
    <x v="18"/>
    <n v="1"/>
    <d v="2022-12-10T09:24:23"/>
    <n v="2"/>
    <n v="29"/>
    <n v="8"/>
    <m/>
    <m/>
    <m/>
    <m/>
    <m/>
    <m/>
    <m/>
    <m/>
    <m/>
    <m/>
  </r>
  <r>
    <n v="1835"/>
    <s v="1835 | M and E"/>
    <x v="3"/>
    <s v="M and E - Associate"/>
    <s v="Officer"/>
    <s v="M and E-Officer"/>
    <s v="Associate"/>
    <d v="2023-04-21T08:48:53"/>
    <d v="2023-04-22T08:48:53"/>
    <s v="Yes"/>
    <d v="2023-05-08T08:48:53"/>
    <s v="Failed"/>
    <s v="Position filled by another"/>
    <m/>
    <m/>
    <m/>
    <m/>
    <m/>
    <m/>
    <n v="0"/>
    <m/>
    <m/>
    <m/>
    <m/>
    <s v="Company"/>
    <m/>
    <m/>
    <m/>
    <n v="1"/>
    <n v="17"/>
    <n v="16"/>
    <x v="0"/>
    <s v=""/>
    <s v=""/>
    <s v=""/>
    <s v=""/>
    <s v=""/>
    <m/>
    <m/>
    <m/>
    <m/>
    <m/>
    <m/>
    <m/>
    <m/>
    <m/>
    <m/>
  </r>
  <r>
    <n v="1833"/>
    <s v="1833 | M and E"/>
    <x v="3"/>
    <s v="M and E - Associate"/>
    <s v="Officer"/>
    <s v="M and E-Officer"/>
    <s v="Associate"/>
    <d v="2023-04-15T08:48:53"/>
    <d v="2023-04-19T08:48:53"/>
    <s v="Yes"/>
    <d v="2023-04-27T08:48:53"/>
    <s v="Accepted"/>
    <m/>
    <d v="2023-04-30T08:48:53"/>
    <s v="Accepted"/>
    <d v="2023-04-28T08:48:53"/>
    <d v="2023-04-29T08:48:53"/>
    <d v="2023-04-29T08:48:53"/>
    <d v="2023-05-04T08:48:53"/>
    <n v="1"/>
    <d v="2023-05-05T08:48:53"/>
    <d v="2023-05-08T08:48:53"/>
    <d v="2023-05-09T08:48:53"/>
    <m/>
    <m/>
    <d v="2023-05-25T08:48:53"/>
    <m/>
    <m/>
    <n v="4"/>
    <n v="12"/>
    <n v="8"/>
    <x v="1"/>
    <n v="2"/>
    <d v="2023-07-28T08:48:53"/>
    <n v="1"/>
    <n v="26"/>
    <n v="10"/>
    <m/>
    <m/>
    <m/>
    <m/>
    <m/>
    <m/>
    <m/>
    <m/>
    <m/>
    <m/>
  </r>
  <r>
    <n v="1787"/>
    <s v="1787 | M and E"/>
    <x v="3"/>
    <s v="M and E - Associate"/>
    <s v="Officer"/>
    <s v="M and E-Officer"/>
    <s v="Associate"/>
    <d v="2022-04-10T08:33:21"/>
    <d v="2022-04-13T08:33:21"/>
    <s v="Yes"/>
    <d v="2022-04-23T08:33:21"/>
    <s v="Declined"/>
    <m/>
    <d v="2022-04-30T08:33:21"/>
    <s v="Declined"/>
    <m/>
    <m/>
    <d v="2022-04-27T08:33:21"/>
    <m/>
    <n v="0"/>
    <m/>
    <m/>
    <m/>
    <m/>
    <m/>
    <m/>
    <m/>
    <m/>
    <n v="3"/>
    <n v="13"/>
    <n v="10"/>
    <x v="14"/>
    <n v="4"/>
    <d v="2022-07-26T08:33:21"/>
    <s v=""/>
    <s v=""/>
    <s v=""/>
    <m/>
    <m/>
    <m/>
    <m/>
    <m/>
    <m/>
    <m/>
    <m/>
    <m/>
    <m/>
  </r>
  <r>
    <n v="1730"/>
    <s v="1730 | M and E"/>
    <x v="3"/>
    <s v="M and E - Associate"/>
    <s v="Controller"/>
    <s v="M and E-Controller"/>
    <s v="Associate"/>
    <d v="2022-10-27T12:00:37"/>
    <d v="2022-10-30T12:00:37"/>
    <s v="Yes"/>
    <d v="2022-11-14T12:00:37"/>
    <s v="Failed"/>
    <s v="Not a culture fit"/>
    <m/>
    <m/>
    <m/>
    <m/>
    <m/>
    <m/>
    <n v="0"/>
    <m/>
    <m/>
    <m/>
    <m/>
    <s v="Company"/>
    <m/>
    <m/>
    <m/>
    <n v="3"/>
    <n v="18"/>
    <n v="15"/>
    <x v="0"/>
    <s v=""/>
    <s v=""/>
    <s v=""/>
    <s v=""/>
    <s v=""/>
    <m/>
    <m/>
    <m/>
    <m/>
    <m/>
    <m/>
    <m/>
    <m/>
    <m/>
    <m/>
  </r>
  <r>
    <n v="1726"/>
    <s v="1726 | M and E"/>
    <x v="3"/>
    <s v="M and E - Associate"/>
    <s v="Controller"/>
    <s v="M and E-Controller"/>
    <s v="Associate"/>
    <d v="2022-11-01T12:00:37"/>
    <d v="2022-11-02T12:00:37"/>
    <s v="Yes"/>
    <d v="2022-11-09T12:00:37"/>
    <s v="Failed"/>
    <s v="Position filled by another"/>
    <m/>
    <m/>
    <m/>
    <m/>
    <d v="2022-11-10T12:00:37"/>
    <m/>
    <n v="0"/>
    <m/>
    <m/>
    <m/>
    <m/>
    <s v="Candidate"/>
    <m/>
    <m/>
    <m/>
    <n v="1"/>
    <n v="8"/>
    <n v="7"/>
    <x v="4"/>
    <n v="1"/>
    <d v="2023-02-08T12:00:37"/>
    <s v=""/>
    <s v=""/>
    <s v=""/>
    <m/>
    <m/>
    <m/>
    <m/>
    <m/>
    <m/>
    <m/>
    <m/>
    <m/>
    <m/>
  </r>
  <r>
    <n v="1658"/>
    <s v="1658 | M and E"/>
    <x v="3"/>
    <s v="M and E - Associate"/>
    <s v="Controller"/>
    <s v="M and E-Controller"/>
    <s v="Associate"/>
    <d v="2022-11-10T04:40:47"/>
    <d v="2022-11-12T04:40:47"/>
    <s v="Yes"/>
    <d v="2022-12-05T04:40:47"/>
    <s v="Declined"/>
    <m/>
    <d v="2022-12-08T04:40:47"/>
    <s v="Declined"/>
    <m/>
    <m/>
    <d v="2022-12-07T04:40:47"/>
    <m/>
    <n v="0"/>
    <m/>
    <m/>
    <m/>
    <m/>
    <m/>
    <m/>
    <m/>
    <m/>
    <n v="2"/>
    <n v="25"/>
    <n v="23"/>
    <x v="18"/>
    <n v="2"/>
    <d v="2023-03-07T04:40:47"/>
    <s v=""/>
    <s v=""/>
    <s v=""/>
    <m/>
    <m/>
    <m/>
    <m/>
    <m/>
    <m/>
    <m/>
    <m/>
    <m/>
    <m/>
  </r>
  <r>
    <n v="1656"/>
    <s v="1656 | M and E"/>
    <x v="3"/>
    <s v="M and E - Associate"/>
    <s v="Controller"/>
    <s v="M and E-Controller"/>
    <s v="Associate"/>
    <d v="2022-11-14T04:40:47"/>
    <d v="2022-11-15T04:40:47"/>
    <s v="Yes"/>
    <d v="2022-11-29T04:40:47"/>
    <s v="Failed"/>
    <s v="Position filled by another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1654"/>
    <s v="1654 | M and E"/>
    <x v="3"/>
    <s v="M and E - Associate"/>
    <s v="Controller"/>
    <s v="M and E-Controller"/>
    <s v="Associate"/>
    <d v="2022-11-14T04:40:47"/>
    <d v="2022-11-15T04:40:47"/>
    <s v="Yes"/>
    <d v="2022-11-21T04:40:47"/>
    <s v="Failed"/>
    <s v="Other"/>
    <m/>
    <m/>
    <m/>
    <m/>
    <m/>
    <m/>
    <n v="0"/>
    <m/>
    <m/>
    <m/>
    <m/>
    <s v="Candidate"/>
    <m/>
    <m/>
    <m/>
    <n v="1"/>
    <n v="7"/>
    <n v="6"/>
    <x v="0"/>
    <s v=""/>
    <s v=""/>
    <s v=""/>
    <s v=""/>
    <s v=""/>
    <m/>
    <m/>
    <m/>
    <m/>
    <m/>
    <m/>
    <m/>
    <m/>
    <m/>
    <m/>
  </r>
  <r>
    <n v="1628"/>
    <s v="1628 | M and E"/>
    <x v="3"/>
    <s v="M and E - Associate"/>
    <s v="Controller"/>
    <s v="M and E-Controller"/>
    <s v="Associate"/>
    <d v="2022-03-16T07:08:59"/>
    <d v="2022-03-19T07:08:5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25"/>
    <s v="1625 | M and E"/>
    <x v="3"/>
    <s v="M and E - Associate"/>
    <s v="Controller"/>
    <s v="M and E-Controller"/>
    <s v="Associate"/>
    <d v="2022-03-19T07:08:59"/>
    <d v="2022-03-23T07:08:59"/>
    <s v="Yes"/>
    <d v="2022-03-29T07:08:59"/>
    <s v="Failed"/>
    <s v="Salary expectation too high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1623"/>
    <s v="1623 | M and E"/>
    <x v="3"/>
    <s v="M and E - Associate"/>
    <s v="Controller"/>
    <s v="M and E-Controller"/>
    <s v="Associate"/>
    <d v="2022-03-19T07:08:59"/>
    <d v="2022-03-23T07:08:59"/>
    <s v="Yes"/>
    <d v="2022-04-10T07:08:59"/>
    <s v="Declined"/>
    <m/>
    <d v="2022-04-14T07:08:59"/>
    <s v="Declined"/>
    <m/>
    <m/>
    <d v="2022-04-12T07:08:59"/>
    <m/>
    <n v="0"/>
    <m/>
    <m/>
    <m/>
    <m/>
    <m/>
    <m/>
    <m/>
    <m/>
    <n v="4"/>
    <n v="22"/>
    <n v="18"/>
    <x v="21"/>
    <n v="2"/>
    <d v="2022-07-11T07:08:59"/>
    <s v=""/>
    <s v=""/>
    <s v=""/>
    <m/>
    <m/>
    <m/>
    <m/>
    <m/>
    <m/>
    <m/>
    <m/>
    <m/>
    <m/>
  </r>
  <r>
    <n v="1602"/>
    <s v="1602 | M and E"/>
    <x v="3"/>
    <s v="M and E - Associate"/>
    <s v="Controller"/>
    <s v="M and E-Controller"/>
    <s v="Associate"/>
    <d v="2022-01-03T19:39:24"/>
    <d v="2022-01-05T19:39:24"/>
    <s v="Yes"/>
    <d v="2022-01-10T19:39:24"/>
    <s v="Accepted"/>
    <m/>
    <d v="2022-01-14T19:39:24"/>
    <s v="Accepted"/>
    <d v="2022-01-12T19:39:24"/>
    <d v="2022-01-16T19:39:24"/>
    <d v="2022-01-13T19:39:24"/>
    <d v="2022-01-22T19:39:24"/>
    <n v="1"/>
    <d v="2022-01-26T19:39:24"/>
    <d v="2022-01-28T19:39:24"/>
    <d v="2022-01-31T19:39:24"/>
    <m/>
    <m/>
    <d v="2022-02-12T19:39:24"/>
    <m/>
    <m/>
    <n v="2"/>
    <n v="7"/>
    <n v="5"/>
    <x v="22"/>
    <n v="3"/>
    <d v="2022-04-13T19:39:24"/>
    <n v="4"/>
    <n v="30"/>
    <n v="18"/>
    <m/>
    <m/>
    <m/>
    <m/>
    <m/>
    <m/>
    <m/>
    <m/>
    <m/>
    <m/>
  </r>
  <r>
    <n v="1478"/>
    <s v="1478 | M and E"/>
    <x v="3"/>
    <s v="M and E - Associate"/>
    <s v="Controller"/>
    <s v="M and E-Controller"/>
    <s v="Associate"/>
    <d v="2023-01-21T06:41:41"/>
    <d v="2023-01-23T06:41:41"/>
    <s v="Yes"/>
    <d v="2023-02-05T06:41:41"/>
    <s v="Accepted"/>
    <m/>
    <d v="2023-02-12T06:41:41"/>
    <s v="Accepted"/>
    <d v="2023-02-06T06:41:41"/>
    <d v="2023-02-08T06:41:41"/>
    <d v="2023-02-09T06:41:41"/>
    <d v="2023-02-14T06:41:41"/>
    <n v="1"/>
    <d v="2023-02-16T06:41:41"/>
    <d v="2023-02-19T06:41:41"/>
    <d v="2023-02-21T06:41:41"/>
    <m/>
    <m/>
    <d v="2023-03-03T06:41:41"/>
    <m/>
    <m/>
    <n v="2"/>
    <n v="15"/>
    <n v="13"/>
    <x v="13"/>
    <n v="4"/>
    <d v="2023-05-10T06:41:41"/>
    <n v="2"/>
    <n v="22"/>
    <n v="12"/>
    <m/>
    <m/>
    <m/>
    <m/>
    <m/>
    <m/>
    <m/>
    <m/>
    <m/>
    <m/>
  </r>
  <r>
    <n v="1343"/>
    <s v="1343 | M and E"/>
    <x v="3"/>
    <s v="M and E - Associate"/>
    <s v="Controller"/>
    <s v="M and E-Controller"/>
    <s v="Associate"/>
    <d v="2023-06-19T00:56:18"/>
    <d v="2023-06-21T00:56:18"/>
    <s v="Yes"/>
    <d v="2023-07-06T00:56:18"/>
    <s v="Declined"/>
    <m/>
    <d v="2023-07-12T00:56:18"/>
    <s v="Declined"/>
    <m/>
    <m/>
    <d v="2023-07-08T00:56:18"/>
    <m/>
    <n v="0"/>
    <m/>
    <m/>
    <m/>
    <m/>
    <m/>
    <m/>
    <m/>
    <m/>
    <n v="2"/>
    <n v="17"/>
    <n v="15"/>
    <x v="13"/>
    <n v="2"/>
    <d v="2023-10-06T00:56:18"/>
    <s v=""/>
    <s v=""/>
    <s v=""/>
    <m/>
    <m/>
    <m/>
    <m/>
    <m/>
    <m/>
    <m/>
    <m/>
    <m/>
    <m/>
  </r>
  <r>
    <n v="1096"/>
    <s v="1096 | M and E"/>
    <x v="3"/>
    <s v="M and E - Associate"/>
    <s v="Controller"/>
    <s v="M and E-Controller"/>
    <s v="Associate"/>
    <d v="2023-04-24T06:21:04"/>
    <d v="2023-04-28T06:21:04"/>
    <s v="Yes"/>
    <d v="2023-05-12T06:21:04"/>
    <s v="Pending"/>
    <m/>
    <d v="2023-05-18T06:21:04"/>
    <s v="Pending"/>
    <m/>
    <m/>
    <d v="2023-05-14T06:21:04"/>
    <m/>
    <n v="0"/>
    <m/>
    <m/>
    <m/>
    <m/>
    <m/>
    <m/>
    <m/>
    <m/>
    <n v="4"/>
    <n v="18"/>
    <n v="14"/>
    <x v="15"/>
    <n v="2"/>
    <d v="2023-08-12T06:21:04"/>
    <s v=""/>
    <s v=""/>
    <s v=""/>
    <m/>
    <m/>
    <m/>
    <m/>
    <m/>
    <m/>
    <m/>
    <m/>
    <m/>
    <m/>
  </r>
  <r>
    <n v="1093"/>
    <s v="1093 | M and E"/>
    <x v="3"/>
    <s v="M and E - Associate"/>
    <s v="Controller"/>
    <s v="M and E-Controller"/>
    <s v="Associate"/>
    <d v="2023-04-20T06:21:04"/>
    <d v="2023-04-24T06:21:04"/>
    <s v="Yes"/>
    <d v="2023-05-15T06:21:04"/>
    <s v="Declined"/>
    <m/>
    <d v="2023-05-21T06:21:04"/>
    <s v="Declined"/>
    <m/>
    <m/>
    <d v="2023-05-19T06:21:04"/>
    <m/>
    <n v="0"/>
    <m/>
    <m/>
    <m/>
    <m/>
    <m/>
    <m/>
    <m/>
    <m/>
    <n v="4"/>
    <n v="25"/>
    <n v="21"/>
    <x v="23"/>
    <n v="4"/>
    <d v="2023-08-17T06:21:04"/>
    <s v=""/>
    <s v=""/>
    <s v=""/>
    <m/>
    <m/>
    <m/>
    <m/>
    <m/>
    <m/>
    <m/>
    <m/>
    <m/>
    <m/>
  </r>
  <r>
    <n v="1060"/>
    <s v="1060 | M and E"/>
    <x v="3"/>
    <s v="M and E - Associate"/>
    <s v="Controller"/>
    <s v="M and E-Controller"/>
    <s v="Associate"/>
    <d v="2023-08-21T04:19:54"/>
    <d v="2023-08-24T04:19:54"/>
    <s v="Yes"/>
    <d v="2023-09-05T04:19:54"/>
    <s v="Accepted"/>
    <m/>
    <d v="2023-09-11T04:19:54"/>
    <s v="Accepted"/>
    <d v="2023-09-07T04:19:54"/>
    <d v="2023-09-08T04:19:54"/>
    <d v="2023-09-07T04:19:54"/>
    <d v="2023-09-12T04:19:54"/>
    <n v="1"/>
    <d v="2023-09-16T04:19:54"/>
    <d v="2023-09-19T04:19:54"/>
    <d v="2023-09-21T04:19:54"/>
    <m/>
    <m/>
    <d v="2023-10-01T04:19:54"/>
    <m/>
    <m/>
    <n v="3"/>
    <n v="15"/>
    <n v="12"/>
    <x v="14"/>
    <n v="2"/>
    <d v="2023-12-06T04:19:54"/>
    <n v="4"/>
    <n v="24"/>
    <n v="14"/>
    <m/>
    <m/>
    <m/>
    <m/>
    <m/>
    <m/>
    <m/>
    <m/>
    <m/>
    <m/>
  </r>
  <r>
    <n v="1059"/>
    <s v="1059 | M and E"/>
    <x v="3"/>
    <s v="M and E - Associate"/>
    <s v="Controller"/>
    <s v="M and E-Controller"/>
    <s v="Associate"/>
    <d v="2023-08-21T04:19:54"/>
    <d v="2023-08-24T04:19:54"/>
    <s v="Yes"/>
    <d v="2023-09-11T04:19:54"/>
    <s v="Accepted"/>
    <m/>
    <d v="2023-09-18T04:19:54"/>
    <s v="Accepted"/>
    <d v="2023-09-13T04:19:54"/>
    <d v="2023-09-16T04:19:54"/>
    <d v="2023-09-14T04:19:54"/>
    <d v="2023-09-23T04:19:54"/>
    <n v="1"/>
    <d v="2023-09-27T04:19:54"/>
    <d v="2023-09-28T04:19:54"/>
    <d v="2023-09-30T04:19:54"/>
    <m/>
    <m/>
    <d v="2023-10-12T04:19:54"/>
    <m/>
    <m/>
    <n v="3"/>
    <n v="21"/>
    <n v="18"/>
    <x v="21"/>
    <n v="3"/>
    <d v="2023-12-13T04:19:54"/>
    <n v="4"/>
    <n v="28"/>
    <n v="16"/>
    <m/>
    <m/>
    <m/>
    <m/>
    <m/>
    <m/>
    <m/>
    <m/>
    <m/>
    <m/>
  </r>
  <r>
    <n v="1057"/>
    <s v="1057 | M and E"/>
    <x v="3"/>
    <s v="M and E - Associate"/>
    <s v="Business Partner"/>
    <s v="M and E-Business Partner"/>
    <s v="Associate"/>
    <d v="2023-08-19T04:19:54"/>
    <d v="2023-08-20T04:19:54"/>
    <s v="Yes"/>
    <d v="2023-09-03T04:19:54"/>
    <s v="Failed"/>
    <s v="Salary expectation too high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1056"/>
    <s v="1056 | M and E"/>
    <x v="3"/>
    <s v="M and E - Associate"/>
    <s v="Business Partner"/>
    <s v="M and E-Business Partner"/>
    <s v="Associate"/>
    <d v="2023-08-15T04:19:54"/>
    <d v="2023-08-19T04:19:54"/>
    <s v="Yes"/>
    <d v="2023-09-03T04:19:54"/>
    <s v="Failed"/>
    <s v="Salary expectation too high"/>
    <m/>
    <m/>
    <m/>
    <m/>
    <d v="2023-09-05T04:19:54"/>
    <m/>
    <n v="0"/>
    <m/>
    <m/>
    <m/>
    <m/>
    <s v="Company"/>
    <m/>
    <m/>
    <m/>
    <n v="4"/>
    <n v="19"/>
    <n v="15"/>
    <x v="19"/>
    <n v="2"/>
    <d v="2023-12-04T04:19:54"/>
    <s v=""/>
    <s v=""/>
    <s v=""/>
    <m/>
    <m/>
    <m/>
    <m/>
    <m/>
    <m/>
    <m/>
    <m/>
    <m/>
    <m/>
  </r>
  <r>
    <n v="1009"/>
    <s v="1009 | M and E"/>
    <x v="3"/>
    <s v="M and E - Associate"/>
    <s v="Business Partner"/>
    <s v="M and E-Business Partner"/>
    <s v="Associate"/>
    <d v="2022-12-21T16:31:31"/>
    <d v="2022-12-23T16:31:31"/>
    <s v="Yes"/>
    <d v="2022-12-30T16:31:31"/>
    <s v="Failed"/>
    <s v="Didn't pass technical test"/>
    <m/>
    <m/>
    <m/>
    <m/>
    <d v="2023-01-02T16:31:31"/>
    <m/>
    <n v="0"/>
    <m/>
    <m/>
    <m/>
    <m/>
    <s v="Candidate"/>
    <m/>
    <m/>
    <m/>
    <n v="2"/>
    <n v="9"/>
    <n v="7"/>
    <x v="24"/>
    <n v="3"/>
    <d v="2023-04-02T16:31:31"/>
    <s v=""/>
    <s v=""/>
    <s v=""/>
    <m/>
    <m/>
    <m/>
    <m/>
    <m/>
    <m/>
    <m/>
    <m/>
    <m/>
    <m/>
  </r>
  <r>
    <n v="1008"/>
    <s v="1008 | M and E"/>
    <x v="3"/>
    <s v="M and E - Associate"/>
    <s v="Business Partner"/>
    <s v="M and E-Business Partner"/>
    <s v="Associate"/>
    <d v="2022-12-20T16:31:31"/>
    <d v="2022-12-24T16:31:3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87"/>
    <s v="987 | M and E"/>
    <x v="3"/>
    <s v="M and E - Associate"/>
    <s v="Business Partner"/>
    <s v="M and E-Business Partner"/>
    <s v="Associate"/>
    <d v="2022-08-22T05:47:20"/>
    <d v="2022-08-25T05:47:20"/>
    <s v="Yes"/>
    <d v="2022-09-14T05:47:20"/>
    <s v="Declined"/>
    <m/>
    <d v="2022-09-20T05:47:20"/>
    <s v="Declined"/>
    <m/>
    <m/>
    <d v="2022-09-16T05:47:20"/>
    <m/>
    <n v="0"/>
    <m/>
    <m/>
    <m/>
    <m/>
    <m/>
    <m/>
    <m/>
    <m/>
    <n v="3"/>
    <n v="23"/>
    <n v="20"/>
    <x v="11"/>
    <n v="2"/>
    <d v="2022-12-15T05:47:20"/>
    <s v=""/>
    <s v=""/>
    <s v=""/>
    <m/>
    <m/>
    <m/>
    <m/>
    <m/>
    <m/>
    <m/>
    <m/>
    <m/>
    <m/>
  </r>
  <r>
    <n v="981"/>
    <s v="981 | M and E"/>
    <x v="3"/>
    <s v="M and E - Associate"/>
    <s v="Business Partner"/>
    <s v="M and E-Business Partner"/>
    <s v="Associate"/>
    <d v="2022-08-21T05:47:20"/>
    <d v="2022-08-25T05:47:20"/>
    <s v="Yes"/>
    <d v="2022-09-16T05:47:20"/>
    <s v="Declined"/>
    <m/>
    <d v="2022-09-21T05:47:20"/>
    <s v="Declined"/>
    <m/>
    <m/>
    <d v="2022-09-17T05:47:20"/>
    <m/>
    <n v="0"/>
    <m/>
    <m/>
    <m/>
    <m/>
    <m/>
    <m/>
    <m/>
    <m/>
    <n v="4"/>
    <n v="26"/>
    <n v="22"/>
    <x v="18"/>
    <n v="1"/>
    <d v="2022-12-16T05:47:20"/>
    <s v=""/>
    <s v=""/>
    <s v=""/>
    <m/>
    <m/>
    <m/>
    <m/>
    <m/>
    <m/>
    <m/>
    <m/>
    <m/>
    <m/>
  </r>
  <r>
    <n v="872"/>
    <s v="872 | M and E"/>
    <x v="3"/>
    <s v="M and E - Associate"/>
    <s v="Business Partner"/>
    <s v="M and E-Business Partner"/>
    <s v="Associate"/>
    <d v="2022-07-18T19:23:12"/>
    <d v="2022-07-22T19:23:12"/>
    <s v="Yes"/>
    <d v="2022-07-28T19:23:12"/>
    <s v="Declined"/>
    <m/>
    <d v="2022-08-01T19:23:12"/>
    <s v="Declined"/>
    <m/>
    <m/>
    <d v="2022-07-30T19:23:12"/>
    <m/>
    <n v="0"/>
    <m/>
    <m/>
    <m/>
    <m/>
    <m/>
    <m/>
    <m/>
    <m/>
    <n v="4"/>
    <n v="10"/>
    <n v="6"/>
    <x v="24"/>
    <n v="2"/>
    <d v="2022-10-28T19:23:12"/>
    <s v=""/>
    <s v=""/>
    <s v=""/>
    <m/>
    <m/>
    <m/>
    <m/>
    <m/>
    <m/>
    <m/>
    <m/>
    <m/>
    <m/>
  </r>
  <r>
    <n v="760"/>
    <s v="760 | M and E"/>
    <x v="3"/>
    <s v="M and E - Associate"/>
    <s v="Business Partner"/>
    <s v="M and E-Business Partner"/>
    <s v="Associate"/>
    <d v="2023-01-16T21:12:47"/>
    <d v="2023-01-17T21:12:47"/>
    <s v="Yes"/>
    <d v="2023-02-03T21:12:47"/>
    <s v="Pending"/>
    <m/>
    <d v="2023-02-07T21:12:47"/>
    <s v="Pending"/>
    <m/>
    <m/>
    <d v="2023-02-05T21:12:47"/>
    <m/>
    <n v="0"/>
    <m/>
    <m/>
    <m/>
    <m/>
    <m/>
    <m/>
    <m/>
    <m/>
    <n v="1"/>
    <n v="18"/>
    <n v="17"/>
    <x v="15"/>
    <n v="2"/>
    <d v="2023-05-06T21:12:47"/>
    <s v=""/>
    <s v=""/>
    <s v=""/>
    <m/>
    <m/>
    <m/>
    <m/>
    <m/>
    <m/>
    <m/>
    <m/>
    <m/>
    <m/>
  </r>
  <r>
    <n v="757"/>
    <s v="757 | M and E"/>
    <x v="3"/>
    <s v="M and E - Associate"/>
    <s v="Business Partner"/>
    <s v="M and E-Business Partner"/>
    <s v="Associate"/>
    <d v="2023-01-17T21:12:47"/>
    <d v="2023-01-19T21:12:4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751"/>
    <s v="751 | M and E"/>
    <x v="3"/>
    <s v="M and E - Associate"/>
    <s v="Business Partner"/>
    <s v="M and E-Business Partner"/>
    <s v="Associate"/>
    <d v="2023-01-11T21:12:47"/>
    <d v="2023-01-15T21:12:47"/>
    <s v="Yes"/>
    <d v="2023-02-05T21:12:47"/>
    <s v="Declined"/>
    <m/>
    <d v="2023-02-10T21:12:47"/>
    <s v="Declined"/>
    <m/>
    <m/>
    <d v="2023-02-07T21:12:47"/>
    <m/>
    <n v="0"/>
    <m/>
    <m/>
    <m/>
    <m/>
    <m/>
    <m/>
    <m/>
    <m/>
    <n v="4"/>
    <n v="25"/>
    <n v="21"/>
    <x v="18"/>
    <n v="2"/>
    <d v="2023-05-08T21:12:47"/>
    <s v=""/>
    <s v=""/>
    <s v=""/>
    <m/>
    <m/>
    <m/>
    <m/>
    <m/>
    <m/>
    <m/>
    <m/>
    <m/>
    <m/>
  </r>
  <r>
    <n v="694"/>
    <s v="694 | M and E"/>
    <x v="3"/>
    <s v="M and E - Associate"/>
    <s v="Business Partner"/>
    <s v="M and E-Business Partner"/>
    <s v="Associate"/>
    <d v="2022-11-03T06:56:27"/>
    <d v="2022-11-05T06:56:27"/>
    <s v="Yes"/>
    <d v="2022-11-18T06:56:27"/>
    <s v="Accepted"/>
    <m/>
    <d v="2022-11-23T06:56:27"/>
    <s v="Accepted"/>
    <d v="2022-11-19T06:56:27"/>
    <d v="2022-11-20T06:56:27"/>
    <d v="2022-11-21T06:56:27"/>
    <d v="2022-11-29T06:56:27"/>
    <n v="1"/>
    <d v="2022-12-01T06:56:27"/>
    <d v="2022-12-02T06:56:27"/>
    <d v="2022-12-05T06:56:27"/>
    <m/>
    <m/>
    <d v="2022-12-15T06:56:27"/>
    <m/>
    <m/>
    <n v="2"/>
    <n v="15"/>
    <n v="13"/>
    <x v="12"/>
    <n v="3"/>
    <d v="2023-02-19T06:56:27"/>
    <n v="2"/>
    <n v="24"/>
    <n v="14"/>
    <m/>
    <m/>
    <m/>
    <m/>
    <m/>
    <m/>
    <m/>
    <m/>
    <m/>
    <m/>
  </r>
  <r>
    <n v="650"/>
    <s v="650 | M and E"/>
    <x v="3"/>
    <s v="M and E - Associate"/>
    <s v="Business Partner"/>
    <s v="M and E-Business Partner"/>
    <s v="Associate"/>
    <d v="2022-08-09T18:15:27"/>
    <d v="2022-08-13T18:15:27"/>
    <s v="Yes"/>
    <d v="2022-08-19T18:15:27"/>
    <s v="Failed"/>
    <s v="Other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588"/>
    <s v="588 | M and E"/>
    <x v="3"/>
    <s v="M and E - Associate"/>
    <s v="Business Partner"/>
    <s v="M and E-Business Partner"/>
    <s v="Associate"/>
    <d v="2022-11-29T09:55:12"/>
    <d v="2022-11-30T09:55:12"/>
    <s v="Yes"/>
    <d v="2022-12-13T09:55:12"/>
    <s v="Failed"/>
    <s v="Not a culture fit"/>
    <m/>
    <m/>
    <m/>
    <m/>
    <m/>
    <m/>
    <n v="0"/>
    <m/>
    <m/>
    <m/>
    <m/>
    <s v="Candidate"/>
    <m/>
    <m/>
    <m/>
    <n v="1"/>
    <n v="14"/>
    <n v="13"/>
    <x v="0"/>
    <s v=""/>
    <s v=""/>
    <s v=""/>
    <s v=""/>
    <s v=""/>
    <m/>
    <m/>
    <m/>
    <m/>
    <m/>
    <m/>
    <m/>
    <m/>
    <m/>
    <m/>
  </r>
  <r>
    <n v="587"/>
    <s v="587 | M and E"/>
    <x v="3"/>
    <s v="M and E - Associate"/>
    <s v="Business Partner"/>
    <s v="M and E-Business Partner"/>
    <s v="Associate"/>
    <d v="2022-11-26T09:55:12"/>
    <d v="2022-11-30T09:55:12"/>
    <s v="Yes"/>
    <d v="2022-12-10T09:55:12"/>
    <s v="Declined"/>
    <m/>
    <d v="2022-12-15T09:55:12"/>
    <s v="Declined"/>
    <m/>
    <m/>
    <d v="2022-12-12T09:55:12"/>
    <m/>
    <n v="0"/>
    <m/>
    <m/>
    <m/>
    <m/>
    <m/>
    <m/>
    <m/>
    <m/>
    <n v="4"/>
    <n v="14"/>
    <n v="10"/>
    <x v="20"/>
    <n v="2"/>
    <d v="2023-03-12T09:55:12"/>
    <s v=""/>
    <s v=""/>
    <s v=""/>
    <m/>
    <m/>
    <m/>
    <m/>
    <m/>
    <m/>
    <m/>
    <m/>
    <m/>
    <m/>
  </r>
  <r>
    <n v="583"/>
    <s v="583 | M and E"/>
    <x v="3"/>
    <s v="M and E - Associate"/>
    <s v="Business Partner"/>
    <s v="M and E-Business Partner"/>
    <s v="Associate"/>
    <d v="2022-11-27T09:55:12"/>
    <d v="2022-11-29T09:55:12"/>
    <s v="Yes"/>
    <d v="2022-12-14T09:55:12"/>
    <s v="Failed"/>
    <s v="Not a culture fit"/>
    <m/>
    <m/>
    <m/>
    <m/>
    <m/>
    <m/>
    <n v="0"/>
    <m/>
    <m/>
    <m/>
    <m/>
    <s v="Company"/>
    <m/>
    <m/>
    <m/>
    <n v="2"/>
    <n v="17"/>
    <n v="15"/>
    <x v="0"/>
    <s v=""/>
    <s v=""/>
    <s v=""/>
    <s v=""/>
    <s v=""/>
    <m/>
    <m/>
    <m/>
    <m/>
    <m/>
    <m/>
    <m/>
    <m/>
    <m/>
    <m/>
  </r>
  <r>
    <n v="557"/>
    <s v="557 | M and E"/>
    <x v="3"/>
    <s v="M and E - Associate"/>
    <s v="Business Partner"/>
    <s v="M and E-Business Partner"/>
    <s v="Associate"/>
    <d v="2023-06-09T00:15:10"/>
    <d v="2023-06-12T00:15:10"/>
    <s v="Yes"/>
    <d v="2023-06-23T00:15:10"/>
    <s v="Declined"/>
    <m/>
    <d v="2023-07-01T00:15:10"/>
    <s v="Declined"/>
    <m/>
    <m/>
    <d v="2023-06-27T00:15:10"/>
    <m/>
    <n v="0"/>
    <m/>
    <m/>
    <m/>
    <m/>
    <m/>
    <m/>
    <m/>
    <m/>
    <n v="3"/>
    <n v="14"/>
    <n v="11"/>
    <x v="12"/>
    <n v="4"/>
    <d v="2023-09-25T00:15:10"/>
    <s v=""/>
    <s v=""/>
    <s v=""/>
    <m/>
    <m/>
    <m/>
    <m/>
    <m/>
    <m/>
    <m/>
    <m/>
    <m/>
    <m/>
  </r>
  <r>
    <n v="549"/>
    <s v="549 | M and E"/>
    <x v="3"/>
    <s v="M and E - Associate"/>
    <s v="Business Partner"/>
    <s v="M and E-Business Partner"/>
    <s v="Associate"/>
    <d v="2023-01-30T15:37:34"/>
    <d v="2023-02-01T15:37:34"/>
    <s v="Yes"/>
    <d v="2023-02-23T15:37:34"/>
    <s v="Failed"/>
    <s v="Not a culture fit"/>
    <m/>
    <m/>
    <m/>
    <m/>
    <d v="2023-02-25T15:37:34"/>
    <m/>
    <n v="0"/>
    <m/>
    <m/>
    <m/>
    <m/>
    <s v="Company"/>
    <m/>
    <m/>
    <m/>
    <n v="2"/>
    <n v="24"/>
    <n v="22"/>
    <x v="25"/>
    <n v="2"/>
    <d v="2023-05-26T15:37:34"/>
    <s v=""/>
    <s v=""/>
    <s v=""/>
    <m/>
    <m/>
    <m/>
    <m/>
    <m/>
    <m/>
    <m/>
    <m/>
    <m/>
    <m/>
  </r>
  <r>
    <n v="548"/>
    <s v="548 | M and E"/>
    <x v="3"/>
    <s v="M and E - Associate"/>
    <s v="Business Partner"/>
    <s v="M and E-Business Partner"/>
    <s v="Associate"/>
    <d v="2023-02-03T15:37:34"/>
    <d v="2023-02-06T15:37:3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530"/>
    <s v="530 | M and E"/>
    <x v="3"/>
    <s v="M and E - Associate"/>
    <s v="Business Partner"/>
    <s v="M and E-Business Partner"/>
    <s v="Associate"/>
    <d v="2022-02-16T20:00:49"/>
    <d v="2022-02-17T20:00:49"/>
    <s v="Yes"/>
    <d v="2022-02-26T20:00:49"/>
    <s v="Accepted"/>
    <m/>
    <d v="2022-03-02T20:00:49"/>
    <s v="Accepted"/>
    <d v="2022-02-28T20:00:49"/>
    <d v="2022-03-04T20:00:49"/>
    <d v="2022-02-28T20:00:49"/>
    <d v="2022-03-03T20:00:49"/>
    <n v="1"/>
    <d v="2022-03-04T20:00:49"/>
    <d v="2022-03-05T20:00:49"/>
    <d v="2022-03-07T20:00:49"/>
    <m/>
    <m/>
    <d v="2022-03-18T20:00:49"/>
    <m/>
    <m/>
    <n v="1"/>
    <n v="10"/>
    <n v="9"/>
    <x v="24"/>
    <n v="2"/>
    <d v="2022-05-29T20:00:49"/>
    <n v="1"/>
    <n v="18"/>
    <n v="7"/>
    <m/>
    <m/>
    <m/>
    <m/>
    <m/>
    <m/>
    <m/>
    <m/>
    <m/>
    <m/>
  </r>
  <r>
    <n v="2947"/>
    <s v="2947 | HR"/>
    <x v="4"/>
    <s v="IT - Senior Management"/>
    <s v="Senior Manager"/>
    <s v="IT-Senior Manager"/>
    <s v="Senior Management"/>
    <d v="2022-06-13T11:38:00"/>
    <d v="2022-06-17T11:38:00"/>
    <s v="Yes"/>
    <d v="2022-07-02T11:38:00"/>
    <s v="Failed"/>
    <s v="Position filled by another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2943"/>
    <s v="2943 | HR"/>
    <x v="4"/>
    <s v="IT - Senior Management"/>
    <s v="Senior Manager"/>
    <s v="IT-Senior Manager"/>
    <s v="Senior Management"/>
    <d v="2022-06-12T11:38:00"/>
    <d v="2022-06-13T11:38:00"/>
    <s v="Yes"/>
    <d v="2022-07-02T11:38:00"/>
    <s v="Failed"/>
    <s v="Didn't pass technical test"/>
    <m/>
    <m/>
    <m/>
    <m/>
    <d v="2022-07-06T11:38:00"/>
    <m/>
    <n v="0"/>
    <m/>
    <m/>
    <m/>
    <m/>
    <s v="Candidate"/>
    <m/>
    <m/>
    <m/>
    <n v="1"/>
    <n v="20"/>
    <n v="19"/>
    <x v="21"/>
    <n v="4"/>
    <d v="2022-10-04T11:38:00"/>
    <s v=""/>
    <s v=""/>
    <s v=""/>
    <m/>
    <m/>
    <m/>
    <m/>
    <m/>
    <m/>
    <m/>
    <m/>
    <m/>
    <m/>
  </r>
  <r>
    <n v="2896"/>
    <s v="2896 | HR"/>
    <x v="4"/>
    <s v="IT - Senior Management"/>
    <s v="Senior Manager"/>
    <s v="IT-Senior Manager"/>
    <s v="Senior Management"/>
    <d v="2023-02-06T16:21:51"/>
    <d v="2023-02-09T16:21:51"/>
    <s v="Yes"/>
    <d v="2023-02-12T16:21:51"/>
    <s v="Failed"/>
    <s v="Didn't pass technical test"/>
    <m/>
    <m/>
    <m/>
    <m/>
    <d v="2023-02-13T16:21:51"/>
    <m/>
    <n v="0"/>
    <m/>
    <m/>
    <m/>
    <m/>
    <s v="Company"/>
    <m/>
    <m/>
    <m/>
    <n v="3"/>
    <n v="6"/>
    <n v="3"/>
    <x v="5"/>
    <n v="1"/>
    <d v="2023-05-14T16:21:51"/>
    <s v=""/>
    <s v=""/>
    <s v=""/>
    <m/>
    <m/>
    <m/>
    <m/>
    <m/>
    <m/>
    <m/>
    <m/>
    <m/>
    <m/>
  </r>
  <r>
    <n v="2723"/>
    <s v="2723 | HR"/>
    <x v="4"/>
    <s v="IT - Senior Management"/>
    <s v="Senior Manager"/>
    <s v="IT-Senior Manager"/>
    <s v="Senior Management"/>
    <d v="2023-05-21T05:58:29"/>
    <d v="2023-05-23T05:58:29"/>
    <s v="Yes"/>
    <d v="2023-05-26T05:58:29"/>
    <s v="Failed"/>
    <s v="Not a culture fit"/>
    <m/>
    <m/>
    <m/>
    <m/>
    <d v="2023-05-30T05:58:29"/>
    <m/>
    <n v="0"/>
    <m/>
    <m/>
    <m/>
    <m/>
    <s v="Company"/>
    <m/>
    <m/>
    <m/>
    <n v="2"/>
    <n v="5"/>
    <n v="3"/>
    <x v="4"/>
    <n v="4"/>
    <d v="2023-08-28T05:58:29"/>
    <s v=""/>
    <s v=""/>
    <s v=""/>
    <m/>
    <m/>
    <m/>
    <m/>
    <m/>
    <m/>
    <m/>
    <m/>
    <m/>
    <m/>
  </r>
  <r>
    <n v="2583"/>
    <s v="2583 | HR"/>
    <x v="4"/>
    <s v="IT - Senior Management"/>
    <s v="Senior Manager"/>
    <s v="IT-Senior Manager"/>
    <s v="Senior Management"/>
    <d v="2022-08-11T00:55:27"/>
    <d v="2022-08-13T00:55:27"/>
    <s v="Yes"/>
    <d v="2022-08-27T00:55:27"/>
    <s v="Failed"/>
    <s v="Not a culture fit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2581"/>
    <s v="2581 | HR"/>
    <x v="4"/>
    <s v="IT - Senior Management"/>
    <s v="Senior Manager"/>
    <s v="IT-Senior Manager"/>
    <s v="Senior Management"/>
    <d v="2022-08-14T00:55:27"/>
    <d v="2022-08-16T00:55:27"/>
    <s v="Yes"/>
    <d v="2022-09-01T00:55:27"/>
    <s v="Failed"/>
    <s v="Position filled by another"/>
    <m/>
    <m/>
    <m/>
    <m/>
    <d v="2022-09-03T00:55:27"/>
    <m/>
    <n v="0"/>
    <m/>
    <m/>
    <m/>
    <m/>
    <s v="Candidate"/>
    <m/>
    <m/>
    <m/>
    <n v="2"/>
    <n v="18"/>
    <n v="16"/>
    <x v="15"/>
    <n v="2"/>
    <d v="2022-12-02T00:55:27"/>
    <s v=""/>
    <s v=""/>
    <s v=""/>
    <m/>
    <m/>
    <m/>
    <m/>
    <m/>
    <m/>
    <m/>
    <m/>
    <m/>
    <m/>
  </r>
  <r>
    <n v="2377"/>
    <s v="2377 | HR"/>
    <x v="4"/>
    <s v="IT - Senior Management"/>
    <s v="Senior Manager"/>
    <s v="IT-Senior Manager"/>
    <s v="Senior Management"/>
    <d v="2023-04-16T22:01:03"/>
    <d v="2023-04-17T22:01:03"/>
    <s v="Yes"/>
    <d v="2023-05-05T22:01:03"/>
    <s v="Failed"/>
    <s v="Didn't pass technical test"/>
    <m/>
    <m/>
    <m/>
    <m/>
    <d v="2023-05-08T22:01:03"/>
    <m/>
    <n v="0"/>
    <m/>
    <m/>
    <m/>
    <m/>
    <s v="Candidate"/>
    <m/>
    <m/>
    <m/>
    <n v="1"/>
    <n v="19"/>
    <n v="18"/>
    <x v="7"/>
    <n v="3"/>
    <d v="2023-08-06T22:01:03"/>
    <s v=""/>
    <s v=""/>
    <s v=""/>
    <m/>
    <m/>
    <m/>
    <m/>
    <m/>
    <m/>
    <m/>
    <m/>
    <m/>
    <m/>
  </r>
  <r>
    <n v="2254"/>
    <s v="2254 | HR"/>
    <x v="4"/>
    <s v="IT - Senior Management"/>
    <s v="Senior Manager"/>
    <s v="IT-Senior Manager"/>
    <s v="Senior Management"/>
    <d v="2022-08-10T16:27:58"/>
    <d v="2022-08-11T16:27:58"/>
    <s v="Yes"/>
    <d v="2022-08-25T16:27:58"/>
    <s v="Failed"/>
    <s v="Other"/>
    <m/>
    <m/>
    <m/>
    <m/>
    <m/>
    <m/>
    <n v="0"/>
    <m/>
    <m/>
    <m/>
    <m/>
    <s v="Candidate"/>
    <m/>
    <m/>
    <m/>
    <n v="1"/>
    <n v="15"/>
    <n v="14"/>
    <x v="0"/>
    <s v=""/>
    <s v=""/>
    <s v=""/>
    <s v=""/>
    <s v=""/>
    <m/>
    <m/>
    <m/>
    <m/>
    <m/>
    <m/>
    <m/>
    <m/>
    <m/>
    <m/>
  </r>
  <r>
    <n v="2055"/>
    <s v="2055 | HR"/>
    <x v="4"/>
    <s v="IT - Senior Management"/>
    <s v="Senior Manager"/>
    <s v="IT-Senior Manager"/>
    <s v="Senior Management"/>
    <d v="2022-01-13T19:56:47"/>
    <d v="2022-01-16T19:56:47"/>
    <s v="Yes"/>
    <d v="2022-01-22T19:56:47"/>
    <s v="Failed"/>
    <s v="Other"/>
    <m/>
    <m/>
    <m/>
    <m/>
    <m/>
    <m/>
    <n v="0"/>
    <m/>
    <m/>
    <m/>
    <m/>
    <s v="Company"/>
    <m/>
    <m/>
    <m/>
    <n v="3"/>
    <n v="9"/>
    <n v="6"/>
    <x v="0"/>
    <s v=""/>
    <s v=""/>
    <s v=""/>
    <s v=""/>
    <s v=""/>
    <m/>
    <m/>
    <m/>
    <m/>
    <m/>
    <m/>
    <m/>
    <m/>
    <m/>
    <m/>
  </r>
  <r>
    <n v="1958"/>
    <s v="1958 | HR"/>
    <x v="4"/>
    <s v="IT - Senior Management"/>
    <s v="Senior Manager"/>
    <s v="IT-Senior Manager"/>
    <s v="Senior Management"/>
    <d v="2022-09-17T01:01:03"/>
    <d v="2022-09-20T01:01:03"/>
    <s v="Yes"/>
    <d v="2022-10-04T01:01:03"/>
    <s v="Failed"/>
    <s v="Position filled by another"/>
    <m/>
    <m/>
    <m/>
    <m/>
    <m/>
    <m/>
    <n v="0"/>
    <m/>
    <m/>
    <m/>
    <m/>
    <s v="Candidate"/>
    <m/>
    <m/>
    <m/>
    <n v="3"/>
    <n v="17"/>
    <n v="14"/>
    <x v="0"/>
    <s v=""/>
    <s v=""/>
    <s v=""/>
    <s v=""/>
    <s v=""/>
    <m/>
    <m/>
    <m/>
    <m/>
    <m/>
    <m/>
    <m/>
    <m/>
    <m/>
    <m/>
  </r>
  <r>
    <n v="1957"/>
    <s v="1957 | HR"/>
    <x v="4"/>
    <s v="IT - Senior Management"/>
    <s v="Senior Manager"/>
    <s v="IT-Senior Manager"/>
    <s v="Senior Management"/>
    <d v="2022-09-13T01:01:03"/>
    <d v="2022-09-16T01:01:03"/>
    <s v="Yes"/>
    <d v="2022-10-05T01:01:03"/>
    <s v="Failed"/>
    <s v="Position filled by another"/>
    <m/>
    <m/>
    <m/>
    <m/>
    <m/>
    <m/>
    <n v="0"/>
    <m/>
    <m/>
    <m/>
    <m/>
    <s v="Company"/>
    <m/>
    <m/>
    <m/>
    <n v="3"/>
    <n v="22"/>
    <n v="19"/>
    <x v="0"/>
    <s v=""/>
    <s v=""/>
    <s v=""/>
    <s v=""/>
    <s v=""/>
    <m/>
    <m/>
    <m/>
    <m/>
    <m/>
    <m/>
    <m/>
    <m/>
    <m/>
    <m/>
  </r>
  <r>
    <n v="1918"/>
    <s v="1918 | HR"/>
    <x v="4"/>
    <s v="IT - Senior Management"/>
    <s v="Senior Manager"/>
    <s v="IT-Senior Manager"/>
    <s v="Senior Management"/>
    <d v="2022-04-28T21:24:39"/>
    <d v="2022-05-02T21:24:39"/>
    <s v="Yes"/>
    <d v="2022-05-12T21:24:39"/>
    <s v="Failed"/>
    <s v="Not a culture fit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1916"/>
    <s v="1916 | HR"/>
    <x v="4"/>
    <s v="IT - Senior Management"/>
    <s v="Senior Manager"/>
    <s v="IT-Senior Manager"/>
    <s v="Senior Management"/>
    <d v="2022-05-01T21:24:39"/>
    <d v="2022-05-03T21:24:39"/>
    <s v="Yes"/>
    <d v="2022-05-19T21:24:39"/>
    <s v="Failed"/>
    <s v="Salary expectation too high"/>
    <m/>
    <m/>
    <m/>
    <m/>
    <d v="2022-05-21T21:24:39"/>
    <m/>
    <n v="0"/>
    <m/>
    <m/>
    <m/>
    <m/>
    <s v="Company"/>
    <m/>
    <m/>
    <m/>
    <n v="2"/>
    <n v="18"/>
    <n v="16"/>
    <x v="15"/>
    <n v="2"/>
    <d v="2022-08-19T21:24:39"/>
    <s v=""/>
    <s v=""/>
    <s v=""/>
    <m/>
    <m/>
    <m/>
    <m/>
    <m/>
    <m/>
    <m/>
    <m/>
    <m/>
    <m/>
  </r>
  <r>
    <n v="1645"/>
    <s v="1645 | HR"/>
    <x v="4"/>
    <s v="IT - Senior Management"/>
    <s v="Senior Manager"/>
    <s v="IT-Senior Manager"/>
    <s v="Senior Management"/>
    <d v="2022-12-18T15:52:13"/>
    <d v="2022-12-21T15:52:13"/>
    <s v="Yes"/>
    <d v="2023-01-01T15:52:13"/>
    <s v="Failed"/>
    <s v="Position filled by another"/>
    <m/>
    <m/>
    <m/>
    <m/>
    <d v="2023-01-04T15:52:13"/>
    <m/>
    <n v="0"/>
    <m/>
    <m/>
    <m/>
    <m/>
    <s v="Company"/>
    <m/>
    <m/>
    <m/>
    <n v="3"/>
    <n v="14"/>
    <n v="11"/>
    <x v="14"/>
    <n v="3"/>
    <d v="2023-04-04T15:52:13"/>
    <s v=""/>
    <s v=""/>
    <s v=""/>
    <m/>
    <m/>
    <m/>
    <m/>
    <m/>
    <m/>
    <m/>
    <m/>
    <m/>
    <m/>
  </r>
  <r>
    <n v="1452"/>
    <s v="1452 | HR"/>
    <x v="4"/>
    <s v="IT - Senior Management"/>
    <s v="Senior Manager"/>
    <s v="IT-Senior Manager"/>
    <s v="Senior Management"/>
    <d v="2023-04-06T13:44:16"/>
    <d v="2023-04-07T13:44:16"/>
    <s v="Yes"/>
    <d v="2023-04-27T13:44:16"/>
    <s v="Failed"/>
    <s v="Not a culture fit"/>
    <m/>
    <m/>
    <m/>
    <m/>
    <m/>
    <m/>
    <n v="0"/>
    <m/>
    <m/>
    <m/>
    <m/>
    <s v="Company"/>
    <m/>
    <m/>
    <m/>
    <n v="1"/>
    <n v="21"/>
    <n v="20"/>
    <x v="0"/>
    <s v=""/>
    <s v=""/>
    <s v=""/>
    <s v=""/>
    <s v=""/>
    <m/>
    <m/>
    <m/>
    <m/>
    <m/>
    <m/>
    <m/>
    <m/>
    <m/>
    <m/>
  </r>
  <r>
    <n v="1273"/>
    <s v="1273 | HR"/>
    <x v="4"/>
    <s v="IT - Senior Management"/>
    <s v="Senior Manager"/>
    <s v="IT-Senior Manager"/>
    <s v="Senior Management"/>
    <d v="2022-05-29T02:35:25"/>
    <d v="2022-06-01T02:35:25"/>
    <s v="Yes"/>
    <d v="2022-06-10T02:35:25"/>
    <s v="Failed"/>
    <s v="Position filled by another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1220"/>
    <s v="1220 | HR"/>
    <x v="4"/>
    <s v="IT - Senior Management"/>
    <s v="Senior Manager"/>
    <s v="IT-Senior Manager"/>
    <s v="Senior Management"/>
    <d v="2023-07-25T00:06:13"/>
    <d v="2023-07-28T00:06:13"/>
    <s v="Yes"/>
    <d v="2023-08-18T00:06:13"/>
    <s v="Failed"/>
    <s v="Position filled by another"/>
    <m/>
    <m/>
    <m/>
    <m/>
    <m/>
    <m/>
    <n v="0"/>
    <m/>
    <m/>
    <m/>
    <m/>
    <s v="Company"/>
    <m/>
    <m/>
    <m/>
    <n v="3"/>
    <n v="24"/>
    <n v="21"/>
    <x v="0"/>
    <s v=""/>
    <s v=""/>
    <s v=""/>
    <s v=""/>
    <s v=""/>
    <m/>
    <m/>
    <m/>
    <m/>
    <m/>
    <m/>
    <m/>
    <m/>
    <m/>
    <m/>
  </r>
  <r>
    <n v="1165"/>
    <s v="1165 | HR"/>
    <x v="4"/>
    <s v="IT - Senior Management"/>
    <s v="Senior Manager"/>
    <s v="IT-Senior Manager"/>
    <s v="Senior Management"/>
    <d v="2023-02-09T20:47:13"/>
    <d v="2023-02-13T20:47:13"/>
    <s v="Yes"/>
    <d v="2023-02-20T20:47:13"/>
    <s v="Failed"/>
    <s v="Position filled by another"/>
    <m/>
    <m/>
    <m/>
    <m/>
    <m/>
    <m/>
    <n v="0"/>
    <m/>
    <m/>
    <m/>
    <m/>
    <s v="Candidate"/>
    <m/>
    <m/>
    <m/>
    <n v="4"/>
    <n v="11"/>
    <n v="7"/>
    <x v="0"/>
    <s v=""/>
    <s v=""/>
    <s v=""/>
    <s v=""/>
    <s v=""/>
    <m/>
    <m/>
    <m/>
    <m/>
    <m/>
    <m/>
    <m/>
    <m/>
    <m/>
    <m/>
  </r>
  <r>
    <n v="1089"/>
    <s v="1089 | HR"/>
    <x v="4"/>
    <s v="IT - Senior Management"/>
    <s v="Senior Manager"/>
    <s v="IT-Senior Manager"/>
    <s v="Senior Management"/>
    <d v="2022-11-27T23:25:45"/>
    <d v="2022-11-29T23:25:45"/>
    <s v="Yes"/>
    <d v="2022-12-22T23:25:45"/>
    <s v="Failed"/>
    <s v="Position filled by another"/>
    <m/>
    <m/>
    <m/>
    <m/>
    <d v="2022-12-25T23:25:45"/>
    <m/>
    <n v="0"/>
    <m/>
    <m/>
    <m/>
    <m/>
    <s v="Candidate"/>
    <m/>
    <m/>
    <m/>
    <n v="2"/>
    <n v="25"/>
    <n v="23"/>
    <x v="6"/>
    <n v="3"/>
    <d v="2023-03-25T23:25:45"/>
    <s v=""/>
    <s v=""/>
    <s v=""/>
    <m/>
    <m/>
    <m/>
    <m/>
    <m/>
    <m/>
    <m/>
    <m/>
    <m/>
    <m/>
  </r>
  <r>
    <n v="1050"/>
    <s v="1050 | HR"/>
    <x v="4"/>
    <s v="IT - Senior Management"/>
    <s v="Senior Manager"/>
    <s v="IT-Senior Manager"/>
    <s v="Senior Management"/>
    <d v="2022-11-21T23:03:14"/>
    <d v="2022-11-23T23:03:14"/>
    <s v="Yes"/>
    <d v="2022-12-05T23:03:14"/>
    <s v="Failed"/>
    <s v="Not a culture fit"/>
    <m/>
    <m/>
    <m/>
    <m/>
    <d v="2022-12-09T23:03:14"/>
    <m/>
    <n v="0"/>
    <m/>
    <m/>
    <m/>
    <m/>
    <s v="Company"/>
    <m/>
    <m/>
    <m/>
    <n v="2"/>
    <n v="14"/>
    <n v="12"/>
    <x v="12"/>
    <n v="4"/>
    <d v="2023-03-09T23:03:14"/>
    <s v=""/>
    <s v=""/>
    <s v=""/>
    <m/>
    <m/>
    <m/>
    <m/>
    <m/>
    <m/>
    <m/>
    <m/>
    <m/>
    <m/>
  </r>
  <r>
    <n v="1029"/>
    <s v="1029 | HR"/>
    <x v="4"/>
    <s v="IT - Senior Management"/>
    <s v="Senior Manager"/>
    <s v="IT-Senior Manager"/>
    <s v="Senior Management"/>
    <d v="2023-01-28T18:59:14"/>
    <d v="2023-01-29T18:59:14"/>
    <s v="Yes"/>
    <d v="2023-02-09T18:59:14"/>
    <s v="Failed"/>
    <s v="Other"/>
    <m/>
    <m/>
    <m/>
    <m/>
    <d v="2023-02-11T18:59:14"/>
    <m/>
    <n v="0"/>
    <m/>
    <m/>
    <m/>
    <m/>
    <s v="Candidate"/>
    <m/>
    <m/>
    <m/>
    <n v="1"/>
    <n v="12"/>
    <n v="11"/>
    <x v="1"/>
    <n v="2"/>
    <d v="2023-05-12T18:59:14"/>
    <s v=""/>
    <s v=""/>
    <s v=""/>
    <m/>
    <m/>
    <m/>
    <m/>
    <m/>
    <m/>
    <m/>
    <m/>
    <m/>
    <m/>
  </r>
  <r>
    <n v="2942"/>
    <s v="2942 | HR"/>
    <x v="4"/>
    <s v="IT - Senior"/>
    <s v="Quality Assurance"/>
    <s v="IT-Quality Assurance"/>
    <s v="Senior"/>
    <d v="2022-06-15T11:38:00"/>
    <d v="2022-06-18T11:38:00"/>
    <s v="Yes"/>
    <d v="2022-06-27T11:38:00"/>
    <s v="Failed"/>
    <s v="Other"/>
    <m/>
    <m/>
    <m/>
    <m/>
    <m/>
    <m/>
    <n v="0"/>
    <m/>
    <m/>
    <m/>
    <m/>
    <s v="Company"/>
    <m/>
    <m/>
    <m/>
    <n v="3"/>
    <n v="12"/>
    <n v="9"/>
    <x v="0"/>
    <s v=""/>
    <s v=""/>
    <s v=""/>
    <s v=""/>
    <s v=""/>
    <m/>
    <m/>
    <m/>
    <m/>
    <m/>
    <m/>
    <m/>
    <m/>
    <m/>
    <m/>
  </r>
  <r>
    <n v="2900"/>
    <s v="2900 | HR"/>
    <x v="4"/>
    <s v="IT - Senior"/>
    <s v="Quality Assurance"/>
    <s v="IT-Quality Assurance"/>
    <s v="Senior"/>
    <d v="2023-02-05T16:21:51"/>
    <d v="2023-02-07T16:21:51"/>
    <s v="Yes"/>
    <d v="2023-02-16T16:21:51"/>
    <s v="Failed"/>
    <s v="Not a culture fit"/>
    <m/>
    <m/>
    <m/>
    <m/>
    <m/>
    <m/>
    <n v="0"/>
    <m/>
    <m/>
    <m/>
    <m/>
    <s v="Company"/>
    <m/>
    <m/>
    <m/>
    <n v="2"/>
    <n v="11"/>
    <n v="9"/>
    <x v="0"/>
    <s v=""/>
    <s v=""/>
    <s v=""/>
    <s v=""/>
    <s v=""/>
    <m/>
    <m/>
    <m/>
    <m/>
    <m/>
    <m/>
    <m/>
    <m/>
    <m/>
    <m/>
  </r>
  <r>
    <n v="2584"/>
    <s v="2584 | HR"/>
    <x v="4"/>
    <s v="IT - Senior"/>
    <s v="Quality Assurance"/>
    <s v="IT-Quality Assurance"/>
    <s v="Senior"/>
    <d v="2022-08-12T00:55:27"/>
    <d v="2022-08-14T00:55:27"/>
    <s v="Yes"/>
    <d v="2022-08-25T00:55:27"/>
    <s v="Failed"/>
    <s v="Position filled by another"/>
    <m/>
    <m/>
    <m/>
    <m/>
    <m/>
    <m/>
    <n v="0"/>
    <m/>
    <m/>
    <m/>
    <m/>
    <s v="Candidate"/>
    <m/>
    <m/>
    <m/>
    <n v="2"/>
    <n v="13"/>
    <n v="11"/>
    <x v="0"/>
    <s v=""/>
    <s v=""/>
    <s v=""/>
    <s v=""/>
    <s v=""/>
    <m/>
    <m/>
    <m/>
    <m/>
    <m/>
    <m/>
    <m/>
    <m/>
    <m/>
    <m/>
  </r>
  <r>
    <n v="2582"/>
    <s v="2582 | HR"/>
    <x v="4"/>
    <s v="IT - Senior"/>
    <s v="Quality Assurance"/>
    <s v="IT-Quality Assurance"/>
    <s v="Senior"/>
    <d v="2022-08-13T00:55:27"/>
    <d v="2022-08-15T00:55:27"/>
    <s v="Yes"/>
    <d v="2022-09-02T00:55:27"/>
    <s v="Declined"/>
    <m/>
    <d v="2022-09-08T00:55:27"/>
    <s v="Declined"/>
    <m/>
    <m/>
    <d v="2022-09-04T00:55:27"/>
    <m/>
    <n v="0"/>
    <m/>
    <m/>
    <m/>
    <m/>
    <m/>
    <m/>
    <m/>
    <m/>
    <n v="2"/>
    <n v="20"/>
    <n v="18"/>
    <x v="7"/>
    <n v="2"/>
    <d v="2022-12-03T00:55:27"/>
    <s v=""/>
    <s v=""/>
    <s v=""/>
    <m/>
    <m/>
    <m/>
    <m/>
    <m/>
    <m/>
    <m/>
    <m/>
    <m/>
    <m/>
  </r>
  <r>
    <n v="2415"/>
    <s v="2415 | HR"/>
    <x v="4"/>
    <s v="IT - Senior"/>
    <s v="Quality Assurance"/>
    <s v="IT-Quality Assurance"/>
    <s v="Senior"/>
    <d v="2023-03-21T14:35:51"/>
    <d v="2023-03-25T14:35:51"/>
    <s v="Yes"/>
    <d v="2023-04-11T14:35:51"/>
    <s v="Declined"/>
    <m/>
    <d v="2023-04-15T14:35:51"/>
    <s v="Declined"/>
    <m/>
    <m/>
    <d v="2023-04-12T14:35:51"/>
    <m/>
    <n v="0"/>
    <m/>
    <m/>
    <m/>
    <m/>
    <m/>
    <m/>
    <m/>
    <m/>
    <n v="4"/>
    <n v="21"/>
    <n v="17"/>
    <x v="7"/>
    <n v="1"/>
    <d v="2023-07-11T14:35:51"/>
    <s v=""/>
    <s v=""/>
    <s v=""/>
    <m/>
    <m/>
    <m/>
    <m/>
    <m/>
    <m/>
    <m/>
    <m/>
    <m/>
    <m/>
  </r>
  <r>
    <n v="2412"/>
    <s v="2412 | HR"/>
    <x v="4"/>
    <s v="IT - Senior"/>
    <s v="Quality Assurance"/>
    <s v="IT-Quality Assurance"/>
    <s v="Senior"/>
    <d v="2023-03-25T14:35:51"/>
    <d v="2023-03-26T14:35:51"/>
    <s v="Yes"/>
    <d v="2023-04-03T14:35:51"/>
    <s v="Declined"/>
    <m/>
    <d v="2023-04-11T14:35:51"/>
    <s v="Declined"/>
    <m/>
    <m/>
    <d v="2023-04-07T14:35:51"/>
    <m/>
    <n v="0"/>
    <m/>
    <m/>
    <m/>
    <m/>
    <m/>
    <m/>
    <m/>
    <m/>
    <n v="1"/>
    <n v="9"/>
    <n v="8"/>
    <x v="8"/>
    <n v="4"/>
    <d v="2023-07-06T14:35:51"/>
    <s v=""/>
    <s v=""/>
    <s v=""/>
    <m/>
    <m/>
    <m/>
    <m/>
    <m/>
    <m/>
    <m/>
    <m/>
    <m/>
    <m/>
  </r>
  <r>
    <n v="2374"/>
    <s v="2374 | HR"/>
    <x v="4"/>
    <s v="IT - Senior"/>
    <s v="Quality Assurance"/>
    <s v="IT-Quality Assurance"/>
    <s v="Senior"/>
    <d v="2023-04-15T22:01:03"/>
    <d v="2023-04-19T22:01:03"/>
    <s v="Yes"/>
    <d v="2023-05-04T22:01:03"/>
    <s v="Failed"/>
    <s v="Not a culture fit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2339"/>
    <s v="2339 | HR"/>
    <x v="4"/>
    <s v="IT - Senior"/>
    <s v="Quality Assurance"/>
    <s v="IT-Quality Assurance"/>
    <s v="Senior"/>
    <d v="2022-05-11T09:15:53"/>
    <d v="2022-05-15T09:15:53"/>
    <s v="Yes"/>
    <d v="2022-05-21T09:15:53"/>
    <s v="Failed"/>
    <s v="Not a culture fit"/>
    <m/>
    <m/>
    <m/>
    <m/>
    <d v="2022-05-22T09:15:53"/>
    <m/>
    <n v="0"/>
    <m/>
    <m/>
    <m/>
    <m/>
    <s v="Company"/>
    <m/>
    <m/>
    <m/>
    <n v="4"/>
    <n v="10"/>
    <n v="6"/>
    <x v="9"/>
    <n v="1"/>
    <d v="2022-08-20T09:15:53"/>
    <s v=""/>
    <s v=""/>
    <s v=""/>
    <m/>
    <m/>
    <m/>
    <m/>
    <m/>
    <m/>
    <m/>
    <m/>
    <m/>
    <m/>
  </r>
  <r>
    <n v="2337"/>
    <s v="2337 | HR"/>
    <x v="4"/>
    <s v="IT - Senior"/>
    <s v="Quality Assurance"/>
    <s v="IT-Quality Assurance"/>
    <s v="Senior"/>
    <d v="2022-05-15T09:15:53"/>
    <d v="2022-05-17T09:15:53"/>
    <s v="Yes"/>
    <d v="2022-05-28T09:15:53"/>
    <s v="Declined"/>
    <m/>
    <d v="2022-06-04T09:15:53"/>
    <s v="Declined"/>
    <m/>
    <m/>
    <d v="2022-06-01T09:15:53"/>
    <m/>
    <n v="0"/>
    <m/>
    <m/>
    <m/>
    <m/>
    <m/>
    <m/>
    <m/>
    <m/>
    <n v="2"/>
    <n v="13"/>
    <n v="11"/>
    <x v="14"/>
    <n v="4"/>
    <d v="2022-08-30T09:15:53"/>
    <s v=""/>
    <s v=""/>
    <s v=""/>
    <m/>
    <m/>
    <m/>
    <m/>
    <m/>
    <m/>
    <m/>
    <m/>
    <m/>
    <m/>
  </r>
  <r>
    <n v="2256"/>
    <s v="2256 | HR"/>
    <x v="4"/>
    <s v="IT - Senior"/>
    <s v="Quality Assurance"/>
    <s v="IT-Quality Assurance"/>
    <s v="Senior"/>
    <d v="2022-08-04T16:27:58"/>
    <d v="2022-08-08T16:27:58"/>
    <s v="Yes"/>
    <d v="2022-08-17T16:27:58"/>
    <s v="Declined"/>
    <m/>
    <d v="2022-08-22T16:27:58"/>
    <s v="Declined"/>
    <m/>
    <m/>
    <d v="2022-08-20T16:27:58"/>
    <m/>
    <n v="0"/>
    <m/>
    <m/>
    <m/>
    <m/>
    <m/>
    <m/>
    <m/>
    <m/>
    <n v="4"/>
    <n v="13"/>
    <n v="9"/>
    <x v="20"/>
    <n v="3"/>
    <d v="2022-11-18T16:27:58"/>
    <s v=""/>
    <s v=""/>
    <s v=""/>
    <m/>
    <m/>
    <m/>
    <m/>
    <m/>
    <m/>
    <m/>
    <m/>
    <m/>
    <m/>
  </r>
  <r>
    <n v="2252"/>
    <s v="2252 | HR"/>
    <x v="4"/>
    <s v="IT - Senior"/>
    <s v="Quality Assurance"/>
    <s v="IT-Quality Assurance"/>
    <s v="Senior"/>
    <d v="2022-08-08T16:27:58"/>
    <d v="2022-08-09T16:27:58"/>
    <s v="Yes"/>
    <d v="2022-08-25T16:27:58"/>
    <s v="Accepted"/>
    <m/>
    <d v="2022-08-29T16:27:58"/>
    <s v="Accepted"/>
    <d v="2022-08-26T16:27:58"/>
    <d v="2022-08-29T16:27:58"/>
    <d v="2022-08-28T16:27:58"/>
    <d v="2022-09-05T16:27:58"/>
    <n v="1"/>
    <d v="2022-09-08T16:27:58"/>
    <d v="2022-09-09T16:27:58"/>
    <d v="2022-09-11T16:27:58"/>
    <m/>
    <m/>
    <d v="2022-09-29T16:27:58"/>
    <m/>
    <m/>
    <n v="1"/>
    <n v="17"/>
    <n v="16"/>
    <x v="15"/>
    <n v="3"/>
    <d v="2022-11-26T16:27:58"/>
    <n v="3"/>
    <n v="32"/>
    <n v="14"/>
    <m/>
    <m/>
    <m/>
    <m/>
    <m/>
    <m/>
    <m/>
    <m/>
    <m/>
    <m/>
  </r>
  <r>
    <n v="2251"/>
    <s v="2251 | HR"/>
    <x v="4"/>
    <s v="IT - Senior"/>
    <s v="Quality Assurance"/>
    <s v="IT-Quality Assurance"/>
    <s v="Senior"/>
    <d v="2022-08-11T16:27:58"/>
    <d v="2022-08-12T16:27:58"/>
    <s v="Yes"/>
    <d v="2022-08-20T16:27:58"/>
    <s v="Failed"/>
    <s v="Not a culture fit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1954"/>
    <s v="1954 | HR"/>
    <x v="4"/>
    <s v="IT - Senior"/>
    <s v="Quality Assurance"/>
    <s v="IT-Quality Assurance"/>
    <s v="Senior"/>
    <d v="2022-09-14T01:01:03"/>
    <d v="2022-09-16T01:01:03"/>
    <s v="Yes"/>
    <d v="2022-10-04T01:01:03"/>
    <s v="Declined"/>
    <m/>
    <d v="2022-10-10T01:01:03"/>
    <s v="Declined"/>
    <m/>
    <m/>
    <d v="2022-10-07T01:01:03"/>
    <m/>
    <n v="0"/>
    <m/>
    <m/>
    <m/>
    <m/>
    <m/>
    <m/>
    <m/>
    <m/>
    <n v="2"/>
    <n v="20"/>
    <n v="18"/>
    <x v="3"/>
    <n v="3"/>
    <d v="2023-01-05T01:01:03"/>
    <s v=""/>
    <s v=""/>
    <s v=""/>
    <m/>
    <m/>
    <m/>
    <m/>
    <m/>
    <m/>
    <m/>
    <m/>
    <m/>
    <m/>
  </r>
  <r>
    <n v="1951"/>
    <s v="1951 | HR"/>
    <x v="4"/>
    <s v="IT - Senior"/>
    <s v="Quality Assurance"/>
    <s v="IT-Quality Assurance"/>
    <s v="Senior"/>
    <d v="2022-09-17T01:01:03"/>
    <d v="2022-09-19T01:01:03"/>
    <s v="Yes"/>
    <d v="2022-10-01T01:01:03"/>
    <s v="Failed"/>
    <s v="Other"/>
    <m/>
    <m/>
    <m/>
    <m/>
    <m/>
    <m/>
    <n v="0"/>
    <m/>
    <m/>
    <m/>
    <m/>
    <s v="Company"/>
    <m/>
    <m/>
    <m/>
    <n v="2"/>
    <n v="14"/>
    <n v="12"/>
    <x v="0"/>
    <s v=""/>
    <s v=""/>
    <s v=""/>
    <s v=""/>
    <s v=""/>
    <m/>
    <m/>
    <m/>
    <m/>
    <m/>
    <m/>
    <m/>
    <m/>
    <m/>
    <m/>
  </r>
  <r>
    <n v="1915"/>
    <s v="1915 | HR"/>
    <x v="4"/>
    <s v="IT - Senior"/>
    <s v="Quality Assurance"/>
    <s v="IT-Quality Assurance"/>
    <s v="Senior"/>
    <d v="2022-05-06T21:24:39"/>
    <d v="2022-05-07T21:24:39"/>
    <s v="Yes"/>
    <d v="2022-05-16T21:24:39"/>
    <s v="Failed"/>
    <s v="Other"/>
    <m/>
    <m/>
    <m/>
    <m/>
    <d v="2022-05-19T21:24:39"/>
    <m/>
    <n v="0"/>
    <m/>
    <m/>
    <m/>
    <m/>
    <s v="Company"/>
    <m/>
    <m/>
    <m/>
    <n v="1"/>
    <n v="10"/>
    <n v="9"/>
    <x v="8"/>
    <n v="3"/>
    <d v="2022-08-17T21:24:39"/>
    <s v=""/>
    <s v=""/>
    <s v=""/>
    <m/>
    <m/>
    <m/>
    <m/>
    <m/>
    <m/>
    <m/>
    <m/>
    <m/>
    <m/>
  </r>
  <r>
    <n v="1914"/>
    <s v="1914 | HR"/>
    <x v="4"/>
    <s v="IT - Senior"/>
    <s v="Quality Assurance"/>
    <s v="IT-Quality Assurance"/>
    <s v="Senior"/>
    <d v="2022-05-02T21:24:39"/>
    <d v="2022-05-05T21:24:39"/>
    <s v="Yes"/>
    <d v="2022-05-10T21:24:39"/>
    <s v="Pending"/>
    <m/>
    <d v="2022-05-15T21:24:39"/>
    <s v="Pending"/>
    <m/>
    <m/>
    <d v="2022-05-14T21:24:39"/>
    <m/>
    <n v="0"/>
    <m/>
    <m/>
    <m/>
    <m/>
    <m/>
    <m/>
    <m/>
    <m/>
    <n v="3"/>
    <n v="8"/>
    <n v="5"/>
    <x v="24"/>
    <n v="4"/>
    <d v="2022-08-12T21:24:39"/>
    <s v=""/>
    <s v=""/>
    <s v=""/>
    <m/>
    <m/>
    <m/>
    <m/>
    <m/>
    <m/>
    <m/>
    <m/>
    <m/>
    <m/>
  </r>
  <r>
    <n v="1909"/>
    <s v="1909 | HR"/>
    <x v="4"/>
    <s v="IT - Senior"/>
    <s v="Quality Assurance"/>
    <s v="IT-Quality Assurance"/>
    <s v="Senior"/>
    <d v="2023-03-09T16:28:31"/>
    <d v="2023-03-13T16:28:31"/>
    <s v="Yes"/>
    <d v="2023-03-28T16:28:31"/>
    <s v="Failed"/>
    <s v="Didn't pass technical test"/>
    <m/>
    <m/>
    <m/>
    <m/>
    <d v="2023-03-30T16:28:31"/>
    <m/>
    <n v="0"/>
    <m/>
    <m/>
    <m/>
    <m/>
    <s v="Candidate"/>
    <m/>
    <m/>
    <m/>
    <n v="4"/>
    <n v="19"/>
    <n v="15"/>
    <x v="19"/>
    <n v="2"/>
    <d v="2023-06-28T16:28:31"/>
    <s v=""/>
    <s v=""/>
    <s v=""/>
    <m/>
    <m/>
    <m/>
    <m/>
    <m/>
    <m/>
    <m/>
    <m/>
    <m/>
    <m/>
  </r>
  <r>
    <n v="1905"/>
    <s v="1905 | HR"/>
    <x v="4"/>
    <s v="IT - Senior"/>
    <s v="Quality Assurance"/>
    <s v="IT-Quality Assurance"/>
    <s v="Senior"/>
    <d v="2023-03-08T16:28:31"/>
    <d v="2023-03-11T16:28:31"/>
    <s v="Yes"/>
    <d v="2023-04-01T16:28:31"/>
    <s v="Declined"/>
    <m/>
    <d v="2023-04-06T16:28:31"/>
    <s v="Declined"/>
    <m/>
    <m/>
    <d v="2023-04-04T16:28:31"/>
    <m/>
    <n v="0"/>
    <m/>
    <m/>
    <m/>
    <m/>
    <m/>
    <m/>
    <m/>
    <m/>
    <n v="3"/>
    <n v="24"/>
    <n v="21"/>
    <x v="18"/>
    <n v="3"/>
    <d v="2023-07-03T16:28:31"/>
    <s v=""/>
    <s v=""/>
    <s v=""/>
    <m/>
    <m/>
    <m/>
    <m/>
    <m/>
    <m/>
    <m/>
    <m/>
    <m/>
    <m/>
  </r>
  <r>
    <n v="1777"/>
    <s v="1777 | HR"/>
    <x v="4"/>
    <s v="IT - Senior"/>
    <s v="Quality Assurance"/>
    <s v="IT-Quality Assurance"/>
    <s v="Senior"/>
    <d v="2022-05-28T19:49:14"/>
    <d v="2022-05-31T19:49:14"/>
    <s v="Yes"/>
    <d v="2022-06-21T19:49:14"/>
    <s v="Failed"/>
    <s v="Other"/>
    <m/>
    <m/>
    <m/>
    <m/>
    <m/>
    <m/>
    <n v="0"/>
    <m/>
    <m/>
    <m/>
    <m/>
    <s v="Candidate"/>
    <m/>
    <m/>
    <m/>
    <n v="3"/>
    <n v="24"/>
    <n v="21"/>
    <x v="0"/>
    <s v=""/>
    <s v=""/>
    <s v=""/>
    <s v=""/>
    <s v=""/>
    <m/>
    <m/>
    <m/>
    <m/>
    <m/>
    <m/>
    <m/>
    <m/>
    <m/>
    <m/>
  </r>
  <r>
    <n v="1649"/>
    <s v="1649 | HR"/>
    <x v="4"/>
    <s v="IT - Senior"/>
    <s v="Quality Assurance"/>
    <s v="IT-Quality Assurance"/>
    <s v="Senior"/>
    <d v="2022-12-17T15:52:13"/>
    <d v="2022-12-20T15:52:13"/>
    <s v="Yes"/>
    <d v="2023-01-08T15:52:13"/>
    <s v="Declined"/>
    <m/>
    <d v="2023-01-13T15:52:13"/>
    <s v="Declined"/>
    <m/>
    <m/>
    <d v="2023-01-12T15:52:13"/>
    <m/>
    <n v="0"/>
    <m/>
    <m/>
    <m/>
    <m/>
    <m/>
    <m/>
    <m/>
    <m/>
    <n v="3"/>
    <n v="22"/>
    <n v="19"/>
    <x v="25"/>
    <n v="4"/>
    <d v="2023-04-12T15:52:13"/>
    <s v=""/>
    <s v=""/>
    <s v=""/>
    <m/>
    <m/>
    <m/>
    <m/>
    <m/>
    <m/>
    <m/>
    <m/>
    <m/>
    <m/>
  </r>
  <r>
    <n v="1591"/>
    <s v="1591 | HR"/>
    <x v="4"/>
    <s v="IT - Senior"/>
    <s v="Analyst"/>
    <s v="IT-Analyst"/>
    <s v="Senior"/>
    <d v="2023-03-08T03:56:27"/>
    <d v="2023-03-09T03:56:27"/>
    <s v="Yes"/>
    <d v="2023-03-28T03:56:27"/>
    <s v="Failed"/>
    <s v="Salary expectation too high"/>
    <m/>
    <m/>
    <m/>
    <m/>
    <d v="2023-03-30T03:56:27"/>
    <m/>
    <n v="0"/>
    <m/>
    <m/>
    <m/>
    <m/>
    <s v="Company"/>
    <m/>
    <m/>
    <m/>
    <n v="1"/>
    <n v="20"/>
    <n v="19"/>
    <x v="7"/>
    <n v="2"/>
    <d v="2023-06-28T03:56:27"/>
    <s v=""/>
    <s v=""/>
    <s v=""/>
    <m/>
    <m/>
    <m/>
    <m/>
    <m/>
    <m/>
    <m/>
    <m/>
    <m/>
    <m/>
  </r>
  <r>
    <n v="1531"/>
    <s v="1531 | HR"/>
    <x v="4"/>
    <s v="IT - Senior"/>
    <s v="Analyst"/>
    <s v="IT-Analyst"/>
    <s v="Senior"/>
    <d v="2023-05-11T13:06:51"/>
    <d v="2023-05-12T13:06:51"/>
    <s v="Yes"/>
    <d v="2023-05-26T13:06:51"/>
    <s v="Failed"/>
    <s v="Position filled by another"/>
    <m/>
    <m/>
    <m/>
    <m/>
    <d v="2023-05-29T13:06:51"/>
    <m/>
    <n v="0"/>
    <m/>
    <m/>
    <m/>
    <m/>
    <s v="Candidate"/>
    <m/>
    <m/>
    <m/>
    <n v="1"/>
    <n v="15"/>
    <n v="14"/>
    <x v="12"/>
    <n v="3"/>
    <d v="2023-08-27T13:06:51"/>
    <s v=""/>
    <s v=""/>
    <s v=""/>
    <m/>
    <m/>
    <m/>
    <m/>
    <m/>
    <m/>
    <m/>
    <m/>
    <m/>
    <m/>
  </r>
  <r>
    <n v="1510"/>
    <s v="1510 | HR"/>
    <x v="4"/>
    <s v="IT - Senior"/>
    <s v="Analyst"/>
    <s v="IT-Analyst"/>
    <s v="Senior"/>
    <d v="2022-07-17T08:18:33"/>
    <d v="2022-07-18T08:18:33"/>
    <s v="Yes"/>
    <d v="2022-08-05T08:18:33"/>
    <s v="Accepted"/>
    <m/>
    <d v="2022-08-09T08:18:33"/>
    <s v="Accepted"/>
    <d v="2022-08-06T08:18:33"/>
    <d v="2022-08-10T08:18:33"/>
    <d v="2022-08-07T08:18:33"/>
    <d v="2022-08-15T08:18:33"/>
    <n v="1"/>
    <d v="2022-08-16T08:18:33"/>
    <d v="2022-08-18T08:18:33"/>
    <d v="2022-08-20T08:18:33"/>
    <m/>
    <m/>
    <d v="2022-08-31T08:18:33"/>
    <m/>
    <m/>
    <n v="1"/>
    <n v="19"/>
    <n v="18"/>
    <x v="19"/>
    <n v="2"/>
    <d v="2022-11-05T08:18:33"/>
    <n v="1"/>
    <n v="24"/>
    <n v="13"/>
    <m/>
    <m/>
    <m/>
    <m/>
    <m/>
    <m/>
    <m/>
    <m/>
    <m/>
    <m/>
  </r>
  <r>
    <n v="1491"/>
    <s v="1491 | HR"/>
    <x v="4"/>
    <s v="IT - Senior"/>
    <s v="Analyst"/>
    <s v="IT-Analyst"/>
    <s v="Senior"/>
    <d v="2022-05-12T13:40:01"/>
    <d v="2022-05-16T13:40:01"/>
    <s v="Yes"/>
    <d v="2022-05-29T13:40:01"/>
    <s v="Declined"/>
    <m/>
    <d v="2022-06-01T13:40:01"/>
    <s v="Declined"/>
    <m/>
    <m/>
    <d v="2022-05-30T13:40:01"/>
    <m/>
    <n v="0"/>
    <m/>
    <m/>
    <m/>
    <m/>
    <m/>
    <m/>
    <m/>
    <m/>
    <n v="4"/>
    <n v="17"/>
    <n v="13"/>
    <x v="12"/>
    <n v="1"/>
    <d v="2022-08-28T13:40:01"/>
    <s v=""/>
    <s v=""/>
    <s v=""/>
    <m/>
    <m/>
    <m/>
    <m/>
    <m/>
    <m/>
    <m/>
    <m/>
    <m/>
    <m/>
  </r>
  <r>
    <n v="1460"/>
    <s v="1460 | HR"/>
    <x v="4"/>
    <s v="IT - Senior"/>
    <s v="Analyst"/>
    <s v="IT-Analyst"/>
    <s v="Senior"/>
    <d v="2023-04-06T13:44:16"/>
    <d v="2023-04-08T13:44:16"/>
    <s v="Yes"/>
    <d v="2023-04-24T13:44:16"/>
    <s v="Declined"/>
    <m/>
    <d v="2023-04-29T13:44:16"/>
    <s v="Declined"/>
    <m/>
    <m/>
    <d v="2023-04-26T13:44:16"/>
    <m/>
    <n v="0"/>
    <m/>
    <m/>
    <m/>
    <m/>
    <m/>
    <m/>
    <m/>
    <m/>
    <n v="2"/>
    <n v="18"/>
    <n v="16"/>
    <x v="15"/>
    <n v="2"/>
    <d v="2023-07-25T13:44:16"/>
    <s v=""/>
    <s v=""/>
    <s v=""/>
    <m/>
    <m/>
    <m/>
    <m/>
    <m/>
    <m/>
    <m/>
    <m/>
    <m/>
    <m/>
  </r>
  <r>
    <n v="1456"/>
    <s v="1456 | HR"/>
    <x v="4"/>
    <s v="IT - Senior"/>
    <s v="Analyst"/>
    <s v="IT-Analyst"/>
    <s v="Senior"/>
    <d v="2023-04-04T13:44:16"/>
    <d v="2023-04-08T13:44:16"/>
    <s v="Yes"/>
    <d v="2023-04-24T13:44:16"/>
    <s v="Accepted"/>
    <m/>
    <d v="2023-05-02T13:44:16"/>
    <s v="Accepted"/>
    <d v="2023-04-25T13:44:16"/>
    <d v="2023-04-28T13:44:16"/>
    <d v="2023-04-28T13:44:16"/>
    <d v="2023-05-05T13:44:16"/>
    <n v="1"/>
    <d v="2023-05-08T13:44:16"/>
    <d v="2023-05-09T13:44:16"/>
    <d v="2023-05-11T13:44:16"/>
    <m/>
    <m/>
    <d v="2023-06-02T13:44:16"/>
    <m/>
    <m/>
    <n v="4"/>
    <n v="20"/>
    <n v="16"/>
    <x v="21"/>
    <n v="4"/>
    <d v="2023-07-27T13:44:16"/>
    <n v="3"/>
    <n v="35"/>
    <n v="13"/>
    <m/>
    <m/>
    <m/>
    <m/>
    <m/>
    <m/>
    <m/>
    <m/>
    <m/>
    <m/>
  </r>
  <r>
    <n v="1429"/>
    <s v="1429 | HR"/>
    <x v="4"/>
    <s v="IT - Senior"/>
    <s v="Analyst"/>
    <s v="IT-Analyst"/>
    <s v="Senior"/>
    <d v="2022-04-10T02:42:56"/>
    <d v="2022-04-11T02:42:56"/>
    <s v="Yes"/>
    <d v="2022-05-02T02:42:56"/>
    <s v="Failed"/>
    <s v="Didn't pass technical test"/>
    <m/>
    <m/>
    <m/>
    <m/>
    <d v="2022-05-03T02:42:56"/>
    <m/>
    <n v="0"/>
    <m/>
    <m/>
    <m/>
    <m/>
    <s v="Candidate"/>
    <m/>
    <m/>
    <m/>
    <n v="1"/>
    <n v="22"/>
    <n v="21"/>
    <x v="3"/>
    <n v="1"/>
    <d v="2022-08-01T02:42:56"/>
    <s v=""/>
    <s v=""/>
    <s v=""/>
    <m/>
    <m/>
    <m/>
    <m/>
    <m/>
    <m/>
    <m/>
    <m/>
    <m/>
    <m/>
  </r>
  <r>
    <n v="1424"/>
    <s v="1424 | HR"/>
    <x v="4"/>
    <s v="IT - Senior"/>
    <s v="Analyst"/>
    <s v="IT-Analyst"/>
    <s v="Senior"/>
    <d v="2022-04-07T02:42:56"/>
    <d v="2022-04-09T02:42:56"/>
    <s v="Yes"/>
    <d v="2022-04-26T02:42:56"/>
    <s v="Failed"/>
    <s v="Position filled by another"/>
    <m/>
    <m/>
    <m/>
    <m/>
    <m/>
    <m/>
    <n v="0"/>
    <m/>
    <m/>
    <m/>
    <m/>
    <s v="Candidate"/>
    <m/>
    <m/>
    <m/>
    <n v="2"/>
    <n v="19"/>
    <n v="17"/>
    <x v="0"/>
    <s v=""/>
    <s v=""/>
    <s v=""/>
    <s v=""/>
    <s v=""/>
    <m/>
    <m/>
    <m/>
    <m/>
    <m/>
    <m/>
    <m/>
    <m/>
    <m/>
    <m/>
  </r>
  <r>
    <n v="1370"/>
    <s v="1370 | HR"/>
    <x v="4"/>
    <s v="IT - Senior"/>
    <s v="Analyst"/>
    <s v="IT-Analyst"/>
    <s v="Senior"/>
    <d v="2022-10-15T03:55:53"/>
    <d v="2022-10-17T03:55:53"/>
    <s v="Yes"/>
    <d v="2022-10-29T03:55:53"/>
    <s v="Pending"/>
    <m/>
    <d v="2022-11-06T03:55:53"/>
    <s v="Pending"/>
    <m/>
    <m/>
    <d v="2022-11-02T03:55:53"/>
    <m/>
    <n v="0"/>
    <m/>
    <m/>
    <m/>
    <m/>
    <m/>
    <m/>
    <m/>
    <m/>
    <n v="2"/>
    <n v="14"/>
    <n v="12"/>
    <x v="12"/>
    <n v="4"/>
    <d v="2023-01-31T03:55:53"/>
    <s v=""/>
    <s v=""/>
    <s v=""/>
    <m/>
    <m/>
    <m/>
    <m/>
    <m/>
    <m/>
    <m/>
    <m/>
    <m/>
    <m/>
  </r>
  <r>
    <n v="1367"/>
    <s v="1367 | HR"/>
    <x v="4"/>
    <s v="IT - Senior"/>
    <s v="Analyst"/>
    <s v="IT-Analyst"/>
    <s v="Senior"/>
    <d v="2022-10-15T03:55:53"/>
    <d v="2022-10-19T03:55:53"/>
    <s v="Yes"/>
    <d v="2022-11-01T03:55:53"/>
    <s v="Failed"/>
    <s v="Salary expectation too high"/>
    <m/>
    <m/>
    <m/>
    <m/>
    <d v="2022-11-02T03:55:53"/>
    <m/>
    <n v="0"/>
    <m/>
    <m/>
    <m/>
    <m/>
    <s v="Candidate"/>
    <m/>
    <m/>
    <m/>
    <n v="4"/>
    <n v="17"/>
    <n v="13"/>
    <x v="12"/>
    <n v="1"/>
    <d v="2023-01-31T03:55:53"/>
    <s v=""/>
    <s v=""/>
    <s v=""/>
    <m/>
    <m/>
    <m/>
    <m/>
    <m/>
    <m/>
    <m/>
    <m/>
    <m/>
    <m/>
  </r>
  <r>
    <n v="1312"/>
    <s v="1312 | HR"/>
    <x v="4"/>
    <s v="IT - Senior"/>
    <s v="Analyst"/>
    <s v="IT-Analyst"/>
    <s v="Senior"/>
    <d v="2023-08-11T05:35:37"/>
    <d v="2023-08-13T05:35:37"/>
    <s v="Yes"/>
    <d v="2023-09-01T05:35:37"/>
    <s v="Failed"/>
    <s v="Salary expectation too high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1280"/>
    <s v="1280 | HR"/>
    <x v="4"/>
    <s v="IT - Senior"/>
    <s v="Analyst"/>
    <s v="IT-Analyst"/>
    <s v="Senior"/>
    <d v="2022-05-31T02:35:25"/>
    <d v="2022-06-01T02:35:25"/>
    <s v="Yes"/>
    <d v="2022-06-15T02:35:25"/>
    <s v="Pending"/>
    <m/>
    <d v="2022-06-18T02:35:25"/>
    <s v="Pending"/>
    <m/>
    <m/>
    <d v="2022-06-16T02:35:25"/>
    <m/>
    <n v="0"/>
    <m/>
    <m/>
    <m/>
    <m/>
    <m/>
    <m/>
    <m/>
    <m/>
    <n v="1"/>
    <n v="15"/>
    <n v="14"/>
    <x v="20"/>
    <n v="1"/>
    <d v="2022-09-14T02:35:25"/>
    <s v=""/>
    <s v=""/>
    <s v=""/>
    <m/>
    <m/>
    <m/>
    <m/>
    <m/>
    <m/>
    <m/>
    <m/>
    <m/>
    <m/>
  </r>
  <r>
    <n v="1276"/>
    <s v="1276 | HR"/>
    <x v="4"/>
    <s v="IT - Senior"/>
    <s v="Analyst"/>
    <s v="IT-Analyst"/>
    <s v="Senior"/>
    <d v="2022-05-30T02:35:25"/>
    <d v="2022-06-02T02:35:25"/>
    <s v="Yes"/>
    <d v="2022-06-16T02:35:25"/>
    <s v="Failed"/>
    <s v="Position filled by another"/>
    <m/>
    <m/>
    <m/>
    <m/>
    <m/>
    <m/>
    <n v="0"/>
    <m/>
    <m/>
    <m/>
    <m/>
    <s v="Candidate"/>
    <m/>
    <m/>
    <m/>
    <n v="3"/>
    <n v="17"/>
    <n v="14"/>
    <x v="0"/>
    <s v=""/>
    <s v=""/>
    <s v=""/>
    <s v=""/>
    <s v=""/>
    <m/>
    <m/>
    <m/>
    <m/>
    <m/>
    <m/>
    <m/>
    <m/>
    <m/>
    <m/>
  </r>
  <r>
    <n v="1214"/>
    <s v="1214 | HR"/>
    <x v="4"/>
    <s v="IT - Senior"/>
    <s v="Analyst"/>
    <s v="IT-Analyst"/>
    <s v="Senior"/>
    <d v="2023-07-26T00:06:13"/>
    <d v="2023-07-28T00:06:13"/>
    <s v="Yes"/>
    <d v="2023-08-03T00:06:13"/>
    <s v="Declined"/>
    <m/>
    <d v="2023-08-10T00:06:13"/>
    <s v="Declined"/>
    <m/>
    <m/>
    <d v="2023-08-07T00:06:13"/>
    <m/>
    <n v="0"/>
    <m/>
    <m/>
    <m/>
    <m/>
    <m/>
    <m/>
    <m/>
    <m/>
    <n v="2"/>
    <n v="8"/>
    <n v="6"/>
    <x v="24"/>
    <n v="4"/>
    <d v="2023-11-05T00:06:13"/>
    <s v=""/>
    <s v=""/>
    <s v=""/>
    <m/>
    <m/>
    <m/>
    <m/>
    <m/>
    <m/>
    <m/>
    <m/>
    <m/>
    <m/>
  </r>
  <r>
    <n v="1188"/>
    <s v="1188 | HR"/>
    <x v="4"/>
    <s v="IT - Senior"/>
    <s v="Analyst"/>
    <s v="IT-Analyst"/>
    <s v="Senior"/>
    <d v="2023-05-26T18:50:13"/>
    <d v="2023-05-28T18:50:13"/>
    <s v="Yes"/>
    <d v="2023-06-14T18:50:13"/>
    <s v="Declined"/>
    <m/>
    <d v="2023-06-19T18:50:13"/>
    <s v="Declined"/>
    <m/>
    <m/>
    <d v="2023-06-15T18:50:13"/>
    <m/>
    <n v="0"/>
    <m/>
    <m/>
    <m/>
    <m/>
    <m/>
    <m/>
    <m/>
    <m/>
    <n v="2"/>
    <n v="19"/>
    <n v="17"/>
    <x v="15"/>
    <n v="1"/>
    <d v="2023-09-13T18:50:13"/>
    <s v=""/>
    <s v=""/>
    <s v=""/>
    <m/>
    <m/>
    <m/>
    <m/>
    <m/>
    <m/>
    <m/>
    <m/>
    <m/>
    <m/>
  </r>
  <r>
    <n v="1168"/>
    <s v="1168 | HR"/>
    <x v="4"/>
    <s v="IT - Senior"/>
    <s v="Analyst"/>
    <s v="IT-Analyst"/>
    <s v="Senior"/>
    <d v="2023-02-09T20:47:13"/>
    <d v="2023-02-12T20:47:13"/>
    <s v="Yes"/>
    <d v="2023-02-19T20:47:13"/>
    <s v="Failed"/>
    <s v="Didn't pass technical test"/>
    <m/>
    <m/>
    <m/>
    <m/>
    <d v="2023-02-22T20:47:13"/>
    <m/>
    <n v="0"/>
    <m/>
    <m/>
    <m/>
    <m/>
    <s v="Company"/>
    <m/>
    <m/>
    <m/>
    <n v="3"/>
    <n v="10"/>
    <n v="7"/>
    <x v="8"/>
    <n v="3"/>
    <d v="2023-05-23T20:47:13"/>
    <s v=""/>
    <s v=""/>
    <s v=""/>
    <m/>
    <m/>
    <m/>
    <m/>
    <m/>
    <m/>
    <m/>
    <m/>
    <m/>
    <m/>
  </r>
  <r>
    <n v="1163"/>
    <s v="1163 | HR"/>
    <x v="4"/>
    <s v="IT - Senior"/>
    <s v="Analyst"/>
    <s v="IT-Analyst"/>
    <s v="Senior"/>
    <d v="2023-02-09T20:47:13"/>
    <d v="2023-02-10T20:47:13"/>
    <s v="Yes"/>
    <d v="2023-02-19T20:47:13"/>
    <s v="Failed"/>
    <s v="Position filled by another"/>
    <m/>
    <m/>
    <m/>
    <m/>
    <m/>
    <m/>
    <n v="0"/>
    <m/>
    <m/>
    <m/>
    <m/>
    <s v="Candidate"/>
    <m/>
    <m/>
    <m/>
    <n v="1"/>
    <n v="10"/>
    <n v="9"/>
    <x v="0"/>
    <s v=""/>
    <s v=""/>
    <s v=""/>
    <s v=""/>
    <s v=""/>
    <m/>
    <m/>
    <m/>
    <m/>
    <m/>
    <m/>
    <m/>
    <m/>
    <m/>
    <m/>
  </r>
  <r>
    <n v="1135"/>
    <s v="1135 | HR"/>
    <x v="4"/>
    <s v="IT - Senior"/>
    <s v="Analyst"/>
    <s v="IT-Analyst"/>
    <s v="Senior"/>
    <d v="2022-03-15T19:06:16"/>
    <d v="2022-03-18T19:06:16"/>
    <s v="Yes"/>
    <d v="2022-03-31T19:06:16"/>
    <s v="Declined"/>
    <m/>
    <d v="2022-04-02T19:06:16"/>
    <s v="Declined"/>
    <m/>
    <m/>
    <d v="2022-04-01T19:06:16"/>
    <m/>
    <n v="0"/>
    <m/>
    <m/>
    <m/>
    <m/>
    <m/>
    <m/>
    <m/>
    <m/>
    <n v="3"/>
    <n v="16"/>
    <n v="13"/>
    <x v="14"/>
    <n v="1"/>
    <d v="2022-06-30T19:06:16"/>
    <s v=""/>
    <s v=""/>
    <s v=""/>
    <m/>
    <m/>
    <m/>
    <m/>
    <m/>
    <m/>
    <m/>
    <m/>
    <m/>
    <m/>
  </r>
  <r>
    <n v="1128"/>
    <s v="1128 | HR"/>
    <x v="4"/>
    <s v="IT - Senior"/>
    <s v="Analyst"/>
    <s v="IT-Analyst"/>
    <s v="Senior"/>
    <d v="2023-06-16T13:28:38"/>
    <d v="2023-06-19T13:28:38"/>
    <s v="Yes"/>
    <d v="2023-07-01T13:28:38"/>
    <s v="Declined"/>
    <m/>
    <d v="2023-07-03T13:28:38"/>
    <s v="Declined"/>
    <m/>
    <m/>
    <d v="2023-07-02T13:28:38"/>
    <m/>
    <n v="0"/>
    <m/>
    <m/>
    <m/>
    <m/>
    <m/>
    <m/>
    <m/>
    <m/>
    <n v="3"/>
    <n v="15"/>
    <n v="12"/>
    <x v="20"/>
    <n v="1"/>
    <d v="2023-09-30T13:28:38"/>
    <s v=""/>
    <s v=""/>
    <s v=""/>
    <m/>
    <m/>
    <m/>
    <m/>
    <m/>
    <m/>
    <m/>
    <m/>
    <m/>
    <m/>
  </r>
  <r>
    <n v="1081"/>
    <s v="1081 | HR"/>
    <x v="4"/>
    <s v="IT - Senior"/>
    <s v="Analyst"/>
    <s v="IT-Analyst"/>
    <s v="Senior"/>
    <d v="2022-11-26T23:25:45"/>
    <d v="2022-11-30T23:25:45"/>
    <s v="Yes"/>
    <d v="2022-12-12T23:25:45"/>
    <s v="Failed"/>
    <s v="Salary expectation too high"/>
    <m/>
    <m/>
    <m/>
    <m/>
    <m/>
    <m/>
    <n v="0"/>
    <m/>
    <m/>
    <m/>
    <m/>
    <s v="Candidate"/>
    <m/>
    <m/>
    <m/>
    <n v="4"/>
    <n v="16"/>
    <n v="12"/>
    <x v="0"/>
    <s v=""/>
    <s v=""/>
    <s v=""/>
    <s v=""/>
    <s v=""/>
    <m/>
    <m/>
    <m/>
    <m/>
    <m/>
    <m/>
    <m/>
    <m/>
    <m/>
    <m/>
  </r>
  <r>
    <n v="1049"/>
    <s v="1049 | HR"/>
    <x v="4"/>
    <s v="IT - Senior"/>
    <s v="Analyst"/>
    <s v="IT-Analyst"/>
    <s v="Senior"/>
    <d v="2022-11-19T23:03:14"/>
    <d v="2022-11-20T23:03:14"/>
    <s v="Yes"/>
    <d v="2022-12-10T23:03:14"/>
    <s v="Failed"/>
    <s v="Position filled by another"/>
    <m/>
    <m/>
    <m/>
    <m/>
    <m/>
    <m/>
    <n v="0"/>
    <m/>
    <m/>
    <m/>
    <m/>
    <s v="Company"/>
    <m/>
    <m/>
    <m/>
    <n v="1"/>
    <n v="21"/>
    <n v="20"/>
    <x v="0"/>
    <s v=""/>
    <s v=""/>
    <s v=""/>
    <s v=""/>
    <s v=""/>
    <m/>
    <m/>
    <m/>
    <m/>
    <m/>
    <m/>
    <m/>
    <m/>
    <m/>
    <m/>
  </r>
  <r>
    <n v="1044"/>
    <s v="1044 | HR"/>
    <x v="4"/>
    <s v="IT - Senior"/>
    <s v="Analyst"/>
    <s v="IT-Analyst"/>
    <s v="Senior"/>
    <d v="2022-11-21T23:03:14"/>
    <d v="2022-11-22T23:03:14"/>
    <s v="Yes"/>
    <d v="2022-12-13T23:03:14"/>
    <s v="Declined"/>
    <m/>
    <d v="2022-12-16T23:03:14"/>
    <s v="Declined"/>
    <m/>
    <m/>
    <d v="2022-12-14T23:03:14"/>
    <m/>
    <n v="0"/>
    <m/>
    <m/>
    <m/>
    <m/>
    <m/>
    <m/>
    <m/>
    <m/>
    <n v="1"/>
    <n v="22"/>
    <n v="21"/>
    <x v="3"/>
    <n v="1"/>
    <d v="2023-03-14T23:03:14"/>
    <s v=""/>
    <s v=""/>
    <s v=""/>
    <m/>
    <m/>
    <m/>
    <m/>
    <m/>
    <m/>
    <m/>
    <m/>
    <m/>
    <m/>
  </r>
  <r>
    <n v="1041"/>
    <s v="1041 | HR"/>
    <x v="4"/>
    <s v="IT - Senior"/>
    <s v="Analyst"/>
    <s v="IT-Analyst"/>
    <s v="Senior"/>
    <d v="2022-11-21T23:03:14"/>
    <d v="2022-11-23T23:03:14"/>
    <s v="Yes"/>
    <d v="2022-12-08T23:03:14"/>
    <s v="Declined"/>
    <m/>
    <d v="2022-12-13T23:03:14"/>
    <s v="Declined"/>
    <m/>
    <m/>
    <d v="2022-12-10T23:03:14"/>
    <m/>
    <n v="0"/>
    <m/>
    <m/>
    <m/>
    <m/>
    <m/>
    <m/>
    <m/>
    <m/>
    <n v="2"/>
    <n v="17"/>
    <n v="15"/>
    <x v="13"/>
    <n v="2"/>
    <d v="2023-03-10T23:03:14"/>
    <s v=""/>
    <s v=""/>
    <s v=""/>
    <m/>
    <m/>
    <m/>
    <m/>
    <m/>
    <m/>
    <m/>
    <m/>
    <m/>
    <m/>
  </r>
  <r>
    <n v="1024"/>
    <s v="1024 | HR"/>
    <x v="4"/>
    <s v="IT - Senior"/>
    <s v="Analyst"/>
    <s v="IT-Analyst"/>
    <s v="Senior"/>
    <d v="2023-01-28T18:59:14"/>
    <d v="2023-01-29T18:59:14"/>
    <s v="Yes"/>
    <d v="2023-02-17T18:59:14"/>
    <s v="Pending"/>
    <m/>
    <d v="2023-02-25T18:59:14"/>
    <s v="Pending"/>
    <m/>
    <m/>
    <d v="2023-02-21T18:59:14"/>
    <m/>
    <n v="0"/>
    <m/>
    <m/>
    <m/>
    <m/>
    <m/>
    <m/>
    <m/>
    <m/>
    <n v="1"/>
    <n v="20"/>
    <n v="19"/>
    <x v="21"/>
    <n v="4"/>
    <d v="2023-05-22T18:59:14"/>
    <s v=""/>
    <s v=""/>
    <s v=""/>
    <m/>
    <m/>
    <m/>
    <m/>
    <m/>
    <m/>
    <m/>
    <m/>
    <m/>
    <m/>
  </r>
  <r>
    <n v="2950"/>
    <s v="2950 | HR"/>
    <x v="4"/>
    <s v="IT - Manager Level"/>
    <s v="Manager"/>
    <s v="IT-Manager"/>
    <s v="Manager Level"/>
    <d v="2022-06-14T11:38:00"/>
    <d v="2022-06-16T11:38:00"/>
    <s v="Yes"/>
    <d v="2022-06-27T11:38:00"/>
    <s v="Failed"/>
    <s v="Other"/>
    <m/>
    <m/>
    <m/>
    <m/>
    <d v="2022-06-29T11:38:00"/>
    <m/>
    <n v="0"/>
    <m/>
    <m/>
    <m/>
    <m/>
    <s v="Candidate"/>
    <m/>
    <m/>
    <m/>
    <n v="2"/>
    <n v="13"/>
    <n v="11"/>
    <x v="16"/>
    <n v="2"/>
    <d v="2022-09-27T11:38:00"/>
    <s v=""/>
    <s v=""/>
    <s v=""/>
    <m/>
    <m/>
    <m/>
    <m/>
    <m/>
    <m/>
    <m/>
    <m/>
    <m/>
    <m/>
  </r>
  <r>
    <n v="2893"/>
    <s v="2893 | HR"/>
    <x v="4"/>
    <s v="IT - Manager Level"/>
    <s v="Manager"/>
    <s v="IT-Manager"/>
    <s v="Manager Level"/>
    <d v="2023-02-05T16:21:51"/>
    <d v="2023-02-07T16:21:51"/>
    <s v="Yes"/>
    <d v="2023-02-23T16:21:51"/>
    <s v="Failed"/>
    <s v="Position filled by another"/>
    <m/>
    <m/>
    <m/>
    <m/>
    <d v="2023-02-24T16:21:51"/>
    <m/>
    <n v="0"/>
    <m/>
    <m/>
    <m/>
    <m/>
    <s v="Candidate"/>
    <m/>
    <m/>
    <m/>
    <n v="2"/>
    <n v="18"/>
    <n v="16"/>
    <x v="13"/>
    <n v="1"/>
    <d v="2023-05-25T16:21:51"/>
    <s v=""/>
    <s v=""/>
    <s v=""/>
    <m/>
    <m/>
    <m/>
    <m/>
    <m/>
    <m/>
    <m/>
    <m/>
    <m/>
    <m/>
  </r>
  <r>
    <n v="2588"/>
    <s v="2588 | HR"/>
    <x v="4"/>
    <s v="IT - Manager Level"/>
    <s v="Manager"/>
    <s v="IT-Manager"/>
    <s v="Manager Level"/>
    <d v="2022-08-09T00:55:27"/>
    <d v="2022-08-13T00:55:27"/>
    <s v="Yes"/>
    <d v="2022-08-23T00:55:27"/>
    <s v="Declined"/>
    <m/>
    <d v="2022-08-28T00:55:27"/>
    <s v="Declined"/>
    <m/>
    <m/>
    <d v="2022-08-24T00:55:27"/>
    <m/>
    <n v="0"/>
    <m/>
    <m/>
    <m/>
    <m/>
    <m/>
    <m/>
    <m/>
    <m/>
    <n v="4"/>
    <n v="14"/>
    <n v="10"/>
    <x v="16"/>
    <n v="1"/>
    <d v="2022-11-22T00:55:27"/>
    <s v=""/>
    <s v=""/>
    <s v=""/>
    <m/>
    <m/>
    <m/>
    <m/>
    <m/>
    <m/>
    <m/>
    <m/>
    <m/>
    <m/>
  </r>
  <r>
    <n v="2419"/>
    <s v="2419 | HR"/>
    <x v="4"/>
    <s v="IT - Manager Level"/>
    <s v="Manager"/>
    <s v="IT-Manager"/>
    <s v="Manager Level"/>
    <d v="2023-03-21T14:35:51"/>
    <d v="2023-03-24T14:35:51"/>
    <s v="Yes"/>
    <d v="2023-04-03T14:35:51"/>
    <s v="Declined"/>
    <m/>
    <d v="2023-04-05T14:35:51"/>
    <s v="Declined"/>
    <m/>
    <m/>
    <d v="2023-04-04T14:35:51"/>
    <m/>
    <n v="0"/>
    <m/>
    <m/>
    <m/>
    <m/>
    <m/>
    <m/>
    <m/>
    <m/>
    <n v="3"/>
    <n v="13"/>
    <n v="10"/>
    <x v="1"/>
    <n v="1"/>
    <d v="2023-07-03T14:35:51"/>
    <s v=""/>
    <s v=""/>
    <s v=""/>
    <m/>
    <m/>
    <m/>
    <m/>
    <m/>
    <m/>
    <m/>
    <m/>
    <m/>
    <m/>
  </r>
  <r>
    <n v="2411"/>
    <s v="2411 | HR"/>
    <x v="4"/>
    <s v="IT - Manager Level"/>
    <s v="Manager"/>
    <s v="IT-Manager"/>
    <s v="Manager Level"/>
    <d v="2023-03-21T14:35:51"/>
    <d v="2023-03-25T14:35:51"/>
    <s v="Yes"/>
    <d v="2023-04-06T14:35:51"/>
    <s v="Declined"/>
    <m/>
    <d v="2023-04-11T14:35:51"/>
    <s v="Declined"/>
    <m/>
    <m/>
    <d v="2023-04-07T14:35:51"/>
    <m/>
    <n v="0"/>
    <m/>
    <m/>
    <m/>
    <m/>
    <m/>
    <m/>
    <m/>
    <m/>
    <n v="4"/>
    <n v="16"/>
    <n v="12"/>
    <x v="14"/>
    <n v="1"/>
    <d v="2023-07-06T14:35:51"/>
    <s v=""/>
    <s v=""/>
    <s v=""/>
    <m/>
    <m/>
    <m/>
    <m/>
    <m/>
    <m/>
    <m/>
    <m/>
    <m/>
    <m/>
  </r>
  <r>
    <n v="1960"/>
    <s v="1960 | HR"/>
    <x v="4"/>
    <s v="IT - Manager Level"/>
    <s v="Manager"/>
    <s v="IT-Manager"/>
    <s v="Manager Level"/>
    <d v="2022-09-15T01:01:03"/>
    <d v="2022-09-16T01:01:03"/>
    <s v="Yes"/>
    <d v="2022-10-03T01:01:03"/>
    <s v="Declined"/>
    <m/>
    <d v="2022-10-06T01:01:03"/>
    <s v="Declined"/>
    <m/>
    <m/>
    <d v="2022-10-04T01:01:03"/>
    <m/>
    <n v="0"/>
    <m/>
    <m/>
    <m/>
    <m/>
    <m/>
    <m/>
    <m/>
    <m/>
    <n v="1"/>
    <n v="18"/>
    <n v="17"/>
    <x v="13"/>
    <n v="1"/>
    <d v="2023-01-02T01:01:03"/>
    <s v=""/>
    <s v=""/>
    <s v=""/>
    <m/>
    <m/>
    <m/>
    <m/>
    <m/>
    <m/>
    <m/>
    <m/>
    <m/>
    <m/>
  </r>
  <r>
    <n v="1902"/>
    <s v="1902 | HR"/>
    <x v="4"/>
    <s v="IT - Manager Level"/>
    <s v="Manager"/>
    <s v="IT-Manager"/>
    <s v="Manager Level"/>
    <d v="2023-03-09T16:28:31"/>
    <d v="2023-03-11T16:28:31"/>
    <s v="Yes"/>
    <d v="2023-03-19T16:28:31"/>
    <s v="Declined"/>
    <m/>
    <d v="2023-03-24T16:28:31"/>
    <s v="Declined"/>
    <m/>
    <m/>
    <d v="2023-03-22T16:28:31"/>
    <m/>
    <n v="0"/>
    <m/>
    <m/>
    <m/>
    <m/>
    <m/>
    <m/>
    <m/>
    <m/>
    <n v="2"/>
    <n v="10"/>
    <n v="8"/>
    <x v="8"/>
    <n v="3"/>
    <d v="2023-06-20T16:28:31"/>
    <s v=""/>
    <s v=""/>
    <s v=""/>
    <m/>
    <m/>
    <m/>
    <m/>
    <m/>
    <m/>
    <m/>
    <m/>
    <m/>
    <m/>
  </r>
  <r>
    <n v="1896"/>
    <s v="1896 | HR"/>
    <x v="4"/>
    <s v="IT - Manager Level"/>
    <s v="Manager"/>
    <s v="IT-Manager"/>
    <s v="Manager Level"/>
    <d v="2022-01-31T06:40:23"/>
    <d v="2022-02-02T06:40:23"/>
    <s v="Yes"/>
    <d v="2022-02-24T06:40:23"/>
    <s v="Declined"/>
    <m/>
    <d v="2022-03-01T06:40:23"/>
    <s v="Declined"/>
    <m/>
    <m/>
    <d v="2022-02-26T06:40:23"/>
    <m/>
    <n v="0"/>
    <m/>
    <m/>
    <m/>
    <m/>
    <m/>
    <m/>
    <m/>
    <m/>
    <n v="2"/>
    <n v="24"/>
    <n v="22"/>
    <x v="25"/>
    <n v="2"/>
    <d v="2022-05-27T06:40:23"/>
    <s v=""/>
    <s v=""/>
    <s v=""/>
    <m/>
    <m/>
    <m/>
    <m/>
    <m/>
    <m/>
    <m/>
    <m/>
    <m/>
    <m/>
  </r>
  <r>
    <n v="1891"/>
    <s v="1891 | HR"/>
    <x v="4"/>
    <s v="IT - Manager Level"/>
    <s v="Manager"/>
    <s v="IT-Manager"/>
    <s v="Manager Level"/>
    <d v="2022-01-30T06:40:23"/>
    <d v="2022-02-02T06:40:23"/>
    <s v="Yes"/>
    <d v="2022-02-21T06:40:23"/>
    <s v="Declined"/>
    <m/>
    <d v="2022-02-26T06:40:23"/>
    <s v="Declined"/>
    <m/>
    <m/>
    <d v="2022-02-25T06:40:23"/>
    <m/>
    <n v="0"/>
    <m/>
    <m/>
    <m/>
    <m/>
    <m/>
    <m/>
    <m/>
    <m/>
    <n v="3"/>
    <n v="22"/>
    <n v="19"/>
    <x v="25"/>
    <n v="4"/>
    <d v="2022-05-26T06:40:23"/>
    <s v=""/>
    <s v=""/>
    <s v=""/>
    <m/>
    <m/>
    <m/>
    <m/>
    <m/>
    <m/>
    <m/>
    <m/>
    <m/>
    <m/>
  </r>
  <r>
    <n v="1780"/>
    <s v="1780 | HR"/>
    <x v="4"/>
    <s v="IT - Manager Level"/>
    <s v="Manager"/>
    <s v="IT-Manager"/>
    <s v="Manager Level"/>
    <d v="2022-05-31T19:49:14"/>
    <d v="2022-06-01T19:49:14"/>
    <s v="Yes"/>
    <d v="2022-06-17T19:49:14"/>
    <s v="Failed"/>
    <s v="Not a culture fit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1776"/>
    <s v="1776 | HR"/>
    <x v="4"/>
    <s v="IT - Manager Level"/>
    <s v="Manager"/>
    <s v="IT-Manager"/>
    <s v="Manager Level"/>
    <d v="2022-05-30T19:49:14"/>
    <d v="2022-06-03T19:49:14"/>
    <s v="Yes"/>
    <d v="2022-06-22T19:49:14"/>
    <s v="Failed"/>
    <s v="Didn't pass technical test"/>
    <m/>
    <m/>
    <m/>
    <m/>
    <m/>
    <m/>
    <n v="0"/>
    <m/>
    <m/>
    <m/>
    <m/>
    <s v="Candidate"/>
    <m/>
    <m/>
    <m/>
    <n v="4"/>
    <n v="23"/>
    <n v="19"/>
    <x v="0"/>
    <s v=""/>
    <s v=""/>
    <s v=""/>
    <s v=""/>
    <s v=""/>
    <m/>
    <m/>
    <m/>
    <m/>
    <m/>
    <m/>
    <m/>
    <m/>
    <m/>
    <m/>
  </r>
  <r>
    <n v="1748"/>
    <s v="1748 | HR"/>
    <x v="4"/>
    <s v="IT - Manager Level"/>
    <s v="Manager"/>
    <s v="IT-Manager"/>
    <s v="Manager Level"/>
    <d v="2023-01-21T19:09:14"/>
    <d v="2023-01-22T19:09:14"/>
    <s v="Yes"/>
    <d v="2023-02-05T19:09:14"/>
    <s v="Accepted"/>
    <m/>
    <d v="2023-02-13T19:09:14"/>
    <s v="Accepted"/>
    <d v="2023-02-07T19:09:14"/>
    <d v="2023-02-10T19:09:14"/>
    <d v="2023-02-09T19:09:14"/>
    <d v="2023-02-15T19:09:14"/>
    <n v="1"/>
    <d v="2023-02-17T19:09:14"/>
    <d v="2023-02-18T19:09:14"/>
    <d v="2023-02-19T19:09:14"/>
    <m/>
    <m/>
    <d v="2023-03-05T19:09:14"/>
    <m/>
    <m/>
    <n v="1"/>
    <n v="15"/>
    <n v="14"/>
    <x v="13"/>
    <n v="4"/>
    <d v="2023-05-10T19:09:14"/>
    <n v="2"/>
    <n v="24"/>
    <n v="10"/>
    <m/>
    <m/>
    <m/>
    <m/>
    <m/>
    <m/>
    <m/>
    <m/>
    <m/>
    <m/>
  </r>
  <r>
    <n v="1619"/>
    <s v="1619 | HR"/>
    <x v="4"/>
    <s v="IT - Manager Level"/>
    <s v="Manager"/>
    <s v="IT-Manager"/>
    <s v="Manager Level"/>
    <d v="2022-10-14T22:49:43"/>
    <d v="2022-10-18T22:49:43"/>
    <s v="Yes"/>
    <d v="2022-10-29T22:49:43"/>
    <s v="Failed"/>
    <s v="Salary expectation too high"/>
    <m/>
    <m/>
    <m/>
    <m/>
    <d v="2022-10-30T22:49:43"/>
    <m/>
    <n v="0"/>
    <m/>
    <m/>
    <m/>
    <m/>
    <s v="Candidate"/>
    <m/>
    <m/>
    <m/>
    <n v="4"/>
    <n v="15"/>
    <n v="11"/>
    <x v="20"/>
    <n v="1"/>
    <d v="2023-01-28T22:49:43"/>
    <s v=""/>
    <s v=""/>
    <s v=""/>
    <m/>
    <m/>
    <m/>
    <m/>
    <m/>
    <m/>
    <m/>
    <m/>
    <m/>
    <m/>
  </r>
  <r>
    <n v="1574"/>
    <s v="1574 | HR"/>
    <x v="4"/>
    <s v="IT - Manager Level"/>
    <s v="Manager"/>
    <s v="IT-Manager"/>
    <s v="Manager Level"/>
    <d v="2022-09-05T17:35:38"/>
    <d v="2022-09-06T17:35:38"/>
    <s v="Yes"/>
    <d v="2022-09-20T17:35:38"/>
    <s v="Declined"/>
    <m/>
    <d v="2022-09-27T17:35:38"/>
    <s v="Declined"/>
    <m/>
    <m/>
    <d v="2022-09-24T17:35:38"/>
    <m/>
    <n v="0"/>
    <m/>
    <m/>
    <m/>
    <m/>
    <m/>
    <m/>
    <m/>
    <m/>
    <n v="1"/>
    <n v="15"/>
    <n v="14"/>
    <x v="13"/>
    <n v="4"/>
    <d v="2022-12-23T17:35:38"/>
    <s v=""/>
    <s v=""/>
    <s v=""/>
    <m/>
    <m/>
    <m/>
    <m/>
    <m/>
    <m/>
    <m/>
    <m/>
    <m/>
    <m/>
  </r>
  <r>
    <n v="1532"/>
    <s v="1532 | HR"/>
    <x v="4"/>
    <s v="IT - Manager Level"/>
    <s v="Manager"/>
    <s v="IT-Manager"/>
    <s v="Manager Level"/>
    <d v="2023-05-09T13:06:51"/>
    <d v="2023-05-12T13:06:51"/>
    <s v="Yes"/>
    <d v="2023-05-28T13:06:51"/>
    <s v="Pending"/>
    <m/>
    <d v="2023-05-31T13:06:51"/>
    <s v="Pending"/>
    <m/>
    <m/>
    <d v="2023-05-29T13:06:51"/>
    <m/>
    <n v="0"/>
    <m/>
    <m/>
    <m/>
    <m/>
    <m/>
    <m/>
    <m/>
    <m/>
    <n v="3"/>
    <n v="19"/>
    <n v="16"/>
    <x v="15"/>
    <n v="1"/>
    <d v="2023-08-27T13:06:51"/>
    <s v=""/>
    <s v=""/>
    <s v=""/>
    <m/>
    <m/>
    <m/>
    <m/>
    <m/>
    <m/>
    <m/>
    <m/>
    <m/>
    <m/>
  </r>
  <r>
    <n v="1459"/>
    <s v="1459 | HR"/>
    <x v="4"/>
    <s v="IT - Manager Level"/>
    <s v="Manager"/>
    <s v="IT-Manager"/>
    <s v="Manager Level"/>
    <d v="2023-04-07T13:44:16"/>
    <d v="2023-04-08T13:44:16"/>
    <s v="Yes"/>
    <d v="2023-04-24T13:44:16"/>
    <s v="Failed"/>
    <s v="Didn't pass technical test"/>
    <m/>
    <m/>
    <m/>
    <m/>
    <d v="2023-04-28T13:44:16"/>
    <m/>
    <n v="0"/>
    <m/>
    <m/>
    <m/>
    <m/>
    <s v="Candidate"/>
    <m/>
    <m/>
    <m/>
    <n v="1"/>
    <n v="17"/>
    <n v="16"/>
    <x v="19"/>
    <n v="4"/>
    <d v="2023-07-27T13:44:16"/>
    <s v=""/>
    <s v=""/>
    <s v=""/>
    <m/>
    <m/>
    <m/>
    <m/>
    <m/>
    <m/>
    <m/>
    <m/>
    <m/>
    <m/>
  </r>
  <r>
    <n v="1453"/>
    <s v="1453 | HR"/>
    <x v="4"/>
    <s v="IT - Manager Level"/>
    <s v="Manager"/>
    <s v="IT-Manager"/>
    <s v="Manager Level"/>
    <d v="2023-04-06T13:44:16"/>
    <d v="2023-04-08T13:44:16"/>
    <s v="Yes"/>
    <d v="2023-04-17T13:44:16"/>
    <s v="Declined"/>
    <m/>
    <d v="2023-04-24T13:44:16"/>
    <s v="Declined"/>
    <m/>
    <m/>
    <d v="2023-04-20T13:44:16"/>
    <m/>
    <n v="0"/>
    <m/>
    <m/>
    <m/>
    <m/>
    <m/>
    <m/>
    <m/>
    <m/>
    <n v="2"/>
    <n v="11"/>
    <n v="9"/>
    <x v="1"/>
    <n v="3"/>
    <d v="2023-07-19T13:44:16"/>
    <s v=""/>
    <s v=""/>
    <s v=""/>
    <m/>
    <m/>
    <m/>
    <m/>
    <m/>
    <m/>
    <m/>
    <m/>
    <m/>
    <m/>
  </r>
  <r>
    <n v="1426"/>
    <s v="1426 | HR"/>
    <x v="4"/>
    <s v="IT - Manager Level"/>
    <s v="Quality Assurance"/>
    <s v="IT-Quality Assurance"/>
    <s v="Manager Level"/>
    <d v="2022-04-06T02:42:56"/>
    <d v="2022-04-10T02:42:56"/>
    <s v="Yes"/>
    <d v="2022-04-23T02:42:56"/>
    <s v="Failed"/>
    <s v="Not a culture fit"/>
    <m/>
    <m/>
    <m/>
    <m/>
    <d v="2022-04-27T02:42:56"/>
    <m/>
    <n v="0"/>
    <m/>
    <m/>
    <m/>
    <m/>
    <s v="Candidate"/>
    <m/>
    <m/>
    <m/>
    <n v="4"/>
    <n v="17"/>
    <n v="13"/>
    <x v="19"/>
    <n v="4"/>
    <d v="2022-07-26T02:42:56"/>
    <s v=""/>
    <s v=""/>
    <s v=""/>
    <m/>
    <m/>
    <m/>
    <m/>
    <m/>
    <m/>
    <m/>
    <m/>
    <m/>
    <m/>
  </r>
  <r>
    <n v="1316"/>
    <s v="1316 | HR"/>
    <x v="4"/>
    <s v="IT - Manager Level"/>
    <s v="Quality Assurance"/>
    <s v="IT-Quality Assurance"/>
    <s v="Manager Level"/>
    <d v="2023-08-13T05:35:37"/>
    <d v="2023-08-14T05:35:37"/>
    <s v="Yes"/>
    <d v="2023-09-03T05:35:37"/>
    <s v="Accepted"/>
    <m/>
    <d v="2023-09-09T05:35:37"/>
    <s v="Accepted"/>
    <d v="2023-09-04T05:35:37"/>
    <d v="2023-09-06T05:35:37"/>
    <d v="2023-09-06T05:35:37"/>
    <d v="2023-09-13T05:35:37"/>
    <n v="1"/>
    <d v="2023-09-15T05:35:37"/>
    <d v="2023-09-18T05:35:37"/>
    <d v="2023-09-19T05:35:37"/>
    <m/>
    <m/>
    <d v="2023-10-10T05:35:37"/>
    <m/>
    <m/>
    <n v="1"/>
    <n v="21"/>
    <n v="20"/>
    <x v="21"/>
    <n v="3"/>
    <d v="2023-12-05T05:35:37"/>
    <n v="2"/>
    <n v="34"/>
    <n v="13"/>
    <m/>
    <m/>
    <m/>
    <m/>
    <m/>
    <m/>
    <m/>
    <m/>
    <m/>
    <m/>
  </r>
  <r>
    <n v="1314"/>
    <s v="1314 | HR"/>
    <x v="4"/>
    <s v="IT - Manager Level"/>
    <s v="Quality Assurance"/>
    <s v="IT-Quality Assurance"/>
    <s v="Manager Level"/>
    <d v="2023-08-13T05:35:37"/>
    <d v="2023-08-16T05:35:37"/>
    <s v="Yes"/>
    <d v="2023-08-28T05:35:37"/>
    <s v="Declined"/>
    <m/>
    <d v="2023-09-05T05:35:37"/>
    <s v="Declined"/>
    <m/>
    <m/>
    <d v="2023-09-01T05:35:37"/>
    <m/>
    <n v="0"/>
    <m/>
    <m/>
    <m/>
    <m/>
    <m/>
    <m/>
    <m/>
    <m/>
    <n v="3"/>
    <n v="15"/>
    <n v="12"/>
    <x v="13"/>
    <n v="4"/>
    <d v="2023-11-30T05:35:37"/>
    <s v=""/>
    <s v=""/>
    <s v=""/>
    <m/>
    <m/>
    <m/>
    <m/>
    <m/>
    <m/>
    <m/>
    <m/>
    <m/>
    <m/>
  </r>
  <r>
    <n v="1275"/>
    <s v="1275 | HR"/>
    <x v="4"/>
    <s v="IT - Manager Level"/>
    <s v="Quality Assurance"/>
    <s v="IT-Quality Assurance"/>
    <s v="Manager Level"/>
    <d v="2022-05-30T02:35:25"/>
    <d v="2022-05-31T02:35:25"/>
    <s v="Yes"/>
    <d v="2022-06-11T02:35:25"/>
    <s v="Failed"/>
    <s v="Other"/>
    <m/>
    <m/>
    <m/>
    <m/>
    <d v="2022-06-13T02:35:25"/>
    <m/>
    <n v="0"/>
    <m/>
    <m/>
    <m/>
    <m/>
    <s v="Candidate"/>
    <m/>
    <m/>
    <m/>
    <n v="1"/>
    <n v="12"/>
    <n v="11"/>
    <x v="1"/>
    <n v="2"/>
    <d v="2022-09-11T02:35:25"/>
    <s v=""/>
    <s v=""/>
    <s v=""/>
    <m/>
    <m/>
    <m/>
    <m/>
    <m/>
    <m/>
    <m/>
    <m/>
    <m/>
    <m/>
  </r>
  <r>
    <n v="1042"/>
    <s v="1042 | HR"/>
    <x v="4"/>
    <s v="IT - Manager Level"/>
    <s v="Quality Assurance"/>
    <s v="IT-Quality Assurance"/>
    <s v="Manager Level"/>
    <d v="2022-11-18T23:03:14"/>
    <d v="2022-11-21T23:03:14"/>
    <s v="Yes"/>
    <d v="2022-12-04T23:03:14"/>
    <s v="Pending"/>
    <m/>
    <d v="2022-12-07T23:03:14"/>
    <s v="Pending"/>
    <m/>
    <m/>
    <d v="2022-12-05T23:03:14"/>
    <m/>
    <n v="0"/>
    <m/>
    <m/>
    <m/>
    <m/>
    <m/>
    <m/>
    <m/>
    <m/>
    <n v="3"/>
    <n v="16"/>
    <n v="13"/>
    <x v="14"/>
    <n v="1"/>
    <d v="2023-03-05T23:03:14"/>
    <s v=""/>
    <s v=""/>
    <s v=""/>
    <m/>
    <m/>
    <m/>
    <m/>
    <m/>
    <m/>
    <m/>
    <m/>
    <m/>
    <m/>
  </r>
  <r>
    <n v="1026"/>
    <s v="1026 | HR"/>
    <x v="4"/>
    <s v="IT - Manager Level"/>
    <s v="Quality Assurance"/>
    <s v="IT-Quality Assurance"/>
    <s v="Manager Level"/>
    <d v="2023-01-23T18:59:14"/>
    <d v="2023-01-27T18:59:14"/>
    <s v="Yes"/>
    <d v="2023-02-16T18:59:14"/>
    <s v="Declined"/>
    <m/>
    <d v="2023-02-20T18:59:14"/>
    <s v="Declined"/>
    <m/>
    <m/>
    <d v="2023-02-18T18:59:14"/>
    <m/>
    <n v="0"/>
    <m/>
    <m/>
    <m/>
    <m/>
    <m/>
    <m/>
    <m/>
    <m/>
    <n v="4"/>
    <n v="24"/>
    <n v="20"/>
    <x v="25"/>
    <n v="2"/>
    <d v="2023-05-19T18:59:14"/>
    <s v=""/>
    <s v=""/>
    <s v=""/>
    <m/>
    <m/>
    <m/>
    <m/>
    <m/>
    <m/>
    <m/>
    <m/>
    <m/>
    <m/>
  </r>
  <r>
    <n v="2661"/>
    <s v="2661 | HR"/>
    <x v="5"/>
    <s v="HR - Manager Level"/>
    <s v="Specialist"/>
    <s v="HR-Specialist"/>
    <s v="Manager Level"/>
    <d v="2022-11-29T21:41:18"/>
    <d v="2022-12-02T21:41:18"/>
    <s v="Yes"/>
    <d v="2022-12-21T21:41:18"/>
    <s v="Failed"/>
    <s v="Salary expectation too high"/>
    <m/>
    <m/>
    <m/>
    <m/>
    <d v="2022-12-25T21:41:18"/>
    <m/>
    <n v="0"/>
    <m/>
    <m/>
    <m/>
    <m/>
    <s v="Candidate"/>
    <m/>
    <m/>
    <m/>
    <n v="3"/>
    <n v="22"/>
    <n v="19"/>
    <x v="25"/>
    <n v="4"/>
    <d v="2023-03-25T21:41:18"/>
    <s v=""/>
    <s v=""/>
    <s v=""/>
    <m/>
    <m/>
    <m/>
    <m/>
    <m/>
    <m/>
    <m/>
    <m/>
    <m/>
    <m/>
  </r>
  <r>
    <n v="2649"/>
    <s v="2649 | HR"/>
    <x v="5"/>
    <s v="HR - Manager Level"/>
    <s v="Specialist"/>
    <s v="HR-Specialist"/>
    <s v="Manager Level"/>
    <d v="2022-01-26T14:06:06"/>
    <d v="2022-01-27T14:06:06"/>
    <s v="Yes"/>
    <d v="2022-02-12T14:06:06"/>
    <s v="Failed"/>
    <s v="Didn't pass technical test"/>
    <m/>
    <m/>
    <m/>
    <m/>
    <d v="2022-02-15T14:06:06"/>
    <m/>
    <n v="0"/>
    <m/>
    <m/>
    <m/>
    <m/>
    <s v="Candidate"/>
    <m/>
    <m/>
    <m/>
    <n v="1"/>
    <n v="17"/>
    <n v="16"/>
    <x v="15"/>
    <n v="3"/>
    <d v="2022-05-16T14:06:06"/>
    <s v=""/>
    <s v=""/>
    <s v=""/>
    <m/>
    <m/>
    <m/>
    <m/>
    <m/>
    <m/>
    <m/>
    <m/>
    <m/>
    <m/>
  </r>
  <r>
    <n v="2643"/>
    <s v="2643 | HR"/>
    <x v="5"/>
    <s v="HR - Manager Level"/>
    <s v="Specialist"/>
    <s v="HR-Specialist"/>
    <s v="Manager Level"/>
    <d v="2022-01-24T14:06:06"/>
    <d v="2022-01-26T14:06:06"/>
    <s v="Yes"/>
    <d v="2022-02-15T14:06:06"/>
    <s v="Failed"/>
    <s v="Other"/>
    <m/>
    <m/>
    <m/>
    <m/>
    <m/>
    <m/>
    <n v="0"/>
    <m/>
    <m/>
    <m/>
    <m/>
    <s v="Company"/>
    <m/>
    <m/>
    <m/>
    <n v="2"/>
    <n v="22"/>
    <n v="20"/>
    <x v="0"/>
    <s v=""/>
    <s v=""/>
    <s v=""/>
    <s v=""/>
    <s v=""/>
    <m/>
    <m/>
    <m/>
    <m/>
    <m/>
    <m/>
    <m/>
    <m/>
    <m/>
    <m/>
  </r>
  <r>
    <n v="2642"/>
    <s v="2642 | HR"/>
    <x v="5"/>
    <s v="HR - Manager Level"/>
    <s v="Specialist"/>
    <s v="HR-Specialist"/>
    <s v="Manager Level"/>
    <d v="2022-01-25T14:06:06"/>
    <d v="2022-01-27T14:06:06"/>
    <s v="Yes"/>
    <d v="2022-02-05T14:06:06"/>
    <s v="Failed"/>
    <s v="Other"/>
    <m/>
    <m/>
    <m/>
    <m/>
    <d v="2022-02-07T14:06:06"/>
    <m/>
    <n v="0"/>
    <m/>
    <m/>
    <m/>
    <m/>
    <s v="Candidate"/>
    <m/>
    <m/>
    <m/>
    <n v="2"/>
    <n v="11"/>
    <n v="9"/>
    <x v="8"/>
    <n v="2"/>
    <d v="2022-05-08T14:06:06"/>
    <s v=""/>
    <s v=""/>
    <s v=""/>
    <m/>
    <m/>
    <m/>
    <m/>
    <m/>
    <m/>
    <m/>
    <m/>
    <m/>
    <m/>
  </r>
  <r>
    <n v="2375"/>
    <s v="2375 | HR"/>
    <x v="5"/>
    <s v="HR - Manager Level"/>
    <s v="Specialist"/>
    <s v="HR-Specialist"/>
    <s v="Manager Level"/>
    <d v="2023-04-16T22:01:03"/>
    <d v="2023-04-17T22:01:03"/>
    <s v="Yes"/>
    <d v="2023-04-27T22:01:03"/>
    <s v="Failed"/>
    <s v="Not a culture fi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2340"/>
    <s v="2340 | HR"/>
    <x v="5"/>
    <s v="HR - Manager Level"/>
    <s v="Specialist"/>
    <s v="HR-Specialist"/>
    <s v="Manager Level"/>
    <d v="2022-05-10T09:15:53"/>
    <d v="2022-05-13T09:15:53"/>
    <s v="Yes"/>
    <d v="2022-05-29T09:15:53"/>
    <s v="Failed"/>
    <s v="Position filled by another"/>
    <m/>
    <m/>
    <m/>
    <m/>
    <d v="2022-06-02T09:15:53"/>
    <m/>
    <n v="0"/>
    <m/>
    <m/>
    <m/>
    <m/>
    <s v="Company"/>
    <m/>
    <m/>
    <m/>
    <n v="3"/>
    <n v="19"/>
    <n v="16"/>
    <x v="3"/>
    <n v="4"/>
    <d v="2022-08-31T09:15:53"/>
    <s v=""/>
    <s v=""/>
    <s v=""/>
    <m/>
    <m/>
    <m/>
    <m/>
    <m/>
    <m/>
    <m/>
    <m/>
    <m/>
    <m/>
  </r>
  <r>
    <n v="2338"/>
    <s v="2338 | HR"/>
    <x v="5"/>
    <s v="HR - Manager Level"/>
    <s v="Specialist"/>
    <s v="HR-Specialist"/>
    <s v="Manager Level"/>
    <d v="2022-05-12T09:15:53"/>
    <d v="2022-05-13T09:15:53"/>
    <s v="Yes"/>
    <d v="2022-06-02T09:15:53"/>
    <s v="Failed"/>
    <s v="Position filled by another"/>
    <m/>
    <m/>
    <m/>
    <m/>
    <d v="2022-06-03T09:15:53"/>
    <m/>
    <n v="0"/>
    <m/>
    <m/>
    <m/>
    <m/>
    <s v="Company"/>
    <m/>
    <m/>
    <m/>
    <n v="1"/>
    <n v="21"/>
    <n v="20"/>
    <x v="7"/>
    <n v="1"/>
    <d v="2022-09-01T09:15:53"/>
    <s v=""/>
    <s v=""/>
    <s v=""/>
    <m/>
    <m/>
    <m/>
    <m/>
    <m/>
    <m/>
    <m/>
    <m/>
    <m/>
    <m/>
  </r>
  <r>
    <n v="2259"/>
    <s v="2259 | HR"/>
    <x v="5"/>
    <s v="HR - Manager Level"/>
    <s v="Specialist"/>
    <s v="HR-Specialist"/>
    <s v="Manager Level"/>
    <d v="2022-08-04T16:27:58"/>
    <d v="2022-08-08T16:27:58"/>
    <s v="Yes"/>
    <d v="2022-08-22T16:27:58"/>
    <s v="Failed"/>
    <s v="Not a culture fit"/>
    <m/>
    <m/>
    <m/>
    <m/>
    <d v="2022-08-25T16:27:58"/>
    <m/>
    <n v="0"/>
    <m/>
    <m/>
    <m/>
    <m/>
    <s v="Candidate"/>
    <m/>
    <m/>
    <m/>
    <n v="4"/>
    <n v="18"/>
    <n v="14"/>
    <x v="19"/>
    <n v="3"/>
    <d v="2022-11-23T16:27:58"/>
    <s v=""/>
    <s v=""/>
    <s v=""/>
    <m/>
    <m/>
    <m/>
    <m/>
    <m/>
    <m/>
    <m/>
    <m/>
    <m/>
    <m/>
  </r>
  <r>
    <n v="2148"/>
    <s v="2148 | HR"/>
    <x v="5"/>
    <s v="HR - Manager Level"/>
    <s v="Specialist"/>
    <s v="HR-Specialist"/>
    <s v="Manager Level"/>
    <d v="2022-07-05T19:56:24"/>
    <d v="2022-07-06T19:56:24"/>
    <s v="Yes"/>
    <d v="2022-07-27T19:56:24"/>
    <s v="Failed"/>
    <s v="Other"/>
    <m/>
    <m/>
    <m/>
    <m/>
    <d v="2022-07-30T19:56:24"/>
    <m/>
    <n v="0"/>
    <m/>
    <m/>
    <m/>
    <m/>
    <s v="Candidate"/>
    <m/>
    <m/>
    <m/>
    <n v="1"/>
    <n v="22"/>
    <n v="21"/>
    <x v="11"/>
    <n v="3"/>
    <d v="2022-10-28T19:56:24"/>
    <s v=""/>
    <s v=""/>
    <s v=""/>
    <m/>
    <m/>
    <m/>
    <m/>
    <m/>
    <m/>
    <m/>
    <m/>
    <m/>
    <m/>
  </r>
  <r>
    <n v="2059"/>
    <s v="2059 | HR"/>
    <x v="5"/>
    <s v="HR - Manager Level"/>
    <s v="Specialist"/>
    <s v="HR-Specialist"/>
    <s v="Manager Level"/>
    <d v="2022-01-11T19:56:47"/>
    <d v="2022-01-14T19:56:47"/>
    <s v="Yes"/>
    <d v="2022-02-01T19:56:47"/>
    <s v="Failed"/>
    <s v="Position filled by another"/>
    <m/>
    <m/>
    <m/>
    <m/>
    <m/>
    <m/>
    <n v="0"/>
    <m/>
    <m/>
    <m/>
    <m/>
    <s v="Candidate"/>
    <m/>
    <m/>
    <m/>
    <n v="3"/>
    <n v="21"/>
    <n v="18"/>
    <x v="0"/>
    <s v=""/>
    <s v=""/>
    <s v=""/>
    <s v=""/>
    <s v=""/>
    <m/>
    <m/>
    <m/>
    <m/>
    <m/>
    <m/>
    <m/>
    <m/>
    <m/>
    <m/>
  </r>
  <r>
    <n v="1953"/>
    <s v="1953 | HR"/>
    <x v="5"/>
    <s v="HR - Manager Level"/>
    <s v="Specialist"/>
    <s v="HR-Specialist"/>
    <s v="Manager Level"/>
    <d v="2022-09-13T01:01:03"/>
    <d v="2022-09-16T01:01:03"/>
    <s v="Yes"/>
    <d v="2022-10-08T01:01:03"/>
    <s v="Failed"/>
    <s v="Not a culture fit"/>
    <m/>
    <m/>
    <m/>
    <m/>
    <d v="2022-10-09T01:01:03"/>
    <m/>
    <n v="0"/>
    <m/>
    <m/>
    <m/>
    <m/>
    <s v="Candidate"/>
    <m/>
    <m/>
    <m/>
    <n v="3"/>
    <n v="25"/>
    <n v="22"/>
    <x v="25"/>
    <n v="1"/>
    <d v="2023-01-07T01:01:03"/>
    <s v=""/>
    <s v=""/>
    <s v=""/>
    <m/>
    <m/>
    <m/>
    <m/>
    <m/>
    <m/>
    <m/>
    <m/>
    <m/>
    <m/>
  </r>
  <r>
    <n v="1917"/>
    <s v="1917 | HR"/>
    <x v="5"/>
    <s v="HR - Manager Level"/>
    <s v="Specialist"/>
    <s v="HR-Specialist"/>
    <s v="Manager Level"/>
    <d v="2022-04-28T21:24:39"/>
    <d v="2022-05-02T21:24:39"/>
    <s v="Yes"/>
    <d v="2022-05-12T21:24:39"/>
    <s v="Failed"/>
    <s v="Didn't pass technical test"/>
    <m/>
    <m/>
    <m/>
    <m/>
    <d v="2022-05-13T21:24:39"/>
    <m/>
    <n v="0"/>
    <m/>
    <m/>
    <m/>
    <m/>
    <s v="Company"/>
    <m/>
    <m/>
    <m/>
    <n v="4"/>
    <n v="14"/>
    <n v="10"/>
    <x v="16"/>
    <n v="1"/>
    <d v="2022-08-11T21:24:39"/>
    <s v=""/>
    <s v=""/>
    <s v=""/>
    <m/>
    <m/>
    <m/>
    <m/>
    <m/>
    <m/>
    <m/>
    <m/>
    <m/>
    <m/>
  </r>
  <r>
    <n v="1620"/>
    <s v="1620 | HR"/>
    <x v="5"/>
    <s v="HR - Manager Level"/>
    <s v="Specialist"/>
    <s v="HR-Specialist"/>
    <s v="Manager Level"/>
    <d v="2022-10-22T22:49:43"/>
    <d v="2022-10-23T22:49:43"/>
    <s v="Yes"/>
    <d v="2022-11-06T22:49:43"/>
    <s v="Failed"/>
    <s v="Not a culture fit"/>
    <m/>
    <m/>
    <m/>
    <m/>
    <d v="2022-11-10T22:49:43"/>
    <m/>
    <n v="0"/>
    <m/>
    <m/>
    <m/>
    <m/>
    <s v="Company"/>
    <m/>
    <m/>
    <m/>
    <n v="1"/>
    <n v="15"/>
    <n v="14"/>
    <x v="13"/>
    <n v="4"/>
    <d v="2023-02-08T22:49:43"/>
    <s v=""/>
    <s v=""/>
    <s v=""/>
    <m/>
    <m/>
    <m/>
    <m/>
    <m/>
    <m/>
    <m/>
    <m/>
    <m/>
    <m/>
  </r>
  <r>
    <n v="1617"/>
    <s v="1617 | HR"/>
    <x v="5"/>
    <s v="HR - Manager Level"/>
    <s v="Specialist"/>
    <s v="HR-Specialist"/>
    <s v="Manager Level"/>
    <d v="2022-10-18T22:49:43"/>
    <d v="2022-10-19T22:49:43"/>
    <s v="Yes"/>
    <d v="2022-11-08T22:49:43"/>
    <s v="Failed"/>
    <s v="Salary expectation too high"/>
    <m/>
    <m/>
    <m/>
    <m/>
    <d v="2022-11-10T22:49:43"/>
    <m/>
    <n v="0"/>
    <m/>
    <m/>
    <m/>
    <m/>
    <s v="Company"/>
    <m/>
    <m/>
    <m/>
    <n v="1"/>
    <n v="21"/>
    <n v="20"/>
    <x v="3"/>
    <n v="2"/>
    <d v="2023-02-08T22:49:43"/>
    <s v=""/>
    <s v=""/>
    <s v=""/>
    <m/>
    <m/>
    <m/>
    <m/>
    <m/>
    <m/>
    <m/>
    <m/>
    <m/>
    <m/>
  </r>
  <r>
    <n v="1614"/>
    <s v="1614 | HR"/>
    <x v="5"/>
    <s v="HR - Manager Level"/>
    <s v="Specialist"/>
    <s v="HR-Specialist"/>
    <s v="Manager Level"/>
    <d v="2022-10-14T22:49:43"/>
    <d v="2022-10-18T22:49:43"/>
    <s v="Yes"/>
    <d v="2022-10-29T22:49:43"/>
    <s v="Failed"/>
    <s v="Not a culture fit"/>
    <m/>
    <m/>
    <m/>
    <m/>
    <d v="2022-11-02T22:49:43"/>
    <m/>
    <n v="0"/>
    <m/>
    <m/>
    <m/>
    <m/>
    <s v="Company"/>
    <m/>
    <m/>
    <m/>
    <n v="4"/>
    <n v="15"/>
    <n v="11"/>
    <x v="13"/>
    <n v="4"/>
    <d v="2023-01-31T22:49:43"/>
    <s v=""/>
    <s v=""/>
    <s v=""/>
    <m/>
    <m/>
    <m/>
    <m/>
    <m/>
    <m/>
    <m/>
    <m/>
    <m/>
    <m/>
  </r>
  <r>
    <n v="1600"/>
    <s v="1600 | HR"/>
    <x v="5"/>
    <s v="HR - Manager Level"/>
    <s v="Manager"/>
    <s v="HR-Manager"/>
    <s v="Manager Level"/>
    <d v="2023-03-08T03:56:27"/>
    <d v="2023-03-12T03:56:27"/>
    <s v="Yes"/>
    <d v="2023-03-27T03:56:27"/>
    <s v="Failed"/>
    <s v="Position filled by another"/>
    <m/>
    <m/>
    <m/>
    <m/>
    <d v="2023-03-30T03:56:27"/>
    <m/>
    <n v="0"/>
    <m/>
    <m/>
    <m/>
    <m/>
    <s v="Candidate"/>
    <m/>
    <m/>
    <m/>
    <n v="4"/>
    <n v="19"/>
    <n v="15"/>
    <x v="7"/>
    <n v="3"/>
    <d v="2023-06-28T03:56:27"/>
    <s v=""/>
    <s v=""/>
    <s v=""/>
    <m/>
    <m/>
    <m/>
    <m/>
    <m/>
    <m/>
    <m/>
    <m/>
    <m/>
    <m/>
  </r>
  <r>
    <n v="1598"/>
    <s v="1598 | HR"/>
    <x v="5"/>
    <s v="HR - Manager Level"/>
    <s v="Manager"/>
    <s v="HR-Manager"/>
    <s v="Manager Level"/>
    <d v="2023-03-10T03:56:27"/>
    <d v="2023-03-13T03:56:27"/>
    <s v="Yes"/>
    <d v="2023-03-26T03:56:27"/>
    <s v="Failed"/>
    <s v="Other"/>
    <m/>
    <m/>
    <m/>
    <m/>
    <d v="2023-03-29T03:56:27"/>
    <m/>
    <n v="0"/>
    <m/>
    <m/>
    <m/>
    <m/>
    <s v="Company"/>
    <m/>
    <m/>
    <m/>
    <n v="3"/>
    <n v="16"/>
    <n v="13"/>
    <x v="13"/>
    <n v="3"/>
    <d v="2023-06-27T03:56:27"/>
    <s v=""/>
    <s v=""/>
    <s v=""/>
    <m/>
    <m/>
    <m/>
    <m/>
    <m/>
    <m/>
    <m/>
    <m/>
    <m/>
    <m/>
  </r>
  <r>
    <n v="1580"/>
    <s v="1580 | HR"/>
    <x v="5"/>
    <s v="HR - Manager Level"/>
    <s v="Manager"/>
    <s v="HR-Manager"/>
    <s v="Manager Level"/>
    <d v="2022-09-03T17:35:38"/>
    <d v="2022-09-07T17:35:38"/>
    <s v="Yes"/>
    <d v="2022-09-14T17:35:38"/>
    <s v="Failed"/>
    <s v="Didn't pass technical test"/>
    <m/>
    <m/>
    <m/>
    <m/>
    <d v="2022-09-16T17:35:38"/>
    <m/>
    <n v="0"/>
    <m/>
    <m/>
    <m/>
    <m/>
    <s v="Candidate"/>
    <m/>
    <m/>
    <m/>
    <n v="4"/>
    <n v="11"/>
    <n v="7"/>
    <x v="8"/>
    <n v="2"/>
    <d v="2022-12-15T17:35:38"/>
    <s v=""/>
    <s v=""/>
    <s v=""/>
    <m/>
    <m/>
    <m/>
    <m/>
    <m/>
    <m/>
    <m/>
    <m/>
    <m/>
    <m/>
  </r>
  <r>
    <n v="1571"/>
    <s v="1571 | HR"/>
    <x v="5"/>
    <s v="HR - Manager Level"/>
    <s v="Manager"/>
    <s v="HR-Manager"/>
    <s v="Manager Level"/>
    <d v="2022-09-04T17:35:38"/>
    <d v="2022-09-08T17:35:38"/>
    <s v="Yes"/>
    <d v="2022-09-23T17:35:38"/>
    <s v="Failed"/>
    <s v="Not a culture fit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1537"/>
    <s v="1537 | HR"/>
    <x v="5"/>
    <s v="HR - Manager Level"/>
    <s v="Manager"/>
    <s v="HR-Manager"/>
    <s v="Manager Level"/>
    <d v="2023-05-04T13:06:51"/>
    <d v="2023-05-08T13:06:51"/>
    <s v="Yes"/>
    <d v="2023-05-19T13:06:51"/>
    <s v="Failed"/>
    <s v="Not a culture fit"/>
    <m/>
    <m/>
    <m/>
    <m/>
    <d v="2023-05-22T13:06:51"/>
    <m/>
    <n v="0"/>
    <m/>
    <m/>
    <m/>
    <m/>
    <s v="Candidate"/>
    <m/>
    <m/>
    <m/>
    <n v="4"/>
    <n v="15"/>
    <n v="11"/>
    <x v="12"/>
    <n v="3"/>
    <d v="2023-08-20T13:06:51"/>
    <s v=""/>
    <s v=""/>
    <s v=""/>
    <m/>
    <m/>
    <m/>
    <m/>
    <m/>
    <m/>
    <m/>
    <m/>
    <m/>
    <m/>
  </r>
  <r>
    <n v="1535"/>
    <s v="1535 | HR"/>
    <x v="5"/>
    <s v="HR - Manager Level"/>
    <s v="Manager"/>
    <s v="HR-Manager"/>
    <s v="Manager Level"/>
    <d v="2023-05-10T13:06:51"/>
    <d v="2023-05-13T13:06:51"/>
    <s v="Yes"/>
    <d v="2023-05-25T13:06:51"/>
    <s v="Failed"/>
    <s v="Salary expectation too high"/>
    <m/>
    <m/>
    <m/>
    <m/>
    <d v="2023-05-27T13:06:51"/>
    <m/>
    <n v="0"/>
    <m/>
    <m/>
    <m/>
    <m/>
    <s v="Candidate"/>
    <m/>
    <m/>
    <m/>
    <n v="3"/>
    <n v="15"/>
    <n v="12"/>
    <x v="14"/>
    <n v="2"/>
    <d v="2023-08-25T13:06:51"/>
    <s v=""/>
    <s v=""/>
    <s v=""/>
    <m/>
    <m/>
    <m/>
    <m/>
    <m/>
    <m/>
    <m/>
    <m/>
    <m/>
    <m/>
  </r>
  <r>
    <n v="1496"/>
    <s v="1496 | HR"/>
    <x v="5"/>
    <s v="HR - Manager Level"/>
    <s v="Manager"/>
    <s v="HR-Manager"/>
    <s v="Manager Level"/>
    <d v="2022-05-14T13:40:01"/>
    <d v="2022-05-15T13:40:01"/>
    <s v="Yes"/>
    <d v="2022-05-23T13:40:01"/>
    <s v="Failed"/>
    <s v="Didn't pass technical test"/>
    <m/>
    <m/>
    <m/>
    <m/>
    <d v="2022-05-27T13:40:01"/>
    <m/>
    <n v="0"/>
    <m/>
    <m/>
    <m/>
    <m/>
    <s v="Company"/>
    <m/>
    <m/>
    <m/>
    <n v="1"/>
    <n v="9"/>
    <n v="8"/>
    <x v="8"/>
    <n v="4"/>
    <d v="2022-08-25T13:40:01"/>
    <s v=""/>
    <s v=""/>
    <s v=""/>
    <m/>
    <m/>
    <m/>
    <m/>
    <m/>
    <m/>
    <m/>
    <m/>
    <m/>
    <m/>
  </r>
  <r>
    <n v="1493"/>
    <s v="1493 | HR"/>
    <x v="5"/>
    <s v="HR - Manager Level"/>
    <s v="Manager"/>
    <s v="HR-Manager"/>
    <s v="Manager Level"/>
    <d v="2022-05-16T13:40:01"/>
    <d v="2022-05-17T13:40:01"/>
    <s v="Yes"/>
    <d v="2022-05-27T13:40:01"/>
    <s v="Failed"/>
    <s v="Didn't pass technical tes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1492"/>
    <s v="1492 | HR"/>
    <x v="5"/>
    <s v="HR - Manager Level"/>
    <s v="Manager"/>
    <s v="HR-Manager"/>
    <s v="Manager Level"/>
    <d v="2022-05-14T13:40:01"/>
    <d v="2022-05-18T13:40:01"/>
    <s v="Yes"/>
    <d v="2022-06-04T13:40:01"/>
    <s v="Failed"/>
    <s v="Other"/>
    <m/>
    <m/>
    <m/>
    <m/>
    <d v="2022-06-07T13:40:01"/>
    <m/>
    <n v="0"/>
    <m/>
    <m/>
    <m/>
    <m/>
    <s v="Company"/>
    <m/>
    <m/>
    <m/>
    <n v="4"/>
    <n v="21"/>
    <n v="17"/>
    <x v="21"/>
    <n v="3"/>
    <d v="2022-09-05T13:40:01"/>
    <s v=""/>
    <s v=""/>
    <s v=""/>
    <m/>
    <m/>
    <m/>
    <m/>
    <m/>
    <m/>
    <m/>
    <m/>
    <m/>
    <m/>
  </r>
  <r>
    <n v="1362"/>
    <s v="1362 | HR"/>
    <x v="5"/>
    <s v="HR - Manager Level"/>
    <s v="Manager"/>
    <s v="HR-Manager"/>
    <s v="Manager Level"/>
    <d v="2022-10-18T03:55:53"/>
    <d v="2022-10-19T03:55:53"/>
    <s v="Yes"/>
    <d v="2022-11-03T03:55:53"/>
    <s v="Failed"/>
    <s v="Position filled by another"/>
    <m/>
    <m/>
    <m/>
    <m/>
    <m/>
    <m/>
    <n v="0"/>
    <m/>
    <m/>
    <m/>
    <m/>
    <s v="Company"/>
    <m/>
    <m/>
    <m/>
    <n v="1"/>
    <n v="16"/>
    <n v="15"/>
    <x v="0"/>
    <s v=""/>
    <s v=""/>
    <s v=""/>
    <s v=""/>
    <s v=""/>
    <m/>
    <m/>
    <m/>
    <m/>
    <m/>
    <m/>
    <m/>
    <m/>
    <m/>
    <m/>
  </r>
  <r>
    <n v="1361"/>
    <s v="1361 | HR"/>
    <x v="5"/>
    <s v="HR - Manager Level"/>
    <s v="Manager"/>
    <s v="HR-Manager"/>
    <s v="Manager Level"/>
    <d v="2022-10-15T03:55:53"/>
    <d v="2022-10-16T03:55:53"/>
    <s v="Yes"/>
    <d v="2022-10-30T03:55:53"/>
    <s v="Failed"/>
    <s v="Didn't pass technical test"/>
    <m/>
    <m/>
    <m/>
    <m/>
    <m/>
    <m/>
    <n v="0"/>
    <m/>
    <m/>
    <m/>
    <m/>
    <s v="Candidate"/>
    <m/>
    <m/>
    <m/>
    <n v="1"/>
    <n v="15"/>
    <n v="14"/>
    <x v="0"/>
    <s v=""/>
    <s v=""/>
    <s v=""/>
    <s v=""/>
    <s v=""/>
    <m/>
    <m/>
    <m/>
    <m/>
    <m/>
    <m/>
    <m/>
    <m/>
    <m/>
    <m/>
  </r>
  <r>
    <n v="1218"/>
    <s v="1218 | HR"/>
    <x v="5"/>
    <s v="HR - Manager Level"/>
    <s v="Manager"/>
    <s v="HR-Manager"/>
    <s v="Manager Level"/>
    <d v="2023-07-28T00:06:13"/>
    <d v="2023-07-30T00:06:13"/>
    <s v="Yes"/>
    <d v="2023-08-16T00:06:13"/>
    <s v="Failed"/>
    <s v="Position filled by another"/>
    <m/>
    <m/>
    <m/>
    <m/>
    <d v="2023-08-18T00:06:13"/>
    <m/>
    <n v="0"/>
    <m/>
    <m/>
    <m/>
    <m/>
    <s v="Company"/>
    <m/>
    <m/>
    <m/>
    <n v="2"/>
    <n v="19"/>
    <n v="17"/>
    <x v="19"/>
    <n v="2"/>
    <d v="2023-11-16T00:06:13"/>
    <s v=""/>
    <s v=""/>
    <s v=""/>
    <m/>
    <m/>
    <m/>
    <m/>
    <m/>
    <m/>
    <m/>
    <m/>
    <m/>
    <m/>
  </r>
  <r>
    <n v="1190"/>
    <s v="1190 | HR"/>
    <x v="5"/>
    <s v="HR - Manager Level"/>
    <s v="Manager"/>
    <s v="HR-Manager"/>
    <s v="Manager Level"/>
    <d v="2023-05-26T18:50:13"/>
    <d v="2023-05-28T18:50:13"/>
    <s v="Yes"/>
    <d v="2023-06-09T18:50:13"/>
    <s v="Failed"/>
    <s v="Other"/>
    <m/>
    <m/>
    <m/>
    <m/>
    <d v="2023-06-10T18:50:13"/>
    <m/>
    <n v="0"/>
    <m/>
    <m/>
    <m/>
    <m/>
    <s v="Company"/>
    <m/>
    <m/>
    <m/>
    <n v="2"/>
    <n v="14"/>
    <n v="12"/>
    <x v="16"/>
    <n v="1"/>
    <d v="2023-09-08T18:50:13"/>
    <s v=""/>
    <s v=""/>
    <s v=""/>
    <m/>
    <m/>
    <m/>
    <m/>
    <m/>
    <m/>
    <m/>
    <m/>
    <m/>
    <m/>
  </r>
  <r>
    <n v="1187"/>
    <s v="1187 | HR"/>
    <x v="5"/>
    <s v="HR - Manager Level"/>
    <s v="Manager"/>
    <s v="HR-Manager"/>
    <s v="Manager Level"/>
    <d v="2023-05-31T18:50:13"/>
    <d v="2023-06-01T18:50:13"/>
    <s v="Yes"/>
    <d v="2023-06-10T18:50:13"/>
    <s v="Failed"/>
    <s v="Not a culture fit"/>
    <m/>
    <m/>
    <m/>
    <m/>
    <d v="2023-06-14T18:50:13"/>
    <m/>
    <n v="0"/>
    <m/>
    <m/>
    <m/>
    <m/>
    <s v="Candidate"/>
    <m/>
    <m/>
    <m/>
    <n v="1"/>
    <n v="10"/>
    <n v="9"/>
    <x v="1"/>
    <n v="4"/>
    <d v="2023-09-12T18:50:13"/>
    <s v=""/>
    <s v=""/>
    <s v=""/>
    <m/>
    <m/>
    <m/>
    <m/>
    <m/>
    <m/>
    <m/>
    <m/>
    <m/>
    <m/>
  </r>
  <r>
    <n v="1121"/>
    <s v="1121 | HR"/>
    <x v="5"/>
    <s v="HR - Manager Level"/>
    <s v="Manager"/>
    <s v="HR-Manager"/>
    <s v="Manager Level"/>
    <d v="2023-06-21T13:28:38"/>
    <d v="2023-06-23T13:28:38"/>
    <s v="Yes"/>
    <d v="2023-07-01T13:28:38"/>
    <s v="Failed"/>
    <s v="Didn't pass technical test"/>
    <m/>
    <m/>
    <m/>
    <m/>
    <m/>
    <m/>
    <n v="0"/>
    <m/>
    <m/>
    <m/>
    <m/>
    <s v="Company"/>
    <m/>
    <m/>
    <m/>
    <n v="2"/>
    <n v="10"/>
    <n v="8"/>
    <x v="0"/>
    <s v=""/>
    <s v=""/>
    <s v=""/>
    <s v=""/>
    <s v=""/>
    <m/>
    <m/>
    <m/>
    <m/>
    <m/>
    <m/>
    <m/>
    <m/>
    <m/>
    <m/>
  </r>
  <r>
    <n v="1083"/>
    <s v="1083 | HR"/>
    <x v="5"/>
    <s v="HR - Manager Level"/>
    <s v="Manager"/>
    <s v="HR-Manager"/>
    <s v="Manager Level"/>
    <d v="2022-11-28T23:25:45"/>
    <d v="2022-12-02T23:25:45"/>
    <s v="Yes"/>
    <d v="2022-12-08T23:25:45"/>
    <s v="Failed"/>
    <s v="Didn't pass technical test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2949"/>
    <s v="2949 | HR"/>
    <x v="5"/>
    <s v="HR - Junior"/>
    <s v="Screening Associate"/>
    <s v="HR-Screening Associate"/>
    <s v="Junior"/>
    <d v="2022-06-12T11:38:00"/>
    <d v="2022-06-15T11:38:00"/>
    <s v="Yes"/>
    <d v="2022-07-01T11:38:00"/>
    <s v="Failed"/>
    <s v="Position filled by another"/>
    <m/>
    <m/>
    <m/>
    <m/>
    <d v="2022-07-04T11:38:00"/>
    <m/>
    <n v="0"/>
    <m/>
    <m/>
    <m/>
    <m/>
    <s v="Company"/>
    <m/>
    <m/>
    <m/>
    <n v="3"/>
    <n v="19"/>
    <n v="16"/>
    <x v="7"/>
    <n v="3"/>
    <d v="2022-10-02T11:38:00"/>
    <s v=""/>
    <s v=""/>
    <s v=""/>
    <m/>
    <m/>
    <m/>
    <m/>
    <m/>
    <m/>
    <m/>
    <m/>
    <m/>
    <m/>
  </r>
  <r>
    <n v="2945"/>
    <s v="2945 | HR"/>
    <x v="5"/>
    <s v="HR - Junior"/>
    <s v="Screening Associate"/>
    <s v="HR-Screening Associate"/>
    <s v="Junior"/>
    <d v="2022-06-12T11:38:00"/>
    <d v="2022-06-14T11:38:00"/>
    <s v="Yes"/>
    <d v="2022-07-05T11:38:00"/>
    <s v="Declined"/>
    <m/>
    <d v="2022-07-11T11:38:00"/>
    <s v="Declined"/>
    <m/>
    <m/>
    <d v="2022-07-09T11:38:00"/>
    <m/>
    <n v="0"/>
    <m/>
    <m/>
    <m/>
    <m/>
    <m/>
    <m/>
    <m/>
    <m/>
    <n v="2"/>
    <n v="23"/>
    <n v="21"/>
    <x v="18"/>
    <n v="4"/>
    <d v="2022-10-07T11:38:00"/>
    <s v=""/>
    <s v=""/>
    <s v=""/>
    <m/>
    <m/>
    <m/>
    <m/>
    <m/>
    <m/>
    <m/>
    <m/>
    <m/>
    <m/>
  </r>
  <r>
    <n v="2944"/>
    <s v="2944 | HR"/>
    <x v="5"/>
    <s v="HR - Junior"/>
    <s v="Screening Associate"/>
    <s v="HR-Screening Associate"/>
    <s v="Junior"/>
    <d v="2022-06-14T11:38:00"/>
    <d v="2022-06-18T11:38:00"/>
    <s v="Yes"/>
    <d v="2022-06-26T11:38:00"/>
    <s v="Pending"/>
    <m/>
    <d v="2022-07-02T11:38:00"/>
    <s v="Pending"/>
    <m/>
    <m/>
    <d v="2022-06-29T11:38:00"/>
    <m/>
    <n v="0"/>
    <m/>
    <m/>
    <m/>
    <m/>
    <m/>
    <m/>
    <m/>
    <m/>
    <n v="4"/>
    <n v="12"/>
    <n v="8"/>
    <x v="16"/>
    <n v="3"/>
    <d v="2022-09-27T11:38:00"/>
    <s v=""/>
    <s v=""/>
    <s v=""/>
    <m/>
    <m/>
    <m/>
    <m/>
    <m/>
    <m/>
    <m/>
    <m/>
    <m/>
    <m/>
  </r>
  <r>
    <n v="2899"/>
    <s v="2899 | HR"/>
    <x v="5"/>
    <s v="HR - Junior"/>
    <s v="Screening Associate"/>
    <s v="HR-Screening Associate"/>
    <s v="Junior"/>
    <d v="2023-02-06T16:21:51"/>
    <d v="2023-02-08T16:21:51"/>
    <s v="Yes"/>
    <d v="2023-02-28T16:21:51"/>
    <s v="Declined"/>
    <m/>
    <d v="2023-03-05T16:21:51"/>
    <s v="Declined"/>
    <m/>
    <m/>
    <d v="2023-03-02T16:21:51"/>
    <m/>
    <n v="0"/>
    <m/>
    <m/>
    <m/>
    <m/>
    <m/>
    <m/>
    <m/>
    <m/>
    <n v="2"/>
    <n v="22"/>
    <n v="20"/>
    <x v="21"/>
    <n v="2"/>
    <d v="2023-05-31T16:21:51"/>
    <s v=""/>
    <s v=""/>
    <s v=""/>
    <m/>
    <m/>
    <m/>
    <m/>
    <m/>
    <m/>
    <m/>
    <m/>
    <m/>
    <m/>
  </r>
  <r>
    <n v="2898"/>
    <s v="2898 | HR"/>
    <x v="5"/>
    <s v="HR - Junior"/>
    <s v="Screening Associate"/>
    <s v="HR-Screening Associate"/>
    <s v="Junior"/>
    <d v="2023-02-03T16:21:51"/>
    <d v="2023-02-06T16:21:51"/>
    <s v="Yes"/>
    <d v="2023-02-17T16:21:51"/>
    <s v="Declined"/>
    <m/>
    <d v="2023-02-22T16:21:51"/>
    <s v="Declined"/>
    <m/>
    <m/>
    <d v="2023-02-19T16:21:51"/>
    <m/>
    <n v="0"/>
    <m/>
    <m/>
    <m/>
    <m/>
    <m/>
    <m/>
    <m/>
    <m/>
    <n v="3"/>
    <n v="14"/>
    <n v="11"/>
    <x v="20"/>
    <n v="2"/>
    <d v="2023-05-20T16:21:51"/>
    <s v=""/>
    <s v=""/>
    <s v=""/>
    <m/>
    <m/>
    <m/>
    <m/>
    <m/>
    <m/>
    <m/>
    <m/>
    <m/>
    <m/>
  </r>
  <r>
    <n v="2727"/>
    <s v="2727 | HR"/>
    <x v="5"/>
    <s v="HR - Junior"/>
    <s v="Screening Associate"/>
    <s v="HR-Screening Associate"/>
    <s v="Junior"/>
    <d v="2023-05-17T05:58:29"/>
    <d v="2023-05-19T05:58:29"/>
    <s v="Yes"/>
    <d v="2023-06-07T05:58:29"/>
    <s v="Declined"/>
    <m/>
    <d v="2023-06-10T05:58:29"/>
    <s v="Declined"/>
    <m/>
    <m/>
    <d v="2023-06-09T05:58:29"/>
    <m/>
    <n v="0"/>
    <m/>
    <m/>
    <m/>
    <m/>
    <m/>
    <m/>
    <m/>
    <m/>
    <n v="2"/>
    <n v="21"/>
    <n v="19"/>
    <x v="3"/>
    <n v="2"/>
    <d v="2023-09-07T05:58:29"/>
    <s v=""/>
    <s v=""/>
    <s v=""/>
    <m/>
    <m/>
    <m/>
    <m/>
    <m/>
    <m/>
    <m/>
    <m/>
    <m/>
    <m/>
  </r>
  <r>
    <n v="2722"/>
    <s v="2722 | HR"/>
    <x v="5"/>
    <s v="HR - Junior"/>
    <s v="Screening Associate"/>
    <s v="HR-Screening Associate"/>
    <s v="Junior"/>
    <d v="2023-05-15T05:58:29"/>
    <d v="2023-05-19T05:58:29"/>
    <s v="Yes"/>
    <d v="2023-05-29T05:58:29"/>
    <s v="Failed"/>
    <s v="Not a culture fit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2646"/>
    <s v="2646 | HR"/>
    <x v="5"/>
    <s v="HR - Junior"/>
    <s v="Screening Associate"/>
    <s v="HR-Screening Associate"/>
    <s v="Junior"/>
    <d v="2022-01-25T14:06:06"/>
    <d v="2022-01-26T14:06:06"/>
    <s v="Yes"/>
    <d v="2022-02-09T14:06:06"/>
    <s v="Accepted"/>
    <m/>
    <d v="2022-02-15T14:06:06"/>
    <s v="Accepted"/>
    <d v="2022-02-11T14:06:06"/>
    <d v="2022-02-14T14:06:06"/>
    <d v="2022-02-11T14:06:06"/>
    <d v="2022-02-15T14:06:06"/>
    <n v="1"/>
    <d v="2022-02-16T14:06:06"/>
    <d v="2022-02-18T14:06:06"/>
    <d v="2022-02-20T14:06:06"/>
    <m/>
    <m/>
    <d v="2022-03-04T14:06:06"/>
    <m/>
    <m/>
    <n v="1"/>
    <n v="15"/>
    <n v="14"/>
    <x v="14"/>
    <n v="2"/>
    <d v="2022-05-12T14:06:06"/>
    <n v="1"/>
    <n v="21"/>
    <n v="9"/>
    <m/>
    <m/>
    <m/>
    <m/>
    <m/>
    <m/>
    <m/>
    <m/>
    <m/>
    <m/>
  </r>
  <r>
    <n v="2586"/>
    <s v="2586 | HR"/>
    <x v="5"/>
    <s v="HR - Junior"/>
    <s v="Screening Associate"/>
    <s v="HR-Screening Associate"/>
    <s v="Junior"/>
    <d v="2022-08-11T00:55:27"/>
    <d v="2022-08-13T00:55:27"/>
    <s v="Yes"/>
    <d v="2022-08-24T00:55:27"/>
    <s v="Failed"/>
    <s v="Not a culture fit"/>
    <m/>
    <m/>
    <m/>
    <m/>
    <d v="2022-08-27T00:55:27"/>
    <m/>
    <n v="0"/>
    <m/>
    <m/>
    <m/>
    <m/>
    <s v="Candidate"/>
    <m/>
    <m/>
    <m/>
    <n v="2"/>
    <n v="13"/>
    <n v="11"/>
    <x v="20"/>
    <n v="3"/>
    <d v="2022-11-25T00:55:27"/>
    <s v=""/>
    <s v=""/>
    <s v=""/>
    <m/>
    <m/>
    <m/>
    <m/>
    <m/>
    <m/>
    <m/>
    <m/>
    <m/>
    <m/>
  </r>
  <r>
    <n v="2414"/>
    <s v="2414 | HR"/>
    <x v="5"/>
    <s v="HR - Junior"/>
    <s v="Screening Associate"/>
    <s v="HR-Screening Associate"/>
    <s v="Junior"/>
    <d v="2023-03-23T14:35:51"/>
    <d v="2023-03-27T14:35:51"/>
    <s v="Yes"/>
    <d v="2023-04-16T14:35:51"/>
    <s v="Failed"/>
    <s v="Other"/>
    <m/>
    <m/>
    <m/>
    <m/>
    <m/>
    <m/>
    <n v="0"/>
    <m/>
    <m/>
    <m/>
    <m/>
    <s v="Company"/>
    <m/>
    <m/>
    <m/>
    <n v="4"/>
    <n v="24"/>
    <n v="20"/>
    <x v="0"/>
    <s v=""/>
    <s v=""/>
    <s v=""/>
    <s v=""/>
    <s v=""/>
    <m/>
    <m/>
    <m/>
    <m/>
    <m/>
    <m/>
    <m/>
    <m/>
    <m/>
    <m/>
  </r>
  <r>
    <n v="2145"/>
    <s v="2145 | HR"/>
    <x v="5"/>
    <s v="HR - Junior"/>
    <s v="Screening Associate"/>
    <s v="HR-Screening Associate"/>
    <s v="Junior"/>
    <d v="2022-07-05T19:56:24"/>
    <d v="2022-07-07T19:56:24"/>
    <s v="Yes"/>
    <d v="2022-07-25T19:56:24"/>
    <s v="Failed"/>
    <s v="Position filled by another"/>
    <m/>
    <m/>
    <m/>
    <m/>
    <d v="2022-07-26T19:56:24"/>
    <m/>
    <n v="0"/>
    <m/>
    <m/>
    <m/>
    <m/>
    <s v="Company"/>
    <m/>
    <m/>
    <m/>
    <n v="2"/>
    <n v="20"/>
    <n v="18"/>
    <x v="19"/>
    <n v="1"/>
    <d v="2022-10-24T19:56:24"/>
    <s v=""/>
    <s v=""/>
    <s v=""/>
    <m/>
    <m/>
    <m/>
    <m/>
    <m/>
    <m/>
    <m/>
    <m/>
    <m/>
    <m/>
  </r>
  <r>
    <n v="1912"/>
    <s v="1912 | HR"/>
    <x v="5"/>
    <s v="HR - Junior"/>
    <s v="Screening Associate"/>
    <s v="HR-Screening Associate"/>
    <s v="Junior"/>
    <d v="2022-05-03T21:24:39"/>
    <d v="2022-05-04T21:24:39"/>
    <s v="Yes"/>
    <d v="2022-05-15T21:24:39"/>
    <s v="Failed"/>
    <s v="Didn't pass technical test"/>
    <m/>
    <m/>
    <m/>
    <m/>
    <d v="2022-05-16T21:24:39"/>
    <m/>
    <n v="0"/>
    <m/>
    <m/>
    <m/>
    <m/>
    <s v="Company"/>
    <m/>
    <m/>
    <m/>
    <n v="1"/>
    <n v="12"/>
    <n v="11"/>
    <x v="8"/>
    <n v="1"/>
    <d v="2022-08-14T21:24:39"/>
    <s v=""/>
    <s v=""/>
    <s v=""/>
    <m/>
    <m/>
    <m/>
    <m/>
    <m/>
    <m/>
    <m/>
    <m/>
    <m/>
    <m/>
  </r>
  <r>
    <n v="1908"/>
    <s v="1908 | HR"/>
    <x v="5"/>
    <s v="HR - Junior"/>
    <s v="Screening Associate"/>
    <s v="HR-Screening Associate"/>
    <s v="Junior"/>
    <d v="2023-03-10T16:28:31"/>
    <d v="2023-03-13T16:28:31"/>
    <s v="Yes"/>
    <d v="2023-03-29T16:28:31"/>
    <s v="Failed"/>
    <s v="Other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1741"/>
    <s v="1741 | HR"/>
    <x v="5"/>
    <s v="HR - Junior"/>
    <s v="Screening Associate"/>
    <s v="HR-Screening Associate"/>
    <s v="Junior"/>
    <d v="2023-01-20T19:09:14"/>
    <d v="2023-01-23T19:09:14"/>
    <s v="Yes"/>
    <d v="2023-02-11T19:09:14"/>
    <s v="Failed"/>
    <s v="Position filled by another"/>
    <m/>
    <m/>
    <m/>
    <m/>
    <d v="2023-02-13T19:09:14"/>
    <m/>
    <n v="0"/>
    <m/>
    <m/>
    <m/>
    <m/>
    <s v="Candidate"/>
    <m/>
    <m/>
    <m/>
    <n v="3"/>
    <n v="22"/>
    <n v="19"/>
    <x v="21"/>
    <n v="2"/>
    <d v="2023-05-14T19:09:14"/>
    <s v=""/>
    <s v=""/>
    <s v=""/>
    <m/>
    <m/>
    <m/>
    <m/>
    <m/>
    <m/>
    <m/>
    <m/>
    <m/>
    <m/>
  </r>
  <r>
    <n v="1611"/>
    <s v="1611 | HR"/>
    <x v="5"/>
    <s v="HR - Junior"/>
    <s v="Screening Associate"/>
    <s v="HR-Screening Associate"/>
    <s v="Junior"/>
    <d v="2022-10-17T22:49:43"/>
    <d v="2022-10-20T22:49:43"/>
    <s v="Yes"/>
    <d v="2022-11-05T22:49:43"/>
    <s v="Failed"/>
    <s v="Salary expectation too high"/>
    <m/>
    <m/>
    <m/>
    <m/>
    <d v="2022-11-07T22:49:43"/>
    <m/>
    <n v="0"/>
    <m/>
    <m/>
    <m/>
    <m/>
    <s v="Candidate"/>
    <m/>
    <m/>
    <m/>
    <n v="3"/>
    <n v="19"/>
    <n v="16"/>
    <x v="19"/>
    <n v="2"/>
    <d v="2023-02-05T22:49:43"/>
    <s v=""/>
    <s v=""/>
    <s v=""/>
    <m/>
    <m/>
    <m/>
    <m/>
    <m/>
    <m/>
    <m/>
    <m/>
    <m/>
    <m/>
  </r>
  <r>
    <n v="1540"/>
    <s v="1540 | HR"/>
    <x v="5"/>
    <s v="HR - Junior"/>
    <s v="Screening Associate"/>
    <s v="HR-Screening Associate"/>
    <s v="Junior"/>
    <d v="2023-05-07T13:06:51"/>
    <d v="2023-05-10T13:06:51"/>
    <s v="Yes"/>
    <d v="2023-05-23T13:06:51"/>
    <s v="Declined"/>
    <m/>
    <d v="2023-05-27T13:06:51"/>
    <s v="Declined"/>
    <m/>
    <m/>
    <d v="2023-05-26T13:06:51"/>
    <m/>
    <n v="0"/>
    <m/>
    <m/>
    <m/>
    <m/>
    <m/>
    <m/>
    <m/>
    <m/>
    <n v="3"/>
    <n v="16"/>
    <n v="13"/>
    <x v="13"/>
    <n v="3"/>
    <d v="2023-08-24T13:06:51"/>
    <s v=""/>
    <s v=""/>
    <s v=""/>
    <m/>
    <m/>
    <m/>
    <m/>
    <m/>
    <m/>
    <m/>
    <m/>
    <m/>
    <m/>
  </r>
  <r>
    <n v="1508"/>
    <s v="1508 | HR"/>
    <x v="5"/>
    <s v="HR - Junior"/>
    <s v="Screening Associate"/>
    <s v="HR-Screening Associate"/>
    <s v="Junior"/>
    <d v="2022-07-14T08:18:33"/>
    <d v="2022-07-15T08:18:33"/>
    <s v="Yes"/>
    <d v="2022-08-04T08:18:33"/>
    <s v="Failed"/>
    <s v="Not a culture fit"/>
    <m/>
    <m/>
    <m/>
    <m/>
    <m/>
    <m/>
    <n v="0"/>
    <m/>
    <m/>
    <m/>
    <m/>
    <s v="Candidate"/>
    <m/>
    <m/>
    <m/>
    <n v="1"/>
    <n v="21"/>
    <n v="20"/>
    <x v="0"/>
    <s v=""/>
    <s v=""/>
    <s v=""/>
    <s v=""/>
    <s v=""/>
    <m/>
    <m/>
    <m/>
    <m/>
    <m/>
    <m/>
    <m/>
    <m/>
    <m/>
    <m/>
  </r>
  <r>
    <n v="1505"/>
    <s v="1505 | HR"/>
    <x v="5"/>
    <s v="HR - Junior"/>
    <s v="Screening Associate"/>
    <s v="HR-Screening Associate"/>
    <s v="Junior"/>
    <d v="2022-07-14T08:18:33"/>
    <d v="2022-07-17T08:18:33"/>
    <s v="Yes"/>
    <d v="2022-08-01T08:18:33"/>
    <s v="Failed"/>
    <s v="Salary expectation too high"/>
    <m/>
    <m/>
    <m/>
    <m/>
    <d v="2022-08-03T08:18:33"/>
    <m/>
    <n v="0"/>
    <m/>
    <m/>
    <m/>
    <m/>
    <s v="Company"/>
    <m/>
    <m/>
    <m/>
    <n v="3"/>
    <n v="18"/>
    <n v="15"/>
    <x v="15"/>
    <n v="2"/>
    <d v="2022-11-01T08:18:33"/>
    <s v=""/>
    <s v=""/>
    <s v=""/>
    <m/>
    <m/>
    <m/>
    <m/>
    <m/>
    <m/>
    <m/>
    <m/>
    <m/>
    <m/>
  </r>
  <r>
    <n v="1500"/>
    <s v="1500 | HR"/>
    <x v="5"/>
    <s v="HR - Junior"/>
    <s v="Screening Associate"/>
    <s v="HR-Screening Associate"/>
    <s v="Junior"/>
    <d v="2022-05-13T13:40:01"/>
    <d v="2022-05-17T13:40:01"/>
    <s v="Yes"/>
    <d v="2022-05-28T13:40:01"/>
    <s v="Failed"/>
    <s v="Salary expectation too high"/>
    <m/>
    <m/>
    <m/>
    <m/>
    <d v="2022-05-30T13:40:01"/>
    <m/>
    <n v="0"/>
    <m/>
    <m/>
    <m/>
    <m/>
    <s v="Company"/>
    <m/>
    <m/>
    <m/>
    <n v="4"/>
    <n v="15"/>
    <n v="11"/>
    <x v="14"/>
    <n v="2"/>
    <d v="2022-08-28T13:40:01"/>
    <s v=""/>
    <s v=""/>
    <s v=""/>
    <m/>
    <m/>
    <m/>
    <m/>
    <m/>
    <m/>
    <m/>
    <m/>
    <m/>
    <m/>
  </r>
  <r>
    <n v="1499"/>
    <s v="1499 | HR"/>
    <x v="5"/>
    <s v="HR - Junior"/>
    <s v="Screening Associate"/>
    <s v="HR-Screening Associate"/>
    <s v="Junior"/>
    <d v="2022-05-17T13:40:01"/>
    <d v="2022-05-19T13:40:01"/>
    <s v="Yes"/>
    <d v="2022-05-28T13:40:01"/>
    <s v="Failed"/>
    <s v="Didn't pass technical test"/>
    <m/>
    <m/>
    <m/>
    <m/>
    <d v="2022-05-30T13:40:01"/>
    <m/>
    <n v="0"/>
    <m/>
    <m/>
    <m/>
    <m/>
    <s v="Candidate"/>
    <m/>
    <m/>
    <m/>
    <n v="2"/>
    <n v="11"/>
    <n v="9"/>
    <x v="8"/>
    <n v="2"/>
    <d v="2022-08-28T13:40:01"/>
    <s v=""/>
    <s v=""/>
    <s v=""/>
    <m/>
    <m/>
    <m/>
    <m/>
    <m/>
    <m/>
    <m/>
    <m/>
    <m/>
    <m/>
  </r>
  <r>
    <n v="1451"/>
    <s v="1451 | HR"/>
    <x v="5"/>
    <s v="HR - Junior"/>
    <s v="Screening Associate"/>
    <s v="HR-Screening Associate"/>
    <s v="Junior"/>
    <d v="2023-04-08T13:44:16"/>
    <d v="2023-04-11T13:44:16"/>
    <s v="Yes"/>
    <d v="2023-04-25T13:44:16"/>
    <s v="Failed"/>
    <s v="Didn't pass technical test"/>
    <m/>
    <m/>
    <m/>
    <m/>
    <d v="2023-04-29T13:44:16"/>
    <m/>
    <n v="0"/>
    <m/>
    <m/>
    <m/>
    <m/>
    <s v="Company"/>
    <m/>
    <m/>
    <m/>
    <n v="3"/>
    <n v="17"/>
    <n v="14"/>
    <x v="19"/>
    <n v="4"/>
    <d v="2023-07-28T13:44:16"/>
    <s v=""/>
    <s v=""/>
    <s v=""/>
    <m/>
    <m/>
    <m/>
    <m/>
    <m/>
    <m/>
    <m/>
    <m/>
    <m/>
    <m/>
  </r>
  <r>
    <n v="1366"/>
    <s v="1366 | HR"/>
    <x v="5"/>
    <s v="HR - Junior"/>
    <s v="Screening Associate"/>
    <s v="HR-Screening Associate"/>
    <s v="Junior"/>
    <d v="2022-10-20T03:55:53"/>
    <d v="2022-10-21T03:55:53"/>
    <s v="Yes"/>
    <d v="2022-10-31T03:55:53"/>
    <s v="Failed"/>
    <s v="Other"/>
    <m/>
    <m/>
    <m/>
    <m/>
    <d v="2022-11-02T03:55:53"/>
    <m/>
    <n v="0"/>
    <m/>
    <m/>
    <m/>
    <m/>
    <s v="Candidate"/>
    <m/>
    <m/>
    <m/>
    <n v="1"/>
    <n v="11"/>
    <n v="10"/>
    <x v="8"/>
    <n v="2"/>
    <d v="2023-01-31T03:55:53"/>
    <s v=""/>
    <s v=""/>
    <s v=""/>
    <m/>
    <m/>
    <m/>
    <m/>
    <m/>
    <m/>
    <m/>
    <m/>
    <m/>
    <m/>
  </r>
  <r>
    <n v="1319"/>
    <s v="1319 | HR"/>
    <x v="5"/>
    <s v="HR - Junior"/>
    <s v="Screening Associate"/>
    <s v="HR-Screening Associate"/>
    <s v="Junior"/>
    <d v="2023-08-09T05:35:37"/>
    <d v="2023-08-13T05:35:37"/>
    <s v="Yes"/>
    <d v="2023-08-27T05:35:37"/>
    <s v="Failed"/>
    <s v="Salary expectation too high"/>
    <m/>
    <m/>
    <m/>
    <m/>
    <d v="2023-08-31T05:35:37"/>
    <m/>
    <n v="0"/>
    <m/>
    <m/>
    <m/>
    <m/>
    <s v="Company"/>
    <m/>
    <m/>
    <m/>
    <n v="4"/>
    <n v="18"/>
    <n v="14"/>
    <x v="7"/>
    <n v="4"/>
    <d v="2023-11-29T05:35:37"/>
    <s v=""/>
    <s v=""/>
    <s v=""/>
    <m/>
    <m/>
    <m/>
    <m/>
    <m/>
    <m/>
    <m/>
    <m/>
    <m/>
    <m/>
  </r>
  <r>
    <n v="1311"/>
    <s v="1311 | HR"/>
    <x v="5"/>
    <s v="HR - Junior"/>
    <s v="Screening Associate"/>
    <s v="HR-Screening Associate"/>
    <s v="Junior"/>
    <d v="2023-08-12T05:35:37"/>
    <d v="2023-08-13T05:35:37"/>
    <s v="Yes"/>
    <d v="2023-08-27T05:35:37"/>
    <s v="Failed"/>
    <s v="Salary expectation too high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1279"/>
    <s v="1279 | HR"/>
    <x v="5"/>
    <s v="HR - Junior"/>
    <s v="Screening Associate"/>
    <s v="HR-Screening Associate"/>
    <s v="Junior"/>
    <d v="2022-05-31T02:35:25"/>
    <d v="2022-06-03T02:35:25"/>
    <s v="Yes"/>
    <d v="2022-06-11T02:35:25"/>
    <s v="Failed"/>
    <s v="Other"/>
    <m/>
    <m/>
    <m/>
    <m/>
    <d v="2022-06-13T02:35:25"/>
    <m/>
    <n v="0"/>
    <m/>
    <m/>
    <m/>
    <m/>
    <s v="Candidate"/>
    <m/>
    <m/>
    <m/>
    <n v="3"/>
    <n v="11"/>
    <n v="8"/>
    <x v="8"/>
    <n v="2"/>
    <d v="2022-09-11T02:35:25"/>
    <s v=""/>
    <s v=""/>
    <s v=""/>
    <m/>
    <m/>
    <m/>
    <m/>
    <m/>
    <m/>
    <m/>
    <m/>
    <m/>
    <m/>
  </r>
  <r>
    <n v="1169"/>
    <s v="1169 | HR"/>
    <x v="5"/>
    <s v="HR - Junior"/>
    <s v="Screening Associate"/>
    <s v="HR-Screening Associate"/>
    <s v="Junior"/>
    <d v="2023-02-11T20:47:13"/>
    <d v="2023-02-15T20:47:13"/>
    <s v="Yes"/>
    <d v="2023-02-28T20:47:13"/>
    <s v="Failed"/>
    <s v="Salary expectation too high"/>
    <m/>
    <m/>
    <m/>
    <m/>
    <m/>
    <m/>
    <n v="0"/>
    <m/>
    <m/>
    <m/>
    <m/>
    <s v="Company"/>
    <m/>
    <m/>
    <m/>
    <n v="4"/>
    <n v="17"/>
    <n v="13"/>
    <x v="0"/>
    <s v=""/>
    <s v=""/>
    <s v=""/>
    <s v=""/>
    <s v=""/>
    <m/>
    <m/>
    <m/>
    <m/>
    <m/>
    <m/>
    <m/>
    <m/>
    <m/>
    <m/>
  </r>
  <r>
    <n v="1166"/>
    <s v="1166 | HR"/>
    <x v="5"/>
    <s v="HR - Junior"/>
    <s v="Screening Associate"/>
    <s v="HR-Screening Associate"/>
    <s v="Junior"/>
    <d v="2023-02-07T20:47:13"/>
    <d v="2023-02-11T20:47:13"/>
    <s v="Yes"/>
    <d v="2023-02-24T20:47:13"/>
    <s v="Declined"/>
    <m/>
    <d v="2023-03-01T20:47:13"/>
    <s v="Declined"/>
    <m/>
    <m/>
    <d v="2023-02-26T20:47:13"/>
    <m/>
    <n v="0"/>
    <m/>
    <m/>
    <m/>
    <m/>
    <m/>
    <m/>
    <m/>
    <m/>
    <n v="4"/>
    <n v="17"/>
    <n v="13"/>
    <x v="13"/>
    <n v="2"/>
    <d v="2023-05-27T20:47:13"/>
    <s v=""/>
    <s v=""/>
    <s v=""/>
    <m/>
    <m/>
    <m/>
    <m/>
    <m/>
    <m/>
    <m/>
    <m/>
    <m/>
    <m/>
  </r>
  <r>
    <n v="1137"/>
    <s v="1137 | HR"/>
    <x v="5"/>
    <s v="HR - Junior"/>
    <s v="Screening Associate"/>
    <s v="HR-Screening Associate"/>
    <s v="Junior"/>
    <d v="2022-03-15T19:06:16"/>
    <d v="2022-03-17T19:06:16"/>
    <s v="Yes"/>
    <d v="2022-03-27T19:06:16"/>
    <s v="Declined"/>
    <m/>
    <d v="2022-03-30T19:06:16"/>
    <s v="Declined"/>
    <m/>
    <m/>
    <d v="2022-03-29T19:06:16"/>
    <m/>
    <n v="0"/>
    <m/>
    <m/>
    <m/>
    <m/>
    <m/>
    <m/>
    <m/>
    <m/>
    <n v="2"/>
    <n v="12"/>
    <n v="10"/>
    <x v="1"/>
    <n v="2"/>
    <d v="2022-06-27T19:06:16"/>
    <s v=""/>
    <s v=""/>
    <s v=""/>
    <m/>
    <m/>
    <m/>
    <m/>
    <m/>
    <m/>
    <m/>
    <m/>
    <m/>
    <m/>
  </r>
  <r>
    <n v="1133"/>
    <s v="1133 | HR"/>
    <x v="5"/>
    <s v="HR - Junior"/>
    <s v="Screening Associate"/>
    <s v="HR-Screening Associate"/>
    <s v="Junior"/>
    <d v="2022-03-14T19:06:16"/>
    <d v="2022-03-16T19:06:16"/>
    <s v="Yes"/>
    <d v="2022-03-29T19:06:16"/>
    <s v="Declined"/>
    <m/>
    <d v="2022-04-02T19:06:16"/>
    <s v="Declined"/>
    <m/>
    <m/>
    <d v="2022-04-01T19:06:16"/>
    <m/>
    <n v="0"/>
    <m/>
    <m/>
    <m/>
    <m/>
    <m/>
    <m/>
    <m/>
    <m/>
    <n v="2"/>
    <n v="15"/>
    <n v="13"/>
    <x v="12"/>
    <n v="3"/>
    <d v="2022-06-30T19:06:16"/>
    <s v=""/>
    <s v=""/>
    <s v=""/>
    <m/>
    <m/>
    <m/>
    <m/>
    <m/>
    <m/>
    <m/>
    <m/>
    <m/>
    <m/>
  </r>
  <r>
    <n v="1125"/>
    <s v="1125 | HR"/>
    <x v="5"/>
    <s v="HR - Junior"/>
    <s v="Screening Associate"/>
    <s v="HR-Screening Associate"/>
    <s v="Junior"/>
    <d v="2023-06-20T13:28:38"/>
    <d v="2023-06-22T13:28:38"/>
    <s v="Yes"/>
    <d v="2023-07-02T13:28:38"/>
    <s v="Accepted"/>
    <m/>
    <d v="2023-07-08T13:28:38"/>
    <s v="Accepted"/>
    <d v="2023-07-03T13:28:38"/>
    <d v="2023-07-06T13:28:38"/>
    <d v="2023-07-05T13:28:38"/>
    <d v="2023-07-07T13:28:38"/>
    <n v="1"/>
    <d v="2023-07-09T13:28:38"/>
    <d v="2023-07-11T13:28:38"/>
    <d v="2023-07-12T13:28:38"/>
    <m/>
    <m/>
    <d v="2023-07-28T13:28:38"/>
    <m/>
    <m/>
    <n v="2"/>
    <n v="12"/>
    <n v="10"/>
    <x v="16"/>
    <n v="3"/>
    <d v="2023-10-03T13:28:38"/>
    <n v="2"/>
    <n v="23"/>
    <n v="7"/>
    <m/>
    <m/>
    <m/>
    <m/>
    <m/>
    <m/>
    <m/>
    <m/>
    <m/>
    <m/>
  </r>
  <r>
    <n v="1124"/>
    <s v="1124 | HR"/>
    <x v="5"/>
    <s v="HR - Junior"/>
    <s v="Analyst"/>
    <s v="HR-Analyst"/>
    <s v="Junior"/>
    <d v="2023-06-19T13:28:38"/>
    <d v="2023-06-22T13:28:38"/>
    <s v="Yes"/>
    <d v="2023-06-28T13:28:38"/>
    <s v="Failed"/>
    <s v="Other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1090"/>
    <s v="1090 | HR"/>
    <x v="5"/>
    <s v="HR - Junior"/>
    <s v="Analyst"/>
    <s v="HR-Analyst"/>
    <s v="Junior"/>
    <d v="2022-11-26T23:25:45"/>
    <d v="2022-11-28T23:25:45"/>
    <s v="Yes"/>
    <d v="2022-12-19T23:25:45"/>
    <s v="Declined"/>
    <m/>
    <d v="2022-12-26T23:25:45"/>
    <s v="Declined"/>
    <m/>
    <m/>
    <d v="2022-12-22T23:25:45"/>
    <m/>
    <n v="0"/>
    <m/>
    <m/>
    <m/>
    <m/>
    <m/>
    <m/>
    <m/>
    <m/>
    <n v="2"/>
    <n v="23"/>
    <n v="21"/>
    <x v="25"/>
    <n v="3"/>
    <d v="2023-03-22T23:25:45"/>
    <s v=""/>
    <s v=""/>
    <s v=""/>
    <m/>
    <m/>
    <m/>
    <m/>
    <m/>
    <m/>
    <m/>
    <m/>
    <m/>
    <m/>
  </r>
  <r>
    <n v="1086"/>
    <s v="1086 | HR"/>
    <x v="5"/>
    <s v="HR - Junior"/>
    <s v="Analyst"/>
    <s v="HR-Analyst"/>
    <s v="Junior"/>
    <d v="2022-11-28T23:25:45"/>
    <d v="2022-12-01T23:25:45"/>
    <s v="Yes"/>
    <d v="2022-12-11T23:25:45"/>
    <s v="Failed"/>
    <s v="Salary expectation too high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1045"/>
    <s v="1045 | HR"/>
    <x v="5"/>
    <s v="HR - Junior"/>
    <s v="Analyst"/>
    <s v="HR-Analyst"/>
    <s v="Junior"/>
    <d v="2022-11-21T23:03:14"/>
    <d v="2022-11-23T23:03:14"/>
    <s v="Yes"/>
    <d v="2022-12-07T23:03:14"/>
    <s v="Failed"/>
    <s v="Salary expectation too high"/>
    <m/>
    <m/>
    <m/>
    <m/>
    <d v="2022-12-11T23:03:14"/>
    <m/>
    <n v="0"/>
    <m/>
    <m/>
    <m/>
    <m/>
    <s v="Candidate"/>
    <m/>
    <m/>
    <m/>
    <n v="2"/>
    <n v="16"/>
    <n v="14"/>
    <x v="15"/>
    <n v="4"/>
    <d v="2023-03-11T23:03:14"/>
    <s v=""/>
    <s v=""/>
    <s v=""/>
    <m/>
    <m/>
    <m/>
    <m/>
    <m/>
    <m/>
    <m/>
    <m/>
    <m/>
    <m/>
  </r>
  <r>
    <n v="1025"/>
    <s v="1025 | HR"/>
    <x v="5"/>
    <s v="HR - Junior"/>
    <s v="Analyst"/>
    <s v="HR-Analyst"/>
    <s v="Junior"/>
    <d v="2023-01-28T18:59:14"/>
    <d v="2023-01-31T18:59:14"/>
    <s v="Yes"/>
    <d v="2023-02-08T18:59:14"/>
    <s v="Pending"/>
    <m/>
    <d v="2023-02-11T18:59:14"/>
    <s v="Pending"/>
    <m/>
    <m/>
    <d v="2023-02-10T18:59:14"/>
    <m/>
    <n v="0"/>
    <m/>
    <m/>
    <m/>
    <m/>
    <m/>
    <m/>
    <m/>
    <m/>
    <n v="3"/>
    <n v="11"/>
    <n v="8"/>
    <x v="8"/>
    <n v="2"/>
    <d v="2023-05-11T18:59:14"/>
    <s v=""/>
    <s v=""/>
    <s v=""/>
    <m/>
    <m/>
    <m/>
    <m/>
    <m/>
    <m/>
    <m/>
    <m/>
    <m/>
    <m/>
  </r>
  <r>
    <n v="1021"/>
    <s v="1021 | HR"/>
    <x v="5"/>
    <s v="HR - Junior"/>
    <s v="Analyst"/>
    <s v="HR-Analyst"/>
    <s v="Junior"/>
    <d v="2023-01-29T18:59:14"/>
    <d v="2023-01-30T18:59:14"/>
    <s v="Yes"/>
    <d v="2023-02-16T18:59:14"/>
    <s v="Failed"/>
    <s v="Didn't pass technical test"/>
    <m/>
    <m/>
    <m/>
    <m/>
    <d v="2023-02-18T18:59:14"/>
    <m/>
    <n v="0"/>
    <m/>
    <m/>
    <m/>
    <m/>
    <s v="Company"/>
    <m/>
    <m/>
    <m/>
    <n v="1"/>
    <n v="18"/>
    <n v="17"/>
    <x v="15"/>
    <n v="2"/>
    <d v="2023-05-19T18:59:14"/>
    <s v=""/>
    <s v=""/>
    <s v=""/>
    <m/>
    <m/>
    <m/>
    <m/>
    <m/>
    <m/>
    <m/>
    <m/>
    <m/>
    <m/>
  </r>
  <r>
    <n v="2894"/>
    <s v="2894 | HR"/>
    <x v="5"/>
    <s v="HR - Associate"/>
    <s v="Quality Assurance"/>
    <s v="HR-Quality Assurance"/>
    <s v="Associate"/>
    <d v="2023-02-02T16:21:51"/>
    <d v="2023-02-04T16:21:51"/>
    <s v="Yes"/>
    <d v="2023-02-15T16:21:51"/>
    <s v="Accepted"/>
    <m/>
    <d v="2023-02-20T16:21:51"/>
    <s v="Accepted"/>
    <d v="2023-02-17T16:21:51"/>
    <d v="2023-02-20T16:21:51"/>
    <d v="2023-02-17T16:21:51"/>
    <d v="2023-02-20T16:21:51"/>
    <n v="1"/>
    <d v="2023-02-23T16:21:51"/>
    <d v="2023-02-24T16:21:51"/>
    <d v="2023-02-26T16:21:51"/>
    <m/>
    <m/>
    <d v="2023-03-12T16:21:51"/>
    <m/>
    <m/>
    <n v="2"/>
    <n v="13"/>
    <n v="11"/>
    <x v="16"/>
    <n v="2"/>
    <d v="2023-05-18T16:21:51"/>
    <n v="3"/>
    <n v="23"/>
    <n v="9"/>
    <m/>
    <m/>
    <m/>
    <m/>
    <m/>
    <m/>
    <m/>
    <m/>
    <m/>
    <m/>
  </r>
  <r>
    <n v="2891"/>
    <s v="2891 | HR"/>
    <x v="5"/>
    <s v="HR - Associate"/>
    <s v="Quality Assurance"/>
    <s v="HR-Quality Assurance"/>
    <s v="Associate"/>
    <d v="2023-02-05T16:21:51"/>
    <d v="2023-02-06T16:21:51"/>
    <s v="Yes"/>
    <d v="2023-02-15T16:21:51"/>
    <s v="Declined"/>
    <m/>
    <d v="2023-02-17T16:21:51"/>
    <s v="Declined"/>
    <m/>
    <m/>
    <d v="2023-02-16T16:21:51"/>
    <m/>
    <n v="0"/>
    <m/>
    <m/>
    <m/>
    <m/>
    <m/>
    <m/>
    <m/>
    <m/>
    <n v="1"/>
    <n v="10"/>
    <n v="9"/>
    <x v="9"/>
    <n v="1"/>
    <d v="2023-05-17T16:21:51"/>
    <s v=""/>
    <s v=""/>
    <s v=""/>
    <m/>
    <m/>
    <m/>
    <m/>
    <m/>
    <m/>
    <m/>
    <m/>
    <m/>
    <m/>
  </r>
  <r>
    <n v="2729"/>
    <s v="2729 | HR"/>
    <x v="5"/>
    <s v="HR - Associate"/>
    <s v="Quality Assurance"/>
    <s v="HR-Quality Assurance"/>
    <s v="Associate"/>
    <d v="2023-05-21T05:58:29"/>
    <d v="2023-05-22T05:58:29"/>
    <s v="Yes"/>
    <d v="2023-06-10T05:58:29"/>
    <s v="Failed"/>
    <s v="Not a culture fit"/>
    <m/>
    <m/>
    <m/>
    <m/>
    <d v="2023-06-12T05:58:29"/>
    <m/>
    <n v="0"/>
    <m/>
    <m/>
    <m/>
    <m/>
    <s v="Company"/>
    <m/>
    <m/>
    <m/>
    <n v="1"/>
    <n v="20"/>
    <n v="19"/>
    <x v="7"/>
    <n v="2"/>
    <d v="2023-09-10T05:58:29"/>
    <s v=""/>
    <s v=""/>
    <s v=""/>
    <m/>
    <m/>
    <m/>
    <m/>
    <m/>
    <m/>
    <m/>
    <m/>
    <m/>
    <m/>
  </r>
  <r>
    <n v="2668"/>
    <s v="2668 | HR"/>
    <x v="5"/>
    <s v="HR - Associate"/>
    <s v="Quality Assurance"/>
    <s v="HR-Quality Assurance"/>
    <s v="Associate"/>
    <d v="2022-12-02T21:41:18"/>
    <d v="2022-12-04T21:41:18"/>
    <s v="Yes"/>
    <d v="2022-12-20T21:41:18"/>
    <s v="Failed"/>
    <s v="Position filled by another"/>
    <m/>
    <m/>
    <m/>
    <m/>
    <m/>
    <m/>
    <n v="0"/>
    <m/>
    <m/>
    <m/>
    <m/>
    <s v="Company"/>
    <m/>
    <m/>
    <m/>
    <n v="2"/>
    <n v="18"/>
    <n v="16"/>
    <x v="0"/>
    <s v=""/>
    <s v=""/>
    <s v=""/>
    <s v=""/>
    <s v=""/>
    <m/>
    <m/>
    <m/>
    <m/>
    <m/>
    <m/>
    <m/>
    <m/>
    <m/>
    <m/>
  </r>
  <r>
    <n v="2662"/>
    <s v="2662 | HR"/>
    <x v="5"/>
    <s v="HR - Associate"/>
    <s v="Quality Assurance"/>
    <s v="HR-Quality Assurance"/>
    <s v="Associate"/>
    <d v="2022-12-05T21:41:18"/>
    <d v="2022-12-06T21:41:18"/>
    <s v="Yes"/>
    <d v="2022-12-11T21:41:18"/>
    <s v="Failed"/>
    <s v="Other"/>
    <m/>
    <m/>
    <m/>
    <m/>
    <d v="2022-12-12T21:41:18"/>
    <m/>
    <n v="0"/>
    <m/>
    <m/>
    <m/>
    <m/>
    <s v="Candidate"/>
    <m/>
    <m/>
    <m/>
    <n v="1"/>
    <n v="6"/>
    <n v="5"/>
    <x v="5"/>
    <n v="1"/>
    <d v="2023-03-12T21:41:18"/>
    <s v=""/>
    <s v=""/>
    <s v=""/>
    <m/>
    <m/>
    <m/>
    <m/>
    <m/>
    <m/>
    <m/>
    <m/>
    <m/>
    <m/>
  </r>
  <r>
    <n v="2650"/>
    <s v="2650 | HR"/>
    <x v="5"/>
    <s v="HR - Associate"/>
    <s v="Quality Assurance"/>
    <s v="HR-Quality Assurance"/>
    <s v="Associate"/>
    <d v="2022-01-22T14:06:06"/>
    <d v="2022-01-26T14:06:06"/>
    <s v="Yes"/>
    <d v="2022-02-13T14:06:06"/>
    <s v="Failed"/>
    <s v="Position filled by another"/>
    <m/>
    <m/>
    <m/>
    <m/>
    <m/>
    <m/>
    <n v="0"/>
    <m/>
    <m/>
    <m/>
    <m/>
    <s v="Candidate"/>
    <m/>
    <m/>
    <m/>
    <n v="4"/>
    <n v="22"/>
    <n v="18"/>
    <x v="0"/>
    <s v=""/>
    <s v=""/>
    <s v=""/>
    <s v=""/>
    <s v=""/>
    <m/>
    <m/>
    <m/>
    <m/>
    <m/>
    <m/>
    <m/>
    <m/>
    <m/>
    <m/>
  </r>
  <r>
    <n v="2378"/>
    <s v="2378 | HR"/>
    <x v="5"/>
    <s v="HR - Associate"/>
    <s v="Quality Assurance"/>
    <s v="HR-Quality Assurance"/>
    <s v="Associate"/>
    <d v="2023-04-11T22:01:03"/>
    <d v="2023-04-15T22:01:03"/>
    <s v="Yes"/>
    <d v="2023-05-01T22:01:03"/>
    <s v="Declined"/>
    <m/>
    <d v="2023-05-07T22:01:03"/>
    <s v="Declined"/>
    <m/>
    <m/>
    <d v="2023-05-03T22:01:03"/>
    <m/>
    <n v="0"/>
    <m/>
    <m/>
    <m/>
    <m/>
    <m/>
    <m/>
    <m/>
    <m/>
    <n v="4"/>
    <n v="20"/>
    <n v="16"/>
    <x v="7"/>
    <n v="2"/>
    <d v="2023-08-01T22:01:03"/>
    <s v=""/>
    <s v=""/>
    <s v=""/>
    <m/>
    <m/>
    <m/>
    <m/>
    <m/>
    <m/>
    <m/>
    <m/>
    <m/>
    <m/>
  </r>
  <r>
    <n v="2373"/>
    <s v="2373 | HR"/>
    <x v="5"/>
    <s v="HR - Associate"/>
    <s v="Quality Assurance"/>
    <s v="HR-Quality Assurance"/>
    <s v="Associate"/>
    <d v="2023-04-14T22:01:03"/>
    <d v="2023-04-17T22:01:03"/>
    <s v="Yes"/>
    <d v="2023-04-30T22:01:03"/>
    <s v="Failed"/>
    <s v="Not a culture fit"/>
    <m/>
    <m/>
    <m/>
    <m/>
    <d v="2023-05-03T22:01:03"/>
    <m/>
    <n v="0"/>
    <m/>
    <m/>
    <m/>
    <m/>
    <s v="Company"/>
    <m/>
    <m/>
    <m/>
    <n v="3"/>
    <n v="16"/>
    <n v="13"/>
    <x v="13"/>
    <n v="3"/>
    <d v="2023-08-01T22:01:03"/>
    <s v=""/>
    <s v=""/>
    <s v=""/>
    <m/>
    <m/>
    <m/>
    <m/>
    <m/>
    <m/>
    <m/>
    <m/>
    <m/>
    <m/>
  </r>
  <r>
    <n v="2258"/>
    <s v="2258 | HR"/>
    <x v="5"/>
    <s v="HR - Associate"/>
    <s v="Quality Assurance"/>
    <s v="HR-Quality Assurance"/>
    <s v="Associate"/>
    <d v="2022-08-07T16:27:58"/>
    <d v="2022-08-08T16:27:58"/>
    <s v="Yes"/>
    <d v="2022-08-28T16:27:58"/>
    <s v="Failed"/>
    <s v="Salary expectation too high"/>
    <m/>
    <m/>
    <m/>
    <m/>
    <m/>
    <m/>
    <n v="0"/>
    <m/>
    <m/>
    <m/>
    <m/>
    <s v="Candidate"/>
    <m/>
    <m/>
    <m/>
    <n v="1"/>
    <n v="21"/>
    <n v="20"/>
    <x v="0"/>
    <s v=""/>
    <s v=""/>
    <s v=""/>
    <s v=""/>
    <s v=""/>
    <m/>
    <m/>
    <m/>
    <m/>
    <m/>
    <m/>
    <m/>
    <m/>
    <m/>
    <m/>
  </r>
  <r>
    <n v="2257"/>
    <s v="2257 | HR"/>
    <x v="5"/>
    <s v="HR - Associate"/>
    <s v="Quality Assurance"/>
    <s v="HR-Quality Assurance"/>
    <s v="Associate"/>
    <d v="2022-08-08T16:27:58"/>
    <d v="2022-08-09T16:27:58"/>
    <s v="Yes"/>
    <d v="2022-08-23T16:27:58"/>
    <s v="Accepted"/>
    <m/>
    <d v="2022-08-28T16:27:58"/>
    <s v="Accepted"/>
    <d v="2022-08-24T16:27:58"/>
    <d v="2022-08-25T16:27:58"/>
    <d v="2022-08-26T16:27:58"/>
    <d v="2022-08-29T16:27:58"/>
    <n v="1"/>
    <d v="2022-09-02T16:27:58"/>
    <d v="2022-09-05T16:27:58"/>
    <d v="2022-09-06T16:27:58"/>
    <m/>
    <m/>
    <d v="2022-09-18T16:27:58"/>
    <m/>
    <m/>
    <n v="1"/>
    <n v="15"/>
    <n v="14"/>
    <x v="12"/>
    <n v="3"/>
    <d v="2022-11-24T16:27:58"/>
    <n v="4"/>
    <n v="23"/>
    <n v="11"/>
    <m/>
    <m/>
    <m/>
    <m/>
    <m/>
    <m/>
    <m/>
    <m/>
    <m/>
    <m/>
  </r>
  <r>
    <n v="2051"/>
    <s v="2051 | HR"/>
    <x v="5"/>
    <s v="HR - Associate"/>
    <s v="Quality Assurance"/>
    <s v="HR-Quality Assurance"/>
    <s v="Associate"/>
    <d v="2022-01-16T19:56:47"/>
    <d v="2022-01-17T19:56:47"/>
    <s v="Yes"/>
    <d v="2022-01-24T19:56:47"/>
    <s v="Declined"/>
    <m/>
    <d v="2022-01-30T19:56:47"/>
    <s v="Declined"/>
    <m/>
    <m/>
    <d v="2022-01-27T19:56:47"/>
    <m/>
    <n v="0"/>
    <m/>
    <m/>
    <m/>
    <m/>
    <m/>
    <m/>
    <m/>
    <m/>
    <n v="1"/>
    <n v="8"/>
    <n v="7"/>
    <x v="9"/>
    <n v="3"/>
    <d v="2022-04-27T19:56:47"/>
    <s v=""/>
    <s v=""/>
    <s v=""/>
    <m/>
    <m/>
    <m/>
    <m/>
    <m/>
    <m/>
    <m/>
    <m/>
    <m/>
    <m/>
  </r>
  <r>
    <n v="1959"/>
    <s v="1959 | HR"/>
    <x v="5"/>
    <s v="HR - Associate"/>
    <s v="Quality Assurance"/>
    <s v="HR-Quality Assurance"/>
    <s v="Associate"/>
    <d v="2022-09-11T01:01:03"/>
    <d v="2022-09-15T01:01:03"/>
    <s v="Yes"/>
    <d v="2022-10-08T01:01:03"/>
    <s v="Pending"/>
    <m/>
    <d v="2022-10-13T01:01:03"/>
    <s v="Pending"/>
    <m/>
    <m/>
    <d v="2022-10-12T01:01:03"/>
    <m/>
    <n v="0"/>
    <m/>
    <m/>
    <m/>
    <m/>
    <m/>
    <m/>
    <m/>
    <m/>
    <n v="4"/>
    <n v="27"/>
    <n v="23"/>
    <x v="17"/>
    <n v="4"/>
    <d v="2023-01-10T01:01:03"/>
    <s v=""/>
    <s v=""/>
    <s v=""/>
    <m/>
    <m/>
    <m/>
    <m/>
    <m/>
    <m/>
    <m/>
    <m/>
    <m/>
    <m/>
  </r>
  <r>
    <n v="1904"/>
    <s v="1904 | HR"/>
    <x v="5"/>
    <s v="HR - Associate"/>
    <s v="Quality Assurance"/>
    <s v="HR-Quality Assurance"/>
    <s v="Associate"/>
    <d v="2023-03-10T16:28:31"/>
    <d v="2023-03-12T16:28:31"/>
    <s v="Yes"/>
    <d v="2023-03-31T16:28:31"/>
    <s v="Failed"/>
    <s v="Position filled by another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1895"/>
    <s v="1895 | HR"/>
    <x v="5"/>
    <s v="HR - Associate"/>
    <s v="Quality Assurance"/>
    <s v="HR-Quality Assurance"/>
    <s v="Associate"/>
    <d v="2022-02-01T06:40:23"/>
    <d v="2022-02-04T06:40:23"/>
    <s v="Yes"/>
    <d v="2022-02-15T06:40:23"/>
    <s v="Failed"/>
    <s v="Position filled by another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1774"/>
    <s v="1774 | HR"/>
    <x v="5"/>
    <s v="HR - Associate"/>
    <s v="Quality Assurance"/>
    <s v="HR-Quality Assurance"/>
    <s v="Associate"/>
    <d v="2022-05-31T19:49:14"/>
    <d v="2022-06-04T19:49:14"/>
    <s v="Yes"/>
    <d v="2022-06-17T19:49:14"/>
    <s v="Failed"/>
    <s v="Salary expectation too high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1743"/>
    <s v="1743 | HR"/>
    <x v="5"/>
    <s v="HR - Associate"/>
    <s v="Quality Assurance"/>
    <s v="HR-Quality Assurance"/>
    <s v="Associate"/>
    <d v="2023-01-22T19:09:14"/>
    <d v="2023-01-23T19:09:14"/>
    <s v="Yes"/>
    <d v="2023-02-07T19:09:14"/>
    <s v="Declined"/>
    <m/>
    <d v="2023-02-10T19:09:14"/>
    <s v="Declined"/>
    <m/>
    <m/>
    <d v="2023-02-09T19:09:14"/>
    <m/>
    <n v="0"/>
    <m/>
    <m/>
    <m/>
    <m/>
    <m/>
    <m/>
    <m/>
    <m/>
    <n v="1"/>
    <n v="16"/>
    <n v="15"/>
    <x v="12"/>
    <n v="2"/>
    <d v="2023-05-10T19:09:14"/>
    <s v=""/>
    <s v=""/>
    <s v=""/>
    <m/>
    <m/>
    <m/>
    <m/>
    <m/>
    <m/>
    <m/>
    <m/>
    <m/>
    <m/>
  </r>
  <r>
    <n v="1648"/>
    <s v="1648 | HR"/>
    <x v="5"/>
    <s v="HR - Associate"/>
    <s v="Quality Assurance"/>
    <s v="HR-Quality Assurance"/>
    <s v="Associate"/>
    <d v="2022-12-19T15:52:13"/>
    <d v="2022-12-20T15:52:13"/>
    <s v="Yes"/>
    <d v="2023-01-09T15:52:13"/>
    <s v="Failed"/>
    <s v="Salary expectation too high"/>
    <m/>
    <m/>
    <m/>
    <m/>
    <m/>
    <m/>
    <n v="0"/>
    <m/>
    <m/>
    <m/>
    <m/>
    <s v="Candidate"/>
    <m/>
    <m/>
    <m/>
    <n v="1"/>
    <n v="21"/>
    <n v="20"/>
    <x v="0"/>
    <s v=""/>
    <s v=""/>
    <s v=""/>
    <s v=""/>
    <s v=""/>
    <m/>
    <m/>
    <m/>
    <m/>
    <m/>
    <m/>
    <m/>
    <m/>
    <m/>
    <m/>
  </r>
  <r>
    <n v="1643"/>
    <s v="1643 | HR"/>
    <x v="5"/>
    <s v="HR - Associate"/>
    <s v="Quality Assurance"/>
    <s v="HR-Quality Assurance"/>
    <s v="Associate"/>
    <d v="2022-12-22T15:52:13"/>
    <d v="2022-12-24T15:52:13"/>
    <s v="Yes"/>
    <d v="2023-01-02T15:52:13"/>
    <s v="Accepted"/>
    <m/>
    <d v="2023-01-05T15:52:13"/>
    <s v="Accepted"/>
    <d v="2023-01-04T15:52:13"/>
    <d v="2023-01-07T15:52:13"/>
    <d v="2023-01-04T15:52:13"/>
    <d v="2023-01-09T15:52:13"/>
    <n v="1"/>
    <d v="2023-01-12T15:52:13"/>
    <d v="2023-01-13T15:52:13"/>
    <d v="2023-01-14T15:52:13"/>
    <m/>
    <m/>
    <d v="2023-01-28T15:52:13"/>
    <m/>
    <m/>
    <n v="2"/>
    <n v="11"/>
    <n v="9"/>
    <x v="8"/>
    <n v="2"/>
    <d v="2023-04-04T15:52:13"/>
    <n v="3"/>
    <n v="24"/>
    <n v="10"/>
    <m/>
    <m/>
    <m/>
    <m/>
    <m/>
    <m/>
    <m/>
    <m/>
    <m/>
    <m/>
  </r>
  <r>
    <n v="1618"/>
    <s v="1618 | HR"/>
    <x v="5"/>
    <s v="HR - Associate"/>
    <s v="Quality Assurance"/>
    <s v="HR-Quality Assurance"/>
    <s v="Associate"/>
    <d v="2022-10-16T22:49:43"/>
    <d v="2022-10-20T22:49:43"/>
    <s v="Yes"/>
    <d v="2022-11-06T22:49:43"/>
    <s v="Failed"/>
    <s v="Salary expectation too high"/>
    <m/>
    <m/>
    <m/>
    <m/>
    <m/>
    <m/>
    <n v="0"/>
    <m/>
    <m/>
    <m/>
    <m/>
    <s v="Candidate"/>
    <m/>
    <m/>
    <m/>
    <n v="4"/>
    <n v="21"/>
    <n v="17"/>
    <x v="0"/>
    <s v=""/>
    <s v=""/>
    <s v=""/>
    <s v=""/>
    <s v=""/>
    <m/>
    <m/>
    <m/>
    <m/>
    <m/>
    <m/>
    <m/>
    <m/>
    <m/>
    <m/>
  </r>
  <r>
    <n v="1593"/>
    <s v="1593 | HR"/>
    <x v="5"/>
    <s v="HR - Associate"/>
    <s v="Quality Assurance"/>
    <s v="HR-Quality Assurance"/>
    <s v="Associate"/>
    <d v="2023-03-11T03:56:27"/>
    <d v="2023-03-12T03:56:27"/>
    <s v="Yes"/>
    <d v="2023-03-26T03:56:27"/>
    <s v="Pending"/>
    <m/>
    <d v="2023-04-03T03:56:27"/>
    <s v="Pending"/>
    <m/>
    <m/>
    <d v="2023-03-30T03:56:27"/>
    <m/>
    <n v="0"/>
    <m/>
    <m/>
    <m/>
    <m/>
    <m/>
    <m/>
    <m/>
    <m/>
    <n v="1"/>
    <n v="15"/>
    <n v="14"/>
    <x v="13"/>
    <n v="4"/>
    <d v="2023-06-28T03:56:27"/>
    <s v=""/>
    <s v=""/>
    <s v=""/>
    <m/>
    <m/>
    <m/>
    <m/>
    <m/>
    <m/>
    <m/>
    <m/>
    <m/>
    <m/>
  </r>
  <r>
    <n v="1536"/>
    <s v="1536 | HR"/>
    <x v="5"/>
    <s v="HR - Associate"/>
    <s v="Quality Assurance"/>
    <s v="HR-Quality Assurance"/>
    <s v="Associate"/>
    <d v="2023-05-09T13:06:51"/>
    <d v="2023-05-11T13:06:51"/>
    <s v="Yes"/>
    <d v="2023-05-29T13:06:51"/>
    <s v="Failed"/>
    <s v="Didn't pass technical test"/>
    <m/>
    <m/>
    <m/>
    <m/>
    <m/>
    <m/>
    <n v="0"/>
    <m/>
    <m/>
    <m/>
    <m/>
    <s v="Company"/>
    <m/>
    <m/>
    <m/>
    <n v="2"/>
    <n v="20"/>
    <n v="18"/>
    <x v="0"/>
    <s v=""/>
    <s v=""/>
    <s v=""/>
    <s v=""/>
    <s v=""/>
    <m/>
    <m/>
    <m/>
    <m/>
    <m/>
    <m/>
    <m/>
    <m/>
    <m/>
    <m/>
  </r>
  <r>
    <n v="1502"/>
    <s v="1502 | HR"/>
    <x v="5"/>
    <s v="HR - Associate"/>
    <s v="Quality Assurance"/>
    <s v="HR-Quality Assurance"/>
    <s v="Associate"/>
    <d v="2022-07-17T08:18:33"/>
    <d v="2022-07-18T08:18:33"/>
    <s v="Yes"/>
    <d v="2022-07-25T08:18:33"/>
    <s v="Failed"/>
    <s v="Other"/>
    <m/>
    <m/>
    <m/>
    <m/>
    <m/>
    <m/>
    <n v="0"/>
    <m/>
    <m/>
    <m/>
    <m/>
    <s v="Candidate"/>
    <m/>
    <m/>
    <m/>
    <n v="1"/>
    <n v="8"/>
    <n v="7"/>
    <x v="0"/>
    <s v=""/>
    <s v=""/>
    <s v=""/>
    <s v=""/>
    <s v=""/>
    <m/>
    <m/>
    <m/>
    <m/>
    <m/>
    <m/>
    <m/>
    <m/>
    <m/>
    <m/>
  </r>
  <r>
    <n v="1501"/>
    <s v="1501 | HR"/>
    <x v="5"/>
    <s v="HR - Associate"/>
    <s v="Quality Assurance"/>
    <s v="HR-Quality Assurance"/>
    <s v="Associate"/>
    <d v="2022-07-11T08:18:33"/>
    <d v="2022-07-15T08:18:33"/>
    <s v="Yes"/>
    <d v="2022-08-05T08:18:33"/>
    <s v="Failed"/>
    <s v="Salary expectation too high"/>
    <m/>
    <m/>
    <m/>
    <m/>
    <d v="2022-08-07T08:18:33"/>
    <m/>
    <n v="0"/>
    <m/>
    <m/>
    <m/>
    <m/>
    <s v="Candidate"/>
    <m/>
    <m/>
    <m/>
    <n v="4"/>
    <n v="25"/>
    <n v="21"/>
    <x v="18"/>
    <n v="2"/>
    <d v="2022-11-05T08:18:33"/>
    <s v=""/>
    <s v=""/>
    <s v=""/>
    <m/>
    <m/>
    <m/>
    <m/>
    <m/>
    <m/>
    <m/>
    <m/>
    <m/>
    <m/>
  </r>
  <r>
    <n v="1495"/>
    <s v="1495 | HR"/>
    <x v="5"/>
    <s v="HR - Associate"/>
    <s v="Quality Assurance"/>
    <s v="HR-Quality Assurance"/>
    <s v="Associate"/>
    <d v="2022-05-14T13:40:01"/>
    <d v="2022-05-16T13:40:01"/>
    <s v="Yes"/>
    <d v="2022-05-31T13:40:01"/>
    <s v="Failed"/>
    <s v="Other"/>
    <m/>
    <m/>
    <m/>
    <m/>
    <d v="2022-06-03T13:40:01"/>
    <m/>
    <n v="0"/>
    <m/>
    <m/>
    <m/>
    <m/>
    <s v="Candidate"/>
    <m/>
    <m/>
    <m/>
    <n v="2"/>
    <n v="17"/>
    <n v="15"/>
    <x v="15"/>
    <n v="3"/>
    <d v="2022-09-01T13:40:01"/>
    <s v=""/>
    <s v=""/>
    <s v=""/>
    <m/>
    <m/>
    <m/>
    <m/>
    <m/>
    <m/>
    <m/>
    <m/>
    <m/>
    <m/>
  </r>
  <r>
    <n v="1458"/>
    <s v="1458 | HR"/>
    <x v="5"/>
    <s v="HR - Associate"/>
    <s v="Quality Assurance"/>
    <s v="HR-Quality Assurance"/>
    <s v="Associate"/>
    <d v="2023-04-08T13:44:16"/>
    <d v="2023-04-09T13:44:16"/>
    <s v="Yes"/>
    <d v="2023-04-22T13:44:16"/>
    <s v="Failed"/>
    <s v="Salary expectation too high"/>
    <m/>
    <m/>
    <m/>
    <m/>
    <m/>
    <m/>
    <n v="0"/>
    <m/>
    <m/>
    <m/>
    <m/>
    <s v="Company"/>
    <m/>
    <m/>
    <m/>
    <n v="1"/>
    <n v="14"/>
    <n v="13"/>
    <x v="0"/>
    <s v=""/>
    <s v=""/>
    <s v=""/>
    <s v=""/>
    <s v=""/>
    <m/>
    <m/>
    <m/>
    <m/>
    <m/>
    <m/>
    <m/>
    <m/>
    <m/>
    <m/>
  </r>
  <r>
    <n v="1455"/>
    <s v="1455 | HR"/>
    <x v="5"/>
    <s v="HR - Associate"/>
    <s v="Quality Assurance"/>
    <s v="HR-Quality Assurance"/>
    <s v="Associate"/>
    <d v="2023-04-08T13:44:16"/>
    <d v="2023-04-11T13:44:16"/>
    <s v="Yes"/>
    <d v="2023-04-22T13:44:16"/>
    <s v="Failed"/>
    <s v="Didn't pass technical test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1427"/>
    <s v="1427 | HR"/>
    <x v="5"/>
    <s v="HR - Associate"/>
    <s v="Quality Assurance"/>
    <s v="HR-Quality Assurance"/>
    <s v="Associate"/>
    <d v="2022-04-09T02:42:56"/>
    <d v="2022-04-11T02:42:56"/>
    <s v="Yes"/>
    <d v="2022-04-21T02:42:56"/>
    <s v="Failed"/>
    <s v="Not a culture fit"/>
    <m/>
    <m/>
    <m/>
    <m/>
    <m/>
    <m/>
    <n v="0"/>
    <m/>
    <m/>
    <m/>
    <m/>
    <s v="Candidate"/>
    <m/>
    <m/>
    <m/>
    <n v="2"/>
    <n v="12"/>
    <n v="10"/>
    <x v="0"/>
    <s v=""/>
    <s v=""/>
    <s v=""/>
    <s v=""/>
    <s v=""/>
    <m/>
    <m/>
    <m/>
    <m/>
    <m/>
    <m/>
    <m/>
    <m/>
    <m/>
    <m/>
  </r>
  <r>
    <n v="1421"/>
    <s v="1421 | HR"/>
    <x v="5"/>
    <s v="HR - Associate"/>
    <s v="Quality Assurance"/>
    <s v="HR-Quality Assurance"/>
    <s v="Associate"/>
    <d v="2022-04-07T02:42:56"/>
    <d v="2022-04-09T02:42:56"/>
    <s v="Yes"/>
    <d v="2022-04-26T02:42:56"/>
    <s v="Accepted"/>
    <m/>
    <d v="2022-05-02T02:42:56"/>
    <s v="Accepted"/>
    <d v="2022-04-28T02:42:56"/>
    <d v="2022-05-01T02:42:56"/>
    <d v="2022-04-29T02:42:56"/>
    <d v="2022-05-01T02:42:56"/>
    <n v="1"/>
    <d v="2022-05-02T02:42:56"/>
    <d v="2022-05-05T02:42:56"/>
    <d v="2022-05-08T02:42:56"/>
    <m/>
    <m/>
    <d v="2022-05-17T02:42:56"/>
    <m/>
    <m/>
    <n v="2"/>
    <n v="19"/>
    <n v="17"/>
    <x v="7"/>
    <n v="3"/>
    <d v="2022-07-28T02:42:56"/>
    <n v="1"/>
    <n v="18"/>
    <n v="9"/>
    <m/>
    <m/>
    <m/>
    <m/>
    <m/>
    <m/>
    <m/>
    <m/>
    <m/>
    <m/>
  </r>
  <r>
    <n v="1363"/>
    <s v="1363 | HR"/>
    <x v="5"/>
    <s v="HR - Associate"/>
    <s v="Quality Assurance"/>
    <s v="HR-Quality Assurance"/>
    <s v="Associate"/>
    <d v="2022-10-16T03:55:53"/>
    <d v="2022-10-20T03:55:53"/>
    <s v="Yes"/>
    <d v="2022-11-08T03:55:53"/>
    <s v="Failed"/>
    <s v="Didn't pass technical test"/>
    <m/>
    <m/>
    <m/>
    <m/>
    <d v="2022-11-12T03:55:53"/>
    <m/>
    <n v="0"/>
    <m/>
    <m/>
    <m/>
    <m/>
    <s v="Candidate"/>
    <m/>
    <m/>
    <m/>
    <n v="4"/>
    <n v="23"/>
    <n v="19"/>
    <x v="18"/>
    <n v="4"/>
    <d v="2023-02-10T03:55:53"/>
    <s v=""/>
    <s v=""/>
    <s v=""/>
    <m/>
    <m/>
    <m/>
    <m/>
    <m/>
    <m/>
    <m/>
    <m/>
    <m/>
    <m/>
  </r>
  <r>
    <n v="1318"/>
    <s v="1318 | HR"/>
    <x v="5"/>
    <s v="HR - Associate"/>
    <s v="Quality Assurance"/>
    <s v="HR-Quality Assurance"/>
    <s v="Associate"/>
    <d v="2023-08-14T05:35:37"/>
    <d v="2023-08-15T05:35:37"/>
    <s v="Yes"/>
    <d v="2023-08-22T05:35:37"/>
    <s v="Failed"/>
    <s v="Not a culture fit"/>
    <m/>
    <m/>
    <m/>
    <m/>
    <d v="2023-08-24T05:35:37"/>
    <m/>
    <n v="0"/>
    <m/>
    <m/>
    <m/>
    <m/>
    <s v="Company"/>
    <m/>
    <m/>
    <m/>
    <n v="1"/>
    <n v="8"/>
    <n v="7"/>
    <x v="22"/>
    <n v="2"/>
    <d v="2023-11-22T05:35:37"/>
    <s v=""/>
    <s v=""/>
    <s v=""/>
    <m/>
    <m/>
    <m/>
    <m/>
    <m/>
    <m/>
    <m/>
    <m/>
    <m/>
    <m/>
  </r>
  <r>
    <n v="1277"/>
    <s v="1277 | HR"/>
    <x v="5"/>
    <s v="HR - Associate"/>
    <s v="Quality Assurance"/>
    <s v="HR-Quality Assurance"/>
    <s v="Associate"/>
    <d v="2022-06-01T02:35:25"/>
    <d v="2022-06-04T02:35:25"/>
    <s v="Yes"/>
    <d v="2022-06-22T02:35:25"/>
    <s v="Failed"/>
    <s v="Other"/>
    <m/>
    <m/>
    <m/>
    <m/>
    <d v="2022-06-26T02:35:25"/>
    <m/>
    <n v="0"/>
    <m/>
    <m/>
    <m/>
    <m/>
    <s v="Company"/>
    <m/>
    <m/>
    <m/>
    <n v="3"/>
    <n v="21"/>
    <n v="18"/>
    <x v="11"/>
    <n v="4"/>
    <d v="2022-09-24T02:35:25"/>
    <s v=""/>
    <s v=""/>
    <s v=""/>
    <m/>
    <m/>
    <m/>
    <m/>
    <m/>
    <m/>
    <m/>
    <m/>
    <m/>
    <m/>
  </r>
  <r>
    <n v="1271"/>
    <s v="1271 | HR"/>
    <x v="5"/>
    <s v="HR - Associate"/>
    <s v="Quality Assurance"/>
    <s v="HR-Quality Assurance"/>
    <s v="Associate"/>
    <d v="2022-06-02T02:35:25"/>
    <d v="2022-06-04T02:35:25"/>
    <s v="Yes"/>
    <d v="2022-06-20T02:35:25"/>
    <s v="Failed"/>
    <s v="Other"/>
    <m/>
    <m/>
    <m/>
    <m/>
    <d v="2022-06-22T02:35:25"/>
    <m/>
    <n v="0"/>
    <m/>
    <m/>
    <m/>
    <m/>
    <s v="Candidate"/>
    <m/>
    <m/>
    <m/>
    <n v="2"/>
    <n v="18"/>
    <n v="16"/>
    <x v="15"/>
    <n v="2"/>
    <d v="2022-09-20T02:35:25"/>
    <s v=""/>
    <s v=""/>
    <s v=""/>
    <m/>
    <m/>
    <m/>
    <m/>
    <m/>
    <m/>
    <m/>
    <m/>
    <m/>
    <m/>
  </r>
  <r>
    <n v="1217"/>
    <s v="1217 | HR"/>
    <x v="5"/>
    <s v="HR - Associate"/>
    <s v="Quality Assurance"/>
    <s v="HR-Quality Assurance"/>
    <s v="Associate"/>
    <d v="2023-07-25T00:06:13"/>
    <d v="2023-07-26T00:06:13"/>
    <s v="Yes"/>
    <d v="2023-08-05T00:06:13"/>
    <s v="Accepted"/>
    <m/>
    <d v="2023-08-09T00:06:13"/>
    <s v="Accepted"/>
    <d v="2023-08-06T00:06:13"/>
    <d v="2023-08-09T00:06:13"/>
    <d v="2023-08-06T00:06:13"/>
    <d v="2023-08-11T00:06:13"/>
    <n v="1"/>
    <d v="2023-08-14T00:06:13"/>
    <d v="2023-08-17T00:06:13"/>
    <d v="2023-08-18T00:06:13"/>
    <m/>
    <m/>
    <d v="2023-09-03T00:06:13"/>
    <m/>
    <m/>
    <n v="1"/>
    <n v="11"/>
    <n v="10"/>
    <x v="24"/>
    <n v="1"/>
    <d v="2023-11-04T00:06:13"/>
    <n v="3"/>
    <n v="28"/>
    <n v="12"/>
    <m/>
    <m/>
    <m/>
    <m/>
    <m/>
    <m/>
    <m/>
    <m/>
    <m/>
    <m/>
  </r>
  <r>
    <n v="1184"/>
    <s v="1184 | HR"/>
    <x v="5"/>
    <s v="HR - Associate"/>
    <s v="Quality Assurance"/>
    <s v="HR-Quality Assurance"/>
    <s v="Associate"/>
    <d v="2023-05-25T18:50:13"/>
    <d v="2023-05-28T18:50:13"/>
    <s v="Yes"/>
    <d v="2023-06-12T18:50:13"/>
    <s v="Failed"/>
    <s v="Not a culture fit"/>
    <m/>
    <m/>
    <m/>
    <m/>
    <d v="2023-06-14T18:50:13"/>
    <m/>
    <n v="0"/>
    <m/>
    <m/>
    <m/>
    <m/>
    <s v="Candidate"/>
    <m/>
    <m/>
    <m/>
    <n v="3"/>
    <n v="18"/>
    <n v="15"/>
    <x v="15"/>
    <n v="2"/>
    <d v="2023-09-12T18:50:13"/>
    <s v=""/>
    <s v=""/>
    <s v=""/>
    <m/>
    <m/>
    <m/>
    <m/>
    <m/>
    <m/>
    <m/>
    <m/>
    <m/>
    <m/>
  </r>
  <r>
    <n v="1183"/>
    <s v="1183 | HR"/>
    <x v="5"/>
    <s v="HR - Associate"/>
    <s v="Business Partner"/>
    <s v="HR-Business Partner"/>
    <s v="Associate"/>
    <d v="2023-05-25T18:50:13"/>
    <d v="2023-05-28T18:50:13"/>
    <s v="Yes"/>
    <d v="2023-06-04T18:50:13"/>
    <s v="Failed"/>
    <s v="Didn't pass technical test"/>
    <m/>
    <m/>
    <m/>
    <m/>
    <d v="2023-06-08T18:50:13"/>
    <m/>
    <n v="0"/>
    <m/>
    <m/>
    <m/>
    <m/>
    <s v="Candidate"/>
    <m/>
    <m/>
    <m/>
    <n v="3"/>
    <n v="10"/>
    <n v="7"/>
    <x v="1"/>
    <n v="4"/>
    <d v="2023-09-06T18:50:13"/>
    <s v=""/>
    <s v=""/>
    <s v=""/>
    <m/>
    <m/>
    <m/>
    <m/>
    <m/>
    <m/>
    <m/>
    <m/>
    <m/>
    <m/>
  </r>
  <r>
    <n v="1181"/>
    <s v="1181 | HR"/>
    <x v="5"/>
    <s v="HR - Associate"/>
    <s v="Business Partner"/>
    <s v="HR-Business Partner"/>
    <s v="Associate"/>
    <d v="2023-05-30T18:50:13"/>
    <d v="2023-06-02T18:50:13"/>
    <s v="Yes"/>
    <d v="2023-06-06T18:50:13"/>
    <s v="Declined"/>
    <m/>
    <d v="2023-06-10T18:50:13"/>
    <s v="Declined"/>
    <m/>
    <m/>
    <d v="2023-06-07T18:50:13"/>
    <m/>
    <n v="0"/>
    <m/>
    <m/>
    <m/>
    <m/>
    <m/>
    <m/>
    <m/>
    <m/>
    <n v="3"/>
    <n v="7"/>
    <n v="4"/>
    <x v="10"/>
    <n v="1"/>
    <d v="2023-09-05T18:50:13"/>
    <s v=""/>
    <s v=""/>
    <s v=""/>
    <m/>
    <m/>
    <m/>
    <m/>
    <m/>
    <m/>
    <m/>
    <m/>
    <m/>
    <m/>
  </r>
  <r>
    <n v="1167"/>
    <s v="1167 | HR"/>
    <x v="5"/>
    <s v="HR - Associate"/>
    <s v="Business Partner"/>
    <s v="HR-Business Partner"/>
    <s v="Associate"/>
    <d v="2023-02-07T20:47:13"/>
    <d v="2023-02-10T20:47:13"/>
    <s v="Yes"/>
    <d v="2023-02-28T20:47:13"/>
    <s v="Failed"/>
    <s v="Didn't pass technical test"/>
    <m/>
    <m/>
    <m/>
    <m/>
    <d v="2023-03-01T20:47:13"/>
    <m/>
    <n v="0"/>
    <m/>
    <m/>
    <m/>
    <m/>
    <s v="Candidate"/>
    <m/>
    <m/>
    <m/>
    <n v="3"/>
    <n v="21"/>
    <n v="18"/>
    <x v="7"/>
    <n v="1"/>
    <d v="2023-05-30T20:47:13"/>
    <s v=""/>
    <s v=""/>
    <s v=""/>
    <m/>
    <m/>
    <m/>
    <m/>
    <m/>
    <m/>
    <m/>
    <m/>
    <m/>
    <m/>
  </r>
  <r>
    <n v="1162"/>
    <s v="1162 | HR"/>
    <x v="5"/>
    <s v="HR - Associate"/>
    <s v="Business Partner"/>
    <s v="HR-Business Partner"/>
    <s v="Associate"/>
    <d v="2023-02-10T20:47:13"/>
    <d v="2023-02-11T20:47:13"/>
    <s v="Yes"/>
    <d v="2023-02-19T20:47:13"/>
    <s v="Failed"/>
    <s v="Salary expectation too high"/>
    <m/>
    <m/>
    <m/>
    <m/>
    <m/>
    <m/>
    <n v="0"/>
    <m/>
    <m/>
    <m/>
    <m/>
    <s v="Company"/>
    <m/>
    <m/>
    <m/>
    <n v="1"/>
    <n v="9"/>
    <n v="8"/>
    <x v="0"/>
    <s v=""/>
    <s v=""/>
    <s v=""/>
    <s v=""/>
    <s v=""/>
    <m/>
    <m/>
    <m/>
    <m/>
    <m/>
    <m/>
    <m/>
    <m/>
    <m/>
    <m/>
  </r>
  <r>
    <n v="1132"/>
    <s v="1132 | HR"/>
    <x v="5"/>
    <s v="HR - Associate"/>
    <s v="Business Partner"/>
    <s v="HR-Business Partner"/>
    <s v="Associate"/>
    <d v="2022-03-15T19:06:16"/>
    <d v="2022-03-17T19:06:16"/>
    <s v="Yes"/>
    <d v="2022-04-05T19:06:16"/>
    <s v="Accepted"/>
    <m/>
    <d v="2022-04-09T19:06:16"/>
    <s v="Accepted"/>
    <d v="2022-04-07T19:06:16"/>
    <d v="2022-04-11T19:06:16"/>
    <d v="2022-04-06T19:06:16"/>
    <d v="2022-04-16T19:06:16"/>
    <n v="1"/>
    <d v="2022-04-18T19:06:16"/>
    <d v="2022-04-20T19:06:16"/>
    <d v="2022-04-23T19:06:16"/>
    <m/>
    <m/>
    <d v="2022-05-05T19:06:16"/>
    <m/>
    <m/>
    <n v="2"/>
    <n v="21"/>
    <n v="19"/>
    <x v="7"/>
    <n v="1"/>
    <d v="2022-07-05T19:06:16"/>
    <n v="2"/>
    <n v="29"/>
    <n v="17"/>
    <m/>
    <m/>
    <m/>
    <m/>
    <m/>
    <m/>
    <m/>
    <m/>
    <m/>
    <m/>
  </r>
  <r>
    <n v="1087"/>
    <s v="1087 | HR"/>
    <x v="5"/>
    <s v="HR - Associate"/>
    <s v="Business Partner"/>
    <s v="HR-Business Partner"/>
    <s v="Associate"/>
    <d v="2022-11-29T23:25:45"/>
    <d v="2022-12-01T23:25:45"/>
    <s v="Yes"/>
    <d v="2022-12-08T23:25:45"/>
    <s v="Accepted"/>
    <m/>
    <d v="2022-12-14T23:25:45"/>
    <s v="Accepted"/>
    <d v="2022-12-09T23:25:45"/>
    <d v="2022-12-13T23:25:45"/>
    <d v="2022-12-11T23:25:45"/>
    <d v="2022-12-16T23:25:45"/>
    <n v="1"/>
    <d v="2022-12-19T23:25:45"/>
    <d v="2022-12-20T23:25:45"/>
    <d v="2022-12-21T23:25:45"/>
    <m/>
    <m/>
    <d v="2023-01-10T23:25:45"/>
    <m/>
    <m/>
    <n v="2"/>
    <n v="9"/>
    <n v="7"/>
    <x v="24"/>
    <n v="3"/>
    <d v="2023-03-11T23:25:45"/>
    <n v="3"/>
    <n v="30"/>
    <n v="10"/>
    <m/>
    <m/>
    <m/>
    <m/>
    <m/>
    <m/>
    <m/>
    <m/>
    <m/>
    <m/>
  </r>
  <r>
    <n v="1048"/>
    <s v="1048 | HR"/>
    <x v="5"/>
    <s v="HR - Associate"/>
    <s v="Business Partner"/>
    <s v="HR-Business Partner"/>
    <s v="Associate"/>
    <d v="2022-11-17T23:03:14"/>
    <d v="2022-11-21T23:03:14"/>
    <s v="Yes"/>
    <d v="2022-12-07T23:03:14"/>
    <s v="Failed"/>
    <s v="Other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1043"/>
    <s v="1043 | HR"/>
    <x v="5"/>
    <s v="HR - Associate"/>
    <s v="Business Partner"/>
    <s v="HR-Business Partner"/>
    <s v="Associate"/>
    <d v="2022-11-17T23:03:14"/>
    <d v="2022-11-21T23:03:14"/>
    <s v="Yes"/>
    <d v="2022-12-03T23:03:14"/>
    <s v="Declined"/>
    <m/>
    <d v="2022-12-07T23:03:14"/>
    <s v="Declined"/>
    <m/>
    <m/>
    <d v="2022-12-06T23:03:14"/>
    <m/>
    <n v="0"/>
    <m/>
    <m/>
    <m/>
    <m/>
    <m/>
    <m/>
    <m/>
    <m/>
    <n v="4"/>
    <n v="16"/>
    <n v="12"/>
    <x v="13"/>
    <n v="3"/>
    <d v="2023-03-06T23:03:14"/>
    <s v=""/>
    <s v=""/>
    <s v=""/>
    <m/>
    <m/>
    <m/>
    <m/>
    <m/>
    <m/>
    <m/>
    <m/>
    <m/>
    <m/>
  </r>
  <r>
    <n v="1028"/>
    <s v="1028 | HR"/>
    <x v="5"/>
    <s v="HR - Associate"/>
    <s v="Business Partner"/>
    <s v="HR-Business Partner"/>
    <s v="Associate"/>
    <d v="2023-01-26T18:59:14"/>
    <d v="2023-01-27T18:59:14"/>
    <s v="Yes"/>
    <d v="2023-02-11T18:59:14"/>
    <s v="Failed"/>
    <s v="Salary expectation too high"/>
    <m/>
    <m/>
    <m/>
    <m/>
    <d v="2023-02-13T18:59:14"/>
    <m/>
    <n v="0"/>
    <m/>
    <m/>
    <m/>
    <m/>
    <s v="Company"/>
    <m/>
    <m/>
    <m/>
    <n v="1"/>
    <n v="16"/>
    <n v="15"/>
    <x v="12"/>
    <n v="2"/>
    <d v="2023-05-14T18:59:14"/>
    <s v=""/>
    <s v=""/>
    <s v=""/>
    <m/>
    <m/>
    <m/>
    <m/>
    <m/>
    <m/>
    <m/>
    <m/>
    <m/>
    <m/>
  </r>
  <r>
    <n v="1027"/>
    <s v="1027 | HR"/>
    <x v="5"/>
    <s v="HR - Associate"/>
    <s v="Business Partner"/>
    <s v="HR-Business Partner"/>
    <s v="Associate"/>
    <d v="2023-01-25T18:59:14"/>
    <d v="2023-01-27T18:59:14"/>
    <s v="Yes"/>
    <d v="2023-02-03T18:59:14"/>
    <s v="Accepted"/>
    <m/>
    <d v="2023-02-08T18:59:14"/>
    <s v="Accepted"/>
    <d v="2023-02-05T18:59:14"/>
    <d v="2023-02-07T18:59:14"/>
    <d v="2023-02-06T18:59:14"/>
    <d v="2023-02-12T18:59:14"/>
    <n v="1"/>
    <d v="2023-02-15T18:59:14"/>
    <d v="2023-02-16T18:59:14"/>
    <d v="2023-02-18T18:59:14"/>
    <m/>
    <m/>
    <d v="2023-03-06T18:59:14"/>
    <m/>
    <m/>
    <n v="2"/>
    <n v="9"/>
    <n v="7"/>
    <x v="24"/>
    <n v="3"/>
    <d v="2023-05-07T18:59:14"/>
    <n v="3"/>
    <n v="28"/>
    <n v="12"/>
    <m/>
    <m/>
    <m/>
    <m/>
    <m/>
    <m/>
    <m/>
    <m/>
    <m/>
    <m/>
  </r>
  <r>
    <n v="2993"/>
    <s v="2993 | Fundraising"/>
    <x v="6"/>
    <s v="Fundraising - Senior Management"/>
    <s v="Senior Manager"/>
    <s v="Fundraising-Senior Manager"/>
    <s v="Senior Management"/>
    <d v="2023-02-28T00:56:51"/>
    <d v="2023-03-03T00:56:51"/>
    <s v="Yes"/>
    <d v="2023-03-24T00:56:51"/>
    <s v="Failed"/>
    <s v="Salary expectation too high"/>
    <m/>
    <m/>
    <m/>
    <m/>
    <d v="2023-03-26T00:56:51"/>
    <m/>
    <n v="0"/>
    <m/>
    <m/>
    <m/>
    <m/>
    <s v="Company"/>
    <m/>
    <m/>
    <m/>
    <n v="3"/>
    <n v="24"/>
    <n v="21"/>
    <x v="25"/>
    <n v="2"/>
    <d v="2023-06-24T00:56:51"/>
    <s v=""/>
    <s v=""/>
    <s v=""/>
    <m/>
    <m/>
    <m/>
    <m/>
    <m/>
    <m/>
    <m/>
    <m/>
    <m/>
    <m/>
  </r>
  <r>
    <n v="2830"/>
    <s v="2830 | Fundraising"/>
    <x v="6"/>
    <s v="Fundraising - Senior Management"/>
    <s v="Senior Manager"/>
    <s v="Fundraising-Senior Manager"/>
    <s v="Senior Management"/>
    <d v="2022-01-07T01:20:30"/>
    <d v="2022-01-08T01:20:30"/>
    <s v="Yes"/>
    <d v="2022-01-17T01:20:30"/>
    <s v="Failed"/>
    <s v="Salary expectation too high"/>
    <m/>
    <m/>
    <m/>
    <m/>
    <d v="2022-01-18T01:20:30"/>
    <m/>
    <n v="0"/>
    <m/>
    <m/>
    <m/>
    <m/>
    <s v="Company"/>
    <m/>
    <m/>
    <m/>
    <n v="1"/>
    <n v="10"/>
    <n v="9"/>
    <x v="9"/>
    <n v="1"/>
    <d v="2022-04-18T01:20:30"/>
    <s v=""/>
    <s v=""/>
    <s v=""/>
    <m/>
    <m/>
    <m/>
    <m/>
    <m/>
    <m/>
    <m/>
    <m/>
    <m/>
    <m/>
  </r>
  <r>
    <n v="2801"/>
    <s v="2801 | Fundraising"/>
    <x v="6"/>
    <s v="Fundraising - Senior Management"/>
    <s v="Senior Manager"/>
    <s v="Fundraising-Senior Manager"/>
    <s v="Senior Management"/>
    <d v="2023-06-04T18:40:56"/>
    <d v="2023-06-07T18:40:56"/>
    <s v="Yes"/>
    <d v="2023-06-19T18:40:56"/>
    <s v="Failed"/>
    <s v="Didn't pass technical test"/>
    <m/>
    <m/>
    <m/>
    <m/>
    <m/>
    <m/>
    <n v="0"/>
    <m/>
    <m/>
    <m/>
    <m/>
    <s v="Company"/>
    <m/>
    <m/>
    <m/>
    <n v="3"/>
    <n v="15"/>
    <n v="12"/>
    <x v="0"/>
    <s v=""/>
    <s v=""/>
    <s v=""/>
    <s v=""/>
    <s v=""/>
    <m/>
    <m/>
    <m/>
    <m/>
    <m/>
    <m/>
    <m/>
    <m/>
    <m/>
    <m/>
  </r>
  <r>
    <n v="2767"/>
    <s v="2767 | Fundraising"/>
    <x v="6"/>
    <s v="Fundraising - Senior Management"/>
    <s v="Senior Manager"/>
    <s v="Fundraising-Senior Manager"/>
    <s v="Senior Management"/>
    <d v="2022-09-05T07:14:27"/>
    <d v="2022-09-08T07:14:27"/>
    <s v="Yes"/>
    <d v="2022-09-21T07:14:27"/>
    <s v="Failed"/>
    <s v="Not a culture fit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2762"/>
    <s v="2762 | Fundraising"/>
    <x v="6"/>
    <s v="Fundraising - Senior Management"/>
    <s v="Senior Manager"/>
    <s v="Fundraising-Senior Manager"/>
    <s v="Senior Management"/>
    <d v="2022-09-03T07:14:27"/>
    <d v="2022-09-05T07:14:27"/>
    <s v="Yes"/>
    <d v="2022-09-12T07:14:27"/>
    <s v="Failed"/>
    <s v="Other"/>
    <m/>
    <m/>
    <m/>
    <m/>
    <d v="2022-09-14T07:14:27"/>
    <m/>
    <n v="0"/>
    <m/>
    <m/>
    <m/>
    <m/>
    <s v="Company"/>
    <m/>
    <m/>
    <m/>
    <n v="2"/>
    <n v="9"/>
    <n v="7"/>
    <x v="9"/>
    <n v="2"/>
    <d v="2022-12-13T07:14:27"/>
    <s v=""/>
    <s v=""/>
    <s v=""/>
    <m/>
    <m/>
    <m/>
    <m/>
    <m/>
    <m/>
    <m/>
    <m/>
    <m/>
    <m/>
  </r>
  <r>
    <n v="2629"/>
    <s v="2629 | Fundraising"/>
    <x v="6"/>
    <s v="Fundraising - Senior Management"/>
    <s v="Senior Manager"/>
    <s v="Fundraising-Senior Manager"/>
    <s v="Senior Management"/>
    <d v="2023-06-20T16:02:26"/>
    <d v="2023-06-23T16:02:26"/>
    <s v="Yes"/>
    <d v="2023-07-12T16:02:26"/>
    <s v="Failed"/>
    <s v="Other"/>
    <m/>
    <m/>
    <m/>
    <m/>
    <d v="2023-07-14T16:02:26"/>
    <m/>
    <n v="0"/>
    <m/>
    <m/>
    <m/>
    <m/>
    <s v="Company"/>
    <m/>
    <m/>
    <m/>
    <n v="3"/>
    <n v="22"/>
    <n v="19"/>
    <x v="21"/>
    <n v="2"/>
    <d v="2023-10-12T16:02:26"/>
    <s v=""/>
    <s v=""/>
    <s v=""/>
    <m/>
    <m/>
    <m/>
    <m/>
    <m/>
    <m/>
    <m/>
    <m/>
    <m/>
    <m/>
  </r>
  <r>
    <n v="2486"/>
    <s v="2486 | Fundraising"/>
    <x v="6"/>
    <s v="Fundraising - Senior Management"/>
    <s v="Senior Manager"/>
    <s v="Fundraising-Senior Manager"/>
    <s v="Senior Management"/>
    <d v="2023-02-15T21:37:50"/>
    <d v="2023-02-18T21:37:50"/>
    <s v="Yes"/>
    <d v="2023-02-24T21:37:50"/>
    <s v="Failed"/>
    <s v="Other"/>
    <m/>
    <m/>
    <m/>
    <m/>
    <d v="2023-02-25T21:37:50"/>
    <m/>
    <n v="0"/>
    <m/>
    <m/>
    <m/>
    <m/>
    <s v="Company"/>
    <m/>
    <m/>
    <m/>
    <n v="3"/>
    <n v="9"/>
    <n v="6"/>
    <x v="22"/>
    <n v="1"/>
    <d v="2023-05-26T21:37:50"/>
    <s v=""/>
    <s v=""/>
    <s v=""/>
    <m/>
    <m/>
    <m/>
    <m/>
    <m/>
    <m/>
    <m/>
    <m/>
    <m/>
    <m/>
  </r>
  <r>
    <n v="2482"/>
    <s v="2482 | Fundraising"/>
    <x v="6"/>
    <s v="Fundraising - Senior Management"/>
    <s v="Senior Manager"/>
    <s v="Fundraising-Senior Manager"/>
    <s v="Senior Management"/>
    <d v="2023-02-17T21:37:50"/>
    <d v="2023-02-19T21:37:50"/>
    <s v="Yes"/>
    <d v="2023-02-25T21:37:50"/>
    <s v="Failed"/>
    <s v="Not a culture fit"/>
    <m/>
    <m/>
    <m/>
    <m/>
    <d v="2023-02-27T21:37:50"/>
    <m/>
    <n v="0"/>
    <m/>
    <m/>
    <m/>
    <m/>
    <s v="Company"/>
    <m/>
    <m/>
    <m/>
    <n v="2"/>
    <n v="8"/>
    <n v="6"/>
    <x v="22"/>
    <n v="2"/>
    <d v="2023-05-28T21:37:50"/>
    <s v=""/>
    <s v=""/>
    <s v=""/>
    <m/>
    <m/>
    <m/>
    <m/>
    <m/>
    <m/>
    <m/>
    <m/>
    <m/>
    <m/>
  </r>
  <r>
    <n v="1874"/>
    <s v="1874 | Fundraising"/>
    <x v="6"/>
    <s v="Fundraising - Senior Management"/>
    <s v="Senior Manager"/>
    <s v="Fundraising-Senior Manager"/>
    <s v="Senior Management"/>
    <d v="2022-01-15T17:35:29"/>
    <d v="2022-01-17T17:35:29"/>
    <s v="Yes"/>
    <d v="2022-02-07T17:35:29"/>
    <s v="Failed"/>
    <s v="Not a culture fit"/>
    <m/>
    <m/>
    <m/>
    <m/>
    <m/>
    <m/>
    <n v="0"/>
    <m/>
    <m/>
    <m/>
    <m/>
    <s v="Candidate"/>
    <m/>
    <m/>
    <m/>
    <n v="2"/>
    <n v="23"/>
    <n v="21"/>
    <x v="0"/>
    <s v=""/>
    <s v=""/>
    <s v=""/>
    <s v=""/>
    <s v=""/>
    <m/>
    <m/>
    <m/>
    <m/>
    <m/>
    <m/>
    <m/>
    <m/>
    <m/>
    <m/>
  </r>
  <r>
    <n v="1692"/>
    <s v="1692 | Fundraising"/>
    <x v="6"/>
    <s v="Fundraising - Senior Management"/>
    <s v="Senior Manager"/>
    <s v="Fundraising-Senior Manager"/>
    <s v="Senior Management"/>
    <d v="2023-02-23T18:21:09"/>
    <d v="2023-02-26T18:21:09"/>
    <s v="Yes"/>
    <d v="2023-03-10T18:21:09"/>
    <s v="Failed"/>
    <s v="Didn't pass technical test"/>
    <m/>
    <m/>
    <m/>
    <m/>
    <d v="2023-03-11T18:21:09"/>
    <m/>
    <n v="0"/>
    <m/>
    <m/>
    <m/>
    <m/>
    <s v="Candidate"/>
    <m/>
    <m/>
    <m/>
    <n v="3"/>
    <n v="15"/>
    <n v="12"/>
    <x v="20"/>
    <n v="1"/>
    <d v="2023-06-09T18:21:09"/>
    <s v=""/>
    <s v=""/>
    <s v=""/>
    <m/>
    <m/>
    <m/>
    <m/>
    <m/>
    <m/>
    <m/>
    <m/>
    <m/>
    <m/>
  </r>
  <r>
    <n v="1551"/>
    <s v="1551 | Fundraising"/>
    <x v="6"/>
    <s v="Fundraising - Senior Management"/>
    <s v="Senior Manager"/>
    <s v="Fundraising-Senior Manager"/>
    <s v="Senior Management"/>
    <d v="2022-12-08T14:20:00"/>
    <d v="2022-12-10T14:20:00"/>
    <s v="Yes"/>
    <d v="2022-12-22T14:20:00"/>
    <s v="Failed"/>
    <s v="Didn't pass technical test"/>
    <m/>
    <m/>
    <m/>
    <m/>
    <m/>
    <m/>
    <n v="0"/>
    <m/>
    <m/>
    <m/>
    <m/>
    <s v="Company"/>
    <m/>
    <m/>
    <m/>
    <n v="2"/>
    <n v="14"/>
    <n v="12"/>
    <x v="0"/>
    <s v=""/>
    <s v=""/>
    <s v=""/>
    <s v=""/>
    <s v=""/>
    <m/>
    <m/>
    <m/>
    <m/>
    <m/>
    <m/>
    <m/>
    <m/>
    <m/>
    <m/>
  </r>
  <r>
    <n v="1489"/>
    <s v="1489 | Fundraising"/>
    <x v="6"/>
    <s v="Fundraising - Senior Management"/>
    <s v="Senior Manager"/>
    <s v="Fundraising-Senior Manager"/>
    <s v="Senior Management"/>
    <d v="2023-07-06T13:00:43"/>
    <d v="2023-07-07T13:00:43"/>
    <s v="Yes"/>
    <d v="2023-07-26T13:00:43"/>
    <s v="Failed"/>
    <s v="Other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1486"/>
    <s v="1486 | Fundraising"/>
    <x v="6"/>
    <s v="Fundraising - Senior Management"/>
    <s v="Senior Manager"/>
    <s v="Fundraising-Senior Manager"/>
    <s v="Senior Management"/>
    <d v="2023-07-04T13:00:43"/>
    <d v="2023-07-07T13:00:43"/>
    <s v="Yes"/>
    <d v="2023-07-21T13:00:43"/>
    <s v="Failed"/>
    <s v="Didn't pass technical test"/>
    <m/>
    <m/>
    <m/>
    <m/>
    <d v="2023-07-24T13:00:43"/>
    <m/>
    <n v="0"/>
    <m/>
    <m/>
    <m/>
    <m/>
    <s v="Candidate"/>
    <m/>
    <m/>
    <m/>
    <n v="3"/>
    <n v="17"/>
    <n v="14"/>
    <x v="15"/>
    <n v="3"/>
    <d v="2023-10-22T13:00:43"/>
    <s v=""/>
    <s v=""/>
    <s v=""/>
    <m/>
    <m/>
    <m/>
    <m/>
    <m/>
    <m/>
    <m/>
    <m/>
    <m/>
    <m/>
  </r>
  <r>
    <n v="1481"/>
    <s v="1481 | Fundraising"/>
    <x v="6"/>
    <s v="Fundraising - Senior Management"/>
    <s v="Senior Manager"/>
    <s v="Fundraising-Senior Manager"/>
    <s v="Senior Management"/>
    <d v="2023-07-06T13:00:43"/>
    <d v="2023-07-10T13:00:43"/>
    <s v="Yes"/>
    <d v="2023-07-21T13:00:43"/>
    <s v="Failed"/>
    <s v="Other"/>
    <m/>
    <m/>
    <m/>
    <m/>
    <d v="2023-07-23T13:00:43"/>
    <m/>
    <n v="0"/>
    <m/>
    <m/>
    <m/>
    <m/>
    <s v="Company"/>
    <m/>
    <m/>
    <m/>
    <n v="4"/>
    <n v="15"/>
    <n v="11"/>
    <x v="14"/>
    <n v="2"/>
    <d v="2023-10-21T13:00:43"/>
    <s v=""/>
    <s v=""/>
    <s v=""/>
    <m/>
    <m/>
    <m/>
    <m/>
    <m/>
    <m/>
    <m/>
    <m/>
    <m/>
    <m/>
  </r>
  <r>
    <n v="1466"/>
    <s v="1466 | Fundraising"/>
    <x v="6"/>
    <s v="Fundraising - Senior Management"/>
    <s v="Senior Manager"/>
    <s v="Fundraising-Senior Manager"/>
    <s v="Senior Management"/>
    <d v="2023-03-17T03:24:12"/>
    <d v="2023-03-20T03:24:12"/>
    <s v="Yes"/>
    <d v="2023-04-05T03:24:12"/>
    <s v="Failed"/>
    <s v="Not a culture fit"/>
    <m/>
    <m/>
    <m/>
    <m/>
    <d v="2023-04-08T03:24:12"/>
    <m/>
    <n v="0"/>
    <m/>
    <m/>
    <m/>
    <m/>
    <s v="Candidate"/>
    <m/>
    <m/>
    <m/>
    <n v="3"/>
    <n v="19"/>
    <n v="16"/>
    <x v="7"/>
    <n v="3"/>
    <d v="2023-07-07T03:24:12"/>
    <s v=""/>
    <s v=""/>
    <s v=""/>
    <m/>
    <m/>
    <m/>
    <m/>
    <m/>
    <m/>
    <m/>
    <m/>
    <m/>
    <m/>
  </r>
  <r>
    <n v="1359"/>
    <s v="1359 | Fundraising"/>
    <x v="6"/>
    <s v="Fundraising - Senior Management"/>
    <s v="Senior Manager"/>
    <s v="Fundraising-Senior Manager"/>
    <s v="Senior Management"/>
    <d v="2022-07-24T01:19:51"/>
    <d v="2022-07-28T01:19:51"/>
    <s v="Yes"/>
    <d v="2022-08-13T01:19:51"/>
    <s v="Failed"/>
    <s v="Other"/>
    <m/>
    <m/>
    <m/>
    <m/>
    <m/>
    <m/>
    <n v="0"/>
    <m/>
    <m/>
    <m/>
    <m/>
    <s v="Company"/>
    <m/>
    <m/>
    <m/>
    <n v="4"/>
    <n v="20"/>
    <n v="16"/>
    <x v="0"/>
    <s v=""/>
    <s v=""/>
    <s v=""/>
    <s v=""/>
    <s v=""/>
    <m/>
    <m/>
    <m/>
    <m/>
    <m/>
    <m/>
    <m/>
    <m/>
    <m/>
    <m/>
  </r>
  <r>
    <n v="1353"/>
    <s v="1353 | Fundraising"/>
    <x v="6"/>
    <s v="Fundraising - Senior Management"/>
    <s v="Senior Manager"/>
    <s v="Fundraising-Senior Manager"/>
    <s v="Senior Management"/>
    <d v="2022-07-25T01:19:51"/>
    <d v="2022-07-27T01:19:51"/>
    <s v="Yes"/>
    <d v="2022-08-01T01:19:51"/>
    <s v="Failed"/>
    <s v="Not a culture fit"/>
    <m/>
    <m/>
    <m/>
    <m/>
    <m/>
    <m/>
    <n v="0"/>
    <m/>
    <m/>
    <m/>
    <m/>
    <s v="Company"/>
    <m/>
    <m/>
    <m/>
    <n v="2"/>
    <n v="7"/>
    <n v="5"/>
    <x v="0"/>
    <s v=""/>
    <s v=""/>
    <s v=""/>
    <s v=""/>
    <s v=""/>
    <m/>
    <m/>
    <m/>
    <m/>
    <m/>
    <m/>
    <m/>
    <m/>
    <m/>
    <m/>
  </r>
  <r>
    <n v="1243"/>
    <s v="1243 | Fundraising"/>
    <x v="6"/>
    <s v="Fundraising - Senior Management"/>
    <s v="Senior Manager"/>
    <s v="Fundraising-Senior Manager"/>
    <s v="Senior Management"/>
    <d v="2022-06-22T20:09:31"/>
    <d v="2022-06-26T20:09:31"/>
    <s v="Yes"/>
    <d v="2022-07-14T20:09:31"/>
    <s v="Failed"/>
    <s v="Other"/>
    <m/>
    <m/>
    <m/>
    <m/>
    <d v="2022-07-18T20:09:31"/>
    <m/>
    <n v="0"/>
    <m/>
    <m/>
    <m/>
    <m/>
    <s v="Candidate"/>
    <m/>
    <m/>
    <m/>
    <n v="4"/>
    <n v="22"/>
    <n v="18"/>
    <x v="25"/>
    <n v="4"/>
    <d v="2022-10-16T20:09:31"/>
    <s v=""/>
    <s v=""/>
    <s v=""/>
    <m/>
    <m/>
    <m/>
    <m/>
    <m/>
    <m/>
    <m/>
    <m/>
    <m/>
    <m/>
  </r>
  <r>
    <n v="1209"/>
    <s v="1209 | Fundraising"/>
    <x v="6"/>
    <s v="Fundraising - Senior Management"/>
    <s v="Senior Manager"/>
    <s v="Fundraising-Senior Manager"/>
    <s v="Senior Management"/>
    <d v="2022-07-26T04:55:35"/>
    <d v="2022-07-27T04:55:35"/>
    <s v="Yes"/>
    <d v="2022-08-03T04:55:35"/>
    <s v="Failed"/>
    <s v="Position filled by another"/>
    <m/>
    <m/>
    <m/>
    <m/>
    <d v="2022-08-06T04:55:35"/>
    <m/>
    <n v="0"/>
    <m/>
    <m/>
    <m/>
    <m/>
    <s v="Candidate"/>
    <m/>
    <m/>
    <m/>
    <n v="1"/>
    <n v="8"/>
    <n v="7"/>
    <x v="9"/>
    <n v="3"/>
    <d v="2022-11-04T04:55:35"/>
    <s v=""/>
    <s v=""/>
    <s v=""/>
    <m/>
    <m/>
    <m/>
    <m/>
    <m/>
    <m/>
    <m/>
    <m/>
    <m/>
    <m/>
  </r>
  <r>
    <n v="1205"/>
    <s v="1205 | Fundraising"/>
    <x v="6"/>
    <s v="Fundraising - Senior Management"/>
    <s v="Senior Manager"/>
    <s v="Fundraising-Senior Manager"/>
    <s v="Senior Management"/>
    <d v="2022-07-22T04:55:35"/>
    <d v="2022-07-25T04:55:35"/>
    <s v="Yes"/>
    <d v="2022-08-01T04:55:35"/>
    <s v="Failed"/>
    <s v="Salary expectation too high"/>
    <m/>
    <m/>
    <m/>
    <m/>
    <d v="2022-08-04T04:55:35"/>
    <m/>
    <n v="0"/>
    <m/>
    <m/>
    <m/>
    <m/>
    <s v="Company"/>
    <m/>
    <m/>
    <m/>
    <n v="3"/>
    <n v="10"/>
    <n v="7"/>
    <x v="8"/>
    <n v="3"/>
    <d v="2022-11-02T04:55:35"/>
    <s v=""/>
    <s v=""/>
    <s v=""/>
    <m/>
    <m/>
    <m/>
    <m/>
    <m/>
    <m/>
    <m/>
    <m/>
    <m/>
    <m/>
  </r>
  <r>
    <n v="1198"/>
    <s v="1198 | Fundraising"/>
    <x v="6"/>
    <s v="Fundraising - Senior Management"/>
    <s v="Senior Manager"/>
    <s v="Fundraising-Senior Manager"/>
    <s v="Senior Management"/>
    <d v="2022-07-22T23:11:03"/>
    <d v="2022-07-24T23:11:03"/>
    <s v="Yes"/>
    <d v="2022-08-12T23:11:03"/>
    <s v="Failed"/>
    <s v="Didn't pass technical test"/>
    <m/>
    <m/>
    <m/>
    <m/>
    <m/>
    <m/>
    <n v="0"/>
    <m/>
    <m/>
    <m/>
    <m/>
    <s v="Company"/>
    <m/>
    <m/>
    <m/>
    <n v="2"/>
    <n v="21"/>
    <n v="19"/>
    <x v="0"/>
    <s v=""/>
    <s v=""/>
    <s v=""/>
    <s v=""/>
    <s v=""/>
    <m/>
    <m/>
    <m/>
    <m/>
    <m/>
    <m/>
    <m/>
    <m/>
    <m/>
    <m/>
  </r>
  <r>
    <n v="1177"/>
    <s v="1177 | Fundraising"/>
    <x v="6"/>
    <s v="Fundraising - Senior Management"/>
    <s v="Senior Manager"/>
    <s v="Fundraising-Senior Manager"/>
    <s v="Senior Management"/>
    <d v="2023-05-14T01:00:09"/>
    <d v="2023-05-15T01:00:09"/>
    <s v="Yes"/>
    <d v="2023-05-31T01:00:09"/>
    <s v="Failed"/>
    <s v="Position filled by another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1110"/>
    <s v="1110 | Fundraising"/>
    <x v="6"/>
    <s v="Fundraising - Senior Management"/>
    <s v="Senior Manager"/>
    <s v="Fundraising-Senior Manager"/>
    <s v="Senior Management"/>
    <d v="2022-04-20T22:53:34"/>
    <d v="2022-04-24T22:53:34"/>
    <s v="Yes"/>
    <d v="2022-05-03T22:53:34"/>
    <s v="Failed"/>
    <s v="Salary expectation too high"/>
    <m/>
    <m/>
    <m/>
    <m/>
    <d v="2022-05-06T22:53:34"/>
    <m/>
    <n v="0"/>
    <m/>
    <m/>
    <m/>
    <m/>
    <s v="Company"/>
    <m/>
    <m/>
    <m/>
    <n v="4"/>
    <n v="13"/>
    <n v="9"/>
    <x v="20"/>
    <n v="3"/>
    <d v="2022-08-04T22:53:34"/>
    <s v=""/>
    <s v=""/>
    <s v=""/>
    <m/>
    <m/>
    <m/>
    <m/>
    <m/>
    <m/>
    <m/>
    <m/>
    <m/>
    <m/>
  </r>
  <r>
    <n v="1104"/>
    <s v="1104 | Fundraising"/>
    <x v="6"/>
    <s v="Fundraising - Senior Management"/>
    <s v="Senior Manager"/>
    <s v="Fundraising-Senior Manager"/>
    <s v="Senior Management"/>
    <d v="2022-04-27T22:53:34"/>
    <d v="2022-04-28T22:53:34"/>
    <s v="Yes"/>
    <d v="2022-05-05T22:53:34"/>
    <s v="Failed"/>
    <s v="Didn't pass technical test"/>
    <m/>
    <m/>
    <m/>
    <m/>
    <m/>
    <m/>
    <n v="0"/>
    <m/>
    <m/>
    <m/>
    <m/>
    <s v="Company"/>
    <m/>
    <m/>
    <m/>
    <n v="1"/>
    <n v="8"/>
    <n v="7"/>
    <x v="0"/>
    <s v=""/>
    <s v=""/>
    <s v=""/>
    <s v=""/>
    <s v=""/>
    <m/>
    <m/>
    <m/>
    <m/>
    <m/>
    <m/>
    <m/>
    <m/>
    <m/>
    <m/>
  </r>
  <r>
    <n v="1080"/>
    <s v="1080 | Fundraising"/>
    <x v="6"/>
    <s v="Fundraising - Senior Management"/>
    <s v="Senior Manager"/>
    <s v="Fundraising-Senior Manager"/>
    <s v="Senior Management"/>
    <d v="2022-02-08T23:46:40"/>
    <d v="2022-02-12T23:46:40"/>
    <s v="Yes"/>
    <d v="2022-03-03T23:46:40"/>
    <s v="Failed"/>
    <s v="Position filled by another"/>
    <m/>
    <m/>
    <m/>
    <m/>
    <m/>
    <m/>
    <n v="0"/>
    <m/>
    <m/>
    <m/>
    <m/>
    <s v="Company"/>
    <m/>
    <m/>
    <m/>
    <n v="4"/>
    <n v="23"/>
    <n v="19"/>
    <x v="0"/>
    <s v=""/>
    <s v=""/>
    <s v=""/>
    <s v=""/>
    <s v=""/>
    <m/>
    <m/>
    <m/>
    <m/>
    <m/>
    <m/>
    <m/>
    <m/>
    <m/>
    <m/>
  </r>
  <r>
    <n v="2939"/>
    <s v="2939 | Fundraising"/>
    <x v="6"/>
    <s v="Fundraising - Senior"/>
    <s v="Fund Administrator"/>
    <s v="Fundraising-Fund Administrator"/>
    <s v="Senior"/>
    <d v="2023-02-11T13:12:09"/>
    <d v="2023-02-14T13:12:09"/>
    <s v="Yes"/>
    <d v="2023-03-04T13:12:09"/>
    <s v="Failed"/>
    <s v="Didn't pass technical test"/>
    <m/>
    <m/>
    <m/>
    <m/>
    <d v="2023-03-06T13:12:09"/>
    <m/>
    <n v="0"/>
    <m/>
    <m/>
    <m/>
    <m/>
    <s v="Company"/>
    <m/>
    <m/>
    <m/>
    <n v="3"/>
    <n v="21"/>
    <n v="18"/>
    <x v="3"/>
    <n v="2"/>
    <d v="2023-06-04T13:12:09"/>
    <s v=""/>
    <s v=""/>
    <s v=""/>
    <m/>
    <m/>
    <m/>
    <m/>
    <m/>
    <m/>
    <m/>
    <m/>
    <m/>
    <m/>
  </r>
  <r>
    <n v="2936"/>
    <s v="2936 | Fundraising"/>
    <x v="6"/>
    <s v="Fundraising - Senior"/>
    <s v="Fund Administrator"/>
    <s v="Fundraising-Fund Administrator"/>
    <s v="Senior"/>
    <d v="2023-02-10T13:12:09"/>
    <d v="2023-02-14T13:12:09"/>
    <s v="Yes"/>
    <d v="2023-02-26T13:12:09"/>
    <s v="Failed"/>
    <s v="Other"/>
    <m/>
    <m/>
    <m/>
    <m/>
    <d v="2023-03-02T13:12:09"/>
    <m/>
    <n v="0"/>
    <m/>
    <m/>
    <m/>
    <m/>
    <s v="Candidate"/>
    <m/>
    <m/>
    <m/>
    <n v="4"/>
    <n v="16"/>
    <n v="12"/>
    <x v="15"/>
    <n v="4"/>
    <d v="2023-05-31T13:12:09"/>
    <s v=""/>
    <s v=""/>
    <s v=""/>
    <m/>
    <m/>
    <m/>
    <m/>
    <m/>
    <m/>
    <m/>
    <m/>
    <m/>
    <m/>
  </r>
  <r>
    <n v="2932"/>
    <s v="2932 | Fundraising"/>
    <x v="6"/>
    <s v="Fundraising - Senior"/>
    <s v="Fund Administrator"/>
    <s v="Fundraising-Fund Administrator"/>
    <s v="Senior"/>
    <d v="2023-02-07T13:12:09"/>
    <d v="2023-02-10T13:12:09"/>
    <s v="Yes"/>
    <d v="2023-02-19T13:12:09"/>
    <s v="Declined"/>
    <m/>
    <d v="2023-02-26T13:12:09"/>
    <s v="Declined"/>
    <m/>
    <m/>
    <d v="2023-02-22T13:12:09"/>
    <m/>
    <n v="0"/>
    <m/>
    <m/>
    <m/>
    <m/>
    <m/>
    <m/>
    <m/>
    <m/>
    <n v="3"/>
    <n v="12"/>
    <n v="9"/>
    <x v="16"/>
    <n v="3"/>
    <d v="2023-05-23T13:12:09"/>
    <s v=""/>
    <s v=""/>
    <s v=""/>
    <m/>
    <m/>
    <m/>
    <m/>
    <m/>
    <m/>
    <m/>
    <m/>
    <m/>
    <m/>
  </r>
  <r>
    <n v="2924"/>
    <s v="2924 | Fundraising"/>
    <x v="6"/>
    <s v="Fundraising - Senior"/>
    <s v="Fund Administrator"/>
    <s v="Fundraising-Fund Administrator"/>
    <s v="Senior"/>
    <d v="2023-09-06T09:16:50"/>
    <d v="2023-09-10T09:16:50"/>
    <s v="Yes"/>
    <d v="2023-09-22T09:16:50"/>
    <s v="Declined"/>
    <m/>
    <d v="2023-09-28T09:16:50"/>
    <s v="Declined"/>
    <m/>
    <m/>
    <d v="2023-09-26T09:16:50"/>
    <m/>
    <n v="0"/>
    <m/>
    <m/>
    <m/>
    <m/>
    <m/>
    <m/>
    <m/>
    <m/>
    <n v="4"/>
    <n v="16"/>
    <n v="12"/>
    <x v="15"/>
    <n v="4"/>
    <d v="2023-12-25T09:16:50"/>
    <s v=""/>
    <s v=""/>
    <s v=""/>
    <m/>
    <m/>
    <m/>
    <m/>
    <m/>
    <m/>
    <m/>
    <m/>
    <m/>
    <m/>
  </r>
  <r>
    <n v="2921"/>
    <s v="2921 | Fundraising"/>
    <x v="6"/>
    <s v="Fundraising - Senior"/>
    <s v="Fund Administrator"/>
    <s v="Fundraising-Fund Administrator"/>
    <s v="Senior"/>
    <d v="2023-09-07T09:16:50"/>
    <d v="2023-09-09T09:16:50"/>
    <s v="Yes"/>
    <d v="2023-09-29T09:16:50"/>
    <s v="Failed"/>
    <s v="Other"/>
    <m/>
    <m/>
    <m/>
    <m/>
    <m/>
    <m/>
    <n v="0"/>
    <m/>
    <m/>
    <m/>
    <m/>
    <s v="Company"/>
    <m/>
    <m/>
    <m/>
    <n v="2"/>
    <n v="22"/>
    <n v="20"/>
    <x v="0"/>
    <s v=""/>
    <s v=""/>
    <s v=""/>
    <s v=""/>
    <s v=""/>
    <m/>
    <m/>
    <m/>
    <m/>
    <m/>
    <m/>
    <m/>
    <m/>
    <m/>
    <m/>
  </r>
  <r>
    <n v="2823"/>
    <s v="2823 | Fundraising"/>
    <x v="6"/>
    <s v="Fundraising - Senior"/>
    <s v="Fund Administrator"/>
    <s v="Fundraising-Fund Administrator"/>
    <s v="Senior"/>
    <d v="2022-01-05T01:20:30"/>
    <d v="2022-01-08T01:20:30"/>
    <s v="Yes"/>
    <d v="2022-01-23T01:20:30"/>
    <s v="Failed"/>
    <s v="Other"/>
    <m/>
    <m/>
    <m/>
    <m/>
    <d v="2022-01-27T01:20:30"/>
    <m/>
    <n v="0"/>
    <m/>
    <m/>
    <m/>
    <m/>
    <s v="Company"/>
    <m/>
    <m/>
    <m/>
    <n v="3"/>
    <n v="18"/>
    <n v="15"/>
    <x v="7"/>
    <n v="4"/>
    <d v="2022-04-27T01:20:30"/>
    <s v=""/>
    <s v=""/>
    <s v=""/>
    <m/>
    <m/>
    <m/>
    <m/>
    <m/>
    <m/>
    <m/>
    <m/>
    <m/>
    <m/>
  </r>
  <r>
    <n v="2810"/>
    <s v="2810 | Fundraising"/>
    <x v="6"/>
    <s v="Fundraising - Senior"/>
    <s v="Fund Administrator"/>
    <s v="Fundraising-Fund Administrator"/>
    <s v="Senior"/>
    <d v="2023-05-31T18:40:56"/>
    <d v="2023-06-03T18:40:56"/>
    <s v="Yes"/>
    <d v="2023-06-12T18:40:56"/>
    <s v="Failed"/>
    <s v="Other"/>
    <m/>
    <m/>
    <m/>
    <m/>
    <m/>
    <m/>
    <n v="0"/>
    <m/>
    <m/>
    <m/>
    <m/>
    <s v="Candidate"/>
    <m/>
    <m/>
    <m/>
    <n v="3"/>
    <n v="12"/>
    <n v="9"/>
    <x v="0"/>
    <s v=""/>
    <s v=""/>
    <s v=""/>
    <s v=""/>
    <s v=""/>
    <m/>
    <m/>
    <m/>
    <m/>
    <m/>
    <m/>
    <m/>
    <m/>
    <m/>
    <m/>
  </r>
  <r>
    <n v="2799"/>
    <s v="2799 | Fundraising"/>
    <x v="6"/>
    <s v="Fundraising - Senior"/>
    <s v="Fund Administrator"/>
    <s v="Fundraising-Fund Administrator"/>
    <s v="Senior"/>
    <d v="2023-06-26T20:01:36"/>
    <d v="2023-06-30T20:01:36"/>
    <s v="Yes"/>
    <d v="2023-07-09T20:01:36"/>
    <s v="Failed"/>
    <s v="Not a culture fit"/>
    <m/>
    <m/>
    <m/>
    <m/>
    <m/>
    <m/>
    <n v="0"/>
    <m/>
    <m/>
    <m/>
    <m/>
    <s v="Candidate"/>
    <m/>
    <m/>
    <m/>
    <n v="4"/>
    <n v="13"/>
    <n v="9"/>
    <x v="0"/>
    <s v=""/>
    <s v=""/>
    <s v=""/>
    <s v=""/>
    <s v=""/>
    <m/>
    <m/>
    <m/>
    <m/>
    <m/>
    <m/>
    <m/>
    <m/>
    <m/>
    <m/>
  </r>
  <r>
    <n v="2792"/>
    <s v="2792 | Fundraising"/>
    <x v="6"/>
    <s v="Fundraising - Senior"/>
    <s v="Fund Administrator"/>
    <s v="Fundraising-Fund Administrator"/>
    <s v="Senior"/>
    <d v="2023-06-26T20:01:36"/>
    <d v="2023-06-28T20:01:36"/>
    <s v="Yes"/>
    <d v="2023-07-12T20:01:36"/>
    <s v="Failed"/>
    <s v="Position filled by another"/>
    <m/>
    <m/>
    <m/>
    <m/>
    <d v="2023-07-13T20:01:36"/>
    <m/>
    <n v="0"/>
    <m/>
    <m/>
    <m/>
    <m/>
    <s v="Company"/>
    <m/>
    <m/>
    <m/>
    <n v="2"/>
    <n v="16"/>
    <n v="14"/>
    <x v="14"/>
    <n v="1"/>
    <d v="2023-10-11T20:01:36"/>
    <s v=""/>
    <s v=""/>
    <s v=""/>
    <m/>
    <m/>
    <m/>
    <m/>
    <m/>
    <m/>
    <m/>
    <m/>
    <m/>
    <m/>
  </r>
  <r>
    <n v="2764"/>
    <s v="2764 | Fundraising"/>
    <x v="6"/>
    <s v="Fundraising - Senior"/>
    <s v="Fund Administrator"/>
    <s v="Fundraising-Fund Administrator"/>
    <s v="Senior"/>
    <d v="2022-09-02T07:14:27"/>
    <d v="2022-09-05T07:14:27"/>
    <s v="Yes"/>
    <d v="2022-09-23T07:14:27"/>
    <s v="Failed"/>
    <s v="Didn't pass technical test"/>
    <m/>
    <m/>
    <m/>
    <m/>
    <d v="2022-09-25T07:14:27"/>
    <m/>
    <n v="0"/>
    <m/>
    <m/>
    <m/>
    <m/>
    <s v="Candidate"/>
    <m/>
    <m/>
    <m/>
    <n v="3"/>
    <n v="21"/>
    <n v="18"/>
    <x v="3"/>
    <n v="2"/>
    <d v="2022-12-24T07:14:27"/>
    <s v=""/>
    <s v=""/>
    <s v=""/>
    <m/>
    <m/>
    <m/>
    <m/>
    <m/>
    <m/>
    <m/>
    <m/>
    <m/>
    <m/>
  </r>
  <r>
    <n v="2746"/>
    <s v="2746 | Fundraising"/>
    <x v="6"/>
    <s v="Fundraising - Senior"/>
    <s v="Fund Administrator"/>
    <s v="Fundraising-Fund Administrator"/>
    <s v="Senior"/>
    <d v="2022-04-17T13:27:53"/>
    <d v="2022-04-21T13:27:53"/>
    <s v="Yes"/>
    <d v="2022-04-29T13:27:53"/>
    <s v="Declined"/>
    <m/>
    <d v="2022-05-03T13:27:53"/>
    <s v="Declined"/>
    <m/>
    <m/>
    <d v="2022-04-30T13:27:53"/>
    <m/>
    <n v="0"/>
    <m/>
    <m/>
    <m/>
    <m/>
    <m/>
    <m/>
    <m/>
    <m/>
    <n v="4"/>
    <n v="12"/>
    <n v="8"/>
    <x v="8"/>
    <n v="1"/>
    <d v="2022-07-29T13:27:53"/>
    <s v=""/>
    <s v=""/>
    <s v=""/>
    <m/>
    <m/>
    <m/>
    <m/>
    <m/>
    <m/>
    <m/>
    <m/>
    <m/>
    <m/>
  </r>
  <r>
    <n v="2745"/>
    <s v="2745 | Fundraising"/>
    <x v="6"/>
    <s v="Fundraising - Senior"/>
    <s v="Fund Administrator"/>
    <s v="Fundraising-Fund Administrator"/>
    <s v="Senior"/>
    <d v="2022-04-18T13:27:53"/>
    <d v="2022-04-19T13:27:53"/>
    <s v="Yes"/>
    <d v="2022-05-10T13:27:53"/>
    <s v="Declined"/>
    <m/>
    <d v="2022-05-16T13:27:53"/>
    <s v="Declined"/>
    <m/>
    <m/>
    <d v="2022-05-12T13:27:53"/>
    <m/>
    <n v="0"/>
    <m/>
    <m/>
    <m/>
    <m/>
    <m/>
    <m/>
    <m/>
    <m/>
    <n v="1"/>
    <n v="22"/>
    <n v="21"/>
    <x v="21"/>
    <n v="2"/>
    <d v="2022-08-10T13:27:53"/>
    <s v=""/>
    <s v=""/>
    <s v=""/>
    <m/>
    <m/>
    <m/>
    <m/>
    <m/>
    <m/>
    <m/>
    <m/>
    <m/>
    <m/>
  </r>
  <r>
    <n v="2635"/>
    <s v="2635 | Fundraising"/>
    <x v="6"/>
    <s v="Fundraising - Senior"/>
    <s v="Fund Administrator"/>
    <s v="Fundraising-Fund Administrator"/>
    <s v="Senior"/>
    <d v="2022-01-24T04:43:28"/>
    <d v="2022-01-26T04:43:28"/>
    <s v="Yes"/>
    <d v="2022-01-30T04:43:28"/>
    <s v="Declined"/>
    <m/>
    <d v="2022-02-04T04:43:28"/>
    <s v="Declined"/>
    <m/>
    <m/>
    <d v="2022-02-02T04:43:28"/>
    <m/>
    <n v="0"/>
    <m/>
    <m/>
    <m/>
    <m/>
    <m/>
    <m/>
    <m/>
    <m/>
    <n v="2"/>
    <n v="6"/>
    <n v="4"/>
    <x v="4"/>
    <n v="3"/>
    <d v="2022-05-03T04:43:28"/>
    <s v=""/>
    <s v=""/>
    <s v=""/>
    <m/>
    <m/>
    <m/>
    <m/>
    <m/>
    <m/>
    <m/>
    <m/>
    <m/>
    <m/>
  </r>
  <r>
    <n v="2624"/>
    <s v="2624 | Fundraising"/>
    <x v="6"/>
    <s v="Fundraising - Senior"/>
    <s v="Fund Administrator"/>
    <s v="Fundraising-Fund Administrator"/>
    <s v="Senior"/>
    <d v="2023-06-20T16:02:26"/>
    <d v="2023-06-24T16:02:26"/>
    <s v="Yes"/>
    <d v="2023-06-29T16:02:26"/>
    <s v="Failed"/>
    <s v="Didn't pass technical test"/>
    <m/>
    <m/>
    <m/>
    <m/>
    <d v="2023-07-02T16:02:26"/>
    <m/>
    <n v="0"/>
    <m/>
    <m/>
    <m/>
    <m/>
    <s v="Candidate"/>
    <m/>
    <m/>
    <m/>
    <n v="4"/>
    <n v="9"/>
    <n v="5"/>
    <x v="24"/>
    <n v="3"/>
    <d v="2023-09-30T16:02:26"/>
    <s v=""/>
    <s v=""/>
    <s v=""/>
    <m/>
    <m/>
    <m/>
    <m/>
    <m/>
    <m/>
    <m/>
    <m/>
    <m/>
    <m/>
  </r>
  <r>
    <n v="2618"/>
    <s v="2618 | Fundraising"/>
    <x v="6"/>
    <s v="Fundraising - Senior"/>
    <s v="Fund Administrator"/>
    <s v="Fundraising-Fund Administrator"/>
    <s v="Senior"/>
    <d v="2023-01-04T09:06:31"/>
    <d v="2023-01-06T09:06:31"/>
    <s v="Yes"/>
    <d v="2023-01-16T09:06:31"/>
    <s v="Declined"/>
    <m/>
    <d v="2023-01-22T09:06:31"/>
    <s v="Declined"/>
    <m/>
    <m/>
    <d v="2023-01-20T09:06:31"/>
    <m/>
    <n v="0"/>
    <m/>
    <m/>
    <m/>
    <m/>
    <m/>
    <m/>
    <m/>
    <m/>
    <n v="2"/>
    <n v="12"/>
    <n v="10"/>
    <x v="20"/>
    <n v="4"/>
    <d v="2023-04-20T09:06:31"/>
    <s v=""/>
    <s v=""/>
    <s v=""/>
    <m/>
    <m/>
    <m/>
    <m/>
    <m/>
    <m/>
    <m/>
    <m/>
    <m/>
    <m/>
  </r>
  <r>
    <n v="2617"/>
    <s v="2617 | Fundraising"/>
    <x v="6"/>
    <s v="Fundraising - Senior"/>
    <s v="Fund Administrator"/>
    <s v="Fundraising-Fund Administrator"/>
    <s v="Senior"/>
    <d v="2023-01-05T09:06:31"/>
    <d v="2023-01-09T09:06:31"/>
    <s v="Yes"/>
    <d v="2023-01-26T09:06:31"/>
    <s v="Declined"/>
    <m/>
    <d v="2023-01-31T09:06:31"/>
    <s v="Declined"/>
    <m/>
    <m/>
    <d v="2023-01-30T09:06:31"/>
    <m/>
    <n v="0"/>
    <m/>
    <m/>
    <m/>
    <m/>
    <m/>
    <m/>
    <m/>
    <m/>
    <n v="4"/>
    <n v="21"/>
    <n v="17"/>
    <x v="11"/>
    <n v="4"/>
    <d v="2023-04-30T09:06:31"/>
    <s v=""/>
    <s v=""/>
    <s v=""/>
    <m/>
    <m/>
    <m/>
    <m/>
    <m/>
    <m/>
    <m/>
    <m/>
    <m/>
    <m/>
  </r>
  <r>
    <n v="2597"/>
    <s v="2597 | Fundraising"/>
    <x v="6"/>
    <s v="Fundraising - Senior"/>
    <s v="Fund Administrator"/>
    <s v="Fundraising-Fund Administrator"/>
    <s v="Senior"/>
    <d v="2023-01-18T09:40:31"/>
    <d v="2023-01-21T09:40:31"/>
    <s v="Yes"/>
    <d v="2023-02-10T09:40:31"/>
    <s v="Failed"/>
    <s v="Other"/>
    <m/>
    <m/>
    <m/>
    <m/>
    <m/>
    <m/>
    <n v="0"/>
    <m/>
    <m/>
    <m/>
    <m/>
    <s v="Candidate"/>
    <m/>
    <m/>
    <m/>
    <n v="3"/>
    <n v="23"/>
    <n v="20"/>
    <x v="0"/>
    <s v=""/>
    <s v=""/>
    <s v=""/>
    <s v=""/>
    <s v=""/>
    <m/>
    <m/>
    <m/>
    <m/>
    <m/>
    <m/>
    <m/>
    <m/>
    <m/>
    <m/>
  </r>
  <r>
    <n v="2593"/>
    <s v="2593 | Fundraising"/>
    <x v="6"/>
    <s v="Fundraising - Senior"/>
    <s v="Fund Administrator"/>
    <s v="Fundraising-Fund Administrator"/>
    <s v="Senior"/>
    <d v="2023-01-19T09:40:31"/>
    <d v="2023-01-23T09:40:31"/>
    <s v="Yes"/>
    <d v="2023-01-30T09:40:31"/>
    <s v="Failed"/>
    <s v="Other"/>
    <m/>
    <m/>
    <m/>
    <m/>
    <d v="2023-02-01T09:40:31"/>
    <m/>
    <n v="0"/>
    <m/>
    <m/>
    <m/>
    <m/>
    <s v="Company"/>
    <m/>
    <m/>
    <m/>
    <n v="4"/>
    <n v="11"/>
    <n v="7"/>
    <x v="8"/>
    <n v="2"/>
    <d v="2023-05-02T09:40:31"/>
    <s v=""/>
    <s v=""/>
    <s v=""/>
    <m/>
    <m/>
    <m/>
    <m/>
    <m/>
    <m/>
    <m/>
    <m/>
    <m/>
    <m/>
  </r>
  <r>
    <n v="2574"/>
    <s v="2574 | Fundraising"/>
    <x v="6"/>
    <s v="Fundraising - Senior"/>
    <s v="Fund Administrator"/>
    <s v="Fundraising-Fund Administrator"/>
    <s v="Senior"/>
    <d v="2022-03-18T17:14:32"/>
    <d v="2022-03-21T17:14:32"/>
    <s v="Yes"/>
    <d v="2022-03-30T17:14:32"/>
    <s v="Failed"/>
    <s v="Salary expectation too high"/>
    <m/>
    <m/>
    <m/>
    <m/>
    <d v="2022-04-03T17:14:32"/>
    <m/>
    <n v="0"/>
    <m/>
    <m/>
    <m/>
    <m/>
    <s v="Company"/>
    <m/>
    <m/>
    <m/>
    <n v="3"/>
    <n v="12"/>
    <n v="9"/>
    <x v="20"/>
    <n v="4"/>
    <d v="2022-07-02T17:14:32"/>
    <s v=""/>
    <s v=""/>
    <s v=""/>
    <m/>
    <m/>
    <m/>
    <m/>
    <m/>
    <m/>
    <m/>
    <m/>
    <m/>
    <m/>
  </r>
  <r>
    <n v="2429"/>
    <s v="2429 | Fundraising"/>
    <x v="6"/>
    <s v="Fundraising - Senior"/>
    <s v="Fund Administrator"/>
    <s v="Fundraising-Fund Administrator"/>
    <s v="Senior"/>
    <d v="2022-09-28T06:07:20"/>
    <d v="2022-10-01T06:07:20"/>
    <s v="Yes"/>
    <d v="2022-10-14T06:07:20"/>
    <s v="Failed"/>
    <s v="Position filled by another"/>
    <m/>
    <m/>
    <m/>
    <m/>
    <d v="2022-10-17T06:07:20"/>
    <m/>
    <n v="0"/>
    <m/>
    <m/>
    <m/>
    <m/>
    <s v="Company"/>
    <m/>
    <m/>
    <m/>
    <n v="3"/>
    <n v="16"/>
    <n v="13"/>
    <x v="13"/>
    <n v="3"/>
    <d v="2023-01-15T06:07:20"/>
    <s v=""/>
    <s v=""/>
    <s v=""/>
    <m/>
    <m/>
    <m/>
    <m/>
    <m/>
    <m/>
    <m/>
    <m/>
    <m/>
    <m/>
  </r>
  <r>
    <n v="2424"/>
    <s v="2424 | Fundraising"/>
    <x v="6"/>
    <s v="Fundraising - Senior"/>
    <s v="Fund Administrator"/>
    <s v="Fundraising-Fund Administrator"/>
    <s v="Senior"/>
    <d v="2022-09-28T06:07:20"/>
    <d v="2022-10-01T06:07:20"/>
    <s v="Yes"/>
    <d v="2022-10-16T06:07:20"/>
    <s v="Failed"/>
    <s v="Didn't pass technical test"/>
    <m/>
    <m/>
    <m/>
    <m/>
    <m/>
    <m/>
    <n v="0"/>
    <m/>
    <m/>
    <m/>
    <m/>
    <s v="Company"/>
    <m/>
    <m/>
    <m/>
    <n v="3"/>
    <n v="18"/>
    <n v="15"/>
    <x v="0"/>
    <s v=""/>
    <s v=""/>
    <s v=""/>
    <s v=""/>
    <s v=""/>
    <m/>
    <m/>
    <m/>
    <m/>
    <m/>
    <m/>
    <m/>
    <m/>
    <m/>
    <m/>
  </r>
  <r>
    <n v="2400"/>
    <s v="2400 | Fundraising"/>
    <x v="6"/>
    <s v="Fundraising - Senior"/>
    <s v="Fund Administrator"/>
    <s v="Fundraising-Fund Administrator"/>
    <s v="Senior"/>
    <d v="2023-07-18T17:32:55"/>
    <d v="2023-07-19T17:32:55"/>
    <s v="Yes"/>
    <d v="2023-07-30T17:32:55"/>
    <s v="Failed"/>
    <s v="Not a culture fit"/>
    <m/>
    <m/>
    <m/>
    <m/>
    <d v="2023-08-01T17:32:55"/>
    <m/>
    <n v="0"/>
    <m/>
    <m/>
    <m/>
    <m/>
    <s v="Company"/>
    <m/>
    <m/>
    <m/>
    <n v="1"/>
    <n v="12"/>
    <n v="11"/>
    <x v="1"/>
    <n v="2"/>
    <d v="2023-10-30T17:32:55"/>
    <s v=""/>
    <s v=""/>
    <s v=""/>
    <m/>
    <m/>
    <m/>
    <m/>
    <m/>
    <m/>
    <m/>
    <m/>
    <m/>
    <m/>
  </r>
  <r>
    <n v="2392"/>
    <s v="2392 | Fundraising"/>
    <x v="6"/>
    <s v="Fundraising - Senior"/>
    <s v="Fund Administrator"/>
    <s v="Fundraising-Fund Administrator"/>
    <s v="Senior"/>
    <d v="2023-07-15T17:32:55"/>
    <d v="2023-07-18T17:32:55"/>
    <s v="Yes"/>
    <d v="2023-08-05T17:32:55"/>
    <s v="Failed"/>
    <s v="Didn't pass technical test"/>
    <m/>
    <m/>
    <m/>
    <m/>
    <m/>
    <m/>
    <n v="0"/>
    <m/>
    <m/>
    <m/>
    <m/>
    <s v="Candidate"/>
    <m/>
    <m/>
    <m/>
    <n v="3"/>
    <n v="21"/>
    <n v="18"/>
    <x v="0"/>
    <s v=""/>
    <s v=""/>
    <s v=""/>
    <s v=""/>
    <s v=""/>
    <m/>
    <m/>
    <m/>
    <m/>
    <m/>
    <m/>
    <m/>
    <m/>
    <m/>
    <m/>
  </r>
  <r>
    <n v="2391"/>
    <s v="2391 | Fundraising"/>
    <x v="6"/>
    <s v="Fundraising - Senior"/>
    <s v="Fund Administrator"/>
    <s v="Fundraising-Fund Administrator"/>
    <s v="Senior"/>
    <d v="2023-07-20T17:32:55"/>
    <d v="2023-07-22T17:32:55"/>
    <s v="Yes"/>
    <d v="2023-08-09T17:32:55"/>
    <s v="Declined"/>
    <m/>
    <d v="2023-08-13T17:32:55"/>
    <s v="Declined"/>
    <m/>
    <m/>
    <d v="2023-08-12T17:32:55"/>
    <m/>
    <n v="0"/>
    <m/>
    <m/>
    <m/>
    <m/>
    <m/>
    <m/>
    <m/>
    <m/>
    <n v="2"/>
    <n v="20"/>
    <n v="18"/>
    <x v="3"/>
    <n v="3"/>
    <d v="2023-11-10T17:32:55"/>
    <s v=""/>
    <s v=""/>
    <s v=""/>
    <m/>
    <m/>
    <m/>
    <m/>
    <m/>
    <m/>
    <m/>
    <m/>
    <m/>
    <m/>
  </r>
  <r>
    <n v="2040"/>
    <s v="2040 | Fundraising"/>
    <x v="6"/>
    <s v="Fundraising - Senior"/>
    <s v="Fund Administrator"/>
    <s v="Fundraising-Fund Administrator"/>
    <s v="Senior"/>
    <d v="2022-03-27T20:40:01"/>
    <d v="2022-03-30T20:40:01"/>
    <s v="Yes"/>
    <d v="2022-04-06T20:40:01"/>
    <s v="Failed"/>
    <s v="Other"/>
    <m/>
    <m/>
    <m/>
    <m/>
    <m/>
    <m/>
    <n v="0"/>
    <m/>
    <m/>
    <m/>
    <m/>
    <s v="Candidate"/>
    <m/>
    <m/>
    <m/>
    <n v="3"/>
    <n v="10"/>
    <n v="7"/>
    <x v="0"/>
    <s v=""/>
    <s v=""/>
    <s v=""/>
    <s v=""/>
    <s v=""/>
    <m/>
    <m/>
    <m/>
    <m/>
    <m/>
    <m/>
    <m/>
    <m/>
    <m/>
    <m/>
  </r>
  <r>
    <n v="2036"/>
    <s v="2036 | Fundraising"/>
    <x v="6"/>
    <s v="Fundraising - Senior"/>
    <s v="Fund Administrator"/>
    <s v="Fundraising-Fund Administrator"/>
    <s v="Senior"/>
    <d v="2022-03-26T20:40:01"/>
    <d v="2022-03-29T20:40:01"/>
    <s v="Yes"/>
    <d v="2022-04-06T20:40:01"/>
    <s v="Failed"/>
    <s v="Other"/>
    <m/>
    <m/>
    <m/>
    <m/>
    <m/>
    <m/>
    <n v="0"/>
    <m/>
    <m/>
    <m/>
    <m/>
    <s v="Company"/>
    <m/>
    <m/>
    <m/>
    <n v="3"/>
    <n v="11"/>
    <n v="8"/>
    <x v="0"/>
    <s v=""/>
    <s v=""/>
    <s v=""/>
    <s v=""/>
    <s v=""/>
    <m/>
    <m/>
    <m/>
    <m/>
    <m/>
    <m/>
    <m/>
    <m/>
    <m/>
    <m/>
  </r>
  <r>
    <n v="2035"/>
    <s v="2035 | Fundraising"/>
    <x v="6"/>
    <s v="Fundraising - Senior"/>
    <s v="Fund Administrator"/>
    <s v="Fundraising-Fund Administrator"/>
    <s v="Senior"/>
    <d v="2022-03-25T20:40:01"/>
    <d v="2022-03-26T20:40:01"/>
    <s v="Yes"/>
    <d v="2022-04-12T20:40:01"/>
    <s v="Failed"/>
    <s v="Didn't pass technical test"/>
    <m/>
    <m/>
    <m/>
    <m/>
    <m/>
    <m/>
    <n v="0"/>
    <m/>
    <m/>
    <m/>
    <m/>
    <s v="Candidate"/>
    <m/>
    <m/>
    <m/>
    <n v="1"/>
    <n v="18"/>
    <n v="17"/>
    <x v="0"/>
    <s v=""/>
    <s v=""/>
    <s v=""/>
    <s v=""/>
    <s v=""/>
    <m/>
    <m/>
    <m/>
    <m/>
    <m/>
    <m/>
    <m/>
    <m/>
    <m/>
    <m/>
  </r>
  <r>
    <n v="2033"/>
    <s v="2033 | Fundraising"/>
    <x v="6"/>
    <s v="Fundraising - Senior"/>
    <s v="Fund Administrator"/>
    <s v="Fundraising-Fund Administrator"/>
    <s v="Senior"/>
    <d v="2022-03-22T20:40:01"/>
    <d v="2022-03-26T20:40:01"/>
    <s v="Yes"/>
    <d v="2022-04-05T20:40:01"/>
    <s v="Declined"/>
    <m/>
    <d v="2022-04-07T20:40:01"/>
    <s v="Declined"/>
    <m/>
    <m/>
    <d v="2022-04-06T20:40:01"/>
    <m/>
    <n v="0"/>
    <m/>
    <m/>
    <m/>
    <m/>
    <m/>
    <m/>
    <m/>
    <m/>
    <n v="4"/>
    <n v="14"/>
    <n v="10"/>
    <x v="16"/>
    <n v="1"/>
    <d v="2022-07-05T20:40:01"/>
    <s v=""/>
    <s v=""/>
    <s v=""/>
    <m/>
    <m/>
    <m/>
    <m/>
    <m/>
    <m/>
    <m/>
    <m/>
    <m/>
    <m/>
  </r>
  <r>
    <n v="1933"/>
    <s v="1933 | Fundraising"/>
    <x v="6"/>
    <s v="Fundraising - Senior"/>
    <s v="Fund Administrator"/>
    <s v="Fundraising-Fund Administrator"/>
    <s v="Senior"/>
    <d v="2023-09-10T07:20:47"/>
    <d v="2023-09-14T07:20:47"/>
    <s v="Yes"/>
    <d v="2023-09-29T07:20:47"/>
    <s v="Pending"/>
    <m/>
    <d v="2023-10-02T07:20:47"/>
    <s v="Pending"/>
    <m/>
    <m/>
    <d v="2023-10-01T07:20:47"/>
    <m/>
    <n v="0"/>
    <m/>
    <m/>
    <m/>
    <m/>
    <m/>
    <m/>
    <m/>
    <m/>
    <n v="4"/>
    <n v="19"/>
    <n v="15"/>
    <x v="19"/>
    <n v="2"/>
    <d v="2023-12-30T07:20:47"/>
    <s v=""/>
    <s v=""/>
    <s v=""/>
    <m/>
    <m/>
    <m/>
    <m/>
    <m/>
    <m/>
    <m/>
    <m/>
    <m/>
    <m/>
  </r>
  <r>
    <n v="1873"/>
    <s v="1873 | Fundraising"/>
    <x v="6"/>
    <s v="Fundraising - Senior"/>
    <s v="Fund Administrator"/>
    <s v="Fundraising-Fund Administrator"/>
    <s v="Senior"/>
    <d v="2022-01-17T17:35:29"/>
    <d v="2022-01-19T17:35:29"/>
    <s v="Yes"/>
    <d v="2022-01-25T17:35:29"/>
    <s v="Pending"/>
    <m/>
    <d v="2022-02-01T17:35:29"/>
    <s v="Pending"/>
    <m/>
    <m/>
    <d v="2022-01-29T17:35:29"/>
    <m/>
    <n v="0"/>
    <m/>
    <m/>
    <m/>
    <m/>
    <m/>
    <m/>
    <m/>
    <m/>
    <n v="2"/>
    <n v="8"/>
    <n v="6"/>
    <x v="24"/>
    <n v="4"/>
    <d v="2022-04-29T17:35:29"/>
    <s v=""/>
    <s v=""/>
    <s v=""/>
    <m/>
    <m/>
    <m/>
    <m/>
    <m/>
    <m/>
    <m/>
    <m/>
    <m/>
    <m/>
  </r>
  <r>
    <n v="1719"/>
    <s v="1719 | Fundraising"/>
    <x v="6"/>
    <s v="Fundraising - Senior"/>
    <s v="Fund Administrator"/>
    <s v="Fundraising-Fund Administrator"/>
    <s v="Senior"/>
    <d v="2022-01-02T01:51:52"/>
    <d v="2022-01-03T01:51:52"/>
    <s v="Yes"/>
    <d v="2022-01-17T01:51:52"/>
    <s v="Failed"/>
    <s v="Not a culture fit"/>
    <m/>
    <m/>
    <m/>
    <m/>
    <m/>
    <m/>
    <n v="0"/>
    <m/>
    <m/>
    <m/>
    <m/>
    <s v="Candidate"/>
    <m/>
    <m/>
    <m/>
    <n v="1"/>
    <n v="15"/>
    <n v="14"/>
    <x v="0"/>
    <s v=""/>
    <s v=""/>
    <s v=""/>
    <s v=""/>
    <s v=""/>
    <m/>
    <m/>
    <m/>
    <m/>
    <m/>
    <m/>
    <m/>
    <m/>
    <m/>
    <m/>
  </r>
  <r>
    <n v="1711"/>
    <s v="1711 | Fundraising"/>
    <x v="6"/>
    <s v="Fundraising - Senior"/>
    <s v="Fund Administrator"/>
    <s v="Fundraising-Fund Administrator"/>
    <s v="Senior"/>
    <d v="2022-01-02T01:51:52"/>
    <d v="2022-01-06T01:51:52"/>
    <s v="Yes"/>
    <d v="2022-01-20T01:51:52"/>
    <s v="Declined"/>
    <m/>
    <d v="2022-01-22T01:51:52"/>
    <s v="Declined"/>
    <m/>
    <m/>
    <d v="2022-01-21T01:51:52"/>
    <m/>
    <n v="0"/>
    <m/>
    <m/>
    <m/>
    <m/>
    <m/>
    <m/>
    <m/>
    <m/>
    <n v="4"/>
    <n v="18"/>
    <n v="14"/>
    <x v="13"/>
    <n v="1"/>
    <d v="2022-04-21T01:51:52"/>
    <s v=""/>
    <s v=""/>
    <s v=""/>
    <m/>
    <m/>
    <m/>
    <m/>
    <m/>
    <m/>
    <m/>
    <m/>
    <m/>
    <m/>
  </r>
  <r>
    <n v="1698"/>
    <s v="1698 | Fundraising"/>
    <x v="6"/>
    <s v="Fundraising - Senior"/>
    <s v="Fund Administrator"/>
    <s v="Fundraising-Fund Administrator"/>
    <s v="Senior"/>
    <d v="2023-02-28T18:21:09"/>
    <d v="2023-03-03T18:21:09"/>
    <s v="Yes"/>
    <d v="2023-03-09T18:21:09"/>
    <s v="Failed"/>
    <s v="Other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1559"/>
    <s v="1559 | Fundraising"/>
    <x v="6"/>
    <s v="Fundraising - Senior"/>
    <s v="Fund Administrator"/>
    <s v="Fundraising-Fund Administrator"/>
    <s v="Senior"/>
    <d v="2022-12-07T14:20:00"/>
    <d v="2022-12-09T14:20:00"/>
    <s v="Yes"/>
    <d v="2022-12-23T14:20:00"/>
    <s v="Failed"/>
    <s v="Position filled by another"/>
    <m/>
    <m/>
    <m/>
    <m/>
    <d v="2022-12-27T14:20:00"/>
    <m/>
    <n v="0"/>
    <m/>
    <m/>
    <m/>
    <m/>
    <s v="Candidate"/>
    <m/>
    <m/>
    <m/>
    <n v="2"/>
    <n v="16"/>
    <n v="14"/>
    <x v="15"/>
    <n v="4"/>
    <d v="2023-03-27T14:20:00"/>
    <s v=""/>
    <s v=""/>
    <s v=""/>
    <m/>
    <m/>
    <m/>
    <m/>
    <m/>
    <m/>
    <m/>
    <m/>
    <m/>
    <m/>
  </r>
  <r>
    <n v="1557"/>
    <s v="1557 | Fundraising"/>
    <x v="6"/>
    <s v="Fundraising - Senior"/>
    <s v="Fund Administrator"/>
    <s v="Fundraising-Fund Administrator"/>
    <s v="Senior"/>
    <d v="2022-12-09T14:20:00"/>
    <d v="2022-12-10T14:20:00"/>
    <s v="Yes"/>
    <d v="2022-12-25T14:20:00"/>
    <s v="Failed"/>
    <s v="Other"/>
    <m/>
    <m/>
    <m/>
    <m/>
    <d v="2022-12-28T14:20:00"/>
    <m/>
    <n v="0"/>
    <m/>
    <m/>
    <m/>
    <m/>
    <s v="Company"/>
    <m/>
    <m/>
    <m/>
    <n v="1"/>
    <n v="16"/>
    <n v="15"/>
    <x v="13"/>
    <n v="3"/>
    <d v="2023-03-28T14:20:00"/>
    <s v=""/>
    <s v=""/>
    <s v=""/>
    <m/>
    <m/>
    <m/>
    <m/>
    <m/>
    <m/>
    <m/>
    <m/>
    <m/>
    <m/>
  </r>
  <r>
    <n v="1553"/>
    <s v="1553 | Fundraising"/>
    <x v="6"/>
    <s v="Fundraising - Senior"/>
    <s v="Fund Administrator"/>
    <s v="Fundraising-Fund Administrator"/>
    <s v="Senior"/>
    <d v="2022-12-06T14:20:00"/>
    <d v="2022-12-08T14:20:00"/>
    <s v="Yes"/>
    <d v="2022-12-26T14:20:00"/>
    <s v="Failed"/>
    <s v="Didn't pass technical test"/>
    <m/>
    <m/>
    <m/>
    <m/>
    <m/>
    <m/>
    <n v="0"/>
    <m/>
    <m/>
    <m/>
    <m/>
    <s v="Company"/>
    <m/>
    <m/>
    <m/>
    <n v="2"/>
    <n v="20"/>
    <n v="18"/>
    <x v="0"/>
    <s v=""/>
    <s v=""/>
    <s v=""/>
    <s v=""/>
    <s v=""/>
    <m/>
    <m/>
    <m/>
    <m/>
    <m/>
    <m/>
    <m/>
    <m/>
    <m/>
    <m/>
  </r>
  <r>
    <n v="1490"/>
    <s v="1490 | Fundraising"/>
    <x v="6"/>
    <s v="Fundraising - Senior"/>
    <s v="Fund Administrator"/>
    <s v="Fundraising-Fund Administrator"/>
    <s v="Senior"/>
    <d v="2023-07-10T13:00:43"/>
    <d v="2023-07-11T13:00:43"/>
    <s v="Yes"/>
    <d v="2023-07-18T13:00:43"/>
    <s v="Failed"/>
    <s v="Position filled by another"/>
    <m/>
    <m/>
    <m/>
    <m/>
    <m/>
    <m/>
    <n v="0"/>
    <m/>
    <m/>
    <m/>
    <m/>
    <s v="Candidate"/>
    <m/>
    <m/>
    <m/>
    <n v="1"/>
    <n v="8"/>
    <n v="7"/>
    <x v="0"/>
    <s v=""/>
    <s v=""/>
    <s v=""/>
    <s v=""/>
    <s v=""/>
    <m/>
    <m/>
    <m/>
    <m/>
    <m/>
    <m/>
    <m/>
    <m/>
    <m/>
    <m/>
  </r>
  <r>
    <n v="1483"/>
    <s v="1483 | Fundraising"/>
    <x v="6"/>
    <s v="Fundraising - Senior"/>
    <s v="Fund Administrator"/>
    <s v="Fundraising-Fund Administrator"/>
    <s v="Senior"/>
    <d v="2023-07-08T13:00:43"/>
    <d v="2023-07-09T13:00:43"/>
    <s v="Yes"/>
    <d v="2023-07-29T13:00:43"/>
    <s v="Failed"/>
    <s v="Other"/>
    <m/>
    <m/>
    <m/>
    <m/>
    <d v="2023-08-02T13:00:43"/>
    <m/>
    <n v="0"/>
    <m/>
    <m/>
    <m/>
    <m/>
    <s v="Company"/>
    <m/>
    <m/>
    <m/>
    <n v="1"/>
    <n v="21"/>
    <n v="20"/>
    <x v="11"/>
    <n v="4"/>
    <d v="2023-10-31T13:00:43"/>
    <s v=""/>
    <s v=""/>
    <s v=""/>
    <m/>
    <m/>
    <m/>
    <m/>
    <m/>
    <m/>
    <m/>
    <m/>
    <m/>
    <m/>
  </r>
  <r>
    <n v="1470"/>
    <s v="1470 | Fundraising"/>
    <x v="6"/>
    <s v="Fundraising - Senior"/>
    <s v="Fund Administrator"/>
    <s v="Fundraising-Fund Administrator"/>
    <s v="Senior"/>
    <d v="2023-03-16T03:24:12"/>
    <d v="2023-03-19T03:24:12"/>
    <s v="Yes"/>
    <d v="2023-03-27T03:24:12"/>
    <s v="Failed"/>
    <s v="Salary expectation too high"/>
    <m/>
    <m/>
    <m/>
    <m/>
    <m/>
    <m/>
    <n v="0"/>
    <m/>
    <m/>
    <m/>
    <m/>
    <s v="Candidate"/>
    <m/>
    <m/>
    <m/>
    <n v="3"/>
    <n v="11"/>
    <n v="8"/>
    <x v="0"/>
    <s v=""/>
    <s v=""/>
    <s v=""/>
    <s v=""/>
    <s v=""/>
    <m/>
    <m/>
    <m/>
    <m/>
    <m/>
    <m/>
    <m/>
    <m/>
    <m/>
    <m/>
  </r>
  <r>
    <n v="1462"/>
    <s v="1462 | Fundraising"/>
    <x v="6"/>
    <s v="Fundraising - Senior"/>
    <s v="Fund Administrator"/>
    <s v="Fundraising-Fund Administrator"/>
    <s v="Senior"/>
    <d v="2023-03-19T03:24:12"/>
    <d v="2023-03-21T03:24:12"/>
    <s v="Yes"/>
    <d v="2023-03-30T03:24:12"/>
    <s v="Failed"/>
    <s v="Didn't pass technical test"/>
    <m/>
    <m/>
    <m/>
    <m/>
    <m/>
    <m/>
    <n v="0"/>
    <m/>
    <m/>
    <m/>
    <m/>
    <s v="Company"/>
    <m/>
    <m/>
    <m/>
    <n v="2"/>
    <n v="11"/>
    <n v="9"/>
    <x v="0"/>
    <s v=""/>
    <s v=""/>
    <s v=""/>
    <s v=""/>
    <s v=""/>
    <m/>
    <m/>
    <m/>
    <m/>
    <m/>
    <m/>
    <m/>
    <m/>
    <m/>
    <m/>
  </r>
  <r>
    <n v="1245"/>
    <s v="1245 | Fundraising"/>
    <x v="6"/>
    <s v="Fundraising - Senior"/>
    <s v="Fund Administrator"/>
    <s v="Fundraising-Fund Administrator"/>
    <s v="Senior"/>
    <d v="2022-06-24T20:09:31"/>
    <d v="2022-06-28T20:09:31"/>
    <s v="Yes"/>
    <d v="2022-07-08T20:09:31"/>
    <s v="Failed"/>
    <s v="Not a culture fit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1242"/>
    <s v="1242 | Fundraising"/>
    <x v="6"/>
    <s v="Fundraising - Senior"/>
    <s v="Fund Administrator"/>
    <s v="Fundraising-Fund Administrator"/>
    <s v="Senior"/>
    <d v="2022-06-24T20:09:31"/>
    <d v="2022-06-28T20:09:31"/>
    <s v="Yes"/>
    <d v="2022-07-16T20:09:31"/>
    <s v="Failed"/>
    <s v="Salary expectation too high"/>
    <m/>
    <m/>
    <m/>
    <m/>
    <d v="2022-07-20T20:09:31"/>
    <m/>
    <n v="0"/>
    <m/>
    <m/>
    <m/>
    <m/>
    <s v="Company"/>
    <m/>
    <m/>
    <m/>
    <n v="4"/>
    <n v="22"/>
    <n v="18"/>
    <x v="25"/>
    <n v="4"/>
    <d v="2022-10-18T20:09:31"/>
    <s v=""/>
    <s v=""/>
    <s v=""/>
    <m/>
    <m/>
    <m/>
    <m/>
    <m/>
    <m/>
    <m/>
    <m/>
    <m/>
    <m/>
  </r>
  <r>
    <n v="1236"/>
    <s v="1236 | Fundraising"/>
    <x v="6"/>
    <s v="Fundraising - Senior"/>
    <s v="Fund Administrator"/>
    <s v="Fundraising-Fund Administrator"/>
    <s v="Senior"/>
    <d v="2023-02-25T17:29:35"/>
    <d v="2023-02-26T17:29:35"/>
    <s v="Yes"/>
    <d v="2023-03-05T17:29:35"/>
    <s v="Failed"/>
    <s v="Salary expectation too high"/>
    <m/>
    <m/>
    <m/>
    <m/>
    <m/>
    <m/>
    <n v="0"/>
    <m/>
    <m/>
    <m/>
    <m/>
    <s v="Company"/>
    <m/>
    <m/>
    <m/>
    <n v="1"/>
    <n v="8"/>
    <n v="7"/>
    <x v="0"/>
    <s v=""/>
    <s v=""/>
    <s v=""/>
    <s v=""/>
    <s v=""/>
    <m/>
    <m/>
    <m/>
    <m/>
    <m/>
    <m/>
    <m/>
    <m/>
    <m/>
    <m/>
  </r>
  <r>
    <n v="1234"/>
    <s v="1234 | Fundraising"/>
    <x v="6"/>
    <s v="Fundraising - Senior"/>
    <s v="Fund Administrator"/>
    <s v="Fundraising-Fund Administrator"/>
    <s v="Senior"/>
    <d v="2023-02-22T17:29:35"/>
    <d v="2023-02-25T17:29:35"/>
    <s v="Yes"/>
    <d v="2023-03-06T17:29:35"/>
    <s v="Failed"/>
    <s v="Not a culture fit"/>
    <m/>
    <m/>
    <m/>
    <m/>
    <d v="2023-03-07T17:29:35"/>
    <m/>
    <n v="0"/>
    <m/>
    <m/>
    <m/>
    <m/>
    <s v="Company"/>
    <m/>
    <m/>
    <m/>
    <n v="3"/>
    <n v="12"/>
    <n v="9"/>
    <x v="8"/>
    <n v="1"/>
    <d v="2023-06-05T17:29:35"/>
    <s v=""/>
    <s v=""/>
    <s v=""/>
    <m/>
    <m/>
    <m/>
    <m/>
    <m/>
    <m/>
    <m/>
    <m/>
    <m/>
    <m/>
  </r>
  <r>
    <n v="1229"/>
    <s v="1229 | Fundraising"/>
    <x v="6"/>
    <s v="Fundraising - Senior"/>
    <s v="Fund Administrator"/>
    <s v="Fundraising-Fund Administrator"/>
    <s v="Senior"/>
    <d v="2022-06-22T03:24:32"/>
    <d v="2022-06-26T03:24:32"/>
    <s v="Yes"/>
    <d v="2022-07-06T03:24:32"/>
    <s v="Declined"/>
    <m/>
    <d v="2022-07-13T03:24:32"/>
    <s v="Declined"/>
    <m/>
    <m/>
    <d v="2022-07-09T03:24:32"/>
    <m/>
    <n v="0"/>
    <m/>
    <m/>
    <m/>
    <m/>
    <m/>
    <m/>
    <m/>
    <m/>
    <n v="4"/>
    <n v="14"/>
    <n v="10"/>
    <x v="14"/>
    <n v="3"/>
    <d v="2022-10-07T03:24:32"/>
    <s v=""/>
    <s v=""/>
    <s v=""/>
    <m/>
    <m/>
    <m/>
    <m/>
    <m/>
    <m/>
    <m/>
    <m/>
    <m/>
    <m/>
  </r>
  <r>
    <n v="1223"/>
    <s v="1223 | Fundraising"/>
    <x v="6"/>
    <s v="Fundraising - Senior"/>
    <s v="Fund Administrator"/>
    <s v="Fundraising-Fund Administrator"/>
    <s v="Senior"/>
    <d v="2022-06-24T03:24:32"/>
    <d v="2022-06-27T03:24:32"/>
    <s v="Yes"/>
    <d v="2022-07-15T03:24:32"/>
    <s v="Failed"/>
    <s v="Not a culture fit"/>
    <m/>
    <m/>
    <m/>
    <m/>
    <d v="2022-07-17T03:24:32"/>
    <m/>
    <n v="0"/>
    <m/>
    <m/>
    <m/>
    <m/>
    <s v="Company"/>
    <m/>
    <m/>
    <m/>
    <n v="3"/>
    <n v="21"/>
    <n v="18"/>
    <x v="3"/>
    <n v="2"/>
    <d v="2022-10-15T03:24:32"/>
    <s v=""/>
    <s v=""/>
    <s v=""/>
    <m/>
    <m/>
    <m/>
    <m/>
    <m/>
    <m/>
    <m/>
    <m/>
    <m/>
    <m/>
  </r>
  <r>
    <n v="1222"/>
    <s v="1222 | Fundraising"/>
    <x v="6"/>
    <s v="Fundraising - Senior"/>
    <s v="Fund Administrator"/>
    <s v="Fundraising-Fund Administrator"/>
    <s v="Senior"/>
    <d v="2022-06-21T03:24:32"/>
    <d v="2022-06-23T03:24:32"/>
    <s v="Yes"/>
    <d v="2022-07-11T03:24:32"/>
    <s v="Declined"/>
    <m/>
    <d v="2022-07-15T03:24:32"/>
    <s v="Declined"/>
    <m/>
    <m/>
    <d v="2022-07-12T03:24:32"/>
    <m/>
    <n v="0"/>
    <m/>
    <m/>
    <m/>
    <m/>
    <m/>
    <m/>
    <m/>
    <m/>
    <n v="2"/>
    <n v="20"/>
    <n v="18"/>
    <x v="19"/>
    <n v="1"/>
    <d v="2022-10-10T03:24:32"/>
    <s v=""/>
    <s v=""/>
    <s v=""/>
    <m/>
    <m/>
    <m/>
    <m/>
    <m/>
    <m/>
    <m/>
    <m/>
    <m/>
    <m/>
  </r>
  <r>
    <n v="1208"/>
    <s v="1208 | Fundraising"/>
    <x v="6"/>
    <s v="Fundraising - Senior"/>
    <s v="Fund Administrator"/>
    <s v="Fundraising-Fund Administrator"/>
    <s v="Senior"/>
    <d v="2022-07-21T04:55:35"/>
    <d v="2022-07-22T04:55:35"/>
    <s v="Yes"/>
    <d v="2022-08-12T04:55:35"/>
    <s v="Failed"/>
    <s v="Didn't pass technical test"/>
    <m/>
    <m/>
    <m/>
    <m/>
    <m/>
    <m/>
    <n v="0"/>
    <m/>
    <m/>
    <m/>
    <m/>
    <s v="Candidate"/>
    <m/>
    <m/>
    <m/>
    <n v="1"/>
    <n v="22"/>
    <n v="21"/>
    <x v="0"/>
    <s v=""/>
    <s v=""/>
    <s v=""/>
    <s v=""/>
    <s v=""/>
    <m/>
    <m/>
    <m/>
    <m/>
    <m/>
    <m/>
    <m/>
    <m/>
    <m/>
    <m/>
  </r>
  <r>
    <n v="1191"/>
    <s v="1191 | Fundraising"/>
    <x v="6"/>
    <s v="Fundraising - Senior"/>
    <s v="Fund Administrator"/>
    <s v="Fundraising-Fund Administrator"/>
    <s v="Senior"/>
    <d v="2022-07-25T23:11:03"/>
    <d v="2022-07-26T23:11:03"/>
    <s v="Yes"/>
    <d v="2022-08-07T23:11:03"/>
    <s v="Failed"/>
    <s v="Position filled by another"/>
    <m/>
    <m/>
    <m/>
    <m/>
    <d v="2022-08-08T23:11:03"/>
    <m/>
    <n v="0"/>
    <m/>
    <m/>
    <m/>
    <m/>
    <s v="Company"/>
    <m/>
    <m/>
    <m/>
    <n v="1"/>
    <n v="13"/>
    <n v="12"/>
    <x v="1"/>
    <n v="1"/>
    <d v="2022-11-06T23:11:03"/>
    <s v=""/>
    <s v=""/>
    <s v=""/>
    <m/>
    <m/>
    <m/>
    <m/>
    <m/>
    <m/>
    <m/>
    <m/>
    <m/>
    <m/>
  </r>
  <r>
    <n v="1179"/>
    <s v="1179 | Fundraising"/>
    <x v="6"/>
    <s v="Fundraising - Senior"/>
    <s v="Fund Administrator"/>
    <s v="Fundraising-Fund Administrator"/>
    <s v="Senior"/>
    <d v="2023-05-15T01:00:09"/>
    <d v="2023-05-19T01:00:09"/>
    <s v="Yes"/>
    <d v="2023-06-07T01:00:09"/>
    <s v="Failed"/>
    <s v="Other"/>
    <m/>
    <m/>
    <m/>
    <m/>
    <d v="2023-06-08T01:00:09"/>
    <m/>
    <n v="0"/>
    <m/>
    <m/>
    <m/>
    <m/>
    <s v="Company"/>
    <m/>
    <m/>
    <m/>
    <n v="4"/>
    <n v="23"/>
    <n v="19"/>
    <x v="21"/>
    <n v="1"/>
    <d v="2023-09-06T01:00:09"/>
    <s v=""/>
    <s v=""/>
    <s v=""/>
    <m/>
    <m/>
    <m/>
    <m/>
    <m/>
    <m/>
    <m/>
    <m/>
    <m/>
    <m/>
  </r>
  <r>
    <n v="1105"/>
    <s v="1105 | Fundraising"/>
    <x v="6"/>
    <s v="Fundraising - Senior"/>
    <s v="Fund Administrator"/>
    <s v="Fundraising-Fund Administrator"/>
    <s v="Senior"/>
    <d v="2022-04-20T22:53:34"/>
    <d v="2022-04-24T22:53:34"/>
    <s v="Yes"/>
    <d v="2022-05-13T22:53:34"/>
    <s v="Declined"/>
    <m/>
    <d v="2022-05-18T22:53:34"/>
    <s v="Declined"/>
    <m/>
    <m/>
    <d v="2022-05-17T22:53:34"/>
    <m/>
    <n v="0"/>
    <m/>
    <m/>
    <m/>
    <m/>
    <m/>
    <m/>
    <m/>
    <m/>
    <n v="4"/>
    <n v="23"/>
    <n v="19"/>
    <x v="18"/>
    <n v="4"/>
    <d v="2022-08-15T22:53:34"/>
    <s v=""/>
    <s v=""/>
    <s v=""/>
    <m/>
    <m/>
    <m/>
    <m/>
    <m/>
    <m/>
    <m/>
    <m/>
    <m/>
    <m/>
  </r>
  <r>
    <n v="1101"/>
    <s v="1101 | Fundraising"/>
    <x v="6"/>
    <s v="Fundraising - Senior"/>
    <s v="Fund Administrator"/>
    <s v="Fundraising-Fund Administrator"/>
    <s v="Senior"/>
    <d v="2022-04-24T22:53:34"/>
    <d v="2022-04-25T22:53:34"/>
    <s v="Yes"/>
    <d v="2022-05-12T22:53:34"/>
    <s v="Declined"/>
    <m/>
    <d v="2022-05-14T22:53:34"/>
    <s v="Declined"/>
    <m/>
    <m/>
    <d v="2022-05-13T22:53:34"/>
    <m/>
    <n v="0"/>
    <m/>
    <m/>
    <m/>
    <m/>
    <m/>
    <m/>
    <m/>
    <m/>
    <n v="1"/>
    <n v="18"/>
    <n v="17"/>
    <x v="13"/>
    <n v="1"/>
    <d v="2022-08-11T22:53:34"/>
    <s v=""/>
    <s v=""/>
    <s v=""/>
    <m/>
    <m/>
    <m/>
    <m/>
    <m/>
    <m/>
    <m/>
    <m/>
    <m/>
    <m/>
  </r>
  <r>
    <n v="2998"/>
    <s v="2998 | Fundraising"/>
    <x v="6"/>
    <s v="Fundraising - Manager Level"/>
    <s v="Manager"/>
    <s v="Fundraising-Manager"/>
    <s v="Manager Level"/>
    <d v="2023-03-05T00:56:51"/>
    <d v="2023-03-06T00:56:51"/>
    <s v="Yes"/>
    <d v="2023-03-18T00:56:51"/>
    <s v="Failed"/>
    <s v="Position filled by another"/>
    <m/>
    <m/>
    <m/>
    <m/>
    <d v="2023-03-20T00:56:51"/>
    <m/>
    <n v="0"/>
    <m/>
    <m/>
    <m/>
    <m/>
    <s v="Company"/>
    <m/>
    <m/>
    <m/>
    <n v="1"/>
    <n v="13"/>
    <n v="12"/>
    <x v="16"/>
    <n v="2"/>
    <d v="2023-06-18T00:56:51"/>
    <s v=""/>
    <s v=""/>
    <s v=""/>
    <m/>
    <m/>
    <m/>
    <m/>
    <m/>
    <m/>
    <m/>
    <m/>
    <m/>
    <m/>
  </r>
  <r>
    <n v="2996"/>
    <s v="2996 | Fundraising"/>
    <x v="6"/>
    <s v="Fundraising - Manager Level"/>
    <s v="Manager"/>
    <s v="Fundraising-Manager"/>
    <s v="Manager Level"/>
    <d v="2023-03-05T00:56:51"/>
    <d v="2023-03-07T00:56:51"/>
    <s v="Yes"/>
    <d v="2023-03-14T00:56:51"/>
    <s v="Declined"/>
    <m/>
    <d v="2023-03-19T00:56:51"/>
    <s v="Declined"/>
    <m/>
    <m/>
    <d v="2023-03-18T00:56:51"/>
    <m/>
    <n v="0"/>
    <m/>
    <m/>
    <m/>
    <m/>
    <m/>
    <m/>
    <m/>
    <m/>
    <n v="2"/>
    <n v="9"/>
    <n v="7"/>
    <x v="8"/>
    <n v="4"/>
    <d v="2023-06-16T00:56:51"/>
    <s v=""/>
    <s v=""/>
    <s v=""/>
    <m/>
    <m/>
    <m/>
    <m/>
    <m/>
    <m/>
    <m/>
    <m/>
    <m/>
    <m/>
  </r>
  <r>
    <n v="2791"/>
    <s v="2791 | Fundraising"/>
    <x v="6"/>
    <s v="Fundraising - Manager Level"/>
    <s v="Manager"/>
    <s v="Fundraising-Manager"/>
    <s v="Manager Level"/>
    <d v="2023-06-29T20:01:36"/>
    <d v="2023-06-30T20:01:36"/>
    <s v="Yes"/>
    <d v="2023-07-05T20:01:36"/>
    <s v="Failed"/>
    <s v="Position filled by another"/>
    <m/>
    <m/>
    <m/>
    <m/>
    <m/>
    <m/>
    <n v="0"/>
    <m/>
    <m/>
    <m/>
    <m/>
    <s v="Candidate"/>
    <m/>
    <m/>
    <m/>
    <n v="1"/>
    <n v="6"/>
    <n v="5"/>
    <x v="0"/>
    <s v=""/>
    <s v=""/>
    <s v=""/>
    <s v=""/>
    <s v=""/>
    <m/>
    <m/>
    <m/>
    <m/>
    <m/>
    <m/>
    <m/>
    <m/>
    <m/>
    <m/>
  </r>
  <r>
    <n v="2769"/>
    <s v="2769 | Fundraising"/>
    <x v="6"/>
    <s v="Fundraising - Manager Level"/>
    <s v="Manager"/>
    <s v="Fundraising-Manager"/>
    <s v="Manager Level"/>
    <d v="2022-08-30T07:14:27"/>
    <d v="2022-09-03T07:14:27"/>
    <s v="Yes"/>
    <d v="2022-09-18T07:14:27"/>
    <s v="Pending"/>
    <m/>
    <d v="2022-09-22T07:14:27"/>
    <s v="Pending"/>
    <m/>
    <m/>
    <d v="2022-09-19T07:14:27"/>
    <m/>
    <n v="0"/>
    <m/>
    <m/>
    <m/>
    <m/>
    <m/>
    <m/>
    <m/>
    <m/>
    <n v="4"/>
    <n v="19"/>
    <n v="15"/>
    <x v="15"/>
    <n v="1"/>
    <d v="2022-12-18T07:14:27"/>
    <s v=""/>
    <s v=""/>
    <s v=""/>
    <m/>
    <m/>
    <m/>
    <m/>
    <m/>
    <m/>
    <m/>
    <m/>
    <m/>
    <m/>
  </r>
  <r>
    <n v="2742"/>
    <s v="2742 | Fundraising"/>
    <x v="6"/>
    <s v="Fundraising - Manager Level"/>
    <s v="Manager"/>
    <s v="Fundraising-Manager"/>
    <s v="Manager Level"/>
    <d v="2022-04-17T13:27:53"/>
    <d v="2022-04-21T13:27:53"/>
    <s v="Yes"/>
    <d v="2022-04-28T13:27:53"/>
    <s v="Failed"/>
    <s v="Salary expectation too high"/>
    <m/>
    <m/>
    <m/>
    <m/>
    <d v="2022-05-01T13:27:53"/>
    <m/>
    <n v="0"/>
    <m/>
    <m/>
    <m/>
    <m/>
    <s v="Candidate"/>
    <m/>
    <m/>
    <m/>
    <n v="4"/>
    <n v="11"/>
    <n v="7"/>
    <x v="1"/>
    <n v="3"/>
    <d v="2022-07-30T13:27:53"/>
    <s v=""/>
    <s v=""/>
    <s v=""/>
    <m/>
    <m/>
    <m/>
    <m/>
    <m/>
    <m/>
    <m/>
    <m/>
    <m/>
    <m/>
  </r>
  <r>
    <n v="2622"/>
    <s v="2622 | Fundraising"/>
    <x v="6"/>
    <s v="Fundraising - Manager Level"/>
    <s v="Manager"/>
    <s v="Fundraising-Manager"/>
    <s v="Manager Level"/>
    <d v="2023-06-19T16:02:26"/>
    <d v="2023-06-22T16:02:26"/>
    <s v="Yes"/>
    <d v="2023-07-03T16:02:26"/>
    <s v="Failed"/>
    <s v="Not a culture fit"/>
    <m/>
    <m/>
    <m/>
    <m/>
    <d v="2023-07-06T16:02:26"/>
    <m/>
    <n v="0"/>
    <m/>
    <m/>
    <m/>
    <m/>
    <s v="Candidate"/>
    <m/>
    <m/>
    <m/>
    <n v="3"/>
    <n v="14"/>
    <n v="11"/>
    <x v="14"/>
    <n v="3"/>
    <d v="2023-10-04T16:02:26"/>
    <s v=""/>
    <s v=""/>
    <s v=""/>
    <m/>
    <m/>
    <m/>
    <m/>
    <m/>
    <m/>
    <m/>
    <m/>
    <m/>
    <m/>
  </r>
  <r>
    <n v="2619"/>
    <s v="2619 | Fundraising"/>
    <x v="6"/>
    <s v="Fundraising - Manager Level"/>
    <s v="Manager"/>
    <s v="Fundraising-Manager"/>
    <s v="Manager Level"/>
    <d v="2023-01-04T09:06:31"/>
    <d v="2023-01-06T09:06:31"/>
    <s v="Yes"/>
    <d v="2023-01-15T09:06:31"/>
    <s v="Failed"/>
    <s v="Salary expectation too high"/>
    <m/>
    <m/>
    <m/>
    <m/>
    <d v="2023-01-18T09:06:31"/>
    <m/>
    <n v="0"/>
    <m/>
    <m/>
    <m/>
    <m/>
    <s v="Company"/>
    <m/>
    <m/>
    <m/>
    <n v="2"/>
    <n v="11"/>
    <n v="9"/>
    <x v="1"/>
    <n v="3"/>
    <d v="2023-04-18T09:06:31"/>
    <s v=""/>
    <s v=""/>
    <s v=""/>
    <m/>
    <m/>
    <m/>
    <m/>
    <m/>
    <m/>
    <m/>
    <m/>
    <m/>
    <m/>
  </r>
  <r>
    <n v="2592"/>
    <s v="2592 | Fundraising"/>
    <x v="6"/>
    <s v="Fundraising - Manager Level"/>
    <s v="Manager"/>
    <s v="Fundraising-Manager"/>
    <s v="Manager Level"/>
    <d v="2023-01-23T09:40:31"/>
    <d v="2023-01-24T09:40:31"/>
    <s v="Yes"/>
    <d v="2023-02-01T09:40:31"/>
    <s v="Failed"/>
    <s v="Other"/>
    <m/>
    <m/>
    <m/>
    <m/>
    <d v="2023-02-03T09:40:31"/>
    <m/>
    <n v="0"/>
    <m/>
    <m/>
    <m/>
    <m/>
    <s v="Candidate"/>
    <m/>
    <m/>
    <m/>
    <n v="1"/>
    <n v="9"/>
    <n v="8"/>
    <x v="9"/>
    <n v="2"/>
    <d v="2023-05-04T09:40:31"/>
    <s v=""/>
    <s v=""/>
    <s v=""/>
    <m/>
    <m/>
    <m/>
    <m/>
    <m/>
    <m/>
    <m/>
    <m/>
    <m/>
    <m/>
  </r>
  <r>
    <n v="2571"/>
    <s v="2571 | Fundraising"/>
    <x v="6"/>
    <s v="Fundraising - Manager Level"/>
    <s v="Manager"/>
    <s v="Fundraising-Manager"/>
    <s v="Manager Level"/>
    <d v="2022-03-17T17:14:32"/>
    <d v="2022-03-20T17:14:32"/>
    <s v="Yes"/>
    <d v="2022-03-30T17:14:32"/>
    <s v="Failed"/>
    <s v="Position filled by another"/>
    <m/>
    <m/>
    <m/>
    <m/>
    <m/>
    <m/>
    <n v="0"/>
    <m/>
    <m/>
    <m/>
    <m/>
    <s v="Candidate"/>
    <m/>
    <m/>
    <m/>
    <n v="3"/>
    <n v="13"/>
    <n v="10"/>
    <x v="0"/>
    <s v=""/>
    <s v=""/>
    <s v=""/>
    <s v=""/>
    <s v=""/>
    <m/>
    <m/>
    <m/>
    <m/>
    <m/>
    <m/>
    <m/>
    <m/>
    <m/>
    <m/>
  </r>
  <r>
    <n v="2525"/>
    <s v="2525 | Fundraising"/>
    <x v="6"/>
    <s v="Fundraising - Manager Level"/>
    <s v="Manager"/>
    <s v="Fundraising-Manager"/>
    <s v="Manager Level"/>
    <d v="2023-04-12T18:41:30"/>
    <d v="2023-04-14T18:41:30"/>
    <s v="Yes"/>
    <d v="2023-04-29T18:41:30"/>
    <s v="Accepted"/>
    <m/>
    <d v="2023-05-01T18:41:30"/>
    <s v="Accepted"/>
    <d v="2023-05-01T18:41:30"/>
    <d v="2023-05-05T18:41:30"/>
    <d v="2023-04-30T18:41:30"/>
    <d v="2023-05-06T18:41:30"/>
    <n v="1"/>
    <d v="2023-05-07T18:41:30"/>
    <d v="2023-05-10T18:41:30"/>
    <d v="2023-05-11T18:41:30"/>
    <m/>
    <m/>
    <d v="2023-05-27T18:41:30"/>
    <m/>
    <m/>
    <n v="2"/>
    <n v="17"/>
    <n v="15"/>
    <x v="12"/>
    <n v="1"/>
    <d v="2023-07-29T18:41:30"/>
    <n v="1"/>
    <n v="27"/>
    <n v="11"/>
    <m/>
    <m/>
    <m/>
    <m/>
    <m/>
    <m/>
    <m/>
    <m/>
    <m/>
    <m/>
  </r>
  <r>
    <n v="2521"/>
    <s v="2521 | Fundraising"/>
    <x v="6"/>
    <s v="Fundraising - Manager Level"/>
    <s v="Manager"/>
    <s v="Fundraising-Manager"/>
    <s v="Manager Level"/>
    <d v="2023-04-10T18:41:30"/>
    <d v="2023-04-11T18:41:30"/>
    <s v="Yes"/>
    <d v="2023-04-29T18:41:30"/>
    <s v="Failed"/>
    <s v="Didn't pass technical test"/>
    <m/>
    <m/>
    <m/>
    <m/>
    <d v="2023-04-30T18:41:30"/>
    <m/>
    <n v="0"/>
    <m/>
    <m/>
    <m/>
    <m/>
    <s v="Company"/>
    <m/>
    <m/>
    <m/>
    <n v="1"/>
    <n v="19"/>
    <n v="18"/>
    <x v="15"/>
    <n v="1"/>
    <d v="2023-07-29T18:41:30"/>
    <s v=""/>
    <s v=""/>
    <s v=""/>
    <m/>
    <m/>
    <m/>
    <m/>
    <m/>
    <m/>
    <m/>
    <m/>
    <m/>
    <m/>
  </r>
  <r>
    <n v="2399"/>
    <s v="2399 | Fundraising"/>
    <x v="6"/>
    <s v="Fundraising - Manager Level"/>
    <s v="Manager"/>
    <s v="Fundraising-Manager"/>
    <s v="Manager Level"/>
    <d v="2023-07-18T17:32:55"/>
    <d v="2023-07-21T17:32:55"/>
    <s v="Yes"/>
    <d v="2023-08-01T17:32:55"/>
    <s v="Declined"/>
    <m/>
    <d v="2023-08-07T17:32:55"/>
    <s v="Declined"/>
    <m/>
    <m/>
    <d v="2023-08-03T17:32:55"/>
    <m/>
    <n v="0"/>
    <m/>
    <m/>
    <m/>
    <m/>
    <m/>
    <m/>
    <m/>
    <m/>
    <n v="3"/>
    <n v="14"/>
    <n v="11"/>
    <x v="20"/>
    <n v="2"/>
    <d v="2023-11-01T17:32:55"/>
    <s v=""/>
    <s v=""/>
    <s v=""/>
    <m/>
    <m/>
    <m/>
    <m/>
    <m/>
    <m/>
    <m/>
    <m/>
    <m/>
    <m/>
  </r>
  <r>
    <n v="2139"/>
    <s v="2139 | Fundraising"/>
    <x v="6"/>
    <s v="Fundraising - Manager Level"/>
    <s v="Manager"/>
    <s v="Fundraising-Manager"/>
    <s v="Manager Level"/>
    <d v="2022-07-29T12:23:45"/>
    <d v="2022-08-02T12:23:45"/>
    <s v="Yes"/>
    <d v="2022-08-20T12:23:45"/>
    <s v="Failed"/>
    <s v="Other"/>
    <m/>
    <m/>
    <m/>
    <m/>
    <m/>
    <m/>
    <n v="0"/>
    <m/>
    <m/>
    <m/>
    <m/>
    <s v="Company"/>
    <m/>
    <m/>
    <m/>
    <n v="4"/>
    <n v="22"/>
    <n v="18"/>
    <x v="0"/>
    <s v=""/>
    <s v=""/>
    <s v=""/>
    <s v=""/>
    <s v=""/>
    <m/>
    <m/>
    <m/>
    <m/>
    <m/>
    <m/>
    <m/>
    <m/>
    <m/>
    <m/>
  </r>
  <r>
    <n v="2131"/>
    <s v="2131 | Fundraising"/>
    <x v="6"/>
    <s v="Fundraising - Manager Level"/>
    <s v="Manager"/>
    <s v="Fundraising-Manager"/>
    <s v="Manager Level"/>
    <d v="2022-07-31T12:23:45"/>
    <d v="2022-08-03T12:23:45"/>
    <s v="Yes"/>
    <d v="2022-08-15T12:23:45"/>
    <s v="Declined"/>
    <m/>
    <d v="2022-08-19T12:23:45"/>
    <s v="Declined"/>
    <m/>
    <m/>
    <d v="2022-08-17T12:23:45"/>
    <m/>
    <n v="0"/>
    <m/>
    <m/>
    <m/>
    <m/>
    <m/>
    <m/>
    <m/>
    <m/>
    <n v="3"/>
    <n v="15"/>
    <n v="12"/>
    <x v="14"/>
    <n v="2"/>
    <d v="2022-11-15T12:23:45"/>
    <s v=""/>
    <s v=""/>
    <s v=""/>
    <m/>
    <m/>
    <m/>
    <m/>
    <m/>
    <m/>
    <m/>
    <m/>
    <m/>
    <m/>
  </r>
  <r>
    <n v="2108"/>
    <s v="2108 | Fundraising"/>
    <x v="6"/>
    <s v="Fundraising - Manager Level"/>
    <s v="Manager"/>
    <s v="Fundraising-Manager"/>
    <s v="Manager Level"/>
    <d v="2022-05-03T00:32:09"/>
    <d v="2022-05-07T00:32:09"/>
    <s v="Yes"/>
    <d v="2022-05-24T00:32:09"/>
    <s v="Failed"/>
    <s v="Position filled by another"/>
    <m/>
    <m/>
    <m/>
    <m/>
    <d v="2022-05-26T00:32:09"/>
    <m/>
    <n v="0"/>
    <m/>
    <m/>
    <m/>
    <m/>
    <s v="Candidate"/>
    <m/>
    <m/>
    <m/>
    <n v="4"/>
    <n v="21"/>
    <n v="17"/>
    <x v="3"/>
    <n v="2"/>
    <d v="2022-08-24T00:32:09"/>
    <s v=""/>
    <s v=""/>
    <s v=""/>
    <m/>
    <m/>
    <m/>
    <m/>
    <m/>
    <m/>
    <m/>
    <m/>
    <m/>
    <m/>
  </r>
  <r>
    <n v="2094"/>
    <s v="2094 | Fundraising"/>
    <x v="6"/>
    <s v="Fundraising - Manager Level"/>
    <s v="Manager"/>
    <s v="Fundraising-Manager"/>
    <s v="Manager Level"/>
    <d v="2022-10-23T23:41:59"/>
    <d v="2022-10-27T23:41:59"/>
    <s v="Yes"/>
    <d v="2022-11-04T23:41:59"/>
    <s v="Failed"/>
    <s v="Other"/>
    <m/>
    <m/>
    <m/>
    <m/>
    <m/>
    <m/>
    <n v="0"/>
    <m/>
    <m/>
    <m/>
    <m/>
    <s v="Candidate"/>
    <m/>
    <m/>
    <m/>
    <n v="4"/>
    <n v="12"/>
    <n v="8"/>
    <x v="0"/>
    <s v=""/>
    <s v=""/>
    <s v=""/>
    <s v=""/>
    <s v=""/>
    <m/>
    <m/>
    <m/>
    <m/>
    <m/>
    <m/>
    <m/>
    <m/>
    <m/>
    <m/>
  </r>
  <r>
    <n v="1937"/>
    <s v="1937 | Fundraising"/>
    <x v="6"/>
    <s v="Fundraising - Manager Level"/>
    <s v="Manager"/>
    <s v="Fundraising-Manager"/>
    <s v="Manager Level"/>
    <d v="2023-09-13T07:20:47"/>
    <d v="2023-09-14T07:20:47"/>
    <s v="Yes"/>
    <d v="2023-09-20T07:20:47"/>
    <s v="Failed"/>
    <s v="Salary expectation too high"/>
    <m/>
    <m/>
    <m/>
    <m/>
    <d v="2023-09-23T07:20:47"/>
    <m/>
    <n v="0"/>
    <m/>
    <m/>
    <m/>
    <m/>
    <s v="Company"/>
    <m/>
    <m/>
    <m/>
    <n v="1"/>
    <n v="7"/>
    <n v="6"/>
    <x v="22"/>
    <n v="3"/>
    <d v="2023-12-22T07:20:47"/>
    <s v=""/>
    <s v=""/>
    <s v=""/>
    <m/>
    <m/>
    <m/>
    <m/>
    <m/>
    <m/>
    <m/>
    <m/>
    <m/>
    <m/>
  </r>
  <r>
    <n v="1936"/>
    <s v="1936 | Fundraising"/>
    <x v="6"/>
    <s v="Fundraising - Manager Level"/>
    <s v="Manager"/>
    <s v="Fundraising-Manager"/>
    <s v="Manager Level"/>
    <d v="2023-09-11T07:20:47"/>
    <d v="2023-09-12T07:20:47"/>
    <s v="Yes"/>
    <d v="2023-09-24T07:20:47"/>
    <s v="Pending"/>
    <m/>
    <d v="2023-09-29T07:20:47"/>
    <s v="Pending"/>
    <m/>
    <m/>
    <d v="2023-09-27T07:20:47"/>
    <m/>
    <n v="0"/>
    <m/>
    <m/>
    <m/>
    <m/>
    <m/>
    <m/>
    <m/>
    <m/>
    <n v="1"/>
    <n v="13"/>
    <n v="12"/>
    <x v="20"/>
    <n v="3"/>
    <d v="2023-12-26T07:20:47"/>
    <s v=""/>
    <s v=""/>
    <s v=""/>
    <m/>
    <m/>
    <m/>
    <m/>
    <m/>
    <m/>
    <m/>
    <m/>
    <m/>
    <m/>
  </r>
  <r>
    <n v="1879"/>
    <s v="1879 | Fundraising"/>
    <x v="6"/>
    <s v="Fundraising - Manager Level"/>
    <s v="Manager"/>
    <s v="Fundraising-Manager"/>
    <s v="Manager Level"/>
    <d v="2022-01-12T17:35:29"/>
    <d v="2022-01-16T17:35:29"/>
    <s v="Yes"/>
    <d v="2022-02-04T17:35:29"/>
    <s v="Declined"/>
    <m/>
    <d v="2022-02-07T17:35:29"/>
    <s v="Declined"/>
    <m/>
    <m/>
    <d v="2022-02-05T17:35:29"/>
    <m/>
    <n v="0"/>
    <m/>
    <m/>
    <m/>
    <m/>
    <m/>
    <m/>
    <m/>
    <m/>
    <n v="4"/>
    <n v="23"/>
    <n v="19"/>
    <x v="21"/>
    <n v="1"/>
    <d v="2022-05-06T17:35:29"/>
    <s v=""/>
    <s v=""/>
    <s v=""/>
    <m/>
    <m/>
    <m/>
    <m/>
    <m/>
    <m/>
    <m/>
    <m/>
    <m/>
    <m/>
  </r>
  <r>
    <n v="1877"/>
    <s v="1877 | Fundraising"/>
    <x v="6"/>
    <s v="Fundraising - Manager Level"/>
    <s v="Manager"/>
    <s v="Fundraising-Manager"/>
    <s v="Manager Level"/>
    <d v="2022-01-16T17:35:29"/>
    <d v="2022-01-18T17:35:29"/>
    <s v="Yes"/>
    <d v="2022-01-30T17:35:29"/>
    <s v="Declined"/>
    <m/>
    <d v="2022-02-03T17:35:29"/>
    <s v="Declined"/>
    <m/>
    <m/>
    <d v="2022-02-02T17:35:29"/>
    <m/>
    <n v="0"/>
    <m/>
    <m/>
    <m/>
    <m/>
    <m/>
    <m/>
    <m/>
    <m/>
    <n v="2"/>
    <n v="14"/>
    <n v="12"/>
    <x v="14"/>
    <n v="3"/>
    <d v="2022-05-03T17:35:29"/>
    <s v=""/>
    <s v=""/>
    <s v=""/>
    <m/>
    <m/>
    <m/>
    <m/>
    <m/>
    <m/>
    <m/>
    <m/>
    <m/>
    <m/>
  </r>
  <r>
    <n v="1712"/>
    <s v="1712 | Fundraising"/>
    <x v="6"/>
    <s v="Fundraising - Manager Level"/>
    <s v="Manager"/>
    <s v="Fundraising-Manager"/>
    <s v="Manager Level"/>
    <d v="2022-01-03T01:51:52"/>
    <d v="2022-01-05T01:51:52"/>
    <s v="Yes"/>
    <d v="2022-01-11T01:51:52"/>
    <s v="Declined"/>
    <m/>
    <d v="2022-01-16T01:51:52"/>
    <s v="Declined"/>
    <m/>
    <m/>
    <d v="2022-01-13T01:51:52"/>
    <m/>
    <n v="0"/>
    <m/>
    <m/>
    <m/>
    <m/>
    <m/>
    <m/>
    <m/>
    <m/>
    <n v="2"/>
    <n v="8"/>
    <n v="6"/>
    <x v="22"/>
    <n v="2"/>
    <d v="2022-04-13T01:51:52"/>
    <s v=""/>
    <s v=""/>
    <s v=""/>
    <m/>
    <m/>
    <m/>
    <m/>
    <m/>
    <m/>
    <m/>
    <m/>
    <m/>
    <m/>
  </r>
  <r>
    <n v="1554"/>
    <s v="1554 | Fundraising"/>
    <x v="6"/>
    <s v="Fundraising - Manager Level"/>
    <s v="Manager"/>
    <s v="Fundraising-Manager"/>
    <s v="Manager Level"/>
    <d v="2022-12-04T14:20:00"/>
    <d v="2022-12-08T14:20:00"/>
    <s v="Yes"/>
    <d v="2022-12-15T14:20:00"/>
    <s v="Failed"/>
    <s v="Not a culture fit"/>
    <m/>
    <m/>
    <m/>
    <m/>
    <m/>
    <m/>
    <n v="0"/>
    <m/>
    <m/>
    <m/>
    <m/>
    <s v="Candidate"/>
    <m/>
    <m/>
    <m/>
    <n v="4"/>
    <n v="11"/>
    <n v="7"/>
    <x v="0"/>
    <s v=""/>
    <s v=""/>
    <s v=""/>
    <s v=""/>
    <s v=""/>
    <m/>
    <m/>
    <m/>
    <m/>
    <m/>
    <m/>
    <m/>
    <m/>
    <m/>
    <m/>
  </r>
  <r>
    <n v="1360"/>
    <s v="1360 | Fundraising"/>
    <x v="6"/>
    <s v="Fundraising - Manager Level"/>
    <s v="Manager"/>
    <s v="Fundraising-Manager"/>
    <s v="Manager Level"/>
    <d v="2022-07-26T01:19:51"/>
    <d v="2022-07-27T01:19:51"/>
    <s v="Yes"/>
    <d v="2022-08-11T01:19:51"/>
    <s v="Failed"/>
    <s v="Position filled by another"/>
    <m/>
    <m/>
    <m/>
    <m/>
    <d v="2022-08-15T01:19:51"/>
    <m/>
    <n v="0"/>
    <m/>
    <m/>
    <m/>
    <m/>
    <s v="Company"/>
    <m/>
    <m/>
    <m/>
    <n v="1"/>
    <n v="16"/>
    <n v="15"/>
    <x v="15"/>
    <n v="4"/>
    <d v="2022-11-13T01:19:51"/>
    <s v=""/>
    <s v=""/>
    <s v=""/>
    <m/>
    <m/>
    <m/>
    <m/>
    <m/>
    <m/>
    <m/>
    <m/>
    <m/>
    <m/>
  </r>
  <r>
    <n v="1357"/>
    <s v="1357 | Fundraising"/>
    <x v="6"/>
    <s v="Fundraising - Manager Level"/>
    <s v="Manager"/>
    <s v="Fundraising-Manager"/>
    <s v="Manager Level"/>
    <d v="2022-07-23T01:19:51"/>
    <d v="2022-07-27T01:19:51"/>
    <s v="Yes"/>
    <d v="2022-08-08T01:19:51"/>
    <s v="Failed"/>
    <s v="Position filled by another"/>
    <m/>
    <m/>
    <m/>
    <m/>
    <d v="2022-08-11T01:19:51"/>
    <m/>
    <n v="0"/>
    <m/>
    <m/>
    <m/>
    <m/>
    <s v="Candidate"/>
    <m/>
    <m/>
    <m/>
    <n v="4"/>
    <n v="16"/>
    <n v="12"/>
    <x v="13"/>
    <n v="3"/>
    <d v="2022-11-09T01:19:51"/>
    <s v=""/>
    <s v=""/>
    <s v=""/>
    <m/>
    <m/>
    <m/>
    <m/>
    <m/>
    <m/>
    <m/>
    <m/>
    <m/>
    <m/>
  </r>
  <r>
    <n v="1352"/>
    <s v="1352 | Fundraising"/>
    <x v="6"/>
    <s v="Fundraising - Manager Level"/>
    <s v="Manager"/>
    <s v="Fundraising-Manager"/>
    <s v="Manager Level"/>
    <d v="2022-07-26T01:19:51"/>
    <d v="2022-07-28T01:19:51"/>
    <s v="Yes"/>
    <d v="2022-08-01T01:19:51"/>
    <s v="Pending"/>
    <m/>
    <d v="2022-08-03T01:19:51"/>
    <s v="Pending"/>
    <m/>
    <m/>
    <d v="2022-08-02T01:19:51"/>
    <m/>
    <n v="0"/>
    <m/>
    <m/>
    <m/>
    <m/>
    <m/>
    <m/>
    <m/>
    <m/>
    <n v="2"/>
    <n v="6"/>
    <n v="4"/>
    <x v="5"/>
    <n v="1"/>
    <d v="2022-10-31T01:19:51"/>
    <s v=""/>
    <s v=""/>
    <s v=""/>
    <m/>
    <m/>
    <m/>
    <m/>
    <m/>
    <m/>
    <m/>
    <m/>
    <m/>
    <m/>
  </r>
  <r>
    <n v="1235"/>
    <s v="1235 | Fundraising"/>
    <x v="6"/>
    <s v="Fundraising - Manager Level"/>
    <s v="Manager"/>
    <s v="Fundraising-Manager"/>
    <s v="Manager Level"/>
    <d v="2023-02-22T17:29:35"/>
    <d v="2023-02-25T17:29:35"/>
    <s v="Yes"/>
    <d v="2023-03-12T17:29:35"/>
    <s v="Declined"/>
    <m/>
    <d v="2023-03-19T17:29:35"/>
    <s v="Declined"/>
    <m/>
    <m/>
    <d v="2023-03-15T17:29:35"/>
    <m/>
    <n v="0"/>
    <m/>
    <m/>
    <m/>
    <m/>
    <m/>
    <m/>
    <m/>
    <m/>
    <n v="3"/>
    <n v="18"/>
    <n v="15"/>
    <x v="19"/>
    <n v="3"/>
    <d v="2023-06-13T17:29:35"/>
    <s v=""/>
    <s v=""/>
    <s v=""/>
    <m/>
    <m/>
    <m/>
    <m/>
    <m/>
    <m/>
    <m/>
    <m/>
    <m/>
    <m/>
  </r>
  <r>
    <n v="1232"/>
    <s v="1232 | Fundraising"/>
    <x v="6"/>
    <s v="Fundraising - Manager Level"/>
    <s v="Manager"/>
    <s v="Fundraising-Manager"/>
    <s v="Manager Level"/>
    <d v="2023-02-24T17:29:35"/>
    <d v="2023-02-28T17:29:35"/>
    <s v="Yes"/>
    <d v="2023-03-13T17:29:35"/>
    <s v="Failed"/>
    <s v="Position filled by another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1228"/>
    <s v="1228 | Fundraising"/>
    <x v="6"/>
    <s v="Fundraising - Manager Level"/>
    <s v="Manager"/>
    <s v="Fundraising-Manager"/>
    <s v="Manager Level"/>
    <d v="2022-06-22T03:24:32"/>
    <d v="2022-06-24T03:24:32"/>
    <s v="Yes"/>
    <d v="2022-07-08T03:24:32"/>
    <s v="Failed"/>
    <s v="Other"/>
    <m/>
    <m/>
    <m/>
    <m/>
    <m/>
    <m/>
    <n v="0"/>
    <m/>
    <m/>
    <m/>
    <m/>
    <s v="Candidate"/>
    <m/>
    <m/>
    <m/>
    <n v="2"/>
    <n v="16"/>
    <n v="14"/>
    <x v="0"/>
    <s v=""/>
    <s v=""/>
    <s v=""/>
    <s v=""/>
    <s v=""/>
    <m/>
    <m/>
    <m/>
    <m/>
    <m/>
    <m/>
    <m/>
    <m/>
    <m/>
    <m/>
  </r>
  <r>
    <n v="1202"/>
    <s v="1202 | Fundraising"/>
    <x v="6"/>
    <s v="Fundraising - Manager Level"/>
    <s v="Manager"/>
    <s v="Fundraising-Manager"/>
    <s v="Manager Level"/>
    <d v="2022-07-23T04:55:35"/>
    <d v="2022-07-26T04:55:35"/>
    <s v="Yes"/>
    <d v="2022-07-29T04:55:35"/>
    <s v="Failed"/>
    <s v="Salary expectation too high"/>
    <m/>
    <m/>
    <m/>
    <m/>
    <d v="2022-07-31T04:55:35"/>
    <m/>
    <n v="0"/>
    <m/>
    <m/>
    <m/>
    <m/>
    <s v="Candidate"/>
    <m/>
    <m/>
    <m/>
    <n v="3"/>
    <n v="6"/>
    <n v="3"/>
    <x v="10"/>
    <n v="2"/>
    <d v="2022-10-29T04:55:35"/>
    <s v=""/>
    <s v=""/>
    <s v=""/>
    <m/>
    <m/>
    <m/>
    <m/>
    <m/>
    <m/>
    <m/>
    <m/>
    <m/>
    <m/>
  </r>
  <r>
    <n v="1197"/>
    <s v="1197 | Fundraising"/>
    <x v="6"/>
    <s v="Fundraising - Manager Level"/>
    <s v="Manager"/>
    <s v="Fundraising-Manager"/>
    <s v="Manager Level"/>
    <d v="2022-07-25T23:11:03"/>
    <d v="2022-07-26T23:11:03"/>
    <s v="Yes"/>
    <d v="2022-08-03T23:11:03"/>
    <s v="Pending"/>
    <m/>
    <d v="2022-08-09T23:11:03"/>
    <s v="Pending"/>
    <m/>
    <m/>
    <d v="2022-08-06T23:11:03"/>
    <m/>
    <n v="0"/>
    <m/>
    <m/>
    <m/>
    <m/>
    <m/>
    <m/>
    <m/>
    <m/>
    <n v="1"/>
    <n v="9"/>
    <n v="8"/>
    <x v="24"/>
    <n v="3"/>
    <d v="2022-11-04T23:11:03"/>
    <s v=""/>
    <s v=""/>
    <s v=""/>
    <m/>
    <m/>
    <m/>
    <m/>
    <m/>
    <m/>
    <m/>
    <m/>
    <m/>
    <m/>
  </r>
  <r>
    <n v="1196"/>
    <s v="1196 | Fundraising"/>
    <x v="6"/>
    <s v="Fundraising - Manager Level"/>
    <s v="Manager"/>
    <s v="Fundraising-Manager"/>
    <s v="Manager Level"/>
    <d v="2022-07-23T23:11:03"/>
    <d v="2022-07-25T23:11:03"/>
    <s v="Yes"/>
    <d v="2022-08-08T23:11:03"/>
    <s v="Failed"/>
    <s v="Salary expectation too high"/>
    <m/>
    <m/>
    <m/>
    <m/>
    <m/>
    <m/>
    <n v="0"/>
    <m/>
    <m/>
    <m/>
    <m/>
    <s v="Candidate"/>
    <m/>
    <m/>
    <m/>
    <n v="2"/>
    <n v="16"/>
    <n v="14"/>
    <x v="0"/>
    <s v=""/>
    <s v=""/>
    <s v=""/>
    <s v=""/>
    <s v=""/>
    <m/>
    <m/>
    <m/>
    <m/>
    <m/>
    <m/>
    <m/>
    <m/>
    <m/>
    <m/>
  </r>
  <r>
    <n v="1106"/>
    <s v="1106 | Fundraising"/>
    <x v="6"/>
    <s v="Fundraising - Manager Level"/>
    <s v="Manager"/>
    <s v="Fundraising-Manager"/>
    <s v="Manager Level"/>
    <d v="2022-04-24T22:53:34"/>
    <d v="2022-04-27T22:53:34"/>
    <s v="Yes"/>
    <d v="2022-05-11T22:53:34"/>
    <s v="Failed"/>
    <s v="Not a culture fit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1077"/>
    <s v="1077 | Fundraising"/>
    <x v="6"/>
    <s v="Fundraising - Manager Level"/>
    <s v="Manager"/>
    <s v="Fundraising-Manager"/>
    <s v="Manager Level"/>
    <d v="2022-02-11T23:46:40"/>
    <d v="2022-02-12T23:46:40"/>
    <s v="Yes"/>
    <d v="2022-02-22T23:46:40"/>
    <s v="Failed"/>
    <s v="Position filled by another"/>
    <m/>
    <m/>
    <m/>
    <m/>
    <d v="2022-02-24T23:46:40"/>
    <m/>
    <n v="0"/>
    <m/>
    <m/>
    <m/>
    <m/>
    <s v="Candidate"/>
    <m/>
    <m/>
    <m/>
    <n v="1"/>
    <n v="11"/>
    <n v="10"/>
    <x v="8"/>
    <n v="2"/>
    <d v="2022-05-25T23:46:40"/>
    <s v=""/>
    <s v=""/>
    <s v=""/>
    <m/>
    <m/>
    <m/>
    <m/>
    <m/>
    <m/>
    <m/>
    <m/>
    <m/>
    <m/>
  </r>
  <r>
    <n v="1073"/>
    <s v="1073 | Fundraising"/>
    <x v="6"/>
    <s v="Fundraising - Manager Level"/>
    <s v="Manager"/>
    <s v="Fundraising-Manager"/>
    <s v="Manager Level"/>
    <d v="2022-02-09T23:46:40"/>
    <d v="2022-02-11T23:46:40"/>
    <s v="Yes"/>
    <d v="2022-03-02T23:46:40"/>
    <s v="Failed"/>
    <s v="Didn't pass technical test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2994"/>
    <s v="2994 | Fundraising"/>
    <x v="6"/>
    <s v="Fundraising - Junior"/>
    <s v="Business Partner"/>
    <s v="Fundraising-Business Partner"/>
    <s v="Junior"/>
    <d v="2023-03-04T00:56:51"/>
    <d v="2023-03-06T00:56:51"/>
    <s v="Yes"/>
    <d v="2023-03-26T00:56:51"/>
    <s v="Failed"/>
    <s v="Didn't pass technical test"/>
    <m/>
    <m/>
    <m/>
    <m/>
    <m/>
    <m/>
    <n v="0"/>
    <m/>
    <m/>
    <m/>
    <m/>
    <s v="Candidate"/>
    <m/>
    <m/>
    <m/>
    <n v="2"/>
    <n v="22"/>
    <n v="20"/>
    <x v="0"/>
    <s v=""/>
    <s v=""/>
    <s v=""/>
    <s v=""/>
    <s v=""/>
    <m/>
    <m/>
    <m/>
    <m/>
    <m/>
    <m/>
    <m/>
    <m/>
    <m/>
    <m/>
  </r>
  <r>
    <n v="2958"/>
    <s v="2958 | Fundraising"/>
    <x v="6"/>
    <s v="Fundraising - Junior"/>
    <s v="Business Partner"/>
    <s v="Fundraising-Business Partner"/>
    <s v="Junior"/>
    <d v="2023-04-02T15:39:13"/>
    <d v="2023-04-05T15:39:13"/>
    <s v="Yes"/>
    <d v="2023-04-14T15:39:13"/>
    <s v="Declined"/>
    <m/>
    <d v="2023-04-19T15:39:13"/>
    <s v="Declined"/>
    <m/>
    <m/>
    <d v="2023-04-18T15:39:13"/>
    <m/>
    <n v="0"/>
    <m/>
    <m/>
    <m/>
    <m/>
    <m/>
    <m/>
    <m/>
    <m/>
    <n v="3"/>
    <n v="12"/>
    <n v="9"/>
    <x v="20"/>
    <n v="4"/>
    <d v="2023-07-17T15:39:13"/>
    <s v=""/>
    <s v=""/>
    <s v=""/>
    <m/>
    <m/>
    <m/>
    <m/>
    <m/>
    <m/>
    <m/>
    <m/>
    <m/>
    <m/>
  </r>
  <r>
    <n v="2955"/>
    <s v="2955 | Fundraising"/>
    <x v="6"/>
    <s v="Fundraising - Junior"/>
    <s v="Business Partner"/>
    <s v="Fundraising-Business Partner"/>
    <s v="Junior"/>
    <d v="2023-04-01T15:39:13"/>
    <d v="2023-04-02T15:39:13"/>
    <s v="Yes"/>
    <d v="2023-04-20T15:39:13"/>
    <s v="Failed"/>
    <s v="Didn't pass technical test"/>
    <m/>
    <m/>
    <m/>
    <m/>
    <m/>
    <m/>
    <n v="0"/>
    <m/>
    <m/>
    <m/>
    <m/>
    <s v="Candidate"/>
    <m/>
    <m/>
    <m/>
    <n v="1"/>
    <n v="19"/>
    <n v="18"/>
    <x v="0"/>
    <s v=""/>
    <s v=""/>
    <s v=""/>
    <s v=""/>
    <s v=""/>
    <m/>
    <m/>
    <m/>
    <m/>
    <m/>
    <m/>
    <m/>
    <m/>
    <m/>
    <m/>
  </r>
  <r>
    <n v="2938"/>
    <s v="2938 | Fundraising"/>
    <x v="6"/>
    <s v="Fundraising - Junior"/>
    <s v="Business Partner"/>
    <s v="Fundraising-Business Partner"/>
    <s v="Junior"/>
    <d v="2023-02-11T13:12:09"/>
    <d v="2023-02-15T13:12:09"/>
    <s v="Yes"/>
    <d v="2023-02-21T13:12:09"/>
    <s v="Pending"/>
    <m/>
    <d v="2023-02-26T13:12:09"/>
    <s v="Pending"/>
    <m/>
    <m/>
    <d v="2023-02-25T13:12:09"/>
    <m/>
    <n v="0"/>
    <m/>
    <m/>
    <m/>
    <m/>
    <m/>
    <m/>
    <m/>
    <m/>
    <n v="4"/>
    <n v="10"/>
    <n v="6"/>
    <x v="1"/>
    <n v="4"/>
    <d v="2023-05-26T13:12:09"/>
    <s v=""/>
    <s v=""/>
    <s v=""/>
    <m/>
    <m/>
    <m/>
    <m/>
    <m/>
    <m/>
    <m/>
    <m/>
    <m/>
    <m/>
  </r>
  <r>
    <n v="2937"/>
    <s v="2937 | Fundraising"/>
    <x v="6"/>
    <s v="Fundraising - Junior"/>
    <s v="Business Partner"/>
    <s v="Fundraising-Business Partner"/>
    <s v="Junior"/>
    <d v="2023-02-10T13:12:09"/>
    <d v="2023-02-12T13:12:09"/>
    <s v="Yes"/>
    <d v="2023-02-24T13:12:09"/>
    <s v="Failed"/>
    <s v="Position filled by another"/>
    <m/>
    <m/>
    <m/>
    <m/>
    <d v="2023-02-26T13:12:09"/>
    <m/>
    <n v="0"/>
    <m/>
    <m/>
    <m/>
    <m/>
    <s v="Company"/>
    <m/>
    <m/>
    <m/>
    <n v="2"/>
    <n v="14"/>
    <n v="12"/>
    <x v="20"/>
    <n v="2"/>
    <d v="2023-05-27T13:12:09"/>
    <s v=""/>
    <s v=""/>
    <s v=""/>
    <m/>
    <m/>
    <m/>
    <m/>
    <m/>
    <m/>
    <m/>
    <m/>
    <m/>
    <m/>
  </r>
  <r>
    <n v="2935"/>
    <s v="2935 | Fundraising"/>
    <x v="6"/>
    <s v="Fundraising - Junior"/>
    <s v="Business Partner"/>
    <s v="Fundraising-Business Partner"/>
    <s v="Junior"/>
    <d v="2023-02-09T13:12:09"/>
    <d v="2023-02-12T13:12:09"/>
    <s v="Yes"/>
    <d v="2023-02-20T13:12:09"/>
    <s v="Failed"/>
    <s v="Position filled by another"/>
    <m/>
    <m/>
    <m/>
    <m/>
    <m/>
    <m/>
    <n v="0"/>
    <m/>
    <m/>
    <m/>
    <m/>
    <s v="Company"/>
    <m/>
    <m/>
    <m/>
    <n v="3"/>
    <n v="11"/>
    <n v="8"/>
    <x v="0"/>
    <s v=""/>
    <s v=""/>
    <s v=""/>
    <s v=""/>
    <s v=""/>
    <m/>
    <m/>
    <m/>
    <m/>
    <m/>
    <m/>
    <m/>
    <m/>
    <m/>
    <m/>
  </r>
  <r>
    <n v="2931"/>
    <s v="2931 | Fundraising"/>
    <x v="6"/>
    <s v="Fundraising - Junior"/>
    <s v="Business Partner"/>
    <s v="Fundraising-Business Partner"/>
    <s v="Junior"/>
    <d v="2023-02-11T13:12:09"/>
    <d v="2023-02-15T13:12:09"/>
    <s v="Yes"/>
    <d v="2023-02-28T13:12:09"/>
    <s v="Failed"/>
    <s v="Position filled by another"/>
    <m/>
    <m/>
    <m/>
    <m/>
    <d v="2023-03-04T13:12:09"/>
    <m/>
    <n v="0"/>
    <m/>
    <m/>
    <m/>
    <m/>
    <s v="Company"/>
    <m/>
    <m/>
    <m/>
    <n v="4"/>
    <n v="17"/>
    <n v="13"/>
    <x v="19"/>
    <n v="4"/>
    <d v="2023-06-02T13:12:09"/>
    <s v=""/>
    <s v=""/>
    <s v=""/>
    <m/>
    <m/>
    <m/>
    <m/>
    <m/>
    <m/>
    <m/>
    <m/>
    <m/>
    <m/>
  </r>
  <r>
    <n v="2928"/>
    <s v="2928 | Fundraising"/>
    <x v="6"/>
    <s v="Fundraising - Junior"/>
    <s v="Business Partner"/>
    <s v="Fundraising-Business Partner"/>
    <s v="Junior"/>
    <d v="2023-09-08T09:16:50"/>
    <d v="2023-09-09T09:16:50"/>
    <s v="Yes"/>
    <d v="2023-10-01T09:16:50"/>
    <s v="Declined"/>
    <m/>
    <d v="2023-10-06T09:16:50"/>
    <s v="Declined"/>
    <m/>
    <m/>
    <d v="2023-10-03T09:16:50"/>
    <m/>
    <n v="0"/>
    <m/>
    <m/>
    <m/>
    <m/>
    <m/>
    <m/>
    <m/>
    <m/>
    <n v="1"/>
    <n v="23"/>
    <n v="22"/>
    <x v="11"/>
    <n v="2"/>
    <d v="2024-01-01T09:16:50"/>
    <s v=""/>
    <s v=""/>
    <s v=""/>
    <m/>
    <m/>
    <m/>
    <m/>
    <m/>
    <m/>
    <m/>
    <m/>
    <m/>
    <m/>
  </r>
  <r>
    <n v="2923"/>
    <s v="2923 | Fundraising"/>
    <x v="6"/>
    <s v="Fundraising - Junior"/>
    <s v="Business Partner"/>
    <s v="Fundraising-Business Partner"/>
    <s v="Junior"/>
    <d v="2023-09-09T09:16:50"/>
    <d v="2023-09-11T09:16:50"/>
    <s v="Yes"/>
    <d v="2023-09-25T09:16:50"/>
    <s v="Failed"/>
    <s v="Salary expectation too high"/>
    <m/>
    <m/>
    <m/>
    <m/>
    <d v="2023-09-29T09:16:50"/>
    <m/>
    <n v="0"/>
    <m/>
    <m/>
    <m/>
    <m/>
    <s v="Company"/>
    <m/>
    <m/>
    <m/>
    <n v="2"/>
    <n v="16"/>
    <n v="14"/>
    <x v="15"/>
    <n v="4"/>
    <d v="2023-12-28T09:16:50"/>
    <s v=""/>
    <s v=""/>
    <s v=""/>
    <m/>
    <m/>
    <m/>
    <m/>
    <m/>
    <m/>
    <m/>
    <m/>
    <m/>
    <m/>
  </r>
  <r>
    <n v="2912"/>
    <s v="2912 | Fundraising"/>
    <x v="6"/>
    <s v="Fundraising - Junior"/>
    <s v="Business Partner"/>
    <s v="Fundraising-Business Partner"/>
    <s v="Junior"/>
    <d v="2022-02-06T19:04:45"/>
    <d v="2022-02-07T19:04:45"/>
    <s v="Yes"/>
    <d v="2022-02-28T19:04:45"/>
    <s v="Failed"/>
    <s v="Not a culture fit"/>
    <m/>
    <m/>
    <m/>
    <m/>
    <m/>
    <m/>
    <n v="0"/>
    <m/>
    <m/>
    <m/>
    <m/>
    <s v="Company"/>
    <m/>
    <m/>
    <m/>
    <n v="1"/>
    <n v="22"/>
    <n v="21"/>
    <x v="0"/>
    <s v=""/>
    <s v=""/>
    <s v=""/>
    <s v=""/>
    <s v=""/>
    <m/>
    <m/>
    <m/>
    <m/>
    <m/>
    <m/>
    <m/>
    <m/>
    <m/>
    <m/>
  </r>
  <r>
    <n v="2828"/>
    <s v="2828 | Fundraising"/>
    <x v="6"/>
    <s v="Fundraising - Junior"/>
    <s v="Business Partner"/>
    <s v="Fundraising-Business Partner"/>
    <s v="Junior"/>
    <d v="2022-01-02T01:20:30"/>
    <d v="2022-01-06T01:20:30"/>
    <s v="Yes"/>
    <d v="2022-01-17T01:20:30"/>
    <s v="Failed"/>
    <s v="Not a culture fit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2826"/>
    <s v="2826 | Fundraising"/>
    <x v="6"/>
    <s v="Fundraising - Junior"/>
    <s v="Business Partner"/>
    <s v="Fundraising-Business Partner"/>
    <s v="Junior"/>
    <d v="2022-01-08T01:20:30"/>
    <d v="2022-01-09T01:20:30"/>
    <s v="Yes"/>
    <d v="2022-01-18T01:20:30"/>
    <s v="Failed"/>
    <s v="Didn't pass technical test"/>
    <m/>
    <m/>
    <m/>
    <m/>
    <d v="2022-01-20T01:20:30"/>
    <m/>
    <n v="0"/>
    <m/>
    <m/>
    <m/>
    <m/>
    <s v="Candidate"/>
    <m/>
    <m/>
    <m/>
    <n v="1"/>
    <n v="10"/>
    <n v="9"/>
    <x v="24"/>
    <n v="2"/>
    <d v="2022-04-20T01:20:30"/>
    <s v=""/>
    <s v=""/>
    <s v=""/>
    <m/>
    <m/>
    <m/>
    <m/>
    <m/>
    <m/>
    <m/>
    <m/>
    <m/>
    <m/>
  </r>
  <r>
    <n v="2821"/>
    <s v="2821 | Fundraising"/>
    <x v="6"/>
    <s v="Fundraising - Junior"/>
    <s v="Business Partner"/>
    <s v="Fundraising-Business Partner"/>
    <s v="Junior"/>
    <d v="2022-01-06T01:20:30"/>
    <d v="2022-01-07T01:20:30"/>
    <s v="Yes"/>
    <d v="2022-01-19T01:20:30"/>
    <s v="Declined"/>
    <m/>
    <d v="2022-01-22T01:20:30"/>
    <s v="Declined"/>
    <m/>
    <m/>
    <d v="2022-01-21T01:20:30"/>
    <m/>
    <n v="0"/>
    <m/>
    <m/>
    <m/>
    <m/>
    <m/>
    <m/>
    <m/>
    <m/>
    <n v="1"/>
    <n v="13"/>
    <n v="12"/>
    <x v="16"/>
    <n v="2"/>
    <d v="2022-04-21T01:20:30"/>
    <s v=""/>
    <s v=""/>
    <s v=""/>
    <m/>
    <m/>
    <m/>
    <m/>
    <m/>
    <m/>
    <m/>
    <m/>
    <m/>
    <m/>
  </r>
  <r>
    <n v="2807"/>
    <s v="2807 | Fundraising"/>
    <x v="6"/>
    <s v="Fundraising - Junior"/>
    <s v="Business Partner"/>
    <s v="Fundraising-Business Partner"/>
    <s v="Junior"/>
    <d v="2023-05-29T18:40:56"/>
    <d v="2023-06-02T18:40:56"/>
    <s v="Yes"/>
    <d v="2023-06-22T18:40:56"/>
    <s v="Pending"/>
    <m/>
    <d v="2023-06-28T18:40:56"/>
    <s v="Pending"/>
    <m/>
    <m/>
    <d v="2023-06-25T18:40:56"/>
    <m/>
    <n v="0"/>
    <m/>
    <m/>
    <m/>
    <m/>
    <m/>
    <m/>
    <m/>
    <m/>
    <n v="4"/>
    <n v="24"/>
    <n v="20"/>
    <x v="18"/>
    <n v="3"/>
    <d v="2023-09-23T18:40:56"/>
    <s v=""/>
    <s v=""/>
    <s v=""/>
    <m/>
    <m/>
    <m/>
    <m/>
    <m/>
    <m/>
    <m/>
    <m/>
    <m/>
    <m/>
  </r>
  <r>
    <n v="2794"/>
    <s v="2794 | Fundraising"/>
    <x v="6"/>
    <s v="Fundraising - Junior"/>
    <s v="Business Partner"/>
    <s v="Fundraising-Business Partner"/>
    <s v="Junior"/>
    <d v="2023-06-27T20:01:36"/>
    <d v="2023-07-01T20:01:36"/>
    <s v="Yes"/>
    <d v="2023-07-07T20:01:36"/>
    <s v="Failed"/>
    <s v="Position filled by another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2747"/>
    <s v="2747 | Fundraising"/>
    <x v="6"/>
    <s v="Fundraising - Junior"/>
    <s v="Business Partner"/>
    <s v="Fundraising-Business Partner"/>
    <s v="Junior"/>
    <d v="2022-04-19T13:27:53"/>
    <d v="2022-04-23T13:27:53"/>
    <s v="Yes"/>
    <d v="2022-04-29T13:27:53"/>
    <s v="Failed"/>
    <s v="Didn't pass technical test"/>
    <m/>
    <m/>
    <m/>
    <m/>
    <m/>
    <m/>
    <n v="0"/>
    <m/>
    <m/>
    <m/>
    <m/>
    <s v="Company"/>
    <m/>
    <m/>
    <m/>
    <n v="4"/>
    <n v="10"/>
    <n v="6"/>
    <x v="0"/>
    <s v=""/>
    <s v=""/>
    <s v=""/>
    <s v=""/>
    <s v=""/>
    <m/>
    <m/>
    <m/>
    <m/>
    <m/>
    <m/>
    <m/>
    <m/>
    <m/>
    <m/>
  </r>
  <r>
    <n v="2709"/>
    <s v="2709 | Fundraising"/>
    <x v="6"/>
    <s v="Fundraising - Junior"/>
    <s v="Business Partner"/>
    <s v="Fundraising-Business Partner"/>
    <s v="Junior"/>
    <d v="2022-09-28T11:53:56"/>
    <d v="2022-09-30T11:53:56"/>
    <s v="Yes"/>
    <d v="2022-10-12T11:53:56"/>
    <s v="Declined"/>
    <m/>
    <d v="2022-10-19T11:53:56"/>
    <s v="Declined"/>
    <m/>
    <m/>
    <d v="2022-10-16T11:53:56"/>
    <m/>
    <n v="0"/>
    <m/>
    <m/>
    <m/>
    <m/>
    <m/>
    <m/>
    <m/>
    <m/>
    <n v="2"/>
    <n v="14"/>
    <n v="12"/>
    <x v="12"/>
    <n v="4"/>
    <d v="2023-01-14T11:53:56"/>
    <s v=""/>
    <s v=""/>
    <s v=""/>
    <m/>
    <m/>
    <m/>
    <m/>
    <m/>
    <m/>
    <m/>
    <m/>
    <m/>
    <m/>
  </r>
  <r>
    <n v="2634"/>
    <s v="2634 | Fundraising"/>
    <x v="6"/>
    <s v="Fundraising - Junior"/>
    <s v="Business Partner"/>
    <s v="Fundraising-Business Partner"/>
    <s v="Junior"/>
    <d v="2022-01-18T04:43:28"/>
    <d v="2022-01-21T04:43:28"/>
    <s v="Yes"/>
    <d v="2022-02-03T04:43:28"/>
    <s v="Failed"/>
    <s v="Position filled by another"/>
    <m/>
    <m/>
    <m/>
    <m/>
    <m/>
    <m/>
    <n v="0"/>
    <m/>
    <m/>
    <m/>
    <m/>
    <s v="Candidate"/>
    <m/>
    <m/>
    <m/>
    <n v="3"/>
    <n v="16"/>
    <n v="13"/>
    <x v="0"/>
    <s v=""/>
    <s v=""/>
    <s v=""/>
    <s v=""/>
    <s v=""/>
    <m/>
    <m/>
    <m/>
    <m/>
    <m/>
    <m/>
    <m/>
    <m/>
    <m/>
    <m/>
  </r>
  <r>
    <n v="2632"/>
    <s v="2632 | Fundraising"/>
    <x v="6"/>
    <s v="Fundraising - Junior"/>
    <s v="Business Partner"/>
    <s v="Fundraising-Business Partner"/>
    <s v="Junior"/>
    <d v="2022-01-24T04:43:28"/>
    <d v="2022-01-26T04:43:28"/>
    <s v="Yes"/>
    <d v="2022-02-11T04:43:28"/>
    <s v="Declined"/>
    <m/>
    <d v="2022-02-18T04:43:28"/>
    <s v="Declined"/>
    <m/>
    <m/>
    <d v="2022-02-15T04:43:28"/>
    <m/>
    <n v="0"/>
    <m/>
    <m/>
    <m/>
    <m/>
    <m/>
    <m/>
    <m/>
    <m/>
    <n v="2"/>
    <n v="18"/>
    <n v="16"/>
    <x v="7"/>
    <n v="4"/>
    <d v="2022-05-16T04:43:28"/>
    <s v=""/>
    <s v=""/>
    <s v=""/>
    <m/>
    <m/>
    <m/>
    <m/>
    <m/>
    <m/>
    <m/>
    <m/>
    <m/>
    <m/>
  </r>
  <r>
    <n v="2631"/>
    <s v="2631 | Fundraising"/>
    <x v="6"/>
    <s v="Fundraising - Junior"/>
    <s v="Business Partner"/>
    <s v="Fundraising-Business Partner"/>
    <s v="Junior"/>
    <d v="2022-01-20T04:43:28"/>
    <d v="2022-01-24T04:43:28"/>
    <s v="Yes"/>
    <d v="2022-02-07T04:43:28"/>
    <s v="Failed"/>
    <s v="Other"/>
    <m/>
    <m/>
    <m/>
    <m/>
    <d v="2022-02-10T04:43:28"/>
    <m/>
    <n v="0"/>
    <m/>
    <m/>
    <m/>
    <m/>
    <s v="Company"/>
    <m/>
    <m/>
    <m/>
    <n v="4"/>
    <n v="18"/>
    <n v="14"/>
    <x v="19"/>
    <n v="3"/>
    <d v="2022-05-11T04:43:28"/>
    <s v=""/>
    <s v=""/>
    <s v=""/>
    <m/>
    <m/>
    <m/>
    <m/>
    <m/>
    <m/>
    <m/>
    <m/>
    <m/>
    <m/>
  </r>
  <r>
    <n v="2626"/>
    <s v="2626 | Fundraising"/>
    <x v="6"/>
    <s v="Fundraising - Junior"/>
    <s v="Business Partner"/>
    <s v="Fundraising-Business Partner"/>
    <s v="Junior"/>
    <d v="2023-06-19T16:02:26"/>
    <d v="2023-06-22T16:02:26"/>
    <s v="Yes"/>
    <d v="2023-06-28T16:02:26"/>
    <s v="Failed"/>
    <s v="Other"/>
    <m/>
    <m/>
    <m/>
    <m/>
    <d v="2023-07-01T16:02:26"/>
    <m/>
    <n v="0"/>
    <m/>
    <m/>
    <m/>
    <m/>
    <s v="Company"/>
    <m/>
    <m/>
    <m/>
    <n v="3"/>
    <n v="9"/>
    <n v="6"/>
    <x v="24"/>
    <n v="3"/>
    <d v="2023-09-29T16:02:26"/>
    <s v=""/>
    <s v=""/>
    <s v=""/>
    <m/>
    <m/>
    <m/>
    <m/>
    <m/>
    <m/>
    <m/>
    <m/>
    <m/>
    <m/>
  </r>
  <r>
    <n v="2620"/>
    <s v="2620 | Fundraising"/>
    <x v="6"/>
    <s v="Fundraising - Junior"/>
    <s v="Business Partner"/>
    <s v="Fundraising-Business Partner"/>
    <s v="Junior"/>
    <d v="2023-01-02T09:06:31"/>
    <d v="2023-01-05T09:06:31"/>
    <s v="Yes"/>
    <d v="2023-01-20T09:06:31"/>
    <s v="Failed"/>
    <s v="Salary expectation too high"/>
    <m/>
    <m/>
    <m/>
    <m/>
    <d v="2023-01-24T09:06:31"/>
    <m/>
    <n v="0"/>
    <m/>
    <m/>
    <m/>
    <m/>
    <s v="Company"/>
    <m/>
    <m/>
    <m/>
    <n v="3"/>
    <n v="18"/>
    <n v="15"/>
    <x v="7"/>
    <n v="4"/>
    <d v="2023-04-24T09:06:31"/>
    <s v=""/>
    <s v=""/>
    <s v=""/>
    <m/>
    <m/>
    <m/>
    <m/>
    <m/>
    <m/>
    <m/>
    <m/>
    <m/>
    <m/>
  </r>
  <r>
    <n v="2573"/>
    <s v="2573 | Fundraising"/>
    <x v="6"/>
    <s v="Fundraising - Junior"/>
    <s v="Business Partner"/>
    <s v="Fundraising-Business Partner"/>
    <s v="Junior"/>
    <d v="2022-03-16T17:14:32"/>
    <d v="2022-03-20T17:14:32"/>
    <s v="Yes"/>
    <d v="2022-04-07T17:14:32"/>
    <s v="Accepted"/>
    <m/>
    <d v="2022-04-13T17:14:32"/>
    <s v="Accepted"/>
    <d v="2022-04-08T17:14:32"/>
    <d v="2022-04-12T17:14:32"/>
    <d v="2022-04-10T17:14:32"/>
    <d v="2022-04-14T17:14:32"/>
    <n v="1"/>
    <d v="2022-04-16T17:14:32"/>
    <d v="2022-04-17T17:14:32"/>
    <d v="2022-04-18T17:14:32"/>
    <m/>
    <m/>
    <d v="2022-05-01T17:14:32"/>
    <m/>
    <m/>
    <n v="4"/>
    <n v="22"/>
    <n v="18"/>
    <x v="11"/>
    <n v="3"/>
    <d v="2022-07-09T17:14:32"/>
    <n v="2"/>
    <n v="21"/>
    <n v="8"/>
    <m/>
    <m/>
    <m/>
    <m/>
    <m/>
    <m/>
    <m/>
    <m/>
    <m/>
    <m/>
  </r>
  <r>
    <n v="2572"/>
    <s v="2572 | Fundraising"/>
    <x v="6"/>
    <s v="Fundraising - Junior"/>
    <s v="Business Partner"/>
    <s v="Fundraising-Business Partner"/>
    <s v="Junior"/>
    <d v="2022-03-21T17:14:32"/>
    <d v="2022-03-22T17:14:32"/>
    <s v="Yes"/>
    <d v="2022-03-27T17:14:32"/>
    <s v="Failed"/>
    <s v="Didn't pass technical test"/>
    <m/>
    <m/>
    <m/>
    <m/>
    <m/>
    <m/>
    <n v="0"/>
    <m/>
    <m/>
    <m/>
    <m/>
    <s v="Company"/>
    <m/>
    <m/>
    <m/>
    <n v="1"/>
    <n v="6"/>
    <n v="5"/>
    <x v="0"/>
    <s v=""/>
    <s v=""/>
    <s v=""/>
    <s v=""/>
    <s v=""/>
    <m/>
    <m/>
    <m/>
    <m/>
    <m/>
    <m/>
    <m/>
    <m/>
    <m/>
    <m/>
  </r>
  <r>
    <n v="2489"/>
    <s v="2489 | Fundraising"/>
    <x v="6"/>
    <s v="Fundraising - Junior"/>
    <s v="Business Partner"/>
    <s v="Fundraising-Business Partner"/>
    <s v="Junior"/>
    <d v="2023-02-13T21:37:50"/>
    <d v="2023-02-16T21:37:50"/>
    <s v="Yes"/>
    <d v="2023-02-21T21:37:50"/>
    <s v="Declined"/>
    <m/>
    <d v="2023-03-01T21:37:50"/>
    <s v="Declined"/>
    <m/>
    <m/>
    <d v="2023-02-25T21:37:50"/>
    <m/>
    <n v="0"/>
    <m/>
    <m/>
    <m/>
    <m/>
    <m/>
    <m/>
    <m/>
    <m/>
    <n v="3"/>
    <n v="8"/>
    <n v="5"/>
    <x v="24"/>
    <n v="4"/>
    <d v="2023-05-26T21:37:50"/>
    <s v=""/>
    <s v=""/>
    <s v=""/>
    <m/>
    <m/>
    <m/>
    <m/>
    <m/>
    <m/>
    <m/>
    <m/>
    <m/>
    <m/>
  </r>
  <r>
    <n v="2487"/>
    <s v="2487 | Fundraising"/>
    <x v="6"/>
    <s v="Fundraising - Junior"/>
    <s v="Business Partner"/>
    <s v="Fundraising-Business Partner"/>
    <s v="Junior"/>
    <d v="2023-02-15T21:37:50"/>
    <d v="2023-02-16T21:37:50"/>
    <s v="Yes"/>
    <d v="2023-02-24T21:37:50"/>
    <s v="Failed"/>
    <s v="Salary expectation too high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2484"/>
    <s v="2484 | Fundraising"/>
    <x v="6"/>
    <s v="Fundraising - Junior"/>
    <s v="Business Partner"/>
    <s v="Fundraising-Business Partner"/>
    <s v="Junior"/>
    <d v="2023-02-14T21:37:50"/>
    <d v="2023-02-18T21:37:50"/>
    <s v="Yes"/>
    <d v="2023-03-01T21:37:50"/>
    <s v="Accepted"/>
    <m/>
    <d v="2023-03-06T21:37:50"/>
    <s v="Accepted"/>
    <d v="2023-03-03T21:37:50"/>
    <d v="2023-03-04T21:37:50"/>
    <d v="2023-03-02T21:37:50"/>
    <d v="2023-03-11T21:37:50"/>
    <n v="1"/>
    <d v="2023-03-15T21:37:50"/>
    <d v="2023-03-18T21:37:50"/>
    <d v="2023-03-21T21:37:50"/>
    <m/>
    <m/>
    <d v="2023-04-10T21:37:50"/>
    <m/>
    <m/>
    <n v="4"/>
    <n v="15"/>
    <n v="11"/>
    <x v="20"/>
    <n v="1"/>
    <d v="2023-05-31T21:37:50"/>
    <n v="4"/>
    <n v="39"/>
    <n v="19"/>
    <m/>
    <m/>
    <m/>
    <m/>
    <m/>
    <m/>
    <m/>
    <m/>
    <m/>
    <m/>
  </r>
  <r>
    <n v="2398"/>
    <s v="2398 | Fundraising"/>
    <x v="6"/>
    <s v="Fundraising - Junior"/>
    <s v="Business Partner"/>
    <s v="Fundraising-Business Partner"/>
    <s v="Junior"/>
    <d v="2023-07-20T17:32:55"/>
    <d v="2023-07-22T17:32:55"/>
    <s v="Yes"/>
    <d v="2023-08-05T17:32:55"/>
    <s v="Failed"/>
    <s v="Other"/>
    <m/>
    <m/>
    <m/>
    <m/>
    <d v="2023-08-08T17:32:55"/>
    <m/>
    <n v="0"/>
    <m/>
    <m/>
    <m/>
    <m/>
    <s v="Company"/>
    <m/>
    <m/>
    <m/>
    <n v="2"/>
    <n v="16"/>
    <n v="14"/>
    <x v="13"/>
    <n v="3"/>
    <d v="2023-11-06T17:32:55"/>
    <s v=""/>
    <s v=""/>
    <s v=""/>
    <m/>
    <m/>
    <m/>
    <m/>
    <m/>
    <m/>
    <m/>
    <m/>
    <m/>
    <m/>
  </r>
  <r>
    <n v="2397"/>
    <s v="2397 | Fundraising"/>
    <x v="6"/>
    <s v="Fundraising - Junior"/>
    <s v="Business Partner"/>
    <s v="Fundraising-Business Partner"/>
    <s v="Junior"/>
    <d v="2023-07-17T17:32:55"/>
    <d v="2023-07-21T17:32:55"/>
    <s v="Yes"/>
    <d v="2023-08-07T17:32:55"/>
    <s v="Failed"/>
    <s v="Not a culture fit"/>
    <m/>
    <m/>
    <m/>
    <m/>
    <d v="2023-08-08T17:32:55"/>
    <m/>
    <n v="0"/>
    <m/>
    <m/>
    <m/>
    <m/>
    <s v="Candidate"/>
    <m/>
    <m/>
    <m/>
    <n v="4"/>
    <n v="21"/>
    <n v="17"/>
    <x v="7"/>
    <n v="1"/>
    <d v="2023-11-06T17:32:55"/>
    <s v=""/>
    <s v=""/>
    <s v=""/>
    <m/>
    <m/>
    <m/>
    <m/>
    <m/>
    <m/>
    <m/>
    <m/>
    <m/>
    <m/>
  </r>
  <r>
    <n v="2396"/>
    <s v="2396 | Fundraising"/>
    <x v="6"/>
    <s v="Fundraising - Junior"/>
    <s v="Business Partner"/>
    <s v="Fundraising-Business Partner"/>
    <s v="Junior"/>
    <d v="2023-07-20T17:32:55"/>
    <d v="2023-07-22T17:32:55"/>
    <s v="Yes"/>
    <d v="2023-08-06T17:32:55"/>
    <s v="Failed"/>
    <s v="Didn't pass technical test"/>
    <m/>
    <m/>
    <m/>
    <m/>
    <m/>
    <m/>
    <n v="0"/>
    <m/>
    <m/>
    <m/>
    <m/>
    <s v="Company"/>
    <m/>
    <m/>
    <m/>
    <n v="2"/>
    <n v="17"/>
    <n v="15"/>
    <x v="0"/>
    <s v=""/>
    <s v=""/>
    <s v=""/>
    <s v=""/>
    <s v=""/>
    <m/>
    <m/>
    <m/>
    <m/>
    <m/>
    <m/>
    <m/>
    <m/>
    <m/>
    <m/>
  </r>
  <r>
    <n v="2133"/>
    <s v="2133 | Fundraising"/>
    <x v="6"/>
    <s v="Fundraising - Junior"/>
    <s v="Business Partner"/>
    <s v="Fundraising-Business Partner"/>
    <s v="Junior"/>
    <d v="2022-08-04T12:23:45"/>
    <d v="2022-08-07T12:23:45"/>
    <s v="Yes"/>
    <d v="2022-08-21T12:23:45"/>
    <s v="Pending"/>
    <m/>
    <d v="2022-08-23T12:23:45"/>
    <s v="Pending"/>
    <m/>
    <m/>
    <d v="2022-08-22T12:23:45"/>
    <m/>
    <n v="0"/>
    <m/>
    <m/>
    <m/>
    <m/>
    <m/>
    <m/>
    <m/>
    <m/>
    <n v="3"/>
    <n v="17"/>
    <n v="14"/>
    <x v="12"/>
    <n v="1"/>
    <d v="2022-11-20T12:23:45"/>
    <s v=""/>
    <s v=""/>
    <s v=""/>
    <m/>
    <m/>
    <m/>
    <m/>
    <m/>
    <m/>
    <m/>
    <m/>
    <m/>
    <m/>
  </r>
  <r>
    <n v="2106"/>
    <s v="2106 | Fundraising"/>
    <x v="6"/>
    <s v="Fundraising - Junior"/>
    <s v="Business Partner"/>
    <s v="Fundraising-Business Partner"/>
    <s v="Junior"/>
    <d v="2022-05-04T00:32:09"/>
    <d v="2022-05-05T00:32:09"/>
    <s v="Yes"/>
    <d v="2022-05-21T00:32:09"/>
    <s v="Failed"/>
    <s v="Salary expectation too high"/>
    <m/>
    <m/>
    <m/>
    <m/>
    <d v="2022-05-23T00:32:09"/>
    <m/>
    <n v="0"/>
    <m/>
    <m/>
    <m/>
    <m/>
    <s v="Company"/>
    <m/>
    <m/>
    <m/>
    <n v="1"/>
    <n v="17"/>
    <n v="16"/>
    <x v="13"/>
    <n v="2"/>
    <d v="2022-08-21T00:32:09"/>
    <s v=""/>
    <s v=""/>
    <s v=""/>
    <m/>
    <m/>
    <m/>
    <m/>
    <m/>
    <m/>
    <m/>
    <m/>
    <m/>
    <m/>
  </r>
  <r>
    <n v="2037"/>
    <s v="2037 | Fundraising"/>
    <x v="6"/>
    <s v="Fundraising - Junior"/>
    <s v="Business Partner"/>
    <s v="Fundraising-Business Partner"/>
    <s v="Junior"/>
    <d v="2022-03-26T20:40:01"/>
    <d v="2022-03-29T20:40:01"/>
    <s v="Yes"/>
    <d v="2022-04-04T20:40:01"/>
    <s v="Declined"/>
    <m/>
    <d v="2022-04-09T20:40:01"/>
    <s v="Declined"/>
    <m/>
    <m/>
    <d v="2022-04-08T20:40:01"/>
    <m/>
    <n v="0"/>
    <m/>
    <m/>
    <m/>
    <m/>
    <m/>
    <m/>
    <m/>
    <m/>
    <n v="3"/>
    <n v="9"/>
    <n v="6"/>
    <x v="8"/>
    <n v="4"/>
    <d v="2022-07-07T20:40:01"/>
    <s v=""/>
    <s v=""/>
    <s v=""/>
    <m/>
    <m/>
    <m/>
    <m/>
    <m/>
    <m/>
    <m/>
    <m/>
    <m/>
    <m/>
  </r>
  <r>
    <n v="1940"/>
    <s v="1940 | Fundraising"/>
    <x v="6"/>
    <s v="Fundraising - Junior"/>
    <s v="Business Partner"/>
    <s v="Fundraising-Business Partner"/>
    <s v="Junior"/>
    <d v="2023-09-09T07:20:47"/>
    <d v="2023-09-11T07:20:47"/>
    <s v="Yes"/>
    <d v="2023-10-01T07:20:47"/>
    <s v="Declined"/>
    <m/>
    <d v="2023-10-07T07:20:47"/>
    <s v="Declined"/>
    <m/>
    <m/>
    <d v="2023-10-05T07:20:47"/>
    <m/>
    <n v="0"/>
    <m/>
    <m/>
    <m/>
    <m/>
    <m/>
    <m/>
    <m/>
    <m/>
    <n v="2"/>
    <n v="22"/>
    <n v="20"/>
    <x v="25"/>
    <n v="4"/>
    <d v="2024-01-03T07:20:47"/>
    <s v=""/>
    <s v=""/>
    <s v=""/>
    <m/>
    <m/>
    <m/>
    <m/>
    <m/>
    <m/>
    <m/>
    <m/>
    <m/>
    <m/>
  </r>
  <r>
    <n v="1876"/>
    <s v="1876 | Fundraising"/>
    <x v="6"/>
    <s v="Fundraising - Junior"/>
    <s v="Business Partner"/>
    <s v="Fundraising-Business Partner"/>
    <s v="Junior"/>
    <d v="2022-01-14T17:35:29"/>
    <d v="2022-01-16T17:35:29"/>
    <s v="Yes"/>
    <d v="2022-01-21T17:35:29"/>
    <s v="Pending"/>
    <m/>
    <d v="2022-01-26T17:35:29"/>
    <s v="Pending"/>
    <m/>
    <m/>
    <d v="2022-01-24T17:35:29"/>
    <m/>
    <n v="0"/>
    <m/>
    <m/>
    <m/>
    <m/>
    <m/>
    <m/>
    <m/>
    <m/>
    <n v="2"/>
    <n v="7"/>
    <n v="5"/>
    <x v="22"/>
    <n v="3"/>
    <d v="2022-04-24T17:35:29"/>
    <s v=""/>
    <s v=""/>
    <s v=""/>
    <m/>
    <m/>
    <m/>
    <m/>
    <m/>
    <m/>
    <m/>
    <m/>
    <m/>
    <m/>
  </r>
  <r>
    <n v="1720"/>
    <s v="1720 | Fundraising"/>
    <x v="6"/>
    <s v="Fundraising - Junior"/>
    <s v="Review Associate"/>
    <s v="Fundraising-Review Associate"/>
    <s v="Junior"/>
    <d v="2022-01-01T01:51:52"/>
    <d v="2022-01-04T01:51:52"/>
    <s v="Yes"/>
    <d v="2022-01-20T01:51:52"/>
    <s v="Failed"/>
    <s v="Not a culture fit"/>
    <m/>
    <m/>
    <m/>
    <m/>
    <m/>
    <m/>
    <n v="0"/>
    <m/>
    <m/>
    <m/>
    <m/>
    <s v="Company"/>
    <m/>
    <m/>
    <m/>
    <n v="3"/>
    <n v="19"/>
    <n v="16"/>
    <x v="0"/>
    <s v=""/>
    <s v=""/>
    <s v=""/>
    <s v=""/>
    <s v=""/>
    <m/>
    <m/>
    <m/>
    <m/>
    <m/>
    <m/>
    <m/>
    <m/>
    <m/>
    <m/>
  </r>
  <r>
    <n v="1717"/>
    <s v="1717 | Fundraising"/>
    <x v="6"/>
    <s v="Fundraising - Junior"/>
    <s v="Review Associate"/>
    <s v="Fundraising-Review Associate"/>
    <s v="Junior"/>
    <d v="2022-01-02T01:51:52"/>
    <d v="2022-01-05T01:51:52"/>
    <s v="Yes"/>
    <d v="2022-01-17T01:51:52"/>
    <s v="Declined"/>
    <m/>
    <d v="2022-01-20T01:51:52"/>
    <s v="Declined"/>
    <m/>
    <m/>
    <d v="2022-01-18T01:51:52"/>
    <m/>
    <n v="0"/>
    <m/>
    <m/>
    <m/>
    <m/>
    <m/>
    <m/>
    <m/>
    <m/>
    <n v="3"/>
    <n v="15"/>
    <n v="12"/>
    <x v="20"/>
    <n v="1"/>
    <d v="2022-04-18T01:51:52"/>
    <s v=""/>
    <s v=""/>
    <s v=""/>
    <m/>
    <m/>
    <m/>
    <m/>
    <m/>
    <m/>
    <m/>
    <m/>
    <m/>
    <m/>
  </r>
  <r>
    <n v="1700"/>
    <s v="1700 | Fundraising"/>
    <x v="6"/>
    <s v="Fundraising - Junior"/>
    <s v="Review Associate"/>
    <s v="Fundraising-Review Associate"/>
    <s v="Junior"/>
    <d v="2023-02-28T18:21:09"/>
    <d v="2023-03-03T18:21:09"/>
    <s v="Yes"/>
    <d v="2023-03-13T18:21:09"/>
    <s v="Failed"/>
    <s v="Not a culture fit"/>
    <m/>
    <m/>
    <m/>
    <m/>
    <d v="2023-03-14T18:21:09"/>
    <m/>
    <n v="0"/>
    <m/>
    <m/>
    <m/>
    <m/>
    <s v="Company"/>
    <m/>
    <m/>
    <m/>
    <n v="3"/>
    <n v="13"/>
    <n v="10"/>
    <x v="1"/>
    <n v="1"/>
    <d v="2023-06-12T18:21:09"/>
    <s v=""/>
    <s v=""/>
    <s v=""/>
    <m/>
    <m/>
    <m/>
    <m/>
    <m/>
    <m/>
    <m/>
    <m/>
    <m/>
    <m/>
  </r>
  <r>
    <n v="1485"/>
    <s v="1485 | Fundraising"/>
    <x v="6"/>
    <s v="Fundraising - Junior"/>
    <s v="Review Associate"/>
    <s v="Fundraising-Review Associate"/>
    <s v="Junior"/>
    <d v="2023-07-05T13:00:43"/>
    <d v="2023-07-08T13:00:43"/>
    <s v="Yes"/>
    <d v="2023-07-22T13:00:43"/>
    <s v="Failed"/>
    <s v="Other"/>
    <m/>
    <m/>
    <m/>
    <m/>
    <d v="2023-07-25T13:00:43"/>
    <m/>
    <n v="0"/>
    <m/>
    <m/>
    <m/>
    <m/>
    <s v="Company"/>
    <m/>
    <m/>
    <m/>
    <n v="3"/>
    <n v="17"/>
    <n v="14"/>
    <x v="15"/>
    <n v="3"/>
    <d v="2023-10-23T13:00:43"/>
    <s v=""/>
    <s v=""/>
    <s v=""/>
    <m/>
    <m/>
    <m/>
    <m/>
    <m/>
    <m/>
    <m/>
    <m/>
    <m/>
    <m/>
  </r>
  <r>
    <n v="1469"/>
    <s v="1469 | Fundraising"/>
    <x v="6"/>
    <s v="Fundraising - Junior"/>
    <s v="Review Associate"/>
    <s v="Fundraising-Review Associate"/>
    <s v="Junior"/>
    <d v="2023-03-19T03:24:12"/>
    <d v="2023-03-22T03:24:12"/>
    <s v="Yes"/>
    <d v="2023-03-30T03:24:12"/>
    <s v="Failed"/>
    <s v="Other"/>
    <m/>
    <m/>
    <m/>
    <m/>
    <m/>
    <m/>
    <n v="0"/>
    <m/>
    <m/>
    <m/>
    <m/>
    <s v="Candidate"/>
    <m/>
    <m/>
    <m/>
    <n v="3"/>
    <n v="11"/>
    <n v="8"/>
    <x v="0"/>
    <s v=""/>
    <s v=""/>
    <s v=""/>
    <s v=""/>
    <s v=""/>
    <m/>
    <m/>
    <m/>
    <m/>
    <m/>
    <m/>
    <m/>
    <m/>
    <m/>
    <m/>
  </r>
  <r>
    <n v="1468"/>
    <s v="1468 | Fundraising"/>
    <x v="6"/>
    <s v="Fundraising - Junior"/>
    <s v="Review Associate"/>
    <s v="Fundraising-Review Associate"/>
    <s v="Junior"/>
    <d v="2023-03-15T03:24:12"/>
    <d v="2023-03-19T03:24:12"/>
    <s v="Yes"/>
    <d v="2023-04-03T03:24:12"/>
    <s v="Failed"/>
    <s v="Didn't pass technical test"/>
    <m/>
    <m/>
    <m/>
    <m/>
    <m/>
    <m/>
    <n v="0"/>
    <m/>
    <m/>
    <m/>
    <m/>
    <s v="Candidate"/>
    <m/>
    <m/>
    <m/>
    <n v="4"/>
    <n v="19"/>
    <n v="15"/>
    <x v="0"/>
    <s v=""/>
    <s v=""/>
    <s v=""/>
    <s v=""/>
    <s v=""/>
    <m/>
    <m/>
    <m/>
    <m/>
    <m/>
    <m/>
    <m/>
    <m/>
    <m/>
    <m/>
  </r>
  <r>
    <n v="1465"/>
    <s v="1465 | Fundraising"/>
    <x v="6"/>
    <s v="Fundraising - Junior"/>
    <s v="Review Associate"/>
    <s v="Fundraising-Review Associate"/>
    <s v="Junior"/>
    <d v="2023-03-20T03:24:12"/>
    <d v="2023-03-22T03:24:12"/>
    <s v="Yes"/>
    <d v="2023-03-31T03:24:12"/>
    <s v="Pending"/>
    <m/>
    <d v="2023-04-04T03:24:12"/>
    <s v="Pending"/>
    <m/>
    <m/>
    <d v="2023-04-03T03:24:12"/>
    <m/>
    <n v="0"/>
    <m/>
    <m/>
    <m/>
    <m/>
    <m/>
    <m/>
    <m/>
    <m/>
    <n v="2"/>
    <n v="11"/>
    <n v="9"/>
    <x v="1"/>
    <n v="3"/>
    <d v="2023-07-02T03:24:12"/>
    <s v=""/>
    <s v=""/>
    <s v=""/>
    <m/>
    <m/>
    <m/>
    <m/>
    <m/>
    <m/>
    <m/>
    <m/>
    <m/>
    <m/>
  </r>
  <r>
    <n v="1351"/>
    <s v="1351 | Fundraising"/>
    <x v="6"/>
    <s v="Fundraising - Junior"/>
    <s v="Review Associate"/>
    <s v="Fundraising-Review Associate"/>
    <s v="Junior"/>
    <d v="2022-07-22T01:19:51"/>
    <d v="2022-07-25T01:19:51"/>
    <s v="Yes"/>
    <d v="2022-08-13T01:19:51"/>
    <s v="Failed"/>
    <s v="Not a culture fit"/>
    <m/>
    <m/>
    <m/>
    <m/>
    <m/>
    <m/>
    <n v="0"/>
    <m/>
    <m/>
    <m/>
    <m/>
    <s v="Company"/>
    <m/>
    <m/>
    <m/>
    <n v="3"/>
    <n v="22"/>
    <n v="19"/>
    <x v="0"/>
    <s v=""/>
    <s v=""/>
    <s v=""/>
    <s v=""/>
    <s v=""/>
    <m/>
    <m/>
    <m/>
    <m/>
    <m/>
    <m/>
    <m/>
    <m/>
    <m/>
    <m/>
  </r>
  <r>
    <n v="1250"/>
    <s v="1250 | Fundraising"/>
    <x v="6"/>
    <s v="Fundraising - Junior"/>
    <s v="Review Associate"/>
    <s v="Fundraising-Review Associate"/>
    <s v="Junior"/>
    <d v="2022-06-23T20:09:31"/>
    <d v="2022-06-24T20:09:31"/>
    <s v="Yes"/>
    <d v="2022-07-14T20:09:31"/>
    <s v="Accepted"/>
    <m/>
    <d v="2022-07-17T20:09:31"/>
    <s v="Accepted"/>
    <d v="2022-07-16T20:09:31"/>
    <d v="2022-07-20T20:09:31"/>
    <d v="2022-07-15T20:09:31"/>
    <d v="2022-07-18T20:09:31"/>
    <n v="1"/>
    <d v="2022-07-20T20:09:31"/>
    <d v="2022-07-21T20:09:31"/>
    <d v="2022-07-24T20:09:31"/>
    <m/>
    <m/>
    <d v="2022-08-01T20:09:31"/>
    <m/>
    <m/>
    <n v="1"/>
    <n v="21"/>
    <n v="20"/>
    <x v="7"/>
    <n v="1"/>
    <d v="2022-10-13T20:09:31"/>
    <n v="2"/>
    <n v="17"/>
    <n v="9"/>
    <m/>
    <m/>
    <m/>
    <m/>
    <m/>
    <m/>
    <m/>
    <m/>
    <m/>
    <m/>
  </r>
  <r>
    <n v="1239"/>
    <s v="1239 | Fundraising"/>
    <x v="6"/>
    <s v="Fundraising - Junior"/>
    <s v="Review Associate"/>
    <s v="Fundraising-Review Associate"/>
    <s v="Junior"/>
    <d v="2023-02-25T17:29:35"/>
    <d v="2023-02-28T17:29:35"/>
    <s v="Yes"/>
    <d v="2023-03-13T17:29:35"/>
    <s v="Failed"/>
    <s v="Not a culture fit"/>
    <m/>
    <m/>
    <m/>
    <m/>
    <d v="2023-03-17T17:29:35"/>
    <m/>
    <n v="0"/>
    <m/>
    <m/>
    <m/>
    <m/>
    <s v="Company"/>
    <m/>
    <m/>
    <m/>
    <n v="3"/>
    <n v="16"/>
    <n v="13"/>
    <x v="15"/>
    <n v="4"/>
    <d v="2023-06-15T17:29:35"/>
    <s v=""/>
    <s v=""/>
    <s v=""/>
    <m/>
    <m/>
    <m/>
    <m/>
    <m/>
    <m/>
    <m/>
    <m/>
    <m/>
    <m/>
  </r>
  <r>
    <n v="1224"/>
    <s v="1224 | Fundraising"/>
    <x v="6"/>
    <s v="Fundraising - Junior"/>
    <s v="Review Associate"/>
    <s v="Fundraising-Review Associate"/>
    <s v="Junior"/>
    <d v="2022-06-23T03:24:32"/>
    <d v="2022-06-25T03:24:32"/>
    <s v="Yes"/>
    <d v="2022-07-12T03:24:32"/>
    <s v="Declined"/>
    <m/>
    <d v="2022-07-19T03:24:32"/>
    <s v="Declined"/>
    <m/>
    <m/>
    <d v="2022-07-16T03:24:32"/>
    <m/>
    <n v="0"/>
    <m/>
    <m/>
    <m/>
    <m/>
    <m/>
    <m/>
    <m/>
    <m/>
    <n v="2"/>
    <n v="19"/>
    <n v="17"/>
    <x v="3"/>
    <n v="4"/>
    <d v="2022-10-14T03:24:32"/>
    <s v=""/>
    <s v=""/>
    <s v=""/>
    <m/>
    <m/>
    <m/>
    <m/>
    <m/>
    <m/>
    <m/>
    <m/>
    <m/>
    <m/>
  </r>
  <r>
    <n v="1210"/>
    <s v="1210 | Fundraising"/>
    <x v="6"/>
    <s v="Fundraising - Junior"/>
    <s v="Review Associate"/>
    <s v="Fundraising-Review Associate"/>
    <s v="Junior"/>
    <d v="2022-07-24T04:55:35"/>
    <d v="2022-07-26T04:55:35"/>
    <s v="Yes"/>
    <d v="2022-08-09T04:55:35"/>
    <s v="Declined"/>
    <m/>
    <d v="2022-08-14T04:55:35"/>
    <s v="Declined"/>
    <m/>
    <m/>
    <d v="2022-08-10T04:55:35"/>
    <m/>
    <n v="0"/>
    <m/>
    <m/>
    <m/>
    <m/>
    <m/>
    <m/>
    <m/>
    <m/>
    <n v="2"/>
    <n v="16"/>
    <n v="14"/>
    <x v="14"/>
    <n v="1"/>
    <d v="2022-11-08T04:55:35"/>
    <s v=""/>
    <s v=""/>
    <s v=""/>
    <m/>
    <m/>
    <m/>
    <m/>
    <m/>
    <m/>
    <m/>
    <m/>
    <m/>
    <m/>
  </r>
  <r>
    <n v="1201"/>
    <s v="1201 | Fundraising"/>
    <x v="6"/>
    <s v="Fundraising - Junior"/>
    <s v="Review Associate"/>
    <s v="Fundraising-Review Associate"/>
    <s v="Junior"/>
    <d v="2022-07-20T04:55:35"/>
    <d v="2022-07-22T04:55:35"/>
    <s v="Yes"/>
    <d v="2022-08-09T04:55:35"/>
    <s v="Failed"/>
    <s v="Other"/>
    <m/>
    <m/>
    <m/>
    <m/>
    <d v="2022-08-11T04:55:35"/>
    <m/>
    <n v="0"/>
    <m/>
    <m/>
    <m/>
    <m/>
    <s v="Company"/>
    <m/>
    <m/>
    <m/>
    <n v="2"/>
    <n v="20"/>
    <n v="18"/>
    <x v="7"/>
    <n v="2"/>
    <d v="2022-11-09T04:55:35"/>
    <s v=""/>
    <s v=""/>
    <s v=""/>
    <m/>
    <m/>
    <m/>
    <m/>
    <m/>
    <m/>
    <m/>
    <m/>
    <m/>
    <m/>
  </r>
  <r>
    <n v="1194"/>
    <s v="1194 | Fundraising"/>
    <x v="6"/>
    <s v="Fundraising - Junior"/>
    <s v="Review Associate"/>
    <s v="Fundraising-Review Associate"/>
    <s v="Junior"/>
    <d v="2022-07-21T23:11:03"/>
    <d v="2022-07-24T23:11:03"/>
    <s v="Yes"/>
    <d v="2022-08-14T23:11:03"/>
    <s v="Failed"/>
    <s v="Salary expectation too high"/>
    <m/>
    <m/>
    <m/>
    <m/>
    <m/>
    <m/>
    <n v="0"/>
    <m/>
    <m/>
    <m/>
    <m/>
    <s v="Company"/>
    <m/>
    <m/>
    <m/>
    <n v="3"/>
    <n v="24"/>
    <n v="21"/>
    <x v="0"/>
    <s v=""/>
    <s v=""/>
    <s v=""/>
    <s v=""/>
    <s v=""/>
    <m/>
    <m/>
    <m/>
    <m/>
    <m/>
    <m/>
    <m/>
    <m/>
    <m/>
    <m/>
  </r>
  <r>
    <n v="1171"/>
    <s v="1171 | Fundraising"/>
    <x v="6"/>
    <s v="Fundraising - Junior"/>
    <s v="Review Associate"/>
    <s v="Fundraising-Review Associate"/>
    <s v="Junior"/>
    <d v="2023-05-13T01:00:09"/>
    <d v="2023-05-16T01:00:09"/>
    <s v="Yes"/>
    <d v="2023-05-27T01:00:09"/>
    <s v="Failed"/>
    <s v="Salary expectation too high"/>
    <m/>
    <m/>
    <m/>
    <m/>
    <d v="2023-05-31T01:00:09"/>
    <m/>
    <n v="0"/>
    <m/>
    <m/>
    <m/>
    <m/>
    <s v="Company"/>
    <m/>
    <m/>
    <m/>
    <n v="3"/>
    <n v="14"/>
    <n v="11"/>
    <x v="12"/>
    <n v="4"/>
    <d v="2023-08-29T01:00:09"/>
    <s v=""/>
    <s v=""/>
    <s v=""/>
    <m/>
    <m/>
    <m/>
    <m/>
    <m/>
    <m/>
    <m/>
    <m/>
    <m/>
    <m/>
  </r>
  <r>
    <n v="2954"/>
    <s v="2954 | Fundraising"/>
    <x v="6"/>
    <s v="Fundraising - Associate"/>
    <s v="Analyst"/>
    <s v="Fundraising-Analyst"/>
    <s v="Associate"/>
    <d v="2023-03-30T15:39:13"/>
    <d v="2023-04-01T15:39:13"/>
    <s v="Yes"/>
    <d v="2023-04-21T15:39:13"/>
    <s v="Failed"/>
    <s v="Not a culture fit"/>
    <m/>
    <m/>
    <m/>
    <m/>
    <m/>
    <m/>
    <n v="0"/>
    <m/>
    <m/>
    <m/>
    <m/>
    <s v="Company"/>
    <m/>
    <m/>
    <m/>
    <n v="2"/>
    <n v="22"/>
    <n v="20"/>
    <x v="0"/>
    <s v=""/>
    <s v=""/>
    <s v=""/>
    <s v=""/>
    <s v=""/>
    <m/>
    <m/>
    <m/>
    <m/>
    <m/>
    <m/>
    <m/>
    <m/>
    <m/>
    <m/>
  </r>
  <r>
    <n v="2916"/>
    <s v="2916 | Fundraising"/>
    <x v="6"/>
    <s v="Fundraising - Associate"/>
    <s v="Analyst"/>
    <s v="Fundraising-Analyst"/>
    <s v="Associate"/>
    <d v="2022-02-04T19:04:45"/>
    <d v="2022-02-08T19:04:45"/>
    <s v="Yes"/>
    <d v="2022-02-17T19:04:45"/>
    <s v="Declined"/>
    <m/>
    <d v="2022-02-19T19:04:45"/>
    <s v="Declined"/>
    <m/>
    <m/>
    <d v="2022-02-18T19:04:45"/>
    <m/>
    <n v="0"/>
    <m/>
    <m/>
    <m/>
    <m/>
    <m/>
    <m/>
    <m/>
    <m/>
    <n v="4"/>
    <n v="13"/>
    <n v="9"/>
    <x v="1"/>
    <n v="1"/>
    <d v="2022-05-19T19:04:45"/>
    <s v=""/>
    <s v=""/>
    <s v=""/>
    <m/>
    <m/>
    <m/>
    <m/>
    <m/>
    <m/>
    <m/>
    <m/>
    <m/>
    <m/>
  </r>
  <r>
    <n v="2829"/>
    <s v="2829 | Fundraising"/>
    <x v="6"/>
    <s v="Fundraising - Associate"/>
    <s v="Analyst"/>
    <s v="Fundraising-Analyst"/>
    <s v="Associate"/>
    <d v="2022-01-04T01:20:30"/>
    <d v="2022-01-06T01:20:30"/>
    <s v="Yes"/>
    <d v="2022-01-18T01:20:30"/>
    <s v="Failed"/>
    <s v="Other"/>
    <m/>
    <m/>
    <m/>
    <m/>
    <m/>
    <m/>
    <n v="0"/>
    <m/>
    <m/>
    <m/>
    <m/>
    <s v="Candidate"/>
    <m/>
    <m/>
    <m/>
    <n v="2"/>
    <n v="14"/>
    <n v="12"/>
    <x v="0"/>
    <s v=""/>
    <s v=""/>
    <s v=""/>
    <s v=""/>
    <s v=""/>
    <m/>
    <m/>
    <m/>
    <m/>
    <m/>
    <m/>
    <m/>
    <m/>
    <m/>
    <m/>
  </r>
  <r>
    <n v="2809"/>
    <s v="2809 | Fundraising"/>
    <x v="6"/>
    <s v="Fundraising - Associate"/>
    <s v="Analyst"/>
    <s v="Fundraising-Analyst"/>
    <s v="Associate"/>
    <d v="2023-06-02T18:40:56"/>
    <d v="2023-06-03T18:40:56"/>
    <s v="Yes"/>
    <d v="2023-06-19T18:40:56"/>
    <s v="Declined"/>
    <m/>
    <d v="2023-06-25T18:40:56"/>
    <s v="Declined"/>
    <m/>
    <m/>
    <d v="2023-06-22T18:40:56"/>
    <m/>
    <n v="0"/>
    <m/>
    <m/>
    <m/>
    <m/>
    <m/>
    <m/>
    <m/>
    <m/>
    <n v="1"/>
    <n v="17"/>
    <n v="16"/>
    <x v="15"/>
    <n v="3"/>
    <d v="2023-09-20T18:40:56"/>
    <s v=""/>
    <s v=""/>
    <s v=""/>
    <m/>
    <m/>
    <m/>
    <m/>
    <m/>
    <m/>
    <m/>
    <m/>
    <m/>
    <m/>
  </r>
  <r>
    <n v="2802"/>
    <s v="2802 | Fundraising"/>
    <x v="6"/>
    <s v="Fundraising - Associate"/>
    <s v="Analyst"/>
    <s v="Fundraising-Analyst"/>
    <s v="Associate"/>
    <d v="2023-05-31T18:40:56"/>
    <d v="2023-06-04T18:40:56"/>
    <s v="Yes"/>
    <d v="2023-06-18T18:40:56"/>
    <s v="Failed"/>
    <s v="Didn't pass technical test"/>
    <m/>
    <m/>
    <m/>
    <m/>
    <m/>
    <m/>
    <n v="0"/>
    <m/>
    <m/>
    <m/>
    <m/>
    <s v="Company"/>
    <m/>
    <m/>
    <m/>
    <n v="4"/>
    <n v="18"/>
    <n v="14"/>
    <x v="0"/>
    <s v=""/>
    <s v=""/>
    <s v=""/>
    <s v=""/>
    <s v=""/>
    <m/>
    <m/>
    <m/>
    <m/>
    <m/>
    <m/>
    <m/>
    <m/>
    <m/>
    <m/>
  </r>
  <r>
    <n v="2800"/>
    <s v="2800 | Fundraising"/>
    <x v="6"/>
    <s v="Fundraising - Associate"/>
    <s v="Analyst"/>
    <s v="Fundraising-Analyst"/>
    <s v="Associate"/>
    <d v="2023-06-30T20:01:36"/>
    <d v="2023-07-01T20:01:36"/>
    <s v="Yes"/>
    <d v="2023-07-15T20:01:36"/>
    <s v="Failed"/>
    <s v="Not a culture fit"/>
    <m/>
    <m/>
    <m/>
    <m/>
    <d v="2023-07-19T20:01:36"/>
    <m/>
    <n v="0"/>
    <m/>
    <m/>
    <m/>
    <m/>
    <s v="Company"/>
    <m/>
    <m/>
    <m/>
    <n v="1"/>
    <n v="15"/>
    <n v="14"/>
    <x v="13"/>
    <n v="4"/>
    <d v="2023-10-17T20:01:36"/>
    <s v=""/>
    <s v=""/>
    <s v=""/>
    <m/>
    <m/>
    <m/>
    <m/>
    <m/>
    <m/>
    <m/>
    <m/>
    <m/>
    <m/>
  </r>
  <r>
    <n v="2710"/>
    <s v="2710 | Fundraising"/>
    <x v="6"/>
    <s v="Fundraising - Associate"/>
    <s v="Analyst"/>
    <s v="Fundraising-Analyst"/>
    <s v="Associate"/>
    <d v="2022-09-24T11:53:56"/>
    <d v="2022-09-28T11:53:56"/>
    <s v="Yes"/>
    <d v="2022-10-08T11:53:56"/>
    <s v="Declined"/>
    <m/>
    <d v="2022-10-11T11:53:56"/>
    <s v="Declined"/>
    <m/>
    <m/>
    <d v="2022-10-09T11:53:56"/>
    <m/>
    <n v="0"/>
    <m/>
    <m/>
    <m/>
    <m/>
    <m/>
    <m/>
    <m/>
    <m/>
    <n v="4"/>
    <n v="14"/>
    <n v="10"/>
    <x v="16"/>
    <n v="1"/>
    <d v="2023-01-07T11:53:56"/>
    <s v=""/>
    <s v=""/>
    <s v=""/>
    <m/>
    <m/>
    <m/>
    <m/>
    <m/>
    <m/>
    <m/>
    <m/>
    <m/>
    <m/>
  </r>
  <r>
    <n v="2708"/>
    <s v="2708 | Fundraising"/>
    <x v="6"/>
    <s v="Fundraising - Associate"/>
    <s v="Analyst"/>
    <s v="Fundraising-Analyst"/>
    <s v="Associate"/>
    <d v="2022-09-29T11:53:56"/>
    <d v="2022-09-30T11:53:56"/>
    <s v="Yes"/>
    <d v="2022-10-10T11:53:56"/>
    <s v="Failed"/>
    <s v="Didn't pass technical tes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2706"/>
    <s v="2706 | Fundraising"/>
    <x v="6"/>
    <s v="Fundraising - Associate"/>
    <s v="Analyst"/>
    <s v="Fundraising-Analyst"/>
    <s v="Associate"/>
    <d v="2022-09-25T11:53:56"/>
    <d v="2022-09-27T11:53:56"/>
    <s v="Yes"/>
    <d v="2022-10-16T11:53:56"/>
    <s v="Failed"/>
    <s v="Salary expectation too high"/>
    <m/>
    <m/>
    <m/>
    <m/>
    <d v="2022-10-20T11:53:56"/>
    <m/>
    <n v="0"/>
    <m/>
    <m/>
    <m/>
    <m/>
    <s v="Candidate"/>
    <m/>
    <m/>
    <m/>
    <n v="2"/>
    <n v="21"/>
    <n v="19"/>
    <x v="11"/>
    <n v="4"/>
    <d v="2023-01-18T11:53:56"/>
    <s v=""/>
    <s v=""/>
    <s v=""/>
    <m/>
    <m/>
    <m/>
    <m/>
    <m/>
    <m/>
    <m/>
    <m/>
    <m/>
    <m/>
  </r>
  <r>
    <n v="2621"/>
    <s v="2621 | Fundraising"/>
    <x v="6"/>
    <s v="Fundraising - Associate"/>
    <s v="Analyst"/>
    <s v="Fundraising-Analyst"/>
    <s v="Associate"/>
    <d v="2023-06-23T16:02:26"/>
    <d v="2023-06-24T16:02:26"/>
    <s v="Yes"/>
    <d v="2023-07-11T16:02:26"/>
    <s v="Failed"/>
    <s v="Other"/>
    <m/>
    <m/>
    <m/>
    <m/>
    <d v="2023-07-12T16:02:26"/>
    <m/>
    <n v="0"/>
    <m/>
    <m/>
    <m/>
    <m/>
    <s v="Candidate"/>
    <m/>
    <m/>
    <m/>
    <n v="1"/>
    <n v="18"/>
    <n v="17"/>
    <x v="13"/>
    <n v="1"/>
    <d v="2023-10-10T16:02:26"/>
    <s v=""/>
    <s v=""/>
    <s v=""/>
    <m/>
    <m/>
    <m/>
    <m/>
    <m/>
    <m/>
    <m/>
    <m/>
    <m/>
    <m/>
  </r>
  <r>
    <n v="2599"/>
    <s v="2599 | Fundraising"/>
    <x v="6"/>
    <s v="Fundraising - Associate"/>
    <s v="Analyst"/>
    <s v="Fundraising-Analyst"/>
    <s v="Associate"/>
    <d v="2023-01-18T09:40:31"/>
    <d v="2023-01-21T09:40:31"/>
    <s v="Yes"/>
    <d v="2023-02-05T09:40:31"/>
    <s v="Failed"/>
    <s v="Salary expectation too high"/>
    <m/>
    <m/>
    <m/>
    <m/>
    <d v="2023-02-08T09:40:31"/>
    <m/>
    <n v="0"/>
    <m/>
    <m/>
    <m/>
    <m/>
    <s v="Candidate"/>
    <m/>
    <m/>
    <m/>
    <n v="3"/>
    <n v="18"/>
    <n v="15"/>
    <x v="19"/>
    <n v="3"/>
    <d v="2023-05-09T09:40:31"/>
    <s v=""/>
    <s v=""/>
    <s v=""/>
    <m/>
    <m/>
    <m/>
    <m/>
    <m/>
    <m/>
    <m/>
    <m/>
    <m/>
    <m/>
  </r>
  <r>
    <n v="2596"/>
    <s v="2596 | Fundraising"/>
    <x v="6"/>
    <s v="Fundraising - Associate"/>
    <s v="Analyst"/>
    <s v="Fundraising-Analyst"/>
    <s v="Associate"/>
    <d v="2023-01-19T09:40:31"/>
    <d v="2023-01-20T09:40:31"/>
    <s v="Yes"/>
    <d v="2023-02-05T09:40:31"/>
    <s v="Failed"/>
    <s v="Position filled by another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2594"/>
    <s v="2594 | Fundraising"/>
    <x v="6"/>
    <s v="Fundraising - Associate"/>
    <s v="Analyst"/>
    <s v="Fundraising-Analyst"/>
    <s v="Associate"/>
    <d v="2023-01-20T09:40:31"/>
    <d v="2023-01-21T09:40:31"/>
    <s v="Yes"/>
    <d v="2023-02-02T09:40:31"/>
    <s v="Failed"/>
    <s v="Position filled by another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2490"/>
    <s v="2490 | Fundraising"/>
    <x v="6"/>
    <s v="Fundraising - Associate"/>
    <s v="Analyst"/>
    <s v="Fundraising-Analyst"/>
    <s v="Associate"/>
    <d v="2023-02-14T21:37:50"/>
    <d v="2023-02-18T21:37:50"/>
    <s v="Yes"/>
    <d v="2023-03-06T21:37:50"/>
    <s v="Failed"/>
    <s v="Other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2423"/>
    <s v="2423 | Fundraising"/>
    <x v="6"/>
    <s v="Fundraising - Associate"/>
    <s v="Analyst"/>
    <s v="Fundraising-Analyst"/>
    <s v="Associate"/>
    <d v="2022-10-02T06:07:20"/>
    <d v="2022-10-04T06:07:20"/>
    <s v="Yes"/>
    <d v="2022-10-13T06:07:20"/>
    <s v="Declined"/>
    <m/>
    <d v="2022-10-18T06:07:20"/>
    <s v="Declined"/>
    <m/>
    <m/>
    <d v="2022-10-16T06:07:20"/>
    <m/>
    <n v="0"/>
    <m/>
    <m/>
    <m/>
    <m/>
    <m/>
    <m/>
    <m/>
    <m/>
    <n v="2"/>
    <n v="11"/>
    <n v="9"/>
    <x v="1"/>
    <n v="3"/>
    <d v="2023-01-14T06:07:20"/>
    <s v=""/>
    <s v=""/>
    <s v=""/>
    <m/>
    <m/>
    <m/>
    <m/>
    <m/>
    <m/>
    <m/>
    <m/>
    <m/>
    <m/>
  </r>
  <r>
    <n v="2104"/>
    <s v="2104 | Fundraising"/>
    <x v="6"/>
    <s v="Fundraising - Associate"/>
    <s v="Analyst"/>
    <s v="Fundraising-Analyst"/>
    <s v="Associate"/>
    <d v="2022-05-03T00:32:09"/>
    <d v="2022-05-05T00:32:09"/>
    <s v="Yes"/>
    <d v="2022-05-22T00:32:09"/>
    <s v="Declined"/>
    <m/>
    <d v="2022-05-30T00:32:09"/>
    <s v="Declined"/>
    <m/>
    <m/>
    <d v="2022-05-26T00:32:09"/>
    <m/>
    <n v="0"/>
    <m/>
    <m/>
    <m/>
    <m/>
    <m/>
    <m/>
    <m/>
    <m/>
    <n v="2"/>
    <n v="19"/>
    <n v="17"/>
    <x v="3"/>
    <n v="4"/>
    <d v="2022-08-24T00:32:09"/>
    <s v=""/>
    <s v=""/>
    <s v=""/>
    <m/>
    <m/>
    <m/>
    <m/>
    <m/>
    <m/>
    <m/>
    <m/>
    <m/>
    <m/>
  </r>
  <r>
    <n v="2098"/>
    <s v="2098 | Fundraising"/>
    <x v="6"/>
    <s v="Fundraising - Associate"/>
    <s v="Analyst"/>
    <s v="Fundraising-Analyst"/>
    <s v="Associate"/>
    <d v="2022-10-24T23:41:59"/>
    <d v="2022-10-28T23:41:59"/>
    <s v="Yes"/>
    <d v="2022-11-13T23:41:59"/>
    <s v="Failed"/>
    <s v="Position filled by another"/>
    <m/>
    <m/>
    <m/>
    <m/>
    <m/>
    <m/>
    <n v="0"/>
    <m/>
    <m/>
    <m/>
    <m/>
    <s v="Candidate"/>
    <m/>
    <m/>
    <m/>
    <n v="4"/>
    <n v="20"/>
    <n v="16"/>
    <x v="0"/>
    <s v=""/>
    <s v=""/>
    <s v=""/>
    <s v=""/>
    <s v=""/>
    <m/>
    <m/>
    <m/>
    <m/>
    <m/>
    <m/>
    <m/>
    <m/>
    <m/>
    <m/>
  </r>
  <r>
    <n v="2091"/>
    <s v="2091 | Fundraising"/>
    <x v="6"/>
    <s v="Fundraising - Associate"/>
    <s v="Analyst"/>
    <s v="Fundraising-Analyst"/>
    <s v="Associate"/>
    <d v="2022-10-26T23:41:59"/>
    <d v="2022-10-29T23:41:59"/>
    <s v="Yes"/>
    <d v="2022-11-07T23:41:59"/>
    <s v="Failed"/>
    <s v="Other"/>
    <m/>
    <m/>
    <m/>
    <m/>
    <m/>
    <m/>
    <n v="0"/>
    <m/>
    <m/>
    <m/>
    <m/>
    <s v="Candidate"/>
    <m/>
    <m/>
    <m/>
    <n v="3"/>
    <n v="12"/>
    <n v="9"/>
    <x v="0"/>
    <s v=""/>
    <s v=""/>
    <s v=""/>
    <s v=""/>
    <s v=""/>
    <m/>
    <m/>
    <m/>
    <m/>
    <m/>
    <m/>
    <m/>
    <m/>
    <m/>
    <m/>
  </r>
  <r>
    <n v="2032"/>
    <s v="2032 | Fundraising"/>
    <x v="6"/>
    <s v="Fundraising - Associate"/>
    <s v="Analyst"/>
    <s v="Fundraising-Analyst"/>
    <s v="Associate"/>
    <d v="2022-03-28T20:40:01"/>
    <d v="2022-03-31T20:40:01"/>
    <s v="Yes"/>
    <d v="2022-04-16T20:40:01"/>
    <s v="Failed"/>
    <s v="Salary expectation too high"/>
    <m/>
    <m/>
    <m/>
    <m/>
    <d v="2022-04-18T20:40:01"/>
    <m/>
    <n v="0"/>
    <m/>
    <m/>
    <m/>
    <m/>
    <s v="Candidate"/>
    <m/>
    <m/>
    <m/>
    <n v="3"/>
    <n v="19"/>
    <n v="16"/>
    <x v="19"/>
    <n v="2"/>
    <d v="2022-07-17T20:40:01"/>
    <s v=""/>
    <s v=""/>
    <s v=""/>
    <m/>
    <m/>
    <m/>
    <m/>
    <m/>
    <m/>
    <m/>
    <m/>
    <m/>
    <m/>
  </r>
  <r>
    <n v="2031"/>
    <s v="2031 | Fundraising"/>
    <x v="6"/>
    <s v="Fundraising - Associate"/>
    <s v="Analyst"/>
    <s v="Fundraising-Analyst"/>
    <s v="Associate"/>
    <d v="2022-03-25T20:40:01"/>
    <d v="2022-03-28T20:40:01"/>
    <s v="Yes"/>
    <d v="2022-04-06T20:40:01"/>
    <s v="Pending"/>
    <m/>
    <d v="2022-04-11T20:40:01"/>
    <s v="Pending"/>
    <m/>
    <m/>
    <d v="2022-04-07T20:40:01"/>
    <m/>
    <n v="0"/>
    <m/>
    <m/>
    <m/>
    <m/>
    <m/>
    <m/>
    <m/>
    <m/>
    <n v="3"/>
    <n v="12"/>
    <n v="9"/>
    <x v="8"/>
    <n v="1"/>
    <d v="2022-07-06T20:40:01"/>
    <s v=""/>
    <s v=""/>
    <s v=""/>
    <m/>
    <m/>
    <m/>
    <m/>
    <m/>
    <m/>
    <m/>
    <m/>
    <m/>
    <m/>
  </r>
  <r>
    <n v="1934"/>
    <s v="1934 | Fundraising"/>
    <x v="6"/>
    <s v="Fundraising - Associate"/>
    <s v="Auditor"/>
    <s v="Fundraising-Auditor"/>
    <s v="Associate"/>
    <d v="2023-09-08T07:20:47"/>
    <d v="2023-09-09T07:20:47"/>
    <s v="Yes"/>
    <d v="2023-09-25T07:20:47"/>
    <s v="Declined"/>
    <m/>
    <d v="2023-09-30T07:20:47"/>
    <s v="Declined"/>
    <m/>
    <m/>
    <d v="2023-09-29T07:20:47"/>
    <m/>
    <n v="0"/>
    <m/>
    <m/>
    <m/>
    <m/>
    <m/>
    <m/>
    <m/>
    <m/>
    <n v="1"/>
    <n v="17"/>
    <n v="16"/>
    <x v="19"/>
    <n v="4"/>
    <d v="2023-12-28T07:20:47"/>
    <s v=""/>
    <s v=""/>
    <s v=""/>
    <m/>
    <m/>
    <m/>
    <m/>
    <m/>
    <m/>
    <m/>
    <m/>
    <m/>
    <m/>
  </r>
  <r>
    <n v="1878"/>
    <s v="1878 | Fundraising"/>
    <x v="6"/>
    <s v="Fundraising - Associate"/>
    <s v="Auditor"/>
    <s v="Fundraising-Auditor"/>
    <s v="Associate"/>
    <d v="2022-01-18T17:35:29"/>
    <d v="2022-01-19T17:35:29"/>
    <s v="Yes"/>
    <d v="2022-02-02T17:35:29"/>
    <s v="Failed"/>
    <s v="Didn't pass technical test"/>
    <m/>
    <m/>
    <m/>
    <m/>
    <m/>
    <m/>
    <n v="0"/>
    <m/>
    <m/>
    <m/>
    <m/>
    <s v="Company"/>
    <m/>
    <m/>
    <m/>
    <n v="1"/>
    <n v="15"/>
    <n v="14"/>
    <x v="0"/>
    <s v=""/>
    <s v=""/>
    <s v=""/>
    <s v=""/>
    <s v=""/>
    <m/>
    <m/>
    <m/>
    <m/>
    <m/>
    <m/>
    <m/>
    <m/>
    <m/>
    <m/>
  </r>
  <r>
    <n v="1715"/>
    <s v="1715 | Fundraising"/>
    <x v="6"/>
    <s v="Fundraising - Associate"/>
    <s v="Auditor"/>
    <s v="Fundraising-Auditor"/>
    <s v="Associate"/>
    <d v="2022-01-02T01:51:52"/>
    <d v="2022-01-06T01:51:52"/>
    <s v="Yes"/>
    <d v="2022-01-11T01:51:52"/>
    <s v="Failed"/>
    <s v="Other"/>
    <m/>
    <m/>
    <m/>
    <m/>
    <d v="2022-01-13T01:51:52"/>
    <m/>
    <n v="0"/>
    <m/>
    <m/>
    <m/>
    <m/>
    <s v="Company"/>
    <m/>
    <m/>
    <m/>
    <n v="4"/>
    <n v="9"/>
    <n v="5"/>
    <x v="9"/>
    <n v="2"/>
    <d v="2022-04-13T01:51:52"/>
    <s v=""/>
    <s v=""/>
    <s v=""/>
    <m/>
    <m/>
    <m/>
    <m/>
    <m/>
    <m/>
    <m/>
    <m/>
    <m/>
    <m/>
  </r>
  <r>
    <n v="1696"/>
    <s v="1696 | Fundraising"/>
    <x v="6"/>
    <s v="Fundraising - Associate"/>
    <s v="Auditor"/>
    <s v="Fundraising-Auditor"/>
    <s v="Associate"/>
    <d v="2023-02-28T18:21:09"/>
    <d v="2023-03-02T18:21:09"/>
    <s v="Yes"/>
    <d v="2023-03-20T18:21:09"/>
    <s v="Failed"/>
    <s v="Other"/>
    <m/>
    <m/>
    <m/>
    <m/>
    <m/>
    <m/>
    <n v="0"/>
    <m/>
    <m/>
    <m/>
    <m/>
    <s v="Candidate"/>
    <m/>
    <m/>
    <m/>
    <n v="2"/>
    <n v="20"/>
    <n v="18"/>
    <x v="0"/>
    <s v=""/>
    <s v=""/>
    <s v=""/>
    <s v=""/>
    <s v=""/>
    <m/>
    <m/>
    <m/>
    <m/>
    <m/>
    <m/>
    <m/>
    <m/>
    <m/>
    <m/>
  </r>
  <r>
    <n v="1695"/>
    <s v="1695 | Fundraising"/>
    <x v="6"/>
    <s v="Fundraising - Associate"/>
    <s v="Auditor"/>
    <s v="Fundraising-Auditor"/>
    <s v="Associate"/>
    <d v="2023-02-24T18:21:09"/>
    <d v="2023-02-26T18:21:09"/>
    <s v="Yes"/>
    <d v="2023-03-16T18:21:09"/>
    <s v="Failed"/>
    <s v="Not a culture fit"/>
    <m/>
    <m/>
    <m/>
    <m/>
    <m/>
    <m/>
    <n v="0"/>
    <m/>
    <m/>
    <m/>
    <m/>
    <s v="Candidate"/>
    <m/>
    <m/>
    <m/>
    <n v="2"/>
    <n v="20"/>
    <n v="18"/>
    <x v="0"/>
    <s v=""/>
    <s v=""/>
    <s v=""/>
    <s v=""/>
    <s v=""/>
    <m/>
    <m/>
    <m/>
    <m/>
    <m/>
    <m/>
    <m/>
    <m/>
    <m/>
    <m/>
  </r>
  <r>
    <n v="1555"/>
    <s v="1555 | Fundraising"/>
    <x v="6"/>
    <s v="Fundraising - Associate"/>
    <s v="Auditor"/>
    <s v="Fundraising-Auditor"/>
    <s v="Associate"/>
    <d v="2022-12-02T14:20:00"/>
    <d v="2022-12-06T14:20:00"/>
    <s v="Yes"/>
    <d v="2022-12-18T14:20:00"/>
    <s v="Failed"/>
    <s v="Other"/>
    <m/>
    <m/>
    <m/>
    <m/>
    <d v="2022-12-20T14:20:00"/>
    <m/>
    <n v="0"/>
    <m/>
    <m/>
    <m/>
    <m/>
    <s v="Company"/>
    <m/>
    <m/>
    <m/>
    <n v="4"/>
    <n v="16"/>
    <n v="12"/>
    <x v="12"/>
    <n v="2"/>
    <d v="2023-03-20T14:20:00"/>
    <s v=""/>
    <s v=""/>
    <s v=""/>
    <m/>
    <m/>
    <m/>
    <m/>
    <m/>
    <m/>
    <m/>
    <m/>
    <m/>
    <m/>
  </r>
  <r>
    <n v="1358"/>
    <s v="1358 | Fundraising"/>
    <x v="6"/>
    <s v="Fundraising - Associate"/>
    <s v="Auditor"/>
    <s v="Fundraising-Auditor"/>
    <s v="Associate"/>
    <d v="2022-07-25T01:19:51"/>
    <d v="2022-07-26T01:19:51"/>
    <s v="Yes"/>
    <d v="2022-08-13T01:19:51"/>
    <s v="Failed"/>
    <s v="Not a culture fit"/>
    <m/>
    <m/>
    <m/>
    <m/>
    <d v="2022-08-15T01:19:51"/>
    <m/>
    <n v="0"/>
    <m/>
    <m/>
    <m/>
    <m/>
    <s v="Company"/>
    <m/>
    <m/>
    <m/>
    <n v="1"/>
    <n v="19"/>
    <n v="18"/>
    <x v="19"/>
    <n v="2"/>
    <d v="2022-11-13T01:19:51"/>
    <s v=""/>
    <s v=""/>
    <s v=""/>
    <m/>
    <m/>
    <m/>
    <m/>
    <m/>
    <m/>
    <m/>
    <m/>
    <m/>
    <m/>
  </r>
  <r>
    <n v="1356"/>
    <s v="1356 | Fundraising"/>
    <x v="6"/>
    <s v="Fundraising - Associate"/>
    <s v="Auditor"/>
    <s v="Fundraising-Auditor"/>
    <s v="Associate"/>
    <d v="2022-07-26T01:19:51"/>
    <d v="2022-07-28T01:19:51"/>
    <s v="Yes"/>
    <d v="2022-08-06T01:19:51"/>
    <s v="Failed"/>
    <s v="Salary expectation too high"/>
    <m/>
    <m/>
    <m/>
    <m/>
    <m/>
    <m/>
    <n v="0"/>
    <m/>
    <m/>
    <m/>
    <m/>
    <s v="Company"/>
    <m/>
    <m/>
    <m/>
    <n v="2"/>
    <n v="11"/>
    <n v="9"/>
    <x v="0"/>
    <s v=""/>
    <s v=""/>
    <s v=""/>
    <s v=""/>
    <s v=""/>
    <m/>
    <m/>
    <m/>
    <m/>
    <m/>
    <m/>
    <m/>
    <m/>
    <m/>
    <m/>
  </r>
  <r>
    <n v="1355"/>
    <s v="1355 | Fundraising"/>
    <x v="6"/>
    <s v="Fundraising - Associate"/>
    <s v="Auditor"/>
    <s v="Fundraising-Auditor"/>
    <s v="Associate"/>
    <d v="2022-07-24T01:19:51"/>
    <d v="2022-07-27T01:19:51"/>
    <s v="Yes"/>
    <d v="2022-08-01T01:19:51"/>
    <s v="Failed"/>
    <s v="Position filled by another"/>
    <m/>
    <m/>
    <m/>
    <m/>
    <d v="2022-08-02T01:19:51"/>
    <m/>
    <n v="0"/>
    <m/>
    <m/>
    <m/>
    <m/>
    <s v="Company"/>
    <m/>
    <m/>
    <m/>
    <n v="3"/>
    <n v="8"/>
    <n v="5"/>
    <x v="4"/>
    <n v="1"/>
    <d v="2022-10-31T01:19:51"/>
    <s v=""/>
    <s v=""/>
    <s v=""/>
    <m/>
    <m/>
    <m/>
    <m/>
    <m/>
    <m/>
    <m/>
    <m/>
    <m/>
    <m/>
  </r>
  <r>
    <n v="1249"/>
    <s v="1249 | Fundraising"/>
    <x v="6"/>
    <s v="Fundraising - Associate"/>
    <s v="Auditor"/>
    <s v="Fundraising-Auditor"/>
    <s v="Associate"/>
    <d v="2022-06-23T20:09:31"/>
    <d v="2022-06-25T20:09:31"/>
    <s v="Yes"/>
    <d v="2022-07-16T20:09:31"/>
    <s v="Failed"/>
    <s v="Position filled by another"/>
    <m/>
    <m/>
    <m/>
    <m/>
    <d v="2022-07-20T20:09:31"/>
    <m/>
    <n v="0"/>
    <m/>
    <m/>
    <m/>
    <m/>
    <s v="Company"/>
    <m/>
    <m/>
    <m/>
    <n v="2"/>
    <n v="23"/>
    <n v="21"/>
    <x v="18"/>
    <n v="4"/>
    <d v="2022-10-18T20:09:31"/>
    <s v=""/>
    <s v=""/>
    <s v=""/>
    <m/>
    <m/>
    <m/>
    <m/>
    <m/>
    <m/>
    <m/>
    <m/>
    <m/>
    <m/>
  </r>
  <r>
    <n v="1248"/>
    <s v="1248 | Fundraising"/>
    <x v="6"/>
    <s v="Fundraising - Associate"/>
    <s v="Auditor"/>
    <s v="Fundraising-Auditor"/>
    <s v="Associate"/>
    <d v="2022-06-26T20:09:31"/>
    <d v="2022-06-28T20:09:31"/>
    <s v="Yes"/>
    <d v="2022-07-15T20:09:31"/>
    <s v="Declined"/>
    <m/>
    <d v="2022-07-20T20:09:31"/>
    <s v="Declined"/>
    <m/>
    <m/>
    <d v="2022-07-16T20:09:31"/>
    <m/>
    <n v="0"/>
    <m/>
    <m/>
    <m/>
    <m/>
    <m/>
    <m/>
    <m/>
    <m/>
    <n v="2"/>
    <n v="19"/>
    <n v="17"/>
    <x v="15"/>
    <n v="1"/>
    <d v="2022-10-14T20:09:31"/>
    <s v=""/>
    <s v=""/>
    <s v=""/>
    <m/>
    <m/>
    <m/>
    <m/>
    <m/>
    <m/>
    <m/>
    <m/>
    <m/>
    <m/>
  </r>
  <r>
    <n v="1221"/>
    <s v="1221 | Fundraising"/>
    <x v="6"/>
    <s v="Fundraising - Associate"/>
    <s v="Auditor"/>
    <s v="Fundraising-Auditor"/>
    <s v="Associate"/>
    <d v="2022-06-23T03:24:32"/>
    <d v="2022-06-27T03:24:32"/>
    <s v="Yes"/>
    <d v="2022-07-11T03:24:32"/>
    <s v="Failed"/>
    <s v="Salary expectation too high"/>
    <m/>
    <m/>
    <m/>
    <m/>
    <d v="2022-07-13T03:24:32"/>
    <m/>
    <n v="0"/>
    <m/>
    <m/>
    <m/>
    <m/>
    <s v="Candidate"/>
    <m/>
    <m/>
    <m/>
    <n v="4"/>
    <n v="18"/>
    <n v="14"/>
    <x v="15"/>
    <n v="2"/>
    <d v="2022-10-11T03:24:32"/>
    <s v=""/>
    <s v=""/>
    <s v=""/>
    <m/>
    <m/>
    <m/>
    <m/>
    <m/>
    <m/>
    <m/>
    <m/>
    <m/>
    <m/>
  </r>
  <r>
    <n v="1204"/>
    <s v="1204 | Fundraising"/>
    <x v="6"/>
    <s v="Fundraising - Associate"/>
    <s v="Auditor"/>
    <s v="Fundraising-Auditor"/>
    <s v="Associate"/>
    <d v="2022-07-26T04:55:35"/>
    <d v="2022-07-27T04:55:35"/>
    <s v="Yes"/>
    <d v="2022-08-11T04:55:35"/>
    <s v="Failed"/>
    <s v="Other"/>
    <m/>
    <m/>
    <m/>
    <m/>
    <m/>
    <m/>
    <n v="0"/>
    <m/>
    <m/>
    <m/>
    <m/>
    <s v="Company"/>
    <m/>
    <m/>
    <m/>
    <n v="1"/>
    <n v="16"/>
    <n v="15"/>
    <x v="0"/>
    <s v=""/>
    <s v=""/>
    <s v=""/>
    <s v=""/>
    <s v=""/>
    <m/>
    <m/>
    <m/>
    <m/>
    <m/>
    <m/>
    <m/>
    <m/>
    <m/>
    <m/>
  </r>
  <r>
    <n v="1195"/>
    <s v="1195 | Fundraising"/>
    <x v="6"/>
    <s v="Fundraising - Associate"/>
    <s v="Auditor"/>
    <s v="Fundraising-Auditor"/>
    <s v="Associate"/>
    <d v="2022-07-22T23:11:03"/>
    <d v="2022-07-26T23:11:03"/>
    <s v="Yes"/>
    <d v="2022-08-07T23:11:03"/>
    <s v="Failed"/>
    <s v="Not a culture fit"/>
    <m/>
    <m/>
    <m/>
    <m/>
    <d v="2022-08-10T23:11:03"/>
    <m/>
    <n v="0"/>
    <m/>
    <m/>
    <m/>
    <m/>
    <s v="Candidate"/>
    <m/>
    <m/>
    <m/>
    <n v="4"/>
    <n v="16"/>
    <n v="12"/>
    <x v="13"/>
    <n v="3"/>
    <d v="2022-11-08T23:11:03"/>
    <s v=""/>
    <s v=""/>
    <s v=""/>
    <m/>
    <m/>
    <m/>
    <m/>
    <m/>
    <m/>
    <m/>
    <m/>
    <m/>
    <m/>
  </r>
  <r>
    <n v="1180"/>
    <s v="1180 | Fundraising"/>
    <x v="6"/>
    <s v="Fundraising - Associate"/>
    <s v="Auditor"/>
    <s v="Fundraising-Auditor"/>
    <s v="Associate"/>
    <d v="2023-05-16T01:00:09"/>
    <d v="2023-05-18T01:00:09"/>
    <s v="Yes"/>
    <d v="2023-05-30T01:00:09"/>
    <s v="Pending"/>
    <m/>
    <d v="2023-06-01T01:00:09"/>
    <s v="Pending"/>
    <m/>
    <m/>
    <d v="2023-05-31T01:00:09"/>
    <m/>
    <n v="0"/>
    <m/>
    <m/>
    <m/>
    <m/>
    <m/>
    <m/>
    <m/>
    <m/>
    <n v="2"/>
    <n v="14"/>
    <n v="12"/>
    <x v="16"/>
    <n v="1"/>
    <d v="2023-08-29T01:00:09"/>
    <s v=""/>
    <s v=""/>
    <s v=""/>
    <m/>
    <m/>
    <m/>
    <m/>
    <m/>
    <m/>
    <m/>
    <m/>
    <m/>
    <m/>
  </r>
  <r>
    <n v="1173"/>
    <s v="1173 | Fundraising"/>
    <x v="6"/>
    <s v="Fundraising - Associate"/>
    <s v="Auditor"/>
    <s v="Fundraising-Auditor"/>
    <s v="Associate"/>
    <d v="2023-05-11T01:00:09"/>
    <d v="2023-05-14T01:00:09"/>
    <s v="Yes"/>
    <d v="2023-06-06T01:00:09"/>
    <s v="Declined"/>
    <m/>
    <d v="2023-06-09T01:00:09"/>
    <s v="Declined"/>
    <m/>
    <m/>
    <d v="2023-06-08T01:00:09"/>
    <m/>
    <n v="0"/>
    <m/>
    <m/>
    <m/>
    <m/>
    <m/>
    <m/>
    <m/>
    <m/>
    <n v="3"/>
    <n v="26"/>
    <n v="23"/>
    <x v="6"/>
    <n v="2"/>
    <d v="2023-09-06T01:00:09"/>
    <s v=""/>
    <s v=""/>
    <s v=""/>
    <m/>
    <m/>
    <m/>
    <m/>
    <m/>
    <m/>
    <m/>
    <m/>
    <m/>
    <m/>
  </r>
  <r>
    <n v="1109"/>
    <s v="1109 | Fundraising"/>
    <x v="6"/>
    <s v="Fundraising - Associate"/>
    <s v="Auditor"/>
    <s v="Fundraising-Auditor"/>
    <s v="Associate"/>
    <d v="2022-04-24T22:53:34"/>
    <d v="2022-04-26T22:53:34"/>
    <s v="Yes"/>
    <d v="2022-05-01T22:53:34"/>
    <s v="Failed"/>
    <s v="Position filled by another"/>
    <m/>
    <m/>
    <m/>
    <m/>
    <d v="2022-05-03T22:53:34"/>
    <m/>
    <n v="0"/>
    <m/>
    <m/>
    <m/>
    <m/>
    <s v="Candidate"/>
    <m/>
    <m/>
    <m/>
    <n v="2"/>
    <n v="7"/>
    <n v="5"/>
    <x v="4"/>
    <n v="2"/>
    <d v="2022-08-01T22:53:34"/>
    <s v=""/>
    <s v=""/>
    <s v=""/>
    <m/>
    <m/>
    <m/>
    <m/>
    <m/>
    <m/>
    <m/>
    <m/>
    <m/>
    <m/>
  </r>
  <r>
    <n v="1075"/>
    <s v="1075 | Fundraising"/>
    <x v="6"/>
    <s v="Fundraising - Associate"/>
    <s v="Auditor"/>
    <s v="Fundraising-Auditor"/>
    <s v="Associate"/>
    <d v="2022-02-12T23:46:40"/>
    <d v="2022-02-13T23:46:40"/>
    <s v="Yes"/>
    <d v="2022-03-01T23:46:40"/>
    <s v="Declined"/>
    <m/>
    <d v="2022-03-08T23:46:40"/>
    <s v="Declined"/>
    <m/>
    <m/>
    <d v="2022-03-04T23:46:40"/>
    <m/>
    <n v="0"/>
    <m/>
    <m/>
    <m/>
    <m/>
    <m/>
    <m/>
    <m/>
    <m/>
    <n v="1"/>
    <n v="17"/>
    <n v="16"/>
    <x v="15"/>
    <n v="3"/>
    <d v="2022-06-02T23:46:40"/>
    <s v=""/>
    <s v=""/>
    <s v=""/>
    <m/>
    <m/>
    <m/>
    <m/>
    <m/>
    <m/>
    <m/>
    <m/>
    <m/>
    <m/>
  </r>
  <r>
    <n v="1071"/>
    <s v="1071 | Fundraising"/>
    <x v="6"/>
    <s v="Fundraising - Associate"/>
    <s v="Auditor"/>
    <s v="Fundraising-Auditor"/>
    <s v="Associate"/>
    <d v="2022-02-05T23:46:40"/>
    <d v="2022-02-09T23:46:40"/>
    <s v="Yes"/>
    <d v="2022-02-28T23:46:40"/>
    <s v="Accepted"/>
    <m/>
    <d v="2022-03-08T23:46:40"/>
    <s v="Accepted"/>
    <d v="2022-03-01T23:46:40"/>
    <d v="2022-03-02T23:46:40"/>
    <d v="2022-03-04T23:46:40"/>
    <d v="2022-03-07T23:46:40"/>
    <n v="1"/>
    <d v="2022-03-09T23:46:40"/>
    <d v="2022-03-11T23:46:40"/>
    <d v="2022-03-13T23:46:40"/>
    <m/>
    <m/>
    <d v="2022-04-04T23:46:40"/>
    <m/>
    <m/>
    <n v="4"/>
    <n v="23"/>
    <n v="19"/>
    <x v="18"/>
    <n v="4"/>
    <d v="2022-06-02T23:46:40"/>
    <n v="2"/>
    <n v="31"/>
    <n v="9"/>
    <m/>
    <m/>
    <m/>
    <m/>
    <m/>
    <m/>
    <m/>
    <m/>
    <m/>
    <m/>
  </r>
  <r>
    <n v="2849"/>
    <s v="2849 | Finance"/>
    <x v="7"/>
    <s v="Finance - Senior Management"/>
    <s v="Senior Manager"/>
    <s v="Finance-Senior Manager"/>
    <s v="Senior Management"/>
    <d v="2022-04-04T10:38:28"/>
    <d v="2022-04-05T10:38:28"/>
    <s v="Yes"/>
    <d v="2022-04-17T10:38:28"/>
    <s v="Failed"/>
    <s v="Salary expectation too high"/>
    <m/>
    <m/>
    <m/>
    <m/>
    <d v="2022-04-19T10:38:28"/>
    <m/>
    <n v="0"/>
    <m/>
    <m/>
    <m/>
    <m/>
    <s v="Candidate"/>
    <m/>
    <m/>
    <m/>
    <n v="1"/>
    <n v="13"/>
    <n v="12"/>
    <x v="16"/>
    <n v="2"/>
    <d v="2022-07-18T10:38:28"/>
    <s v=""/>
    <s v=""/>
    <s v=""/>
    <m/>
    <m/>
    <m/>
    <m/>
    <m/>
    <m/>
    <m/>
    <m/>
    <m/>
    <m/>
  </r>
  <r>
    <n v="2772"/>
    <s v="2772 | Finance"/>
    <x v="7"/>
    <s v="Finance - Senior Management"/>
    <s v="Senior Manager"/>
    <s v="Finance-Senior Manager"/>
    <s v="Senior Management"/>
    <d v="2022-05-03T18:40:18"/>
    <d v="2022-05-05T18:40:18"/>
    <s v="Yes"/>
    <d v="2022-05-12T18:40:18"/>
    <s v="Failed"/>
    <s v="Not a culture fit"/>
    <m/>
    <m/>
    <m/>
    <m/>
    <m/>
    <m/>
    <n v="0"/>
    <m/>
    <m/>
    <m/>
    <m/>
    <s v="Candidate"/>
    <m/>
    <m/>
    <m/>
    <n v="2"/>
    <n v="9"/>
    <n v="7"/>
    <x v="0"/>
    <s v=""/>
    <s v=""/>
    <s v=""/>
    <s v=""/>
    <s v=""/>
    <m/>
    <m/>
    <m/>
    <m/>
    <m/>
    <m/>
    <m/>
    <m/>
    <m/>
    <m/>
  </r>
  <r>
    <n v="2690"/>
    <s v="2690 | Finance"/>
    <x v="7"/>
    <s v="Finance - Senior Management"/>
    <s v="Senior Manager"/>
    <s v="Finance-Senior Manager"/>
    <s v="Senior Management"/>
    <d v="2023-07-27T17:11:38"/>
    <d v="2023-07-30T17:11:38"/>
    <s v="Yes"/>
    <d v="2023-08-22T17:11:38"/>
    <s v="Failed"/>
    <s v="Other"/>
    <m/>
    <m/>
    <m/>
    <m/>
    <m/>
    <m/>
    <n v="0"/>
    <m/>
    <m/>
    <m/>
    <m/>
    <s v="Candidate"/>
    <m/>
    <m/>
    <m/>
    <n v="3"/>
    <n v="26"/>
    <n v="23"/>
    <x v="0"/>
    <s v=""/>
    <s v=""/>
    <s v=""/>
    <s v=""/>
    <s v=""/>
    <m/>
    <m/>
    <m/>
    <m/>
    <m/>
    <m/>
    <m/>
    <m/>
    <m/>
    <m/>
  </r>
  <r>
    <n v="2685"/>
    <s v="2685 | Finance"/>
    <x v="7"/>
    <s v="Finance - Senior Management"/>
    <s v="Senior Manager"/>
    <s v="Finance-Senior Manager"/>
    <s v="Senior Management"/>
    <d v="2023-07-30T17:11:38"/>
    <d v="2023-08-03T17:11:38"/>
    <s v="Yes"/>
    <d v="2023-08-16T17:11:38"/>
    <s v="Failed"/>
    <s v="Didn't pass technical test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2323"/>
    <s v="2323 | Finance"/>
    <x v="7"/>
    <s v="Finance - Senior Management"/>
    <s v="Senior Manager"/>
    <s v="Finance-Senior Manager"/>
    <s v="Senior Management"/>
    <d v="2022-02-05T06:22:29"/>
    <d v="2022-02-06T06:22:29"/>
    <s v="Yes"/>
    <d v="2022-02-25T06:22:29"/>
    <s v="Failed"/>
    <s v="Position filled by another"/>
    <m/>
    <m/>
    <m/>
    <m/>
    <m/>
    <m/>
    <n v="0"/>
    <m/>
    <m/>
    <m/>
    <m/>
    <s v="Candidate"/>
    <m/>
    <m/>
    <m/>
    <n v="1"/>
    <n v="20"/>
    <n v="19"/>
    <x v="0"/>
    <s v=""/>
    <s v=""/>
    <s v=""/>
    <s v=""/>
    <s v=""/>
    <m/>
    <m/>
    <m/>
    <m/>
    <m/>
    <m/>
    <m/>
    <m/>
    <m/>
    <m/>
  </r>
  <r>
    <n v="2278"/>
    <s v="2278 | Finance"/>
    <x v="7"/>
    <s v="Finance - Senior Management"/>
    <s v="Senior Manager"/>
    <s v="Finance-Senior Manager"/>
    <s v="Senior Management"/>
    <d v="2023-08-27T21:41:36"/>
    <d v="2023-08-28T21:41:36"/>
    <s v="Yes"/>
    <d v="2023-09-06T21:41:36"/>
    <s v="Failed"/>
    <s v="Didn't pass technical test"/>
    <m/>
    <m/>
    <m/>
    <m/>
    <d v="2023-09-09T21:41:36"/>
    <m/>
    <n v="0"/>
    <m/>
    <m/>
    <m/>
    <m/>
    <s v="Company"/>
    <m/>
    <m/>
    <m/>
    <n v="1"/>
    <n v="10"/>
    <n v="9"/>
    <x v="8"/>
    <n v="3"/>
    <d v="2023-12-08T21:41:36"/>
    <s v=""/>
    <s v=""/>
    <s v=""/>
    <m/>
    <m/>
    <m/>
    <m/>
    <m/>
    <m/>
    <m/>
    <m/>
    <m/>
    <m/>
  </r>
  <r>
    <n v="2223"/>
    <s v="2223 | Finance"/>
    <x v="7"/>
    <s v="Finance - Senior Management"/>
    <s v="Senior Manager"/>
    <s v="Finance-Senior Manager"/>
    <s v="Senior Management"/>
    <d v="2023-08-19T12:50:13"/>
    <d v="2023-08-21T12:50:13"/>
    <s v="Yes"/>
    <d v="2023-08-26T12:50:13"/>
    <s v="Failed"/>
    <s v="Not a culture fit"/>
    <m/>
    <m/>
    <m/>
    <m/>
    <d v="2023-08-30T12:50:13"/>
    <m/>
    <n v="0"/>
    <m/>
    <m/>
    <m/>
    <m/>
    <s v="Candidate"/>
    <m/>
    <m/>
    <m/>
    <n v="2"/>
    <n v="7"/>
    <n v="5"/>
    <x v="9"/>
    <n v="4"/>
    <d v="2023-11-28T12:50:13"/>
    <s v=""/>
    <s v=""/>
    <s v=""/>
    <m/>
    <m/>
    <m/>
    <m/>
    <m/>
    <m/>
    <m/>
    <m/>
    <m/>
    <m/>
  </r>
  <r>
    <n v="2180"/>
    <s v="2180 | Finance"/>
    <x v="7"/>
    <s v="Finance - Senior Management"/>
    <s v="Senior Manager"/>
    <s v="Finance-Senior Manager"/>
    <s v="Senior Management"/>
    <d v="2022-07-15T14:26:50"/>
    <d v="2022-07-16T14:26:50"/>
    <s v="Yes"/>
    <d v="2022-07-28T14:26:50"/>
    <s v="Failed"/>
    <s v="Other"/>
    <m/>
    <m/>
    <m/>
    <m/>
    <d v="2022-07-30T14:26:50"/>
    <m/>
    <n v="0"/>
    <m/>
    <m/>
    <m/>
    <m/>
    <s v="Company"/>
    <m/>
    <m/>
    <m/>
    <n v="1"/>
    <n v="13"/>
    <n v="12"/>
    <x v="16"/>
    <n v="2"/>
    <d v="2022-10-28T14:26:50"/>
    <s v=""/>
    <s v=""/>
    <s v=""/>
    <m/>
    <m/>
    <m/>
    <m/>
    <m/>
    <m/>
    <m/>
    <m/>
    <m/>
    <m/>
  </r>
  <r>
    <n v="2175"/>
    <s v="2175 | Finance"/>
    <x v="7"/>
    <s v="Finance - Senior Management"/>
    <s v="Senior Manager"/>
    <s v="Finance-Senior Manager"/>
    <s v="Senior Management"/>
    <d v="2022-07-08T14:26:50"/>
    <d v="2022-07-12T14:26:50"/>
    <s v="Yes"/>
    <d v="2022-07-20T14:26:50"/>
    <s v="Failed"/>
    <s v="Not a culture fit"/>
    <m/>
    <m/>
    <m/>
    <m/>
    <d v="2022-07-21T14:26:50"/>
    <m/>
    <n v="0"/>
    <m/>
    <m/>
    <m/>
    <m/>
    <s v="Candidate"/>
    <m/>
    <m/>
    <m/>
    <n v="4"/>
    <n v="12"/>
    <n v="8"/>
    <x v="8"/>
    <n v="1"/>
    <d v="2022-10-19T14:26:50"/>
    <s v=""/>
    <s v=""/>
    <s v=""/>
    <m/>
    <m/>
    <m/>
    <m/>
    <m/>
    <m/>
    <m/>
    <m/>
    <m/>
    <m/>
  </r>
  <r>
    <n v="2084"/>
    <s v="2084 | Finance"/>
    <x v="7"/>
    <s v="Finance - Senior Management"/>
    <s v="Senior Manager"/>
    <s v="Finance-Senior Manager"/>
    <s v="Senior Management"/>
    <d v="2022-10-02T21:05:46"/>
    <d v="2022-10-05T21:05:46"/>
    <s v="Yes"/>
    <d v="2022-10-12T21:05:46"/>
    <s v="Failed"/>
    <s v="Not a culture fit"/>
    <m/>
    <m/>
    <m/>
    <m/>
    <d v="2022-10-16T21:05:46"/>
    <m/>
    <n v="0"/>
    <m/>
    <m/>
    <m/>
    <m/>
    <s v="Company"/>
    <m/>
    <m/>
    <m/>
    <n v="3"/>
    <n v="10"/>
    <n v="7"/>
    <x v="1"/>
    <n v="4"/>
    <d v="2023-01-14T21:05:46"/>
    <s v=""/>
    <s v=""/>
    <s v=""/>
    <m/>
    <m/>
    <m/>
    <m/>
    <m/>
    <m/>
    <m/>
    <m/>
    <m/>
    <m/>
  </r>
  <r>
    <n v="1890"/>
    <s v="1890 | Finance"/>
    <x v="7"/>
    <s v="Finance - Senior Management"/>
    <s v="Senior Manager"/>
    <s v="Finance-Senior Manager"/>
    <s v="Senior Management"/>
    <d v="2022-10-04T10:12:16"/>
    <d v="2022-10-08T10:12:16"/>
    <s v="Yes"/>
    <d v="2022-10-29T10:12:16"/>
    <s v="Failed"/>
    <s v="Not a culture fit"/>
    <m/>
    <m/>
    <m/>
    <m/>
    <m/>
    <m/>
    <n v="0"/>
    <m/>
    <m/>
    <m/>
    <m/>
    <s v="Candidate"/>
    <m/>
    <m/>
    <m/>
    <n v="4"/>
    <n v="25"/>
    <n v="21"/>
    <x v="0"/>
    <s v=""/>
    <s v=""/>
    <s v=""/>
    <s v=""/>
    <s v=""/>
    <m/>
    <m/>
    <m/>
    <m/>
    <m/>
    <m/>
    <m/>
    <m/>
    <m/>
    <m/>
  </r>
  <r>
    <n v="1883"/>
    <s v="1883 | Finance"/>
    <x v="7"/>
    <s v="Finance - Senior Management"/>
    <s v="Senior Manager"/>
    <s v="Finance-Senior Manager"/>
    <s v="Senior Management"/>
    <d v="2022-10-08T10:12:16"/>
    <d v="2022-10-12T10:12:16"/>
    <s v="Yes"/>
    <d v="2022-10-21T10:12:16"/>
    <s v="Failed"/>
    <s v="Position filled by another"/>
    <m/>
    <m/>
    <m/>
    <m/>
    <d v="2022-10-23T10:12:16"/>
    <m/>
    <n v="0"/>
    <m/>
    <m/>
    <m/>
    <m/>
    <s v="Company"/>
    <m/>
    <m/>
    <m/>
    <n v="4"/>
    <n v="13"/>
    <n v="9"/>
    <x v="16"/>
    <n v="2"/>
    <d v="2023-01-21T10:12:16"/>
    <s v=""/>
    <s v=""/>
    <s v=""/>
    <m/>
    <m/>
    <m/>
    <m/>
    <m/>
    <m/>
    <m/>
    <m/>
    <m/>
    <m/>
  </r>
  <r>
    <n v="1845"/>
    <s v="1845 | Finance"/>
    <x v="7"/>
    <s v="Finance - Senior Management"/>
    <s v="Senior Manager"/>
    <s v="Finance-Senior Manager"/>
    <s v="Senior Management"/>
    <d v="2022-02-18T23:17:04"/>
    <d v="2022-02-20T23:17:04"/>
    <s v="Yes"/>
    <d v="2022-03-06T23:17:04"/>
    <s v="Failed"/>
    <s v="Other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1757"/>
    <s v="1757 | Finance"/>
    <x v="7"/>
    <s v="Finance - Senior Management"/>
    <s v="Senior Manager"/>
    <s v="Finance-Senior Manager"/>
    <s v="Senior Management"/>
    <d v="2022-05-27T15:29:59"/>
    <d v="2022-05-31T15:29:59"/>
    <s v="Yes"/>
    <d v="2022-06-15T15:29:59"/>
    <s v="Failed"/>
    <s v="Other"/>
    <m/>
    <m/>
    <m/>
    <m/>
    <m/>
    <m/>
    <n v="0"/>
    <m/>
    <m/>
    <m/>
    <m/>
    <s v="Company"/>
    <m/>
    <m/>
    <m/>
    <n v="4"/>
    <n v="19"/>
    <n v="15"/>
    <x v="0"/>
    <s v=""/>
    <s v=""/>
    <s v=""/>
    <s v=""/>
    <s v=""/>
    <m/>
    <m/>
    <m/>
    <m/>
    <m/>
    <m/>
    <m/>
    <m/>
    <m/>
    <m/>
  </r>
  <r>
    <n v="1702"/>
    <s v="1702 | Finance"/>
    <x v="7"/>
    <s v="Finance - Senior Management"/>
    <s v="Senior Manager"/>
    <s v="Finance-Senior Manager"/>
    <s v="Senior Management"/>
    <d v="2023-02-27T18:01:56"/>
    <d v="2023-03-03T18:01:56"/>
    <s v="Yes"/>
    <d v="2023-03-22T18:01:56"/>
    <s v="Failed"/>
    <s v="Other"/>
    <m/>
    <m/>
    <m/>
    <m/>
    <m/>
    <m/>
    <n v="0"/>
    <m/>
    <m/>
    <m/>
    <m/>
    <s v="Candidate"/>
    <m/>
    <m/>
    <m/>
    <n v="4"/>
    <n v="23"/>
    <n v="19"/>
    <x v="0"/>
    <s v=""/>
    <s v=""/>
    <s v=""/>
    <s v=""/>
    <s v=""/>
    <m/>
    <m/>
    <m/>
    <m/>
    <m/>
    <m/>
    <m/>
    <m/>
    <m/>
    <m/>
  </r>
  <r>
    <n v="1677"/>
    <s v="1677 | Finance"/>
    <x v="7"/>
    <s v="Finance - Senior Management"/>
    <s v="Senior Manager"/>
    <s v="Finance-Senior Manager"/>
    <s v="Senior Management"/>
    <d v="2022-11-05T03:27:45"/>
    <d v="2022-11-06T03:27:45"/>
    <s v="Yes"/>
    <d v="2022-11-20T03:27:45"/>
    <s v="Failed"/>
    <s v="Other"/>
    <m/>
    <m/>
    <m/>
    <m/>
    <d v="2022-11-22T03:27:45"/>
    <m/>
    <n v="0"/>
    <m/>
    <m/>
    <m/>
    <m/>
    <s v="Company"/>
    <m/>
    <m/>
    <m/>
    <n v="1"/>
    <n v="15"/>
    <n v="14"/>
    <x v="14"/>
    <n v="2"/>
    <d v="2023-02-20T03:27:45"/>
    <s v=""/>
    <s v=""/>
    <s v=""/>
    <m/>
    <m/>
    <m/>
    <m/>
    <m/>
    <m/>
    <m/>
    <m/>
    <m/>
    <m/>
  </r>
  <r>
    <n v="1635"/>
    <s v="1635 | Finance"/>
    <x v="7"/>
    <s v="Finance - Senior Management"/>
    <s v="Senior Manager"/>
    <s v="Finance-Senior Manager"/>
    <s v="Senior Management"/>
    <d v="2023-09-02T07:41:24"/>
    <d v="2023-09-03T07:41:24"/>
    <s v="Yes"/>
    <d v="2023-09-15T07:41:24"/>
    <s v="Failed"/>
    <s v="Salary expectation too high"/>
    <m/>
    <m/>
    <m/>
    <m/>
    <d v="2023-09-19T07:41:24"/>
    <m/>
    <n v="0"/>
    <m/>
    <m/>
    <m/>
    <m/>
    <s v="Candidate"/>
    <m/>
    <m/>
    <m/>
    <n v="1"/>
    <n v="13"/>
    <n v="12"/>
    <x v="14"/>
    <n v="4"/>
    <d v="2023-12-18T07:41:24"/>
    <s v=""/>
    <s v=""/>
    <s v=""/>
    <m/>
    <m/>
    <m/>
    <m/>
    <m/>
    <m/>
    <m/>
    <m/>
    <m/>
    <m/>
  </r>
  <r>
    <n v="1585"/>
    <s v="1585 | Finance"/>
    <x v="7"/>
    <s v="Finance - Senior Management"/>
    <s v="Senior Manager"/>
    <s v="Finance-Senior Manager"/>
    <s v="Senior Management"/>
    <d v="2023-09-15T20:10:47"/>
    <d v="2023-09-17T20:10:47"/>
    <s v="Yes"/>
    <d v="2023-10-03T20:10:47"/>
    <s v="Failed"/>
    <s v="Salary expectation too high"/>
    <m/>
    <m/>
    <m/>
    <m/>
    <d v="2023-10-05T20:10:47"/>
    <m/>
    <n v="0"/>
    <m/>
    <m/>
    <m/>
    <m/>
    <s v="Company"/>
    <m/>
    <m/>
    <m/>
    <n v="2"/>
    <n v="18"/>
    <n v="16"/>
    <x v="15"/>
    <n v="2"/>
    <d v="2024-01-03T20:10:47"/>
    <s v=""/>
    <s v=""/>
    <s v=""/>
    <m/>
    <m/>
    <m/>
    <m/>
    <m/>
    <m/>
    <m/>
    <m/>
    <m/>
    <m/>
  </r>
  <r>
    <n v="1581"/>
    <s v="1581 | Finance"/>
    <x v="7"/>
    <s v="Finance - Senior Management"/>
    <s v="Senior Manager"/>
    <s v="Finance-Senior Manager"/>
    <s v="Senior Management"/>
    <d v="2023-09-11T20:10:47"/>
    <d v="2023-09-15T20:10:47"/>
    <s v="Yes"/>
    <d v="2023-09-29T20:10:47"/>
    <s v="Failed"/>
    <s v="Not a culture fit"/>
    <m/>
    <m/>
    <m/>
    <m/>
    <m/>
    <m/>
    <n v="0"/>
    <m/>
    <m/>
    <m/>
    <m/>
    <s v="Company"/>
    <m/>
    <m/>
    <m/>
    <n v="4"/>
    <n v="18"/>
    <n v="14"/>
    <x v="0"/>
    <s v=""/>
    <s v=""/>
    <s v=""/>
    <s v=""/>
    <s v=""/>
    <m/>
    <m/>
    <m/>
    <m/>
    <m/>
    <m/>
    <m/>
    <m/>
    <m/>
    <m/>
  </r>
  <r>
    <n v="1568"/>
    <s v="1568 | Finance"/>
    <x v="7"/>
    <s v="Finance - Senior Management"/>
    <s v="Senior Manager"/>
    <s v="Finance-Senior Manager"/>
    <s v="Senior Management"/>
    <d v="2022-03-20T11:46:18"/>
    <d v="2022-03-21T11:46:18"/>
    <s v="Yes"/>
    <d v="2022-04-03T11:46:18"/>
    <s v="Failed"/>
    <s v="Not a culture fit"/>
    <m/>
    <m/>
    <m/>
    <m/>
    <m/>
    <m/>
    <n v="0"/>
    <m/>
    <m/>
    <m/>
    <m/>
    <s v="Company"/>
    <m/>
    <m/>
    <m/>
    <n v="1"/>
    <n v="14"/>
    <n v="13"/>
    <x v="0"/>
    <s v=""/>
    <s v=""/>
    <s v=""/>
    <s v=""/>
    <s v=""/>
    <m/>
    <m/>
    <m/>
    <m/>
    <m/>
    <m/>
    <m/>
    <m/>
    <m/>
    <m/>
  </r>
  <r>
    <n v="1524"/>
    <s v="1524 | Finance"/>
    <x v="7"/>
    <s v="Finance - Senior Management"/>
    <s v="Senior Manager"/>
    <s v="Finance-Senior Manager"/>
    <s v="Senior Management"/>
    <d v="2023-01-02T00:36:18"/>
    <d v="2023-01-05T00:36:18"/>
    <s v="Yes"/>
    <d v="2023-01-12T00:36:18"/>
    <s v="Failed"/>
    <s v="Not a culture fit"/>
    <m/>
    <m/>
    <m/>
    <m/>
    <m/>
    <m/>
    <n v="0"/>
    <m/>
    <m/>
    <m/>
    <m/>
    <s v="Company"/>
    <m/>
    <m/>
    <m/>
    <n v="3"/>
    <n v="10"/>
    <n v="7"/>
    <x v="0"/>
    <s v=""/>
    <s v=""/>
    <s v=""/>
    <s v=""/>
    <s v=""/>
    <m/>
    <m/>
    <m/>
    <m/>
    <m/>
    <m/>
    <m/>
    <m/>
    <m/>
    <m/>
  </r>
  <r>
    <n v="1514"/>
    <s v="1514 | Finance"/>
    <x v="7"/>
    <s v="Finance - Senior Management"/>
    <s v="Senior Manager"/>
    <s v="Finance-Senior Manager"/>
    <s v="Senior Management"/>
    <d v="2022-12-25T05:00:38"/>
    <d v="2022-12-28T05:00:38"/>
    <s v="Yes"/>
    <d v="2023-01-08T05:00:38"/>
    <s v="Failed"/>
    <s v="Other"/>
    <m/>
    <m/>
    <m/>
    <m/>
    <d v="2023-01-12T05:00:38"/>
    <m/>
    <n v="0"/>
    <m/>
    <m/>
    <m/>
    <m/>
    <s v="Candidate"/>
    <m/>
    <m/>
    <m/>
    <n v="3"/>
    <n v="14"/>
    <n v="11"/>
    <x v="12"/>
    <n v="4"/>
    <d v="2023-04-12T05:00:38"/>
    <s v=""/>
    <s v=""/>
    <s v=""/>
    <m/>
    <m/>
    <m/>
    <m/>
    <m/>
    <m/>
    <m/>
    <m/>
    <m/>
    <m/>
  </r>
  <r>
    <n v="1434"/>
    <s v="1434 | Finance"/>
    <x v="7"/>
    <s v="Finance - Senior Management"/>
    <s v="Senior Manager"/>
    <s v="Finance-Senior Manager"/>
    <s v="Senior Management"/>
    <d v="2023-06-09T22:29:11"/>
    <d v="2023-06-13T22:29:11"/>
    <s v="Yes"/>
    <d v="2023-06-19T22:29:11"/>
    <s v="Failed"/>
    <s v="Other"/>
    <m/>
    <m/>
    <m/>
    <m/>
    <m/>
    <m/>
    <n v="0"/>
    <m/>
    <m/>
    <m/>
    <m/>
    <s v="Company"/>
    <m/>
    <m/>
    <m/>
    <n v="4"/>
    <n v="10"/>
    <n v="6"/>
    <x v="0"/>
    <s v=""/>
    <s v=""/>
    <s v=""/>
    <s v=""/>
    <s v=""/>
    <m/>
    <m/>
    <m/>
    <m/>
    <m/>
    <m/>
    <m/>
    <m/>
    <m/>
    <m/>
  </r>
  <r>
    <n v="1288"/>
    <s v="1288 | Finance"/>
    <x v="7"/>
    <s v="Finance - Senior Management"/>
    <s v="Senior Manager"/>
    <s v="Finance-Senior Manager"/>
    <s v="Senior Management"/>
    <d v="2022-03-23T17:39:51"/>
    <d v="2022-03-25T17:39:51"/>
    <s v="Yes"/>
    <d v="2022-04-07T17:39:51"/>
    <s v="Failed"/>
    <s v="Other"/>
    <m/>
    <m/>
    <m/>
    <m/>
    <d v="2022-04-09T17:39:51"/>
    <m/>
    <n v="0"/>
    <m/>
    <m/>
    <m/>
    <m/>
    <s v="Candidate"/>
    <m/>
    <m/>
    <m/>
    <n v="2"/>
    <n v="15"/>
    <n v="13"/>
    <x v="14"/>
    <n v="2"/>
    <d v="2022-07-08T17:39:51"/>
    <s v=""/>
    <s v=""/>
    <s v=""/>
    <m/>
    <m/>
    <m/>
    <m/>
    <m/>
    <m/>
    <m/>
    <m/>
    <m/>
    <m/>
  </r>
  <r>
    <n v="1262"/>
    <s v="1262 | Finance"/>
    <x v="7"/>
    <s v="Finance - Senior Management"/>
    <s v="Senior Manager"/>
    <s v="Finance-Senior Manager"/>
    <s v="Senior Management"/>
    <d v="2023-03-13T21:55:08"/>
    <d v="2023-03-17T21:55:08"/>
    <s v="Yes"/>
    <d v="2023-03-29T21:55:08"/>
    <s v="Failed"/>
    <s v="Position filled by another"/>
    <m/>
    <m/>
    <m/>
    <m/>
    <d v="2023-04-01T21:55:08"/>
    <m/>
    <n v="0"/>
    <m/>
    <m/>
    <m/>
    <m/>
    <s v="Company"/>
    <m/>
    <m/>
    <m/>
    <n v="4"/>
    <n v="16"/>
    <n v="12"/>
    <x v="13"/>
    <n v="3"/>
    <d v="2023-06-30T21:55:08"/>
    <s v=""/>
    <s v=""/>
    <s v=""/>
    <m/>
    <m/>
    <m/>
    <m/>
    <m/>
    <m/>
    <m/>
    <m/>
    <m/>
    <m/>
  </r>
  <r>
    <n v="1256"/>
    <s v="1256 | Finance"/>
    <x v="7"/>
    <s v="Finance - Senior Management"/>
    <s v="Senior Manager"/>
    <s v="Finance-Senior Manager"/>
    <s v="Senior Management"/>
    <d v="2022-06-26T04:05:26"/>
    <d v="2022-06-29T04:05:26"/>
    <s v="Yes"/>
    <d v="2022-07-09T04:05:26"/>
    <s v="Failed"/>
    <s v="Salary expectation too high"/>
    <m/>
    <m/>
    <m/>
    <m/>
    <d v="2022-07-13T04:05:26"/>
    <m/>
    <n v="0"/>
    <m/>
    <m/>
    <m/>
    <m/>
    <s v="Company"/>
    <m/>
    <m/>
    <m/>
    <n v="3"/>
    <n v="13"/>
    <n v="10"/>
    <x v="14"/>
    <n v="4"/>
    <d v="2022-10-11T04:05:26"/>
    <s v=""/>
    <s v=""/>
    <s v=""/>
    <m/>
    <m/>
    <m/>
    <m/>
    <m/>
    <m/>
    <m/>
    <m/>
    <m/>
    <m/>
  </r>
  <r>
    <n v="1150"/>
    <s v="1150 | Finance"/>
    <x v="7"/>
    <s v="Finance - Senior Management"/>
    <s v="Senior Manager"/>
    <s v="Finance-Senior Manager"/>
    <s v="Senior Management"/>
    <d v="2023-08-04T01:36:53"/>
    <d v="2023-08-08T01:36:53"/>
    <s v="Yes"/>
    <d v="2023-08-17T01:36:53"/>
    <s v="Failed"/>
    <s v="Didn't pass technical test"/>
    <m/>
    <m/>
    <m/>
    <m/>
    <m/>
    <m/>
    <n v="0"/>
    <m/>
    <m/>
    <m/>
    <m/>
    <s v="Candidate"/>
    <m/>
    <m/>
    <m/>
    <n v="4"/>
    <n v="13"/>
    <n v="9"/>
    <x v="0"/>
    <s v=""/>
    <s v=""/>
    <s v=""/>
    <s v=""/>
    <s v=""/>
    <m/>
    <m/>
    <m/>
    <m/>
    <m/>
    <m/>
    <m/>
    <m/>
    <m/>
    <m/>
  </r>
  <r>
    <n v="1120"/>
    <s v="1120 | Finance"/>
    <x v="7"/>
    <s v="Finance - Senior Management"/>
    <s v="Senior Manager"/>
    <s v="Finance-Senior Manager"/>
    <s v="Senior Management"/>
    <d v="2023-04-03T06:23:43"/>
    <d v="2023-04-07T06:23:43"/>
    <s v="Yes"/>
    <d v="2023-04-20T06:23:43"/>
    <s v="Failed"/>
    <s v="Didn't pass technical test"/>
    <m/>
    <m/>
    <m/>
    <m/>
    <d v="2023-04-21T06:23:43"/>
    <m/>
    <n v="0"/>
    <m/>
    <m/>
    <m/>
    <m/>
    <s v="Company"/>
    <m/>
    <m/>
    <m/>
    <n v="4"/>
    <n v="17"/>
    <n v="13"/>
    <x v="12"/>
    <n v="1"/>
    <d v="2023-07-20T06:23:43"/>
    <s v=""/>
    <s v=""/>
    <s v=""/>
    <m/>
    <m/>
    <m/>
    <m/>
    <m/>
    <m/>
    <m/>
    <m/>
    <m/>
    <m/>
  </r>
  <r>
    <n v="1112"/>
    <s v="1112 | Finance"/>
    <x v="7"/>
    <s v="Finance - Senior Management"/>
    <s v="Senior Manager"/>
    <s v="Finance-Senior Manager"/>
    <s v="Senior Management"/>
    <d v="2023-04-06T06:23:43"/>
    <d v="2023-04-10T06:23:43"/>
    <s v="Yes"/>
    <d v="2023-04-24T06:23:43"/>
    <s v="Failed"/>
    <s v="Position filled by another"/>
    <m/>
    <m/>
    <m/>
    <m/>
    <d v="2023-04-27T06:23:43"/>
    <m/>
    <n v="0"/>
    <m/>
    <m/>
    <m/>
    <m/>
    <s v="Company"/>
    <m/>
    <m/>
    <m/>
    <n v="4"/>
    <n v="18"/>
    <n v="14"/>
    <x v="19"/>
    <n v="3"/>
    <d v="2023-07-26T06:23:43"/>
    <s v=""/>
    <s v=""/>
    <s v=""/>
    <m/>
    <m/>
    <m/>
    <m/>
    <m/>
    <m/>
    <m/>
    <m/>
    <m/>
    <m/>
  </r>
  <r>
    <n v="1068"/>
    <s v="1068 | Finance"/>
    <x v="7"/>
    <s v="Finance - Senior Management"/>
    <s v="Senior Manager"/>
    <s v="Finance-Senior Manager"/>
    <s v="Senior Management"/>
    <d v="2022-08-04T09:56:30"/>
    <d v="2022-08-08T09:56:30"/>
    <s v="Yes"/>
    <d v="2022-08-31T09:56:30"/>
    <s v="Failed"/>
    <s v="Position filled by another"/>
    <m/>
    <m/>
    <m/>
    <m/>
    <d v="2022-09-01T09:56:30"/>
    <m/>
    <n v="0"/>
    <m/>
    <m/>
    <m/>
    <m/>
    <s v="Candidate"/>
    <m/>
    <m/>
    <m/>
    <n v="4"/>
    <n v="27"/>
    <n v="23"/>
    <x v="6"/>
    <n v="1"/>
    <d v="2022-11-30T09:56:30"/>
    <s v=""/>
    <s v=""/>
    <s v=""/>
    <m/>
    <m/>
    <m/>
    <m/>
    <m/>
    <m/>
    <m/>
    <m/>
    <m/>
    <m/>
  </r>
  <r>
    <n v="1067"/>
    <s v="1067 | Finance"/>
    <x v="7"/>
    <s v="Finance - Senior Management"/>
    <s v="Senior Manager"/>
    <s v="Finance-Senior Manager"/>
    <s v="Senior Management"/>
    <d v="2022-08-09T09:56:30"/>
    <d v="2022-08-11T09:56:30"/>
    <s v="Yes"/>
    <d v="2022-08-17T09:56:30"/>
    <s v="Failed"/>
    <s v="Position filled by another"/>
    <m/>
    <m/>
    <m/>
    <m/>
    <d v="2022-08-18T09:56:30"/>
    <m/>
    <n v="0"/>
    <m/>
    <m/>
    <m/>
    <m/>
    <s v="Candidate"/>
    <m/>
    <m/>
    <m/>
    <n v="2"/>
    <n v="8"/>
    <n v="6"/>
    <x v="4"/>
    <n v="1"/>
    <d v="2022-11-16T09:56:30"/>
    <s v=""/>
    <s v=""/>
    <s v=""/>
    <m/>
    <m/>
    <m/>
    <m/>
    <m/>
    <m/>
    <m/>
    <m/>
    <m/>
    <m/>
  </r>
  <r>
    <n v="1032"/>
    <s v="1032 | Finance"/>
    <x v="7"/>
    <s v="Finance - Senior Management"/>
    <s v="Senior Manager"/>
    <s v="Finance-Senior Manager"/>
    <s v="Senior Management"/>
    <d v="2023-03-03T19:44:13"/>
    <d v="2023-03-05T19:44:13"/>
    <s v="Yes"/>
    <d v="2023-03-19T19:44:13"/>
    <s v="Failed"/>
    <s v="Other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1019"/>
    <s v="1019 | Finance"/>
    <x v="7"/>
    <s v="Finance - Senior Management"/>
    <s v="Senior Manager"/>
    <s v="Finance-Senior Manager"/>
    <s v="Senior Management"/>
    <d v="2022-02-03T07:54:35"/>
    <d v="2022-02-06T07:54:35"/>
    <s v="Yes"/>
    <d v="2022-02-14T07:54:35"/>
    <s v="Failed"/>
    <s v="Salary expectation too high"/>
    <m/>
    <m/>
    <m/>
    <m/>
    <d v="2022-02-17T07:54:35"/>
    <m/>
    <n v="0"/>
    <m/>
    <m/>
    <m/>
    <m/>
    <s v="Candidate"/>
    <m/>
    <m/>
    <m/>
    <n v="3"/>
    <n v="11"/>
    <n v="8"/>
    <x v="1"/>
    <n v="3"/>
    <d v="2022-05-18T07:54:35"/>
    <s v=""/>
    <s v=""/>
    <s v=""/>
    <m/>
    <m/>
    <m/>
    <m/>
    <m/>
    <m/>
    <m/>
    <m/>
    <m/>
    <m/>
  </r>
  <r>
    <n v="210"/>
    <s v="210 | Finance"/>
    <x v="7"/>
    <s v="Finance - Senior Management"/>
    <s v="Senior Manager"/>
    <s v="Finance-Senior Manager"/>
    <s v="Senior Management"/>
    <d v="2022-07-05T08:13:46"/>
    <d v="2022-07-07T08:13:46"/>
    <s v="Yes"/>
    <d v="2022-07-28T08:13:46"/>
    <s v="Failed"/>
    <s v="Position filled by another"/>
    <m/>
    <m/>
    <m/>
    <m/>
    <m/>
    <m/>
    <n v="0"/>
    <m/>
    <m/>
    <m/>
    <m/>
    <s v="Company"/>
    <m/>
    <m/>
    <m/>
    <n v="2"/>
    <n v="23"/>
    <n v="21"/>
    <x v="0"/>
    <s v=""/>
    <s v=""/>
    <s v=""/>
    <s v=""/>
    <s v=""/>
    <m/>
    <m/>
    <m/>
    <m/>
    <m/>
    <m/>
    <m/>
    <m/>
    <m/>
    <m/>
  </r>
  <r>
    <n v="203"/>
    <s v="203 | Finance"/>
    <x v="7"/>
    <s v="Finance - Senior Management"/>
    <s v="Senior Manager"/>
    <s v="Finance-Senior Manager"/>
    <s v="Senior Management"/>
    <d v="2022-07-06T08:13:46"/>
    <d v="2022-07-10T08:13:46"/>
    <s v="Yes"/>
    <d v="2022-07-21T08:13:46"/>
    <s v="Accepted"/>
    <m/>
    <d v="2022-07-24T08:13:46"/>
    <s v="Accepted"/>
    <d v="2022-07-22T08:13:46"/>
    <d v="2022-07-24T08:13:46"/>
    <d v="2022-07-22T08:13:46"/>
    <d v="2022-07-24T08:13:46"/>
    <n v="1"/>
    <d v="2022-07-25T08:13:46"/>
    <d v="2022-07-27T08:13:46"/>
    <d v="2022-07-29T08:13:46"/>
    <m/>
    <m/>
    <d v="2022-08-09T08:13:46"/>
    <m/>
    <m/>
    <n v="4"/>
    <n v="15"/>
    <n v="11"/>
    <x v="20"/>
    <n v="1"/>
    <d v="2022-10-20T08:13:46"/>
    <n v="1"/>
    <n v="18"/>
    <n v="7"/>
    <m/>
    <m/>
    <m/>
    <m/>
    <m/>
    <m/>
    <m/>
    <m/>
    <m/>
    <m/>
  </r>
  <r>
    <n v="176"/>
    <s v="176 | Finance"/>
    <x v="7"/>
    <s v="Finance - Senior Management"/>
    <s v="Senior Manager"/>
    <s v="Finance-Senior Manager"/>
    <s v="Senior Management"/>
    <d v="2023-06-13T08:54:08"/>
    <d v="2023-06-14T08:54:08"/>
    <s v="Yes"/>
    <d v="2023-06-24T08:54:08"/>
    <s v="Failed"/>
    <s v="Not a culture fit"/>
    <m/>
    <m/>
    <m/>
    <m/>
    <d v="2023-06-25T08:54:08"/>
    <m/>
    <n v="0"/>
    <m/>
    <m/>
    <m/>
    <m/>
    <s v="Candidate"/>
    <m/>
    <m/>
    <m/>
    <n v="1"/>
    <n v="11"/>
    <n v="10"/>
    <x v="24"/>
    <n v="1"/>
    <d v="2023-09-23T08:54:08"/>
    <s v=""/>
    <s v=""/>
    <s v=""/>
    <m/>
    <m/>
    <m/>
    <m/>
    <m/>
    <m/>
    <m/>
    <m/>
    <m/>
    <m/>
  </r>
  <r>
    <n v="171"/>
    <s v="171 | Finance"/>
    <x v="7"/>
    <s v="Finance - Senior Management"/>
    <s v="Senior Manager"/>
    <s v="Finance-Senior Manager"/>
    <s v="Senior Management"/>
    <d v="2023-06-15T08:54:08"/>
    <d v="2023-06-17T08:54:08"/>
    <s v="Yes"/>
    <d v="2023-06-29T08:54:08"/>
    <s v="Failed"/>
    <s v="Other"/>
    <m/>
    <m/>
    <m/>
    <m/>
    <d v="2023-07-02T08:54:08"/>
    <m/>
    <n v="0"/>
    <m/>
    <m/>
    <m/>
    <m/>
    <s v="Candidate"/>
    <m/>
    <m/>
    <m/>
    <n v="2"/>
    <n v="14"/>
    <n v="12"/>
    <x v="14"/>
    <n v="3"/>
    <d v="2023-09-30T08:54:08"/>
    <s v=""/>
    <s v=""/>
    <s v=""/>
    <m/>
    <m/>
    <m/>
    <m/>
    <m/>
    <m/>
    <m/>
    <m/>
    <m/>
    <m/>
  </r>
  <r>
    <n v="110"/>
    <s v="110 | Finance"/>
    <x v="7"/>
    <s v="Finance - Senior Management"/>
    <s v="Senior Manager"/>
    <s v="Finance-Senior Manager"/>
    <s v="Senior Management"/>
    <d v="2023-03-29T21:07:16"/>
    <d v="2023-04-02T21:07:16"/>
    <s v="Yes"/>
    <d v="2023-04-10T21:07:16"/>
    <s v="Declined"/>
    <m/>
    <d v="2023-04-14T21:07:16"/>
    <s v="Declined"/>
    <m/>
    <m/>
    <d v="2023-04-13T21:07:16"/>
    <m/>
    <n v="0"/>
    <m/>
    <m/>
    <m/>
    <m/>
    <m/>
    <m/>
    <m/>
    <m/>
    <n v="4"/>
    <n v="12"/>
    <n v="8"/>
    <x v="16"/>
    <n v="3"/>
    <d v="2023-07-12T21:07:16"/>
    <s v=""/>
    <s v=""/>
    <s v=""/>
    <m/>
    <m/>
    <m/>
    <m/>
    <m/>
    <m/>
    <m/>
    <m/>
    <m/>
    <m/>
  </r>
  <r>
    <n v="109"/>
    <s v="109 | Finance"/>
    <x v="7"/>
    <s v="Finance - Senior Management"/>
    <s v="Senior Manager"/>
    <s v="Finance-Senior Manager"/>
    <s v="Senior Management"/>
    <d v="2023-03-24T21:07:16"/>
    <d v="2023-03-28T21:07:16"/>
    <s v="Yes"/>
    <d v="2023-04-09T21:07:16"/>
    <s v="Declined"/>
    <m/>
    <d v="2023-04-16T21:07:16"/>
    <s v="Declined"/>
    <m/>
    <m/>
    <d v="2023-04-12T21:07:16"/>
    <m/>
    <n v="0"/>
    <m/>
    <m/>
    <m/>
    <m/>
    <m/>
    <m/>
    <m/>
    <m/>
    <n v="4"/>
    <n v="16"/>
    <n v="12"/>
    <x v="13"/>
    <n v="3"/>
    <d v="2023-07-11T21:07:16"/>
    <s v=""/>
    <s v=""/>
    <s v=""/>
    <m/>
    <m/>
    <m/>
    <m/>
    <m/>
    <m/>
    <m/>
    <m/>
    <m/>
    <m/>
  </r>
  <r>
    <n v="104"/>
    <s v="104 | Finance"/>
    <x v="7"/>
    <s v="Finance - Senior Management"/>
    <s v="Senior Manager"/>
    <s v="Finance-Senior Manager"/>
    <s v="Senior Management"/>
    <d v="2023-03-29T21:07:16"/>
    <d v="2023-04-01T21:07:16"/>
    <s v="Yes"/>
    <d v="2023-04-08T21:07:16"/>
    <s v="Accepted"/>
    <m/>
    <d v="2023-04-14T21:07:16"/>
    <s v="Accepted"/>
    <d v="2023-04-09T21:07:16"/>
    <d v="2023-04-13T21:07:16"/>
    <d v="2023-04-11T21:07:16"/>
    <d v="2023-04-12T21:07:16"/>
    <n v="1"/>
    <d v="2023-04-13T21:07:16"/>
    <d v="2023-04-14T21:07:16"/>
    <d v="2023-04-16T21:07:16"/>
    <m/>
    <m/>
    <d v="2023-04-29T21:07:16"/>
    <m/>
    <m/>
    <n v="3"/>
    <n v="10"/>
    <n v="7"/>
    <x v="8"/>
    <n v="3"/>
    <d v="2023-07-10T21:07:16"/>
    <n v="1"/>
    <n v="18"/>
    <n v="5"/>
    <m/>
    <m/>
    <m/>
    <m/>
    <m/>
    <m/>
    <m/>
    <m/>
    <m/>
    <m/>
  </r>
  <r>
    <n v="98"/>
    <s v="98 | Finance"/>
    <x v="7"/>
    <s v="Finance - Senior Management"/>
    <s v="Senior Manager"/>
    <s v="Finance-Senior Manager"/>
    <s v="Senior Management"/>
    <d v="2022-10-06T14:05:41"/>
    <d v="2022-10-07T14:05:41"/>
    <s v="Yes"/>
    <d v="2022-10-21T14:05:41"/>
    <s v="Accepted"/>
    <m/>
    <d v="2022-10-26T14:05:41"/>
    <s v="Accepted"/>
    <d v="2022-10-23T14:05:41"/>
    <d v="2022-10-27T14:05:41"/>
    <d v="2022-10-24T14:05:41"/>
    <d v="2022-10-30T14:05:41"/>
    <n v="1"/>
    <d v="2022-11-01T14:05:41"/>
    <d v="2022-11-03T14:05:41"/>
    <d v="2022-11-04T14:05:41"/>
    <m/>
    <m/>
    <d v="2022-11-23T14:05:41"/>
    <m/>
    <m/>
    <n v="1"/>
    <n v="15"/>
    <n v="14"/>
    <x v="12"/>
    <n v="3"/>
    <d v="2023-01-22T14:05:41"/>
    <n v="2"/>
    <n v="30"/>
    <n v="11"/>
    <m/>
    <m/>
    <m/>
    <m/>
    <m/>
    <m/>
    <m/>
    <m/>
    <m/>
    <m/>
  </r>
  <r>
    <n v="94"/>
    <s v="94 | Finance"/>
    <x v="7"/>
    <s v="Finance - Senior Management"/>
    <s v="Senior Manager"/>
    <s v="Finance-Senior Manager"/>
    <s v="Senior Management"/>
    <d v="2022-10-08T14:05:41"/>
    <d v="2022-10-09T14:05:41"/>
    <s v="Yes"/>
    <d v="2022-10-16T14:05:41"/>
    <s v="Pending"/>
    <m/>
    <d v="2022-10-23T14:05:41"/>
    <s v="Pending"/>
    <m/>
    <m/>
    <d v="2022-10-19T14:05:41"/>
    <m/>
    <n v="0"/>
    <m/>
    <m/>
    <m/>
    <m/>
    <m/>
    <m/>
    <m/>
    <m/>
    <n v="1"/>
    <n v="8"/>
    <n v="7"/>
    <x v="9"/>
    <n v="3"/>
    <d v="2023-01-17T14:05:41"/>
    <s v=""/>
    <s v=""/>
    <s v=""/>
    <m/>
    <m/>
    <m/>
    <m/>
    <m/>
    <m/>
    <m/>
    <m/>
    <m/>
    <m/>
  </r>
  <r>
    <n v="28"/>
    <s v="28 | Finance"/>
    <x v="7"/>
    <s v="Finance - Senior Management"/>
    <s v="Senior Manager"/>
    <s v="Finance-Senior Manager"/>
    <s v="Senior Management"/>
    <d v="2022-12-27T10:52:58"/>
    <d v="2022-12-31T10:52:58"/>
    <s v="Yes"/>
    <d v="2023-01-17T10:52:58"/>
    <s v="Failed"/>
    <s v="Salary expectation too high"/>
    <m/>
    <m/>
    <m/>
    <m/>
    <d v="2023-01-18T10:52:58"/>
    <m/>
    <n v="0"/>
    <m/>
    <m/>
    <m/>
    <m/>
    <s v="Company"/>
    <m/>
    <m/>
    <m/>
    <n v="4"/>
    <n v="21"/>
    <n v="17"/>
    <x v="7"/>
    <n v="1"/>
    <d v="2023-04-18T10:52:58"/>
    <s v=""/>
    <s v=""/>
    <s v=""/>
    <m/>
    <m/>
    <m/>
    <m/>
    <m/>
    <m/>
    <m/>
    <m/>
    <m/>
    <m/>
  </r>
  <r>
    <n v="22"/>
    <s v="22 | Finance"/>
    <x v="7"/>
    <s v="Finance - Senior Management"/>
    <s v="Senior Manager"/>
    <s v="Finance-Senior Manager"/>
    <s v="Senior Management"/>
    <d v="2022-12-27T10:52:58"/>
    <d v="2022-12-29T10:52:58"/>
    <s v="Yes"/>
    <d v="2023-01-12T10:52:58"/>
    <s v="Failed"/>
    <s v="Didn't pass technical test"/>
    <m/>
    <m/>
    <m/>
    <m/>
    <d v="2023-01-13T10:52:58"/>
    <m/>
    <n v="0"/>
    <m/>
    <m/>
    <m/>
    <m/>
    <s v="Candidate"/>
    <m/>
    <m/>
    <m/>
    <n v="2"/>
    <n v="16"/>
    <n v="14"/>
    <x v="14"/>
    <n v="1"/>
    <d v="2023-04-13T10:52:58"/>
    <s v=""/>
    <s v=""/>
    <s v=""/>
    <m/>
    <m/>
    <m/>
    <m/>
    <m/>
    <m/>
    <m/>
    <m/>
    <m/>
    <m/>
  </r>
  <r>
    <n v="16"/>
    <s v="16 | Finance"/>
    <x v="7"/>
    <s v="Finance - Senior Management"/>
    <s v="Senior Manager"/>
    <s v="Finance-Senior Manager"/>
    <s v="Senior Management"/>
    <d v="2022-03-15T21:37:51"/>
    <d v="2022-03-18T21:37:51"/>
    <s v="Yes"/>
    <d v="2022-03-24T21:37:51"/>
    <s v="Accepted"/>
    <m/>
    <d v="2022-03-29T21:37:51"/>
    <s v="Accepted"/>
    <d v="2022-03-25T21:37:51"/>
    <d v="2022-03-27T21:37:51"/>
    <d v="2022-03-27T21:37:51"/>
    <d v="2022-04-06T21:37:51"/>
    <n v="1"/>
    <d v="2022-04-08T21:37:51"/>
    <d v="2022-04-09T21:37:51"/>
    <d v="2022-04-12T21:37:51"/>
    <m/>
    <m/>
    <d v="2022-04-29T21:37:51"/>
    <m/>
    <m/>
    <n v="3"/>
    <n v="9"/>
    <n v="6"/>
    <x v="24"/>
    <n v="3"/>
    <d v="2022-06-25T21:37:51"/>
    <n v="2"/>
    <n v="33"/>
    <n v="16"/>
    <m/>
    <m/>
    <m/>
    <m/>
    <m/>
    <m/>
    <m/>
    <m/>
    <m/>
    <m/>
  </r>
  <r>
    <n v="14"/>
    <s v="14 | Finance"/>
    <x v="7"/>
    <s v="Finance - Senior Management"/>
    <s v="Senior Manager"/>
    <s v="Finance-Senior Manager"/>
    <s v="Senior Management"/>
    <d v="2022-03-18T21:37:51"/>
    <d v="2022-03-21T21:37:51"/>
    <s v="Yes"/>
    <d v="2022-03-29T21:37:51"/>
    <s v="Failed"/>
    <s v="Position filled by another"/>
    <m/>
    <m/>
    <m/>
    <m/>
    <m/>
    <m/>
    <n v="0"/>
    <m/>
    <m/>
    <m/>
    <m/>
    <s v="Company"/>
    <m/>
    <m/>
    <m/>
    <n v="3"/>
    <n v="11"/>
    <n v="8"/>
    <x v="0"/>
    <s v=""/>
    <s v=""/>
    <s v=""/>
    <s v=""/>
    <s v=""/>
    <m/>
    <m/>
    <m/>
    <m/>
    <m/>
    <m/>
    <m/>
    <m/>
    <m/>
    <m/>
  </r>
  <r>
    <n v="2850"/>
    <s v="2850 | Finance"/>
    <x v="7"/>
    <s v="Finance - Senior"/>
    <s v="Fund Administrator"/>
    <s v="Finance-Fund Administrator"/>
    <s v="Senior"/>
    <d v="2022-04-01T10:38:28"/>
    <d v="2022-04-04T10:38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846"/>
    <s v="2846 | Finance"/>
    <x v="7"/>
    <s v="Finance - Senior"/>
    <s v="Fund Administrator"/>
    <s v="Finance-Fund Administrator"/>
    <s v="Senior"/>
    <d v="2022-04-01T10:38:28"/>
    <d v="2022-04-04T10:38:28"/>
    <s v="Yes"/>
    <d v="2022-04-14T10:38:28"/>
    <s v="Failed"/>
    <s v="Not a culture fi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2842"/>
    <s v="2842 | Finance"/>
    <x v="7"/>
    <s v="Finance - Senior"/>
    <s v="Fund Administrator"/>
    <s v="Finance-Fund Administrator"/>
    <s v="Senior"/>
    <d v="2022-04-05T10:38:28"/>
    <d v="2022-04-06T10:38:28"/>
    <s v="Yes"/>
    <d v="2022-04-17T10:38:28"/>
    <s v="Failed"/>
    <s v="Other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2841"/>
    <s v="2841 | Finance"/>
    <x v="7"/>
    <s v="Finance - Senior"/>
    <s v="Fund Administrator"/>
    <s v="Finance-Fund Administrator"/>
    <s v="Senior"/>
    <d v="2022-04-04T10:38:28"/>
    <d v="2022-04-06T10:38:2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754"/>
    <s v="2754 | Finance"/>
    <x v="7"/>
    <s v="Finance - Senior"/>
    <s v="Fund Administrator"/>
    <s v="Finance-Fund Administrator"/>
    <s v="Senior"/>
    <d v="2023-04-10T18:21:43"/>
    <d v="2023-04-14T18:21:43"/>
    <s v="Yes"/>
    <d v="2023-05-02T18:21:43"/>
    <s v="Failed"/>
    <s v="Salary expectation too high"/>
    <m/>
    <m/>
    <m/>
    <m/>
    <d v="2023-05-06T18:21:43"/>
    <m/>
    <n v="0"/>
    <m/>
    <m/>
    <m/>
    <m/>
    <s v="Company"/>
    <m/>
    <m/>
    <m/>
    <n v="4"/>
    <n v="22"/>
    <n v="18"/>
    <x v="25"/>
    <n v="4"/>
    <d v="2023-08-04T18:21:43"/>
    <s v=""/>
    <s v=""/>
    <s v=""/>
    <m/>
    <m/>
    <m/>
    <m/>
    <m/>
    <m/>
    <m/>
    <m/>
    <m/>
    <m/>
  </r>
  <r>
    <n v="2753"/>
    <s v="2753 | Finance"/>
    <x v="7"/>
    <s v="Finance - Senior"/>
    <s v="Fund Administrator"/>
    <s v="Finance-Fund Administrator"/>
    <s v="Senior"/>
    <d v="2023-04-08T18:21:43"/>
    <d v="2023-04-12T18:21:4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751"/>
    <s v="2751 | Finance"/>
    <x v="7"/>
    <s v="Finance - Senior"/>
    <s v="Fund Administrator"/>
    <s v="Finance-Fund Administrator"/>
    <s v="Senior"/>
    <d v="2023-04-12T18:21:43"/>
    <d v="2023-04-13T18:21:43"/>
    <s v="Yes"/>
    <d v="2023-04-17T18:21:43"/>
    <s v="Failed"/>
    <s v="Salary expectation too high"/>
    <m/>
    <m/>
    <m/>
    <m/>
    <d v="2023-04-18T18:21:43"/>
    <m/>
    <n v="0"/>
    <m/>
    <m/>
    <m/>
    <m/>
    <s v="Candidate"/>
    <m/>
    <m/>
    <m/>
    <n v="1"/>
    <n v="5"/>
    <n v="4"/>
    <x v="27"/>
    <n v="1"/>
    <d v="2023-07-17T18:21:43"/>
    <s v=""/>
    <s v=""/>
    <s v=""/>
    <m/>
    <m/>
    <m/>
    <m/>
    <m/>
    <m/>
    <m/>
    <m/>
    <m/>
    <m/>
  </r>
  <r>
    <n v="2688"/>
    <s v="2688 | Finance"/>
    <x v="7"/>
    <s v="Finance - Senior"/>
    <s v="Fund Administrator"/>
    <s v="Finance-Fund Administrator"/>
    <s v="Senior"/>
    <d v="2023-07-30T17:11:38"/>
    <d v="2023-08-03T17:11:38"/>
    <s v="Yes"/>
    <d v="2023-08-13T17:11:38"/>
    <s v="Declined"/>
    <m/>
    <d v="2023-08-18T17:11:38"/>
    <s v="Declined"/>
    <m/>
    <m/>
    <d v="2023-08-17T17:11:38"/>
    <m/>
    <n v="0"/>
    <m/>
    <m/>
    <m/>
    <m/>
    <m/>
    <m/>
    <m/>
    <m/>
    <n v="4"/>
    <n v="14"/>
    <n v="10"/>
    <x v="12"/>
    <n v="4"/>
    <d v="2023-11-15T17:11:38"/>
    <s v=""/>
    <s v=""/>
    <s v=""/>
    <m/>
    <m/>
    <m/>
    <m/>
    <m/>
    <m/>
    <m/>
    <m/>
    <m/>
    <m/>
  </r>
  <r>
    <n v="2681"/>
    <s v="2681 | Finance"/>
    <x v="7"/>
    <s v="Finance - Senior"/>
    <s v="Fund Administrator"/>
    <s v="Finance-Fund Administrator"/>
    <s v="Senior"/>
    <d v="2023-08-01T17:11:38"/>
    <d v="2023-08-03T17:11:38"/>
    <s v="Yes"/>
    <d v="2023-08-12T17:11:38"/>
    <s v="Pending"/>
    <m/>
    <d v="2023-08-17T17:11:38"/>
    <s v="Pending"/>
    <m/>
    <m/>
    <d v="2023-08-14T17:11:38"/>
    <m/>
    <n v="0"/>
    <m/>
    <m/>
    <m/>
    <m/>
    <m/>
    <m/>
    <m/>
    <m/>
    <n v="2"/>
    <n v="11"/>
    <n v="9"/>
    <x v="8"/>
    <n v="2"/>
    <d v="2023-11-12T17:11:38"/>
    <s v=""/>
    <s v=""/>
    <s v=""/>
    <m/>
    <m/>
    <m/>
    <m/>
    <m/>
    <m/>
    <m/>
    <m/>
    <m/>
    <m/>
  </r>
  <r>
    <n v="2674"/>
    <s v="2674 | Finance"/>
    <x v="7"/>
    <s v="Finance - Senior"/>
    <s v="Fund Administrator"/>
    <s v="Finance-Fund Administrator"/>
    <s v="Senior"/>
    <d v="2022-02-09T03:23:10"/>
    <d v="2022-02-12T03:23:10"/>
    <s v="Yes"/>
    <d v="2022-03-02T03:23:10"/>
    <s v="Failed"/>
    <s v="Didn't pass technical test"/>
    <m/>
    <m/>
    <m/>
    <m/>
    <d v="2022-03-06T03:23:10"/>
    <m/>
    <n v="0"/>
    <m/>
    <m/>
    <m/>
    <m/>
    <s v="Candidate"/>
    <m/>
    <m/>
    <m/>
    <n v="3"/>
    <n v="21"/>
    <n v="18"/>
    <x v="11"/>
    <n v="4"/>
    <d v="2022-06-04T03:23:10"/>
    <s v=""/>
    <s v=""/>
    <s v=""/>
    <m/>
    <m/>
    <m/>
    <m/>
    <m/>
    <m/>
    <m/>
    <m/>
    <m/>
    <m/>
  </r>
  <r>
    <n v="2671"/>
    <s v="2671 | Finance"/>
    <x v="7"/>
    <s v="Finance - Senior"/>
    <s v="Fund Administrator"/>
    <s v="Finance-Fund Administrator"/>
    <s v="Senior"/>
    <d v="2022-02-13T03:23:10"/>
    <d v="2022-02-15T03:23:10"/>
    <s v="Yes"/>
    <d v="2022-02-18T03:23:10"/>
    <s v="Pending"/>
    <m/>
    <d v="2022-02-20T03:23:10"/>
    <s v="Pending"/>
    <m/>
    <m/>
    <d v="2022-02-19T03:23:10"/>
    <m/>
    <n v="0"/>
    <m/>
    <m/>
    <m/>
    <m/>
    <m/>
    <m/>
    <m/>
    <m/>
    <n v="2"/>
    <n v="5"/>
    <n v="3"/>
    <x v="27"/>
    <n v="1"/>
    <d v="2022-05-20T03:23:10"/>
    <s v=""/>
    <s v=""/>
    <s v=""/>
    <m/>
    <m/>
    <m/>
    <m/>
    <m/>
    <m/>
    <m/>
    <m/>
    <m/>
    <m/>
  </r>
  <r>
    <n v="2545"/>
    <s v="2545 | Finance"/>
    <x v="7"/>
    <s v="Finance - Senior"/>
    <s v="Fund Administrator"/>
    <s v="Finance-Fund Administrator"/>
    <s v="Senior"/>
    <d v="2023-06-27T11:30:00"/>
    <d v="2023-06-30T11:30:00"/>
    <s v="Yes"/>
    <d v="2023-07-20T11:30:00"/>
    <s v="Failed"/>
    <s v="Salary expectation too high"/>
    <m/>
    <m/>
    <m/>
    <m/>
    <m/>
    <m/>
    <n v="0"/>
    <m/>
    <m/>
    <m/>
    <m/>
    <s v="Candidate"/>
    <m/>
    <m/>
    <m/>
    <n v="3"/>
    <n v="23"/>
    <n v="20"/>
    <x v="0"/>
    <s v=""/>
    <s v=""/>
    <s v=""/>
    <s v=""/>
    <s v=""/>
    <m/>
    <m/>
    <m/>
    <m/>
    <m/>
    <m/>
    <m/>
    <m/>
    <m/>
    <m/>
  </r>
  <r>
    <n v="2541"/>
    <s v="2541 | Finance"/>
    <x v="7"/>
    <s v="Finance - Senior"/>
    <s v="Fund Administrator"/>
    <s v="Finance-Fund Administrator"/>
    <s v="Senior"/>
    <d v="2023-06-30T11:30:00"/>
    <d v="2023-07-03T11:30:00"/>
    <s v="Yes"/>
    <d v="2023-07-21T11:30:00"/>
    <s v="Accepted"/>
    <m/>
    <d v="2023-07-25T11:30:00"/>
    <s v="Accepted"/>
    <d v="2023-07-23T11:30:00"/>
    <d v="2023-07-26T11:30:00"/>
    <d v="2023-07-24T11:30:00"/>
    <d v="2023-08-01T11:30:00"/>
    <n v="1"/>
    <d v="2023-08-04T11:30:00"/>
    <d v="2023-08-06T11:30:00"/>
    <d v="2023-08-07T11:30:00"/>
    <m/>
    <m/>
    <d v="2023-08-22T11:30:00"/>
    <m/>
    <m/>
    <n v="3"/>
    <n v="21"/>
    <n v="18"/>
    <x v="21"/>
    <n v="3"/>
    <d v="2023-10-22T11:30:00"/>
    <n v="3"/>
    <n v="29"/>
    <n v="14"/>
    <m/>
    <m/>
    <m/>
    <m/>
    <m/>
    <m/>
    <m/>
    <m/>
    <m/>
    <m/>
  </r>
  <r>
    <n v="2479"/>
    <s v="2479 | Finance"/>
    <x v="7"/>
    <s v="Finance - Senior"/>
    <s v="Fund Administrator"/>
    <s v="Finance-Fund Administrator"/>
    <s v="Senior"/>
    <d v="2022-12-20T10:20:25"/>
    <d v="2022-12-23T10:20:25"/>
    <s v="Yes"/>
    <d v="2023-01-02T10:20:25"/>
    <s v="Declined"/>
    <m/>
    <d v="2023-01-08T10:20:25"/>
    <s v="Declined"/>
    <m/>
    <m/>
    <d v="2023-01-04T10:20:25"/>
    <m/>
    <n v="0"/>
    <m/>
    <m/>
    <m/>
    <m/>
    <m/>
    <m/>
    <m/>
    <m/>
    <n v="3"/>
    <n v="13"/>
    <n v="10"/>
    <x v="16"/>
    <n v="2"/>
    <d v="2023-04-04T10:20:25"/>
    <s v=""/>
    <s v=""/>
    <s v=""/>
    <m/>
    <m/>
    <m/>
    <m/>
    <m/>
    <m/>
    <m/>
    <m/>
    <m/>
    <m/>
  </r>
  <r>
    <n v="2471"/>
    <s v="2471 | Finance"/>
    <x v="7"/>
    <s v="Finance - Senior"/>
    <s v="Fund Administrator"/>
    <s v="Finance-Fund Administrator"/>
    <s v="Senior"/>
    <d v="2022-12-17T10:20:25"/>
    <d v="2022-12-20T10:20:25"/>
    <s v="Yes"/>
    <d v="2023-01-06T10:20:25"/>
    <s v="Accepted"/>
    <m/>
    <d v="2023-01-10T10:20:25"/>
    <s v="Accepted"/>
    <d v="2023-01-07T10:20:25"/>
    <d v="2023-01-08T10:20:25"/>
    <d v="2023-01-07T10:20:25"/>
    <d v="2023-01-17T10:20:25"/>
    <n v="1"/>
    <d v="2023-01-20T10:20:25"/>
    <d v="2023-01-23T10:20:25"/>
    <d v="2023-01-26T10:20:25"/>
    <m/>
    <m/>
    <d v="2023-02-16T10:20:25"/>
    <m/>
    <m/>
    <n v="3"/>
    <n v="20"/>
    <n v="17"/>
    <x v="19"/>
    <n v="1"/>
    <d v="2023-04-07T10:20:25"/>
    <n v="3"/>
    <n v="40"/>
    <n v="19"/>
    <m/>
    <m/>
    <m/>
    <m/>
    <m/>
    <m/>
    <m/>
    <m/>
    <m/>
    <m/>
  </r>
  <r>
    <n v="2355"/>
    <s v="2355 | Finance"/>
    <x v="7"/>
    <s v="Finance - Senior"/>
    <s v="Fund Administrator"/>
    <s v="Finance-Fund Administrator"/>
    <s v="Senior"/>
    <d v="2023-04-10T12:37:54"/>
    <d v="2023-04-11T12:37:5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354"/>
    <s v="2354 | Finance"/>
    <x v="7"/>
    <s v="Finance - Senior"/>
    <s v="Fund Administrator"/>
    <s v="Finance-Fund Administrator"/>
    <s v="Senior"/>
    <d v="2023-04-11T12:37:54"/>
    <d v="2023-04-15T12:37:54"/>
    <s v="Yes"/>
    <d v="2023-04-27T12:37:54"/>
    <s v="Failed"/>
    <s v="Position filled by another"/>
    <m/>
    <m/>
    <m/>
    <m/>
    <d v="2023-04-30T12:37:54"/>
    <m/>
    <n v="0"/>
    <m/>
    <m/>
    <m/>
    <m/>
    <s v="Candidate"/>
    <m/>
    <m/>
    <m/>
    <n v="4"/>
    <n v="16"/>
    <n v="12"/>
    <x v="13"/>
    <n v="3"/>
    <d v="2023-07-29T12:37:54"/>
    <s v=""/>
    <s v=""/>
    <s v=""/>
    <m/>
    <m/>
    <m/>
    <m/>
    <m/>
    <m/>
    <m/>
    <m/>
    <m/>
    <m/>
  </r>
  <r>
    <n v="2309"/>
    <s v="2309 | Finance"/>
    <x v="7"/>
    <s v="Finance - Senior"/>
    <s v="Fund Administrator"/>
    <s v="Finance-Fund Administrator"/>
    <s v="Senior"/>
    <d v="2023-06-22T01:56:26"/>
    <d v="2023-06-24T01:56:2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283"/>
    <s v="2283 | Finance"/>
    <x v="7"/>
    <s v="Finance - Senior"/>
    <s v="Fund Administrator"/>
    <s v="Finance-Fund Administrator"/>
    <s v="Senior"/>
    <d v="2022-07-20T11:44:34"/>
    <d v="2022-07-22T11:44:34"/>
    <s v="Yes"/>
    <d v="2022-08-08T11:44:34"/>
    <s v="Accepted"/>
    <m/>
    <d v="2022-08-12T11:44:34"/>
    <s v="Accepted"/>
    <d v="2022-08-09T11:44:34"/>
    <d v="2022-08-12T11:44:34"/>
    <d v="2022-08-10T11:44:34"/>
    <d v="2022-08-20T11:44:34"/>
    <n v="1"/>
    <d v="2022-08-22T11:44:34"/>
    <d v="2022-08-23T11:44:34"/>
    <d v="2022-08-26T11:44:34"/>
    <m/>
    <m/>
    <d v="2022-09-14T11:44:34"/>
    <m/>
    <m/>
    <n v="2"/>
    <n v="19"/>
    <n v="17"/>
    <x v="19"/>
    <n v="2"/>
    <d v="2022-11-08T11:44:34"/>
    <n v="2"/>
    <n v="35"/>
    <n v="16"/>
    <m/>
    <m/>
    <m/>
    <m/>
    <m/>
    <m/>
    <m/>
    <m/>
    <m/>
    <m/>
  </r>
  <r>
    <n v="2234"/>
    <s v="2234 | Finance"/>
    <x v="7"/>
    <s v="Finance - Senior"/>
    <s v="Fund Administrator"/>
    <s v="Finance-Fund Administrator"/>
    <s v="Senior"/>
    <d v="2023-04-18T23:01:36"/>
    <d v="2023-04-19T23:01:3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224"/>
    <s v="2224 | Finance"/>
    <x v="7"/>
    <s v="Finance - Senior"/>
    <s v="Fund Administrator"/>
    <s v="Finance-Fund Administrator"/>
    <s v="Senior"/>
    <d v="2023-08-19T12:50:13"/>
    <d v="2023-08-22T12:50:13"/>
    <s v="Yes"/>
    <d v="2023-09-04T12:50:13"/>
    <s v="Failed"/>
    <s v="Other"/>
    <m/>
    <m/>
    <m/>
    <m/>
    <m/>
    <m/>
    <n v="0"/>
    <m/>
    <m/>
    <m/>
    <m/>
    <s v="Candidate"/>
    <m/>
    <m/>
    <m/>
    <n v="3"/>
    <n v="16"/>
    <n v="13"/>
    <x v="0"/>
    <s v=""/>
    <s v=""/>
    <s v=""/>
    <s v=""/>
    <s v=""/>
    <m/>
    <m/>
    <m/>
    <m/>
    <m/>
    <m/>
    <m/>
    <m/>
    <m/>
    <m/>
  </r>
  <r>
    <n v="2171"/>
    <s v="2171 | Finance"/>
    <x v="7"/>
    <s v="Finance - Senior"/>
    <s v="Fund Administrator"/>
    <s v="Finance-Fund Administrator"/>
    <s v="Senior"/>
    <d v="2022-07-11T14:26:50"/>
    <d v="2022-07-15T14:26:50"/>
    <s v="Yes"/>
    <d v="2022-07-20T14:26:50"/>
    <s v="Failed"/>
    <s v="Salary expectation too high"/>
    <m/>
    <m/>
    <m/>
    <m/>
    <d v="2022-07-21T14:26:50"/>
    <m/>
    <n v="0"/>
    <m/>
    <m/>
    <m/>
    <m/>
    <s v="Company"/>
    <m/>
    <m/>
    <m/>
    <n v="4"/>
    <n v="9"/>
    <n v="5"/>
    <x v="22"/>
    <n v="1"/>
    <d v="2022-10-19T14:26:50"/>
    <s v=""/>
    <s v=""/>
    <s v=""/>
    <m/>
    <m/>
    <m/>
    <m/>
    <m/>
    <m/>
    <m/>
    <m/>
    <m/>
    <m/>
  </r>
  <r>
    <n v="2088"/>
    <s v="2088 | Finance"/>
    <x v="7"/>
    <s v="Finance - Senior"/>
    <s v="Fund Administrator"/>
    <s v="Finance-Fund Administrator"/>
    <s v="Senior"/>
    <d v="2022-09-30T21:05:46"/>
    <d v="2022-10-01T21:05:46"/>
    <s v="Yes"/>
    <d v="2022-10-21T21:05:46"/>
    <s v="Failed"/>
    <s v="Salary expectation too high"/>
    <m/>
    <m/>
    <m/>
    <m/>
    <d v="2022-10-23T21:05:46"/>
    <m/>
    <n v="0"/>
    <m/>
    <m/>
    <m/>
    <m/>
    <s v="Company"/>
    <m/>
    <m/>
    <m/>
    <n v="1"/>
    <n v="21"/>
    <n v="20"/>
    <x v="3"/>
    <n v="2"/>
    <d v="2023-01-21T21:05:46"/>
    <s v=""/>
    <s v=""/>
    <s v=""/>
    <m/>
    <m/>
    <m/>
    <m/>
    <m/>
    <m/>
    <m/>
    <m/>
    <m/>
    <m/>
  </r>
  <r>
    <n v="2023"/>
    <s v="2023 | Finance"/>
    <x v="7"/>
    <s v="Finance - Senior"/>
    <s v="Fund Administrator"/>
    <s v="Finance-Fund Administrator"/>
    <s v="Senior"/>
    <d v="2022-08-10T16:19:01"/>
    <d v="2022-08-11T16:19:01"/>
    <s v="Yes"/>
    <d v="2022-08-30T16:19:01"/>
    <s v="Failed"/>
    <s v="Didn't pass technical test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2000"/>
    <s v="2000 | Finance"/>
    <x v="7"/>
    <s v="Finance - Senior"/>
    <s v="Fund Administrator"/>
    <s v="Finance-Fund Administrator"/>
    <s v="Senior"/>
    <d v="2023-03-30T15:41:39"/>
    <d v="2023-04-02T15:41:39"/>
    <s v="Yes"/>
    <d v="2023-04-12T15:41:39"/>
    <s v="Accepted"/>
    <m/>
    <d v="2023-04-17T15:41:39"/>
    <s v="Accepted"/>
    <d v="2023-04-13T15:41:39"/>
    <d v="2023-04-15T15:41:39"/>
    <d v="2023-04-15T15:41:39"/>
    <d v="2023-04-16T15:41:39"/>
    <n v="1"/>
    <d v="2023-04-19T15:41:39"/>
    <d v="2023-04-21T15:41:39"/>
    <d v="2023-04-23T15:41:39"/>
    <m/>
    <m/>
    <d v="2023-05-10T15:41:39"/>
    <m/>
    <m/>
    <n v="3"/>
    <n v="13"/>
    <n v="10"/>
    <x v="20"/>
    <n v="3"/>
    <d v="2023-07-14T15:41:39"/>
    <n v="3"/>
    <n v="25"/>
    <n v="8"/>
    <m/>
    <m/>
    <m/>
    <m/>
    <m/>
    <m/>
    <m/>
    <m/>
    <m/>
    <m/>
  </r>
  <r>
    <n v="1998"/>
    <s v="1998 | Finance"/>
    <x v="7"/>
    <s v="Finance - Senior"/>
    <s v="Fund Administrator"/>
    <s v="Finance-Fund Administrator"/>
    <s v="Senior"/>
    <d v="2023-04-01T15:41:39"/>
    <d v="2023-04-03T15:41:39"/>
    <s v="Yes"/>
    <d v="2023-04-07T15:41:39"/>
    <s v="Failed"/>
    <s v="Salary expectation too high"/>
    <m/>
    <m/>
    <m/>
    <m/>
    <m/>
    <m/>
    <n v="0"/>
    <m/>
    <m/>
    <m/>
    <m/>
    <s v="Company"/>
    <m/>
    <m/>
    <m/>
    <n v="2"/>
    <n v="6"/>
    <n v="4"/>
    <x v="0"/>
    <s v=""/>
    <s v=""/>
    <s v=""/>
    <s v=""/>
    <s v=""/>
    <m/>
    <m/>
    <m/>
    <m/>
    <m/>
    <m/>
    <m/>
    <m/>
    <m/>
    <m/>
  </r>
  <r>
    <n v="1997"/>
    <s v="1997 | Finance"/>
    <x v="7"/>
    <s v="Finance - Senior"/>
    <s v="Fund Administrator"/>
    <s v="Finance-Fund Administrator"/>
    <s v="Senior"/>
    <d v="2023-03-28T15:41:39"/>
    <d v="2023-04-01T15:41:3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995"/>
    <s v="1995 | Finance"/>
    <x v="7"/>
    <s v="Finance - Senior"/>
    <s v="Fund Administrator"/>
    <s v="Finance-Fund Administrator"/>
    <s v="Senior"/>
    <d v="2023-04-02T15:41:39"/>
    <d v="2023-04-03T15:41:39"/>
    <s v="Yes"/>
    <d v="2023-04-21T15:41:39"/>
    <s v="Pending"/>
    <m/>
    <d v="2023-04-26T15:41:39"/>
    <s v="Pending"/>
    <m/>
    <m/>
    <d v="2023-04-22T15:41:39"/>
    <m/>
    <n v="0"/>
    <m/>
    <m/>
    <m/>
    <m/>
    <m/>
    <m/>
    <m/>
    <m/>
    <n v="1"/>
    <n v="19"/>
    <n v="18"/>
    <x v="15"/>
    <n v="1"/>
    <d v="2023-07-21T15:41:39"/>
    <s v=""/>
    <s v=""/>
    <s v=""/>
    <m/>
    <m/>
    <m/>
    <m/>
    <m/>
    <m/>
    <m/>
    <m/>
    <m/>
    <m/>
  </r>
  <r>
    <n v="1993"/>
    <s v="1993 | Finance"/>
    <x v="7"/>
    <s v="Finance - Senior"/>
    <s v="Fund Administrator"/>
    <s v="Finance-Fund Administrator"/>
    <s v="Senior"/>
    <d v="2023-03-29T15:41:39"/>
    <d v="2023-03-31T15:41:39"/>
    <s v="Yes"/>
    <d v="2023-04-14T15:41:39"/>
    <s v="Failed"/>
    <s v="Other"/>
    <m/>
    <m/>
    <m/>
    <m/>
    <d v="2023-04-17T15:41:39"/>
    <m/>
    <n v="0"/>
    <m/>
    <m/>
    <m/>
    <m/>
    <s v="Candidate"/>
    <m/>
    <m/>
    <m/>
    <n v="2"/>
    <n v="16"/>
    <n v="14"/>
    <x v="13"/>
    <n v="3"/>
    <d v="2023-07-16T15:41:39"/>
    <s v=""/>
    <s v=""/>
    <s v=""/>
    <m/>
    <m/>
    <m/>
    <m/>
    <m/>
    <m/>
    <m/>
    <m/>
    <m/>
    <m/>
  </r>
  <r>
    <n v="1870"/>
    <s v="1870 | Finance"/>
    <x v="7"/>
    <s v="Finance - Senior"/>
    <s v="Fund Administrator"/>
    <s v="Finance-Fund Administrator"/>
    <s v="Senior"/>
    <d v="2022-03-21T08:24:54"/>
    <d v="2022-03-24T08:24:54"/>
    <s v="Yes"/>
    <d v="2022-03-30T08:24:54"/>
    <s v="Failed"/>
    <s v="Didn't pass technical test"/>
    <m/>
    <m/>
    <m/>
    <m/>
    <d v="2022-04-03T08:24:54"/>
    <m/>
    <n v="0"/>
    <m/>
    <m/>
    <m/>
    <m/>
    <s v="Candidate"/>
    <m/>
    <m/>
    <m/>
    <n v="3"/>
    <n v="9"/>
    <n v="6"/>
    <x v="8"/>
    <n v="4"/>
    <d v="2022-07-02T08:24:54"/>
    <s v=""/>
    <s v=""/>
    <s v=""/>
    <m/>
    <m/>
    <m/>
    <m/>
    <m/>
    <m/>
    <m/>
    <m/>
    <m/>
    <m/>
  </r>
  <r>
    <n v="1866"/>
    <s v="1866 | Finance"/>
    <x v="7"/>
    <s v="Finance - Senior"/>
    <s v="Fund Administrator"/>
    <s v="Finance-Fund Administrator"/>
    <s v="Senior"/>
    <d v="2022-03-23T08:24:54"/>
    <d v="2022-03-24T08:24:54"/>
    <s v="Yes"/>
    <d v="2022-03-30T08:24:54"/>
    <s v="Accepted"/>
    <m/>
    <d v="2022-04-03T08:24:54"/>
    <s v="Accepted"/>
    <d v="2022-03-31T08:24:54"/>
    <d v="2022-04-02T08:24:54"/>
    <d v="2022-03-31T08:24:54"/>
    <d v="2022-04-09T08:24:54"/>
    <n v="1"/>
    <d v="2022-04-10T08:24:54"/>
    <d v="2022-04-11T08:24:54"/>
    <d v="2022-04-12T08:24:54"/>
    <m/>
    <m/>
    <d v="2022-05-04T08:24:54"/>
    <m/>
    <m/>
    <n v="1"/>
    <n v="7"/>
    <n v="6"/>
    <x v="10"/>
    <n v="1"/>
    <d v="2022-06-29T08:24:54"/>
    <n v="1"/>
    <n v="34"/>
    <n v="12"/>
    <m/>
    <m/>
    <m/>
    <m/>
    <m/>
    <m/>
    <m/>
    <m/>
    <m/>
    <m/>
  </r>
  <r>
    <n v="1861"/>
    <s v="1861 | Finance"/>
    <x v="7"/>
    <s v="Finance - Senior"/>
    <s v="Fund Administrator"/>
    <s v="Finance-Fund Administrator"/>
    <s v="Senior"/>
    <d v="2022-03-19T08:24:54"/>
    <d v="2022-03-20T08:24:54"/>
    <s v="Yes"/>
    <d v="2022-03-30T08:24:54"/>
    <s v="Declined"/>
    <m/>
    <d v="2022-04-05T08:24:54"/>
    <s v="Declined"/>
    <m/>
    <m/>
    <d v="2022-04-01T08:24:54"/>
    <m/>
    <n v="0"/>
    <m/>
    <m/>
    <m/>
    <m/>
    <m/>
    <m/>
    <m/>
    <m/>
    <n v="1"/>
    <n v="11"/>
    <n v="10"/>
    <x v="8"/>
    <n v="2"/>
    <d v="2022-06-30T08:24:54"/>
    <s v=""/>
    <s v=""/>
    <s v=""/>
    <m/>
    <m/>
    <m/>
    <m/>
    <m/>
    <m/>
    <m/>
    <m/>
    <m/>
    <m/>
  </r>
  <r>
    <n v="1850"/>
    <s v="1850 | Finance"/>
    <x v="7"/>
    <s v="Finance - Senior"/>
    <s v="Fund Administrator"/>
    <s v="Finance-Fund Administrator"/>
    <s v="Senior"/>
    <d v="2022-02-20T23:17:04"/>
    <d v="2022-02-21T23:17:04"/>
    <s v="Yes"/>
    <d v="2022-03-11T23:17:04"/>
    <s v="Failed"/>
    <s v="Other"/>
    <m/>
    <m/>
    <m/>
    <m/>
    <m/>
    <m/>
    <n v="0"/>
    <m/>
    <m/>
    <m/>
    <m/>
    <s v="Candidate"/>
    <m/>
    <m/>
    <m/>
    <n v="1"/>
    <n v="19"/>
    <n v="18"/>
    <x v="0"/>
    <s v=""/>
    <s v=""/>
    <s v=""/>
    <s v=""/>
    <s v=""/>
    <m/>
    <m/>
    <m/>
    <m/>
    <m/>
    <m/>
    <m/>
    <m/>
    <m/>
    <m/>
  </r>
  <r>
    <n v="1848"/>
    <s v="1848 | Finance"/>
    <x v="7"/>
    <s v="Finance - Senior"/>
    <s v="Fund Administrator"/>
    <s v="Finance-Fund Administrator"/>
    <s v="Senior"/>
    <d v="2022-02-14T23:17:04"/>
    <d v="2022-02-17T23:17:04"/>
    <s v="Yes"/>
    <d v="2022-03-07T23:17:04"/>
    <s v="Failed"/>
    <s v="Not a culture fit"/>
    <m/>
    <m/>
    <m/>
    <m/>
    <m/>
    <m/>
    <n v="0"/>
    <m/>
    <m/>
    <m/>
    <m/>
    <s v="Company"/>
    <m/>
    <m/>
    <m/>
    <n v="3"/>
    <n v="21"/>
    <n v="18"/>
    <x v="0"/>
    <s v=""/>
    <s v=""/>
    <s v=""/>
    <s v=""/>
    <s v=""/>
    <m/>
    <m/>
    <m/>
    <m/>
    <m/>
    <m/>
    <m/>
    <m/>
    <m/>
    <m/>
  </r>
  <r>
    <n v="1844"/>
    <s v="1844 | Finance"/>
    <x v="7"/>
    <s v="Finance - Senior"/>
    <s v="Fund Administrator"/>
    <s v="Finance-Fund Administrator"/>
    <s v="Senior"/>
    <d v="2022-02-20T23:17:04"/>
    <d v="2022-02-22T23:17:04"/>
    <s v="Yes"/>
    <d v="2022-02-28T23:17:04"/>
    <s v="Accepted"/>
    <m/>
    <d v="2022-03-03T23:17:04"/>
    <s v="Accepted"/>
    <d v="2022-03-02T23:17:04"/>
    <d v="2022-03-05T23:17:04"/>
    <d v="2022-03-02T23:17:04"/>
    <d v="2022-03-05T23:17:04"/>
    <n v="1"/>
    <d v="2022-03-07T23:17:04"/>
    <d v="2022-03-08T23:17:04"/>
    <d v="2022-03-09T23:17:04"/>
    <m/>
    <m/>
    <d v="2022-03-26T23:17:04"/>
    <m/>
    <m/>
    <n v="2"/>
    <n v="8"/>
    <n v="6"/>
    <x v="22"/>
    <n v="2"/>
    <d v="2022-05-31T23:17:04"/>
    <n v="2"/>
    <n v="24"/>
    <n v="7"/>
    <m/>
    <m/>
    <m/>
    <m/>
    <m/>
    <m/>
    <m/>
    <m/>
    <m/>
    <m/>
  </r>
  <r>
    <n v="1760"/>
    <s v="1760 | Finance"/>
    <x v="7"/>
    <s v="Finance - Senior"/>
    <s v="Fund Administrator"/>
    <s v="Finance-Fund Administrator"/>
    <s v="Senior"/>
    <d v="2022-05-28T15:29:59"/>
    <d v="2022-05-31T15:29:59"/>
    <s v="Yes"/>
    <d v="2022-06-22T15:29:59"/>
    <s v="Failed"/>
    <s v="Other"/>
    <m/>
    <m/>
    <m/>
    <m/>
    <d v="2022-06-26T15:29:59"/>
    <m/>
    <n v="0"/>
    <m/>
    <m/>
    <m/>
    <m/>
    <s v="Company"/>
    <m/>
    <m/>
    <m/>
    <n v="3"/>
    <n v="25"/>
    <n v="22"/>
    <x v="23"/>
    <n v="4"/>
    <d v="2022-09-24T15:29:59"/>
    <s v=""/>
    <s v=""/>
    <s v=""/>
    <m/>
    <m/>
    <m/>
    <m/>
    <m/>
    <m/>
    <m/>
    <m/>
    <m/>
    <m/>
  </r>
  <r>
    <n v="1756"/>
    <s v="1756 | Finance"/>
    <x v="7"/>
    <s v="Finance - Senior"/>
    <s v="Fund Administrator"/>
    <s v="Finance-Fund Administrator"/>
    <s v="Senior"/>
    <d v="2022-05-28T15:29:59"/>
    <d v="2022-06-01T15:29:59"/>
    <s v="Yes"/>
    <d v="2022-06-11T15:29:59"/>
    <s v="Failed"/>
    <s v="Didn't pass technical test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1740"/>
    <s v="1740 | Finance"/>
    <x v="7"/>
    <s v="Finance - Senior"/>
    <s v="Fund Administrator"/>
    <s v="Finance-Fund Administrator"/>
    <s v="Senior"/>
    <d v="2022-01-03T15:13:53"/>
    <d v="2022-01-04T15:13:53"/>
    <s v="Yes"/>
    <d v="2022-01-20T15:13:53"/>
    <s v="Accepted"/>
    <m/>
    <d v="2022-01-27T15:13:53"/>
    <s v="Accepted"/>
    <d v="2022-01-21T15:13:53"/>
    <d v="2022-01-25T15:13:53"/>
    <d v="2022-01-24T15:13:53"/>
    <d v="2022-01-25T15:13:53"/>
    <n v="1"/>
    <d v="2022-01-29T15:13:53"/>
    <d v="2022-01-31T15:13:53"/>
    <d v="2022-02-02T15:13:53"/>
    <m/>
    <m/>
    <d v="2022-02-24T15:13:53"/>
    <m/>
    <m/>
    <n v="1"/>
    <n v="17"/>
    <n v="16"/>
    <x v="19"/>
    <n v="4"/>
    <d v="2022-04-24T15:13:53"/>
    <n v="4"/>
    <n v="31"/>
    <n v="9"/>
    <m/>
    <m/>
    <m/>
    <m/>
    <m/>
    <m/>
    <m/>
    <m/>
    <m/>
    <m/>
  </r>
  <r>
    <n v="1737"/>
    <s v="1737 | Finance"/>
    <x v="7"/>
    <s v="Finance - Senior"/>
    <s v="Fund Administrator"/>
    <s v="Finance-Fund Administrator"/>
    <s v="Senior"/>
    <d v="2022-01-03T15:13:53"/>
    <d v="2022-01-05T15:13:53"/>
    <s v="Yes"/>
    <d v="2022-01-12T15:13:53"/>
    <s v="Failed"/>
    <s v="Not a culture fit"/>
    <m/>
    <m/>
    <m/>
    <m/>
    <d v="2022-01-14T15:13:53"/>
    <m/>
    <n v="0"/>
    <m/>
    <m/>
    <m/>
    <m/>
    <s v="Company"/>
    <m/>
    <m/>
    <m/>
    <n v="2"/>
    <n v="9"/>
    <n v="7"/>
    <x v="9"/>
    <n v="2"/>
    <d v="2022-04-14T15:13:53"/>
    <s v=""/>
    <s v=""/>
    <s v=""/>
    <m/>
    <m/>
    <m/>
    <m/>
    <m/>
    <m/>
    <m/>
    <m/>
    <m/>
    <m/>
  </r>
  <r>
    <n v="1736"/>
    <s v="1736 | Finance"/>
    <x v="7"/>
    <s v="Finance - Senior"/>
    <s v="Fund Administrator"/>
    <s v="Finance-Fund Administrator"/>
    <s v="Senior"/>
    <d v="2021-12-31T15:13:53"/>
    <d v="2022-01-03T15:13:53"/>
    <s v="Yes"/>
    <d v="2022-01-18T15:13:53"/>
    <s v="Declined"/>
    <m/>
    <d v="2022-01-24T15:13:53"/>
    <s v="Declined"/>
    <m/>
    <m/>
    <d v="2022-01-22T15:13:53"/>
    <m/>
    <n v="0"/>
    <m/>
    <m/>
    <m/>
    <m/>
    <m/>
    <m/>
    <m/>
    <m/>
    <n v="3"/>
    <n v="18"/>
    <n v="15"/>
    <x v="7"/>
    <n v="4"/>
    <d v="2022-04-22T15:13:53"/>
    <s v=""/>
    <s v=""/>
    <s v=""/>
    <m/>
    <m/>
    <m/>
    <m/>
    <m/>
    <m/>
    <m/>
    <m/>
    <m/>
    <m/>
  </r>
  <r>
    <n v="1735"/>
    <s v="1735 | Finance"/>
    <x v="7"/>
    <s v="Finance - Senior"/>
    <s v="Fund Administrator"/>
    <s v="Finance-Fund Administrator"/>
    <s v="Senior"/>
    <d v="2022-01-01T15:13:53"/>
    <d v="2022-01-03T15:13:53"/>
    <s v="Yes"/>
    <d v="2022-01-13T15:13:53"/>
    <s v="Declined"/>
    <m/>
    <d v="2022-01-18T15:13:53"/>
    <s v="Declined"/>
    <m/>
    <m/>
    <d v="2022-01-16T15:13:53"/>
    <m/>
    <n v="0"/>
    <m/>
    <m/>
    <m/>
    <m/>
    <m/>
    <m/>
    <m/>
    <m/>
    <n v="2"/>
    <n v="12"/>
    <n v="10"/>
    <x v="16"/>
    <n v="3"/>
    <d v="2022-04-16T15:13:53"/>
    <s v=""/>
    <s v=""/>
    <s v=""/>
    <m/>
    <m/>
    <m/>
    <m/>
    <m/>
    <m/>
    <m/>
    <m/>
    <m/>
    <m/>
  </r>
  <r>
    <n v="1708"/>
    <s v="1708 | Finance"/>
    <x v="7"/>
    <s v="Finance - Senior"/>
    <s v="Fund Administrator"/>
    <s v="Finance-Fund Administrator"/>
    <s v="Senior"/>
    <d v="2023-03-03T18:01:56"/>
    <d v="2023-03-07T18:01:56"/>
    <s v="Yes"/>
    <d v="2023-03-13T18:01:56"/>
    <s v="Declined"/>
    <m/>
    <d v="2023-03-18T18:01:56"/>
    <s v="Declined"/>
    <m/>
    <m/>
    <d v="2023-03-14T18:01:56"/>
    <m/>
    <n v="0"/>
    <m/>
    <m/>
    <m/>
    <m/>
    <m/>
    <m/>
    <m/>
    <m/>
    <n v="4"/>
    <n v="10"/>
    <n v="6"/>
    <x v="9"/>
    <n v="1"/>
    <d v="2023-06-12T18:01:56"/>
    <s v=""/>
    <s v=""/>
    <s v=""/>
    <m/>
    <m/>
    <m/>
    <m/>
    <m/>
    <m/>
    <m/>
    <m/>
    <m/>
    <m/>
  </r>
  <r>
    <n v="1703"/>
    <s v="1703 | Finance"/>
    <x v="7"/>
    <s v="Finance - Senior"/>
    <s v="Fund Administrator"/>
    <s v="Finance-Fund Administrator"/>
    <s v="Senior"/>
    <d v="2023-03-03T18:01:56"/>
    <d v="2023-03-07T18:01:56"/>
    <s v="Yes"/>
    <d v="2023-03-19T18:01:56"/>
    <s v="Declined"/>
    <m/>
    <d v="2023-03-25T18:01:56"/>
    <s v="Declined"/>
    <m/>
    <m/>
    <d v="2023-03-21T18:01:56"/>
    <m/>
    <n v="0"/>
    <m/>
    <m/>
    <m/>
    <m/>
    <m/>
    <m/>
    <m/>
    <m/>
    <n v="4"/>
    <n v="16"/>
    <n v="12"/>
    <x v="12"/>
    <n v="2"/>
    <d v="2023-06-19T18:01:56"/>
    <s v=""/>
    <s v=""/>
    <s v=""/>
    <m/>
    <m/>
    <m/>
    <m/>
    <m/>
    <m/>
    <m/>
    <m/>
    <m/>
    <m/>
  </r>
  <r>
    <n v="1701"/>
    <s v="1701 | Finance"/>
    <x v="7"/>
    <s v="Finance - Senior"/>
    <s v="Fund Administrator"/>
    <s v="Finance-Fund Administrator"/>
    <s v="Senior"/>
    <d v="2023-02-28T18:01:56"/>
    <d v="2023-03-03T18:01:56"/>
    <s v="Yes"/>
    <d v="2023-03-27T18:01:56"/>
    <s v="Declined"/>
    <m/>
    <d v="2023-03-31T18:01:56"/>
    <s v="Declined"/>
    <m/>
    <m/>
    <d v="2023-03-28T18:01:56"/>
    <m/>
    <n v="0"/>
    <m/>
    <m/>
    <m/>
    <m/>
    <m/>
    <m/>
    <m/>
    <m/>
    <n v="3"/>
    <n v="27"/>
    <n v="24"/>
    <x v="6"/>
    <n v="1"/>
    <d v="2023-06-26T18:01:56"/>
    <s v=""/>
    <s v=""/>
    <s v=""/>
    <m/>
    <m/>
    <m/>
    <m/>
    <m/>
    <m/>
    <m/>
    <m/>
    <m/>
    <m/>
  </r>
  <r>
    <n v="1678"/>
    <s v="1678 | Finance"/>
    <x v="7"/>
    <s v="Finance - Senior"/>
    <s v="Fund Administrator"/>
    <s v="Finance-Fund Administrator"/>
    <s v="Senior"/>
    <d v="2022-11-04T03:27:45"/>
    <d v="2022-11-07T03:27:45"/>
    <s v="Yes"/>
    <d v="2022-11-19T03:27:45"/>
    <s v="Failed"/>
    <s v="Salary expectation too high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1675"/>
    <s v="1675 | Finance"/>
    <x v="7"/>
    <s v="Finance - Senior"/>
    <s v="Fund Administrator"/>
    <s v="Finance-Fund Administrator"/>
    <s v="Senior"/>
    <d v="2022-11-08T03:27:45"/>
    <d v="2022-11-09T03:27:4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638"/>
    <s v="1638 | Finance"/>
    <x v="7"/>
    <s v="Finance - Senior"/>
    <s v="Fund Administrator"/>
    <s v="Finance-Fund Administrator"/>
    <s v="Senior"/>
    <d v="2023-09-03T07:41:24"/>
    <d v="2023-09-05T07:41:24"/>
    <s v="Yes"/>
    <d v="2023-09-18T07:41:24"/>
    <s v="Pending"/>
    <m/>
    <d v="2023-09-20T07:41:24"/>
    <s v="Pending"/>
    <m/>
    <m/>
    <d v="2023-09-19T07:41:24"/>
    <m/>
    <n v="0"/>
    <m/>
    <m/>
    <m/>
    <m/>
    <m/>
    <m/>
    <m/>
    <m/>
    <n v="2"/>
    <n v="15"/>
    <n v="13"/>
    <x v="20"/>
    <n v="1"/>
    <d v="2023-12-18T07:41:24"/>
    <s v=""/>
    <s v=""/>
    <s v=""/>
    <m/>
    <m/>
    <m/>
    <m/>
    <m/>
    <m/>
    <m/>
    <m/>
    <m/>
    <m/>
  </r>
  <r>
    <n v="1636"/>
    <s v="1636 | Finance"/>
    <x v="7"/>
    <s v="Finance - Senior"/>
    <s v="Fund Administrator"/>
    <s v="Finance-Fund Administrator"/>
    <s v="Senior"/>
    <d v="2023-09-07T07:41:24"/>
    <d v="2023-09-08T07:41:24"/>
    <s v="Yes"/>
    <d v="2023-09-14T07:41:24"/>
    <s v="Failed"/>
    <s v="Other"/>
    <m/>
    <m/>
    <m/>
    <m/>
    <d v="2023-09-16T07:41:24"/>
    <m/>
    <n v="0"/>
    <m/>
    <m/>
    <m/>
    <m/>
    <s v="Candidate"/>
    <m/>
    <m/>
    <m/>
    <n v="1"/>
    <n v="7"/>
    <n v="6"/>
    <x v="4"/>
    <n v="2"/>
    <d v="2023-12-15T07:41:24"/>
    <s v=""/>
    <s v=""/>
    <s v=""/>
    <m/>
    <m/>
    <m/>
    <m/>
    <m/>
    <m/>
    <m/>
    <m/>
    <m/>
    <m/>
  </r>
  <r>
    <n v="1633"/>
    <s v="1633 | Finance"/>
    <x v="7"/>
    <s v="Finance - Senior"/>
    <s v="Fund Administrator"/>
    <s v="Finance-Fund Administrator"/>
    <s v="Senior"/>
    <d v="2023-09-07T07:41:24"/>
    <d v="2023-09-08T07:41:24"/>
    <s v="Yes"/>
    <d v="2023-09-12T07:41:24"/>
    <s v="Failed"/>
    <s v="Position filled by another"/>
    <m/>
    <m/>
    <m/>
    <m/>
    <m/>
    <m/>
    <n v="0"/>
    <m/>
    <m/>
    <m/>
    <m/>
    <s v="Company"/>
    <m/>
    <m/>
    <m/>
    <n v="1"/>
    <n v="5"/>
    <n v="4"/>
    <x v="0"/>
    <s v=""/>
    <s v=""/>
    <s v=""/>
    <s v=""/>
    <s v=""/>
    <m/>
    <m/>
    <m/>
    <m/>
    <m/>
    <m/>
    <m/>
    <m/>
    <m/>
    <m/>
  </r>
  <r>
    <n v="1567"/>
    <s v="1567 | Finance"/>
    <x v="7"/>
    <s v="Finance - Senior"/>
    <s v="Fund Administrator"/>
    <s v="Finance-Fund Administrator"/>
    <s v="Senior"/>
    <d v="2022-03-18T11:46:18"/>
    <d v="2022-03-20T11:46:18"/>
    <s v="Yes"/>
    <d v="2022-04-09T11:46:18"/>
    <s v="Accepted"/>
    <m/>
    <d v="2022-04-12T11:46:18"/>
    <s v="Accepted"/>
    <d v="2022-04-10T11:46:18"/>
    <d v="2022-04-12T11:46:18"/>
    <d v="2022-04-11T11:46:18"/>
    <d v="2022-04-19T11:46:18"/>
    <n v="1"/>
    <d v="2022-04-22T11:46:18"/>
    <d v="2022-04-25T11:46:18"/>
    <d v="2022-04-27T11:46:18"/>
    <m/>
    <m/>
    <d v="2022-05-06T11:46:18"/>
    <m/>
    <m/>
    <n v="2"/>
    <n v="22"/>
    <n v="20"/>
    <x v="21"/>
    <n v="2"/>
    <d v="2022-07-10T11:46:18"/>
    <n v="3"/>
    <n v="25"/>
    <n v="16"/>
    <m/>
    <m/>
    <m/>
    <m/>
    <m/>
    <m/>
    <m/>
    <m/>
    <m/>
    <m/>
  </r>
  <r>
    <n v="1564"/>
    <s v="1564 | Finance"/>
    <x v="7"/>
    <s v="Finance - Senior"/>
    <s v="Fund Administrator"/>
    <s v="Finance-Fund Administrator"/>
    <s v="Senior"/>
    <d v="2022-03-15T11:46:18"/>
    <d v="2022-03-19T11:46:1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562"/>
    <s v="1562 | Finance"/>
    <x v="7"/>
    <s v="Finance - Senior"/>
    <s v="Fund Administrator"/>
    <s v="Finance-Fund Administrator"/>
    <s v="Senior"/>
    <d v="2022-03-18T11:46:18"/>
    <d v="2022-03-22T11:46:18"/>
    <s v="Yes"/>
    <d v="2022-03-30T11:46:18"/>
    <s v="Accepted"/>
    <m/>
    <d v="2022-04-03T11:46:18"/>
    <s v="Accepted"/>
    <d v="2022-03-31T11:46:18"/>
    <d v="2022-04-03T11:46:18"/>
    <d v="2022-04-01T11:46:18"/>
    <d v="2022-04-07T11:46:18"/>
    <n v="1"/>
    <d v="2022-04-10T11:46:18"/>
    <d v="2022-04-12T11:46:18"/>
    <d v="2022-04-13T11:46:18"/>
    <m/>
    <m/>
    <d v="2022-04-24T11:46:18"/>
    <m/>
    <m/>
    <n v="4"/>
    <n v="12"/>
    <n v="8"/>
    <x v="1"/>
    <n v="2"/>
    <d v="2022-06-30T11:46:18"/>
    <n v="3"/>
    <n v="23"/>
    <n v="12"/>
    <m/>
    <m/>
    <m/>
    <m/>
    <m/>
    <m/>
    <m/>
    <m/>
    <m/>
    <m/>
  </r>
  <r>
    <n v="1549"/>
    <s v="1549 | Finance"/>
    <x v="7"/>
    <s v="Finance - Senior"/>
    <s v="Fund Administrator"/>
    <s v="Finance-Fund Administrator"/>
    <s v="Senior"/>
    <d v="2023-05-25T20:23:44"/>
    <d v="2023-05-29T20:23:44"/>
    <s v="Yes"/>
    <d v="2023-06-11T20:23:44"/>
    <s v="Failed"/>
    <s v="Didn't pass technical test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1542"/>
    <s v="1542 | Finance"/>
    <x v="7"/>
    <s v="Finance - Senior"/>
    <s v="Fund Administrator"/>
    <s v="Finance-Fund Administrator"/>
    <s v="Senior"/>
    <d v="2023-05-23T20:23:44"/>
    <d v="2023-05-27T20:23:44"/>
    <s v="Yes"/>
    <d v="2023-06-17T20:23:44"/>
    <s v="Failed"/>
    <s v="Other"/>
    <m/>
    <m/>
    <m/>
    <m/>
    <d v="2023-06-20T20:23:44"/>
    <m/>
    <n v="0"/>
    <m/>
    <m/>
    <m/>
    <m/>
    <s v="Candidate"/>
    <m/>
    <m/>
    <m/>
    <n v="4"/>
    <n v="25"/>
    <n v="21"/>
    <x v="6"/>
    <n v="3"/>
    <d v="2023-09-18T20:23:44"/>
    <s v=""/>
    <s v=""/>
    <s v=""/>
    <m/>
    <m/>
    <m/>
    <m/>
    <m/>
    <m/>
    <m/>
    <m/>
    <m/>
    <m/>
  </r>
  <r>
    <n v="1526"/>
    <s v="1526 | Finance"/>
    <x v="7"/>
    <s v="Finance - Senior"/>
    <s v="Fund Administrator"/>
    <s v="Finance-Fund Administrator"/>
    <s v="Senior"/>
    <d v="2023-01-02T00:36:18"/>
    <d v="2023-01-05T00:36:18"/>
    <s v="Yes"/>
    <d v="2023-01-14T00:36:18"/>
    <s v="Declined"/>
    <m/>
    <d v="2023-01-19T00:36:18"/>
    <s v="Declined"/>
    <m/>
    <m/>
    <d v="2023-01-15T00:36:18"/>
    <m/>
    <n v="0"/>
    <m/>
    <m/>
    <m/>
    <m/>
    <m/>
    <m/>
    <m/>
    <m/>
    <n v="3"/>
    <n v="12"/>
    <n v="9"/>
    <x v="8"/>
    <n v="1"/>
    <d v="2023-04-15T00:36:18"/>
    <s v=""/>
    <s v=""/>
    <s v=""/>
    <m/>
    <m/>
    <m/>
    <m/>
    <m/>
    <m/>
    <m/>
    <m/>
    <m/>
    <m/>
  </r>
  <r>
    <n v="1521"/>
    <s v="1521 | Finance"/>
    <x v="7"/>
    <s v="Finance - Senior"/>
    <s v="Fund Administrator"/>
    <s v="Finance-Fund Administrator"/>
    <s v="Senior"/>
    <d v="2022-12-30T00:36:18"/>
    <d v="2023-01-01T00:36:18"/>
    <s v="Yes"/>
    <d v="2023-01-10T00:36:18"/>
    <s v="Failed"/>
    <s v="Position filled by another"/>
    <m/>
    <m/>
    <m/>
    <m/>
    <m/>
    <m/>
    <n v="0"/>
    <m/>
    <m/>
    <m/>
    <m/>
    <s v="Company"/>
    <m/>
    <m/>
    <m/>
    <n v="2"/>
    <n v="11"/>
    <n v="9"/>
    <x v="0"/>
    <s v=""/>
    <s v=""/>
    <s v=""/>
    <s v=""/>
    <s v=""/>
    <m/>
    <m/>
    <m/>
    <m/>
    <m/>
    <m/>
    <m/>
    <m/>
    <m/>
    <m/>
  </r>
  <r>
    <n v="1517"/>
    <s v="1517 | Finance"/>
    <x v="7"/>
    <s v="Finance - Senior"/>
    <s v="Fund Administrator"/>
    <s v="Finance-Fund Administrator"/>
    <s v="Senior"/>
    <d v="2022-12-27T05:00:38"/>
    <d v="2022-12-30T05:00:38"/>
    <s v="Yes"/>
    <d v="2023-01-06T05:00:38"/>
    <s v="Accepted"/>
    <m/>
    <d v="2023-01-12T05:00:38"/>
    <s v="Accepted"/>
    <d v="2023-01-07T05:00:38"/>
    <d v="2023-01-10T05:00:38"/>
    <d v="2023-01-08T05:00:38"/>
    <d v="2023-01-09T05:00:38"/>
    <n v="1"/>
    <d v="2023-01-12T05:00:38"/>
    <d v="2023-01-15T05:00:38"/>
    <d v="2023-01-16T05:00:38"/>
    <m/>
    <m/>
    <d v="2023-01-31T05:00:38"/>
    <m/>
    <m/>
    <n v="3"/>
    <n v="10"/>
    <n v="7"/>
    <x v="24"/>
    <n v="2"/>
    <d v="2023-04-08T05:00:38"/>
    <n v="3"/>
    <n v="23"/>
    <n v="8"/>
    <m/>
    <m/>
    <m/>
    <m/>
    <m/>
    <m/>
    <m/>
    <m/>
    <m/>
    <m/>
  </r>
  <r>
    <n v="1400"/>
    <s v="1400 | Finance"/>
    <x v="7"/>
    <s v="Finance - Senior"/>
    <s v="Fund Administrator"/>
    <s v="Finance-Fund Administrator"/>
    <s v="Senior"/>
    <d v="2022-08-14T08:38:11"/>
    <d v="2022-08-17T08:38:11"/>
    <s v="Yes"/>
    <d v="2022-09-02T08:38:11"/>
    <s v="Declined"/>
    <m/>
    <d v="2022-09-09T08:38:11"/>
    <s v="Declined"/>
    <m/>
    <m/>
    <d v="2022-09-05T08:38:11"/>
    <m/>
    <n v="0"/>
    <m/>
    <m/>
    <m/>
    <m/>
    <m/>
    <m/>
    <m/>
    <m/>
    <n v="3"/>
    <n v="19"/>
    <n v="16"/>
    <x v="7"/>
    <n v="3"/>
    <d v="2022-12-04T08:38:11"/>
    <s v=""/>
    <s v=""/>
    <s v=""/>
    <m/>
    <m/>
    <m/>
    <m/>
    <m/>
    <m/>
    <m/>
    <m/>
    <m/>
    <m/>
  </r>
  <r>
    <n v="1396"/>
    <s v="1396 | Finance"/>
    <x v="7"/>
    <s v="Finance - Senior"/>
    <s v="Fund Administrator"/>
    <s v="Finance-Fund Administrator"/>
    <s v="Senior"/>
    <d v="2022-08-16T08:38:11"/>
    <d v="2022-08-17T08:38:1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340"/>
    <s v="1340 | Finance"/>
    <x v="7"/>
    <s v="Finance - Senior"/>
    <s v="Fund Administrator"/>
    <s v="Finance-Fund Administrator"/>
    <s v="Senior"/>
    <d v="2023-08-27T16:35:04"/>
    <d v="2023-08-31T16:35:0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337"/>
    <s v="1337 | Finance"/>
    <x v="7"/>
    <s v="Finance - Senior"/>
    <s v="Fund Administrator"/>
    <s v="Finance-Fund Administrator"/>
    <s v="Senior"/>
    <d v="2023-08-29T16:35:04"/>
    <d v="2023-08-31T16:35:04"/>
    <s v="Yes"/>
    <d v="2023-09-21T16:35:04"/>
    <s v="Failed"/>
    <s v="Not a culture fit"/>
    <m/>
    <m/>
    <m/>
    <m/>
    <m/>
    <m/>
    <n v="0"/>
    <m/>
    <m/>
    <m/>
    <m/>
    <s v="Candidate"/>
    <m/>
    <m/>
    <m/>
    <n v="2"/>
    <n v="23"/>
    <n v="21"/>
    <x v="0"/>
    <s v=""/>
    <s v=""/>
    <s v=""/>
    <s v=""/>
    <s v=""/>
    <m/>
    <m/>
    <m/>
    <m/>
    <m/>
    <m/>
    <m/>
    <m/>
    <m/>
    <m/>
  </r>
  <r>
    <n v="1309"/>
    <s v="1309 | Finance"/>
    <x v="7"/>
    <s v="Finance - Senior"/>
    <s v="Fund Administrator"/>
    <s v="Finance-Fund Administrator"/>
    <s v="Senior"/>
    <d v="2022-12-20T04:33:07"/>
    <d v="2022-12-23T04:33:07"/>
    <s v="Yes"/>
    <d v="2023-01-08T04:33:07"/>
    <s v="Pending"/>
    <m/>
    <d v="2023-01-12T04:33:07"/>
    <s v="Pending"/>
    <m/>
    <m/>
    <d v="2023-01-10T04:33:07"/>
    <m/>
    <n v="0"/>
    <m/>
    <m/>
    <m/>
    <m/>
    <m/>
    <m/>
    <m/>
    <m/>
    <n v="3"/>
    <n v="19"/>
    <n v="16"/>
    <x v="19"/>
    <n v="2"/>
    <d v="2023-04-10T04:33:07"/>
    <s v=""/>
    <s v=""/>
    <s v=""/>
    <m/>
    <m/>
    <m/>
    <m/>
    <m/>
    <m/>
    <m/>
    <m/>
    <m/>
    <m/>
  </r>
  <r>
    <n v="1270"/>
    <s v="1270 | Finance"/>
    <x v="7"/>
    <s v="Finance - Senior"/>
    <s v="Fund Administrator"/>
    <s v="Finance-Fund Administrator"/>
    <s v="Senior"/>
    <d v="2023-03-14T21:55:08"/>
    <d v="2023-03-15T21:55:08"/>
    <s v="Yes"/>
    <d v="2023-03-27T21:55:08"/>
    <s v="Accepted"/>
    <m/>
    <d v="2023-04-02T21:55:08"/>
    <s v="Accepted"/>
    <d v="2023-03-29T21:55:08"/>
    <d v="2023-04-01T21:55:08"/>
    <d v="2023-03-31T21:55:08"/>
    <d v="2023-04-06T21:55:08"/>
    <n v="1"/>
    <d v="2023-04-08T21:55:08"/>
    <d v="2023-04-11T21:55:08"/>
    <d v="2023-04-13T21:55:08"/>
    <m/>
    <m/>
    <d v="2023-04-22T21:55:08"/>
    <m/>
    <m/>
    <n v="1"/>
    <n v="13"/>
    <n v="12"/>
    <x v="14"/>
    <n v="4"/>
    <d v="2023-06-29T21:55:08"/>
    <n v="2"/>
    <n v="22"/>
    <n v="13"/>
    <m/>
    <m/>
    <m/>
    <m/>
    <m/>
    <m/>
    <m/>
    <m/>
    <m/>
    <m/>
  </r>
  <r>
    <n v="1269"/>
    <s v="1269 | Finance"/>
    <x v="7"/>
    <s v="Finance - Senior"/>
    <s v="Fund Administrator"/>
    <s v="Finance-Fund Administrator"/>
    <s v="Senior"/>
    <d v="2023-03-12T21:55:08"/>
    <d v="2023-03-16T21:55:08"/>
    <s v="Yes"/>
    <d v="2023-04-04T21:55:08"/>
    <s v="Pending"/>
    <m/>
    <d v="2023-04-08T21:55:08"/>
    <s v="Pending"/>
    <m/>
    <m/>
    <d v="2023-04-05T21:55:08"/>
    <m/>
    <n v="0"/>
    <m/>
    <m/>
    <m/>
    <m/>
    <m/>
    <m/>
    <m/>
    <m/>
    <n v="4"/>
    <n v="23"/>
    <n v="19"/>
    <x v="21"/>
    <n v="1"/>
    <d v="2023-07-04T21:55:08"/>
    <s v=""/>
    <s v=""/>
    <s v=""/>
    <m/>
    <m/>
    <m/>
    <m/>
    <m/>
    <m/>
    <m/>
    <m/>
    <m/>
    <m/>
  </r>
  <r>
    <n v="1268"/>
    <s v="1268 | Finance"/>
    <x v="7"/>
    <s v="Finance - Senior"/>
    <s v="Fund Administrator"/>
    <s v="Finance-Fund Administrator"/>
    <s v="Senior"/>
    <d v="2023-03-14T21:55:08"/>
    <d v="2023-03-16T21:55:08"/>
    <s v="Yes"/>
    <d v="2023-04-03T21:55:08"/>
    <s v="Declined"/>
    <m/>
    <d v="2023-04-08T21:55:08"/>
    <s v="Declined"/>
    <m/>
    <m/>
    <d v="2023-04-04T21:55:08"/>
    <m/>
    <n v="0"/>
    <m/>
    <m/>
    <m/>
    <m/>
    <m/>
    <m/>
    <m/>
    <m/>
    <n v="2"/>
    <n v="20"/>
    <n v="18"/>
    <x v="19"/>
    <n v="1"/>
    <d v="2023-07-03T21:55:08"/>
    <s v=""/>
    <s v=""/>
    <s v=""/>
    <m/>
    <m/>
    <m/>
    <m/>
    <m/>
    <m/>
    <m/>
    <m/>
    <m/>
    <m/>
  </r>
  <r>
    <n v="1264"/>
    <s v="1264 | Finance"/>
    <x v="7"/>
    <s v="Finance - Senior"/>
    <s v="Fund Administrator"/>
    <s v="Finance-Fund Administrator"/>
    <s v="Senior"/>
    <d v="2023-03-10T21:55:08"/>
    <d v="2023-03-14T21:55:08"/>
    <s v="Yes"/>
    <d v="2023-03-27T21:55:08"/>
    <s v="Declined"/>
    <m/>
    <d v="2023-04-02T21:55:08"/>
    <s v="Declined"/>
    <m/>
    <m/>
    <d v="2023-03-31T21:55:08"/>
    <m/>
    <n v="0"/>
    <m/>
    <m/>
    <m/>
    <m/>
    <m/>
    <m/>
    <m/>
    <m/>
    <n v="4"/>
    <n v="17"/>
    <n v="13"/>
    <x v="19"/>
    <n v="4"/>
    <d v="2023-06-29T21:55:08"/>
    <s v=""/>
    <s v=""/>
    <s v=""/>
    <m/>
    <m/>
    <m/>
    <m/>
    <m/>
    <m/>
    <m/>
    <m/>
    <m/>
    <m/>
  </r>
  <r>
    <n v="1259"/>
    <s v="1259 | Finance"/>
    <x v="7"/>
    <s v="Finance - Senior"/>
    <s v="Fund Administrator"/>
    <s v="Finance-Fund Administrator"/>
    <s v="Senior"/>
    <d v="2022-06-23T04:05:26"/>
    <d v="2022-06-26T04:05:2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254"/>
    <s v="1254 | Finance"/>
    <x v="7"/>
    <s v="Finance - Senior"/>
    <s v="Fund Administrator"/>
    <s v="Finance-Fund Administrator"/>
    <s v="Senior"/>
    <d v="2022-06-27T04:05:26"/>
    <d v="2022-06-28T04:05:26"/>
    <s v="Yes"/>
    <d v="2022-07-09T04:05:26"/>
    <s v="Failed"/>
    <s v="Other"/>
    <m/>
    <m/>
    <m/>
    <m/>
    <d v="2022-07-12T04:05:26"/>
    <m/>
    <n v="0"/>
    <m/>
    <m/>
    <m/>
    <m/>
    <s v="Candidate"/>
    <m/>
    <m/>
    <m/>
    <n v="1"/>
    <n v="12"/>
    <n v="11"/>
    <x v="16"/>
    <n v="3"/>
    <d v="2022-10-10T04:05:26"/>
    <s v=""/>
    <s v=""/>
    <s v=""/>
    <m/>
    <m/>
    <m/>
    <m/>
    <m/>
    <m/>
    <m/>
    <m/>
    <m/>
    <m/>
  </r>
  <r>
    <n v="1251"/>
    <s v="1251 | Finance"/>
    <x v="7"/>
    <s v="Finance - Senior"/>
    <s v="Fund Administrator"/>
    <s v="Finance-Fund Administrator"/>
    <s v="Senior"/>
    <d v="2022-06-21T04:05:26"/>
    <d v="2022-06-25T04:05:26"/>
    <s v="Yes"/>
    <d v="2022-07-16T04:05:26"/>
    <s v="Failed"/>
    <s v="Salary expectation too high"/>
    <m/>
    <m/>
    <m/>
    <m/>
    <m/>
    <m/>
    <n v="0"/>
    <m/>
    <m/>
    <m/>
    <m/>
    <s v="Company"/>
    <m/>
    <m/>
    <m/>
    <n v="4"/>
    <n v="25"/>
    <n v="21"/>
    <x v="0"/>
    <s v=""/>
    <s v=""/>
    <s v=""/>
    <s v=""/>
    <s v=""/>
    <m/>
    <m/>
    <m/>
    <m/>
    <m/>
    <m/>
    <m/>
    <m/>
    <m/>
    <m/>
  </r>
  <r>
    <n v="1144"/>
    <s v="1144 | Finance"/>
    <x v="7"/>
    <s v="Finance - Senior"/>
    <s v="Fund Administrator"/>
    <s v="Finance-Fund Administrator"/>
    <s v="Senior"/>
    <d v="2023-08-01T01:36:53"/>
    <d v="2023-08-05T01:36:53"/>
    <s v="Yes"/>
    <d v="2023-08-16T01:36:53"/>
    <s v="Failed"/>
    <s v="Position filled by another"/>
    <m/>
    <m/>
    <m/>
    <m/>
    <m/>
    <m/>
    <n v="0"/>
    <m/>
    <m/>
    <m/>
    <m/>
    <s v="Company"/>
    <m/>
    <m/>
    <m/>
    <n v="4"/>
    <n v="15"/>
    <n v="11"/>
    <x v="0"/>
    <s v=""/>
    <s v=""/>
    <s v=""/>
    <s v=""/>
    <s v=""/>
    <m/>
    <m/>
    <m/>
    <m/>
    <m/>
    <m/>
    <m/>
    <m/>
    <m/>
    <m/>
  </r>
  <r>
    <n v="1142"/>
    <s v="1142 | Finance"/>
    <x v="7"/>
    <s v="Finance - Senior"/>
    <s v="Fund Administrator"/>
    <s v="Finance-Fund Administrator"/>
    <s v="Senior"/>
    <d v="2023-08-03T01:36:53"/>
    <d v="2023-08-07T01:36:53"/>
    <s v="Yes"/>
    <d v="2023-08-17T01:36:53"/>
    <s v="Declined"/>
    <m/>
    <d v="2023-08-24T01:36:53"/>
    <s v="Declined"/>
    <m/>
    <m/>
    <d v="2023-08-21T01:36:53"/>
    <m/>
    <n v="0"/>
    <m/>
    <m/>
    <m/>
    <m/>
    <m/>
    <m/>
    <m/>
    <m/>
    <n v="4"/>
    <n v="14"/>
    <n v="10"/>
    <x v="12"/>
    <n v="4"/>
    <d v="2023-11-19T01:36:53"/>
    <s v=""/>
    <s v=""/>
    <s v=""/>
    <m/>
    <m/>
    <m/>
    <m/>
    <m/>
    <m/>
    <m/>
    <m/>
    <m/>
    <m/>
  </r>
  <r>
    <n v="1141"/>
    <s v="1141 | Finance"/>
    <x v="7"/>
    <s v="Finance - Senior"/>
    <s v="Fund Administrator"/>
    <s v="Finance-Fund Administrator"/>
    <s v="Senior"/>
    <d v="2023-08-07T01:36:53"/>
    <d v="2023-08-08T01:36:5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116"/>
    <s v="1116 | Finance"/>
    <x v="7"/>
    <s v="Finance - Senior"/>
    <s v="Fund Administrator"/>
    <s v="Finance-Fund Administrator"/>
    <s v="Senior"/>
    <d v="2023-04-07T06:23:43"/>
    <d v="2023-04-08T06:23:43"/>
    <s v="Yes"/>
    <d v="2023-04-20T06:23:43"/>
    <s v="Failed"/>
    <s v="Salary expectation too high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1066"/>
    <s v="1066 | Finance"/>
    <x v="7"/>
    <s v="Finance - Senior"/>
    <s v="Fund Administrator"/>
    <s v="Finance-Fund Administrator"/>
    <s v="Senior"/>
    <d v="2022-08-06T09:56:30"/>
    <d v="2022-08-10T09:56:30"/>
    <s v="Yes"/>
    <d v="2022-08-19T09:56:30"/>
    <s v="Declined"/>
    <m/>
    <d v="2022-08-23T09:56:30"/>
    <s v="Declined"/>
    <m/>
    <m/>
    <d v="2022-08-21T09:56:30"/>
    <m/>
    <n v="0"/>
    <m/>
    <m/>
    <m/>
    <m/>
    <m/>
    <m/>
    <m/>
    <m/>
    <n v="4"/>
    <n v="13"/>
    <n v="9"/>
    <x v="16"/>
    <n v="2"/>
    <d v="2022-11-19T09:56:30"/>
    <s v=""/>
    <s v=""/>
    <s v=""/>
    <m/>
    <m/>
    <m/>
    <m/>
    <m/>
    <m/>
    <m/>
    <m/>
    <m/>
    <m/>
  </r>
  <r>
    <n v="1015"/>
    <s v="1015 | Finance"/>
    <x v="7"/>
    <s v="Finance - Senior"/>
    <s v="Fund Administrator"/>
    <s v="Finance-Fund Administrator"/>
    <s v="Senior"/>
    <d v="2022-02-02T07:54:35"/>
    <d v="2022-02-04T07:54:35"/>
    <s v="Yes"/>
    <d v="2022-02-19T07:54:35"/>
    <s v="Declined"/>
    <m/>
    <d v="2022-02-23T07:54:35"/>
    <s v="Declined"/>
    <m/>
    <m/>
    <d v="2022-02-21T07:54:35"/>
    <m/>
    <n v="0"/>
    <m/>
    <m/>
    <m/>
    <m/>
    <m/>
    <m/>
    <m/>
    <m/>
    <n v="2"/>
    <n v="17"/>
    <n v="15"/>
    <x v="13"/>
    <n v="2"/>
    <d v="2022-05-22T07:54:35"/>
    <s v=""/>
    <s v=""/>
    <s v=""/>
    <m/>
    <m/>
    <m/>
    <m/>
    <m/>
    <m/>
    <m/>
    <m/>
    <m/>
    <m/>
  </r>
  <r>
    <n v="1014"/>
    <s v="1014 | Finance"/>
    <x v="7"/>
    <s v="Finance - Senior"/>
    <s v="Fund Administrator"/>
    <s v="Finance-Fund Administrator"/>
    <s v="Senior"/>
    <d v="2022-02-06T07:54:35"/>
    <d v="2022-02-07T07:54:35"/>
    <s v="Yes"/>
    <d v="2022-02-15T07:54:35"/>
    <s v="Failed"/>
    <s v="Salary expectation too high"/>
    <m/>
    <m/>
    <m/>
    <m/>
    <m/>
    <m/>
    <n v="0"/>
    <m/>
    <m/>
    <m/>
    <m/>
    <s v="Candidate"/>
    <m/>
    <m/>
    <m/>
    <n v="1"/>
    <n v="9"/>
    <n v="8"/>
    <x v="0"/>
    <s v=""/>
    <s v=""/>
    <s v=""/>
    <s v=""/>
    <s v=""/>
    <m/>
    <m/>
    <m/>
    <m/>
    <m/>
    <m/>
    <m/>
    <m/>
    <m/>
    <m/>
  </r>
  <r>
    <n v="980"/>
    <s v="980 | Finance"/>
    <x v="7"/>
    <s v="Finance - Senior"/>
    <s v="Fund Administrator"/>
    <s v="Finance-Fund Administrator"/>
    <s v="Senior"/>
    <d v="2022-07-17T16:46:55"/>
    <d v="2022-07-20T16:46:5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976"/>
    <s v="976 | Finance"/>
    <x v="7"/>
    <s v="Finance - Senior"/>
    <s v="Fund Administrator"/>
    <s v="Finance-Fund Administrator"/>
    <s v="Senior"/>
    <d v="2022-07-19T16:46:55"/>
    <d v="2022-07-21T16:46:55"/>
    <s v="Yes"/>
    <d v="2022-08-04T16:46:55"/>
    <s v="Failed"/>
    <s v="Didn't pass technical test"/>
    <m/>
    <m/>
    <m/>
    <m/>
    <d v="2022-08-05T16:46:55"/>
    <m/>
    <n v="0"/>
    <m/>
    <m/>
    <m/>
    <m/>
    <s v="Company"/>
    <m/>
    <m/>
    <m/>
    <n v="2"/>
    <n v="16"/>
    <n v="14"/>
    <x v="14"/>
    <n v="1"/>
    <d v="2022-11-03T16:46:55"/>
    <s v=""/>
    <s v=""/>
    <s v=""/>
    <m/>
    <m/>
    <m/>
    <m/>
    <m/>
    <m/>
    <m/>
    <m/>
    <m/>
    <m/>
  </r>
  <r>
    <n v="973"/>
    <s v="973 | Finance"/>
    <x v="7"/>
    <s v="Finance - Senior"/>
    <s v="Fund Administrator"/>
    <s v="Finance-Fund Administrator"/>
    <s v="Senior"/>
    <d v="2022-07-13T16:46:55"/>
    <d v="2022-07-17T16:46:55"/>
    <s v="Yes"/>
    <d v="2022-07-31T16:46:55"/>
    <s v="Failed"/>
    <s v="Position filled by another"/>
    <m/>
    <m/>
    <m/>
    <m/>
    <d v="2022-08-01T16:46:55"/>
    <m/>
    <n v="0"/>
    <m/>
    <m/>
    <m/>
    <m/>
    <s v="Company"/>
    <m/>
    <m/>
    <m/>
    <n v="4"/>
    <n v="18"/>
    <n v="14"/>
    <x v="13"/>
    <n v="1"/>
    <d v="2022-10-30T16:46:55"/>
    <s v=""/>
    <s v=""/>
    <s v=""/>
    <m/>
    <m/>
    <m/>
    <m/>
    <m/>
    <m/>
    <m/>
    <m/>
    <m/>
    <m/>
  </r>
  <r>
    <n v="968"/>
    <s v="968 | Finance"/>
    <x v="7"/>
    <s v="Finance - Senior"/>
    <s v="Fund Administrator"/>
    <s v="Finance-Fund Administrator"/>
    <s v="Senior"/>
    <d v="2023-07-14T08:10:15"/>
    <d v="2023-07-15T08:10:15"/>
    <s v="Yes"/>
    <d v="2023-07-26T08:10:15"/>
    <s v="Accepted"/>
    <m/>
    <d v="2023-07-30T08:10:15"/>
    <s v="Accepted"/>
    <d v="2023-07-28T08:10:15"/>
    <d v="2023-07-31T08:10:15"/>
    <d v="2023-07-27T08:10:15"/>
    <d v="2023-07-31T08:10:15"/>
    <n v="1"/>
    <d v="2023-08-01T08:10:15"/>
    <d v="2023-08-04T08:10:15"/>
    <d v="2023-08-05T08:10:15"/>
    <m/>
    <m/>
    <d v="2023-08-25T08:10:15"/>
    <m/>
    <m/>
    <n v="1"/>
    <n v="12"/>
    <n v="11"/>
    <x v="8"/>
    <n v="1"/>
    <d v="2023-10-25T08:10:15"/>
    <n v="1"/>
    <n v="29"/>
    <n v="9"/>
    <m/>
    <m/>
    <m/>
    <m/>
    <m/>
    <m/>
    <m/>
    <m/>
    <m/>
    <m/>
  </r>
  <r>
    <n v="967"/>
    <s v="967 | Finance"/>
    <x v="7"/>
    <s v="Finance - Senior"/>
    <s v="Fund Administrator"/>
    <s v="Finance-Fund Administrator"/>
    <s v="Senior"/>
    <d v="2023-07-15T08:10:15"/>
    <d v="2023-07-19T08:10:15"/>
    <s v="Yes"/>
    <d v="2023-08-01T08:10:15"/>
    <s v="Pending"/>
    <m/>
    <d v="2023-08-05T08:10:15"/>
    <s v="Pending"/>
    <m/>
    <m/>
    <d v="2023-08-02T08:10:15"/>
    <m/>
    <n v="0"/>
    <m/>
    <m/>
    <m/>
    <m/>
    <m/>
    <m/>
    <m/>
    <m/>
    <n v="4"/>
    <n v="17"/>
    <n v="13"/>
    <x v="12"/>
    <n v="1"/>
    <d v="2023-10-31T08:10:15"/>
    <s v=""/>
    <s v=""/>
    <s v=""/>
    <m/>
    <m/>
    <m/>
    <m/>
    <m/>
    <m/>
    <m/>
    <m/>
    <m/>
    <m/>
  </r>
  <r>
    <n v="962"/>
    <s v="962 | Finance"/>
    <x v="7"/>
    <s v="Finance - Senior"/>
    <s v="Fund Administrator"/>
    <s v="Finance-Fund Administrator"/>
    <s v="Senior"/>
    <d v="2023-07-13T08:10:15"/>
    <d v="2023-07-14T08:10:15"/>
    <s v="Yes"/>
    <d v="2023-08-06T08:10:15"/>
    <s v="Accepted"/>
    <m/>
    <d v="2023-08-12T08:10:15"/>
    <s v="Accepted"/>
    <d v="2023-08-07T08:10:15"/>
    <d v="2023-08-09T08:10:15"/>
    <d v="2023-08-09T08:10:15"/>
    <d v="2023-08-15T08:10:15"/>
    <n v="1"/>
    <d v="2023-08-18T08:10:15"/>
    <d v="2023-08-20T08:10:15"/>
    <d v="2023-08-22T08:10:15"/>
    <m/>
    <m/>
    <d v="2023-09-11T08:10:15"/>
    <m/>
    <m/>
    <n v="1"/>
    <n v="24"/>
    <n v="23"/>
    <x v="18"/>
    <n v="3"/>
    <d v="2023-11-07T08:10:15"/>
    <n v="3"/>
    <n v="33"/>
    <n v="13"/>
    <m/>
    <m/>
    <m/>
    <m/>
    <m/>
    <m/>
    <m/>
    <m/>
    <m/>
    <m/>
  </r>
  <r>
    <n v="892"/>
    <s v="892 | Finance"/>
    <x v="7"/>
    <s v="Finance - Senior"/>
    <s v="Fund Administrator"/>
    <s v="Finance-Fund Administrator"/>
    <s v="Senior"/>
    <d v="2022-10-11T22:33:20"/>
    <d v="2022-10-15T22:33:20"/>
    <s v="Yes"/>
    <d v="2022-10-25T22:33:20"/>
    <s v="Accepted"/>
    <m/>
    <d v="2022-10-30T22:33:20"/>
    <s v="Accepted"/>
    <d v="2022-10-26T22:33:20"/>
    <d v="2022-10-29T22:33:20"/>
    <d v="2022-10-26T22:33:20"/>
    <d v="2022-11-03T22:33:20"/>
    <n v="1"/>
    <d v="2022-11-06T22:33:20"/>
    <d v="2022-11-09T22:33:20"/>
    <d v="2022-11-11T22:33:20"/>
    <m/>
    <m/>
    <d v="2022-11-25T22:33:20"/>
    <m/>
    <m/>
    <n v="4"/>
    <n v="14"/>
    <n v="10"/>
    <x v="16"/>
    <n v="1"/>
    <d v="2023-01-24T22:33:20"/>
    <n v="3"/>
    <n v="30"/>
    <n v="16"/>
    <m/>
    <m/>
    <m/>
    <m/>
    <m/>
    <m/>
    <m/>
    <m/>
    <m/>
    <m/>
  </r>
  <r>
    <n v="890"/>
    <s v="890 | Finance"/>
    <x v="7"/>
    <s v="Finance - Senior"/>
    <s v="Fund Administrator"/>
    <s v="Finance-Fund Administrator"/>
    <s v="Senior"/>
    <d v="2022-09-19T04:47:55"/>
    <d v="2022-09-21T04:47:55"/>
    <s v="Yes"/>
    <d v="2022-10-08T04:47:55"/>
    <s v="Failed"/>
    <s v="Not a culture fit"/>
    <m/>
    <m/>
    <m/>
    <m/>
    <m/>
    <m/>
    <n v="0"/>
    <m/>
    <m/>
    <m/>
    <m/>
    <s v="Company"/>
    <m/>
    <m/>
    <m/>
    <n v="2"/>
    <n v="19"/>
    <n v="17"/>
    <x v="0"/>
    <s v=""/>
    <s v=""/>
    <s v=""/>
    <s v=""/>
    <s v=""/>
    <m/>
    <m/>
    <m/>
    <m/>
    <m/>
    <m/>
    <m/>
    <m/>
    <m/>
    <m/>
  </r>
  <r>
    <n v="889"/>
    <s v="889 | Finance"/>
    <x v="7"/>
    <s v="Finance - Senior"/>
    <s v="Fund Administrator"/>
    <s v="Finance-Fund Administrator"/>
    <s v="Senior"/>
    <d v="2022-09-22T04:47:55"/>
    <d v="2022-09-25T04:47:5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85"/>
    <s v="885 | Finance"/>
    <x v="7"/>
    <s v="Finance - Senior"/>
    <s v="Fund Administrator"/>
    <s v="Finance-Fund Administrator"/>
    <s v="Senior"/>
    <d v="2022-09-19T04:47:55"/>
    <d v="2022-09-23T04:47:5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865"/>
    <s v="865 | Finance"/>
    <x v="7"/>
    <s v="Finance - Senior"/>
    <s v="Fund Administrator"/>
    <s v="Finance-Fund Administrator"/>
    <s v="Senior"/>
    <d v="2023-07-18T02:28:49"/>
    <d v="2023-07-19T02:28:49"/>
    <s v="Yes"/>
    <d v="2023-08-03T02:28:49"/>
    <s v="Accepted"/>
    <m/>
    <d v="2023-08-08T02:28:49"/>
    <s v="Accepted"/>
    <d v="2023-08-05T02:28:49"/>
    <d v="2023-08-09T02:28:49"/>
    <d v="2023-08-07T02:28:49"/>
    <d v="2023-08-09T02:28:49"/>
    <n v="1"/>
    <d v="2023-08-13T02:28:49"/>
    <d v="2023-08-15T02:28:49"/>
    <d v="2023-08-17T02:28:49"/>
    <m/>
    <m/>
    <d v="2023-09-03T02:28:49"/>
    <m/>
    <m/>
    <n v="1"/>
    <n v="16"/>
    <n v="15"/>
    <x v="15"/>
    <n v="4"/>
    <d v="2023-11-05T02:28:49"/>
    <n v="4"/>
    <n v="27"/>
    <n v="10"/>
    <m/>
    <m/>
    <m/>
    <m/>
    <m/>
    <m/>
    <m/>
    <m/>
    <m/>
    <m/>
  </r>
  <r>
    <n v="860"/>
    <s v="860 | Finance"/>
    <x v="7"/>
    <s v="Finance - Senior"/>
    <s v="Fund Administrator"/>
    <s v="Finance-Fund Administrator"/>
    <s v="Senior"/>
    <d v="2023-02-03T00:03:45"/>
    <d v="2023-02-05T00:03:45"/>
    <s v="Yes"/>
    <d v="2023-02-14T00:03:45"/>
    <s v="Failed"/>
    <s v="Other"/>
    <m/>
    <m/>
    <m/>
    <m/>
    <d v="2023-02-15T00:03:45"/>
    <m/>
    <n v="0"/>
    <m/>
    <m/>
    <m/>
    <m/>
    <s v="Candidate"/>
    <m/>
    <m/>
    <m/>
    <n v="2"/>
    <n v="11"/>
    <n v="9"/>
    <x v="24"/>
    <n v="1"/>
    <d v="2023-05-16T00:03:45"/>
    <s v=""/>
    <s v=""/>
    <s v=""/>
    <m/>
    <m/>
    <m/>
    <m/>
    <m/>
    <m/>
    <m/>
    <m/>
    <m/>
    <m/>
  </r>
  <r>
    <n v="858"/>
    <s v="858 | Finance"/>
    <x v="7"/>
    <s v="Finance - Senior"/>
    <s v="Fund Administrator"/>
    <s v="Finance-Fund Administrator"/>
    <s v="Senior"/>
    <d v="2023-02-04T00:03:45"/>
    <d v="2023-02-05T00:03:45"/>
    <s v="Yes"/>
    <d v="2023-02-21T00:03:45"/>
    <s v="Failed"/>
    <s v="Position filled by another"/>
    <m/>
    <m/>
    <m/>
    <m/>
    <m/>
    <m/>
    <n v="0"/>
    <m/>
    <m/>
    <m/>
    <m/>
    <s v="Company"/>
    <m/>
    <m/>
    <m/>
    <n v="1"/>
    <n v="17"/>
    <n v="16"/>
    <x v="0"/>
    <s v=""/>
    <s v=""/>
    <s v=""/>
    <s v=""/>
    <s v=""/>
    <m/>
    <m/>
    <m/>
    <m/>
    <m/>
    <m/>
    <m/>
    <m/>
    <m/>
    <m/>
  </r>
  <r>
    <n v="748"/>
    <s v="748 | Finance"/>
    <x v="7"/>
    <s v="Finance - Senior"/>
    <s v="Fund Administrator"/>
    <s v="Finance-Fund Administrator"/>
    <s v="Senior"/>
    <d v="2022-10-30T05:17:37"/>
    <d v="2022-11-03T05:17:37"/>
    <s v="Yes"/>
    <d v="2022-11-16T05:17:37"/>
    <s v="Failed"/>
    <s v="Not a culture fit"/>
    <m/>
    <m/>
    <m/>
    <m/>
    <m/>
    <m/>
    <n v="0"/>
    <m/>
    <m/>
    <m/>
    <m/>
    <s v="Company"/>
    <m/>
    <m/>
    <m/>
    <n v="4"/>
    <n v="17"/>
    <n v="13"/>
    <x v="0"/>
    <s v=""/>
    <s v=""/>
    <s v=""/>
    <s v=""/>
    <s v=""/>
    <m/>
    <m/>
    <m/>
    <m/>
    <m/>
    <m/>
    <m/>
    <m/>
    <m/>
    <m/>
  </r>
  <r>
    <n v="745"/>
    <s v="745 | Finance"/>
    <x v="7"/>
    <s v="Finance - Senior"/>
    <s v="Fund Administrator"/>
    <s v="Finance-Fund Administrator"/>
    <s v="Senior"/>
    <d v="2022-11-04T05:17:37"/>
    <d v="2022-11-08T05:17:37"/>
    <s v="Yes"/>
    <d v="2022-11-26T05:17:37"/>
    <s v="Declined"/>
    <m/>
    <d v="2022-12-04T05:17:37"/>
    <s v="Declined"/>
    <m/>
    <m/>
    <d v="2022-11-30T05:17:37"/>
    <m/>
    <n v="0"/>
    <m/>
    <m/>
    <m/>
    <m/>
    <m/>
    <m/>
    <m/>
    <m/>
    <n v="4"/>
    <n v="22"/>
    <n v="18"/>
    <x v="25"/>
    <n v="4"/>
    <d v="2023-02-28T05:17:37"/>
    <s v=""/>
    <s v=""/>
    <s v=""/>
    <m/>
    <m/>
    <m/>
    <m/>
    <m/>
    <m/>
    <m/>
    <m/>
    <m/>
    <m/>
  </r>
  <r>
    <n v="705"/>
    <s v="705 | Finance"/>
    <x v="7"/>
    <s v="Finance - Senior"/>
    <s v="Fund Administrator"/>
    <s v="Finance-Fund Administrator"/>
    <s v="Senior"/>
    <d v="2023-07-08T15:23:01"/>
    <d v="2023-07-12T15:23:01"/>
    <s v="Yes"/>
    <d v="2023-07-16T15:23:01"/>
    <s v="Accepted"/>
    <m/>
    <d v="2023-07-23T15:23:01"/>
    <s v="Accepted"/>
    <d v="2023-07-18T15:23:01"/>
    <d v="2023-07-21T15:23:01"/>
    <d v="2023-07-19T15:23:01"/>
    <d v="2023-07-26T15:23:01"/>
    <n v="1"/>
    <d v="2023-07-27T15:23:01"/>
    <d v="2023-07-29T15:23:01"/>
    <d v="2023-07-31T15:23:01"/>
    <m/>
    <m/>
    <d v="2023-08-11T15:23:01"/>
    <m/>
    <m/>
    <n v="4"/>
    <n v="8"/>
    <n v="4"/>
    <x v="9"/>
    <n v="3"/>
    <d v="2023-10-17T15:23:01"/>
    <n v="1"/>
    <n v="23"/>
    <n v="12"/>
    <m/>
    <m/>
    <m/>
    <m/>
    <m/>
    <m/>
    <m/>
    <m/>
    <m/>
    <m/>
  </r>
  <r>
    <n v="701"/>
    <s v="701 | Finance"/>
    <x v="7"/>
    <s v="Finance - Senior"/>
    <s v="Fund Administrator"/>
    <s v="Finance-Fund Administrator"/>
    <s v="Senior"/>
    <d v="2023-07-11T15:23:01"/>
    <d v="2023-07-13T15:23:01"/>
    <s v="Yes"/>
    <d v="2023-07-20T15:23:01"/>
    <s v="Failed"/>
    <s v="Not a culture fit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608"/>
    <s v="608 | Finance"/>
    <x v="7"/>
    <s v="Finance - Senior"/>
    <s v="Fund Administrator"/>
    <s v="Finance-Fund Administrator"/>
    <s v="Senior"/>
    <d v="2022-01-10T07:25:27"/>
    <d v="2022-01-13T07:25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06"/>
    <s v="606 | Finance"/>
    <x v="7"/>
    <s v="Finance - Senior"/>
    <s v="Fund Administrator"/>
    <s v="Finance-Fund Administrator"/>
    <s v="Senior"/>
    <d v="2022-01-11T07:25:27"/>
    <d v="2022-01-14T07:25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605"/>
    <s v="605 | Finance"/>
    <x v="7"/>
    <s v="Finance - Senior"/>
    <s v="Fund Administrator"/>
    <s v="Finance-Fund Administrator"/>
    <s v="Senior"/>
    <d v="2022-01-06T07:25:27"/>
    <d v="2022-01-10T07:25:27"/>
    <s v="Yes"/>
    <d v="2022-01-29T07:25:27"/>
    <s v="Accepted"/>
    <m/>
    <d v="2022-02-03T07:25:27"/>
    <s v="Accepted"/>
    <d v="2022-01-31T07:25:27"/>
    <d v="2022-02-01T07:25:27"/>
    <d v="2022-02-01T07:25:27"/>
    <d v="2022-02-10T07:25:27"/>
    <n v="1"/>
    <d v="2022-02-13T07:25:27"/>
    <d v="2022-02-16T07:25:27"/>
    <d v="2022-02-19T07:25:27"/>
    <m/>
    <m/>
    <d v="2022-02-26T07:25:27"/>
    <m/>
    <m/>
    <n v="4"/>
    <n v="23"/>
    <n v="19"/>
    <x v="25"/>
    <n v="3"/>
    <d v="2022-05-02T07:25:27"/>
    <n v="3"/>
    <n v="25"/>
    <n v="18"/>
    <m/>
    <m/>
    <m/>
    <m/>
    <m/>
    <m/>
    <m/>
    <m/>
    <m/>
    <m/>
  </r>
  <r>
    <n v="597"/>
    <s v="597 | Finance"/>
    <x v="7"/>
    <s v="Finance - Senior"/>
    <s v="Fund Administrator"/>
    <s v="Finance-Fund Administrator"/>
    <s v="Senior"/>
    <d v="2022-11-13T19:43:02"/>
    <d v="2022-11-15T19:43:02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594"/>
    <s v="594 | Finance"/>
    <x v="7"/>
    <s v="Finance - Senior"/>
    <s v="Fund Administrator"/>
    <s v="Finance-Fund Administrator"/>
    <s v="Senior"/>
    <d v="2022-11-15T19:43:02"/>
    <d v="2022-11-17T19:43:02"/>
    <s v="Yes"/>
    <d v="2022-12-04T19:43:02"/>
    <s v="Accepted"/>
    <m/>
    <d v="2022-12-09T19:43:02"/>
    <s v="Accepted"/>
    <d v="2022-12-06T19:43:02"/>
    <d v="2022-12-08T19:43:02"/>
    <d v="2022-12-08T19:43:02"/>
    <d v="2022-12-12T19:43:02"/>
    <n v="1"/>
    <d v="2022-12-15T19:43:02"/>
    <d v="2022-12-16T19:43:02"/>
    <d v="2022-12-18T19:43:02"/>
    <m/>
    <m/>
    <d v="2022-12-26T19:43:02"/>
    <m/>
    <m/>
    <n v="2"/>
    <n v="19"/>
    <n v="17"/>
    <x v="3"/>
    <n v="4"/>
    <d v="2023-03-08T19:43:02"/>
    <n v="3"/>
    <n v="18"/>
    <n v="10"/>
    <m/>
    <m/>
    <m/>
    <m/>
    <m/>
    <m/>
    <m/>
    <m/>
    <m/>
    <m/>
  </r>
  <r>
    <n v="591"/>
    <s v="591 | Finance"/>
    <x v="7"/>
    <s v="Finance - Senior"/>
    <s v="Fund Administrator"/>
    <s v="Finance-Fund Administrator"/>
    <s v="Senior"/>
    <d v="2022-11-15T19:43:02"/>
    <d v="2022-11-19T19:43:02"/>
    <s v="Yes"/>
    <d v="2022-12-06T19:43:02"/>
    <s v="Accepted"/>
    <m/>
    <d v="2022-12-11T19:43:02"/>
    <s v="Accepted"/>
    <d v="2022-12-07T19:43:02"/>
    <d v="2022-12-09T19:43:02"/>
    <d v="2022-12-09T19:43:02"/>
    <d v="2022-12-10T19:43:02"/>
    <n v="1"/>
    <d v="2022-12-12T19:43:02"/>
    <d v="2022-12-13T19:43:02"/>
    <d v="2022-12-15T19:43:02"/>
    <m/>
    <m/>
    <d v="2022-12-27T19:43:02"/>
    <m/>
    <m/>
    <n v="4"/>
    <n v="21"/>
    <n v="17"/>
    <x v="21"/>
    <n v="3"/>
    <d v="2023-03-09T19:43:02"/>
    <n v="2"/>
    <n v="18"/>
    <n v="6"/>
    <m/>
    <m/>
    <m/>
    <m/>
    <m/>
    <m/>
    <m/>
    <m/>
    <m/>
    <m/>
  </r>
  <r>
    <n v="459"/>
    <s v="459 | Finance"/>
    <x v="7"/>
    <s v="Finance - Senior"/>
    <s v="Fund Administrator"/>
    <s v="Finance-Fund Administrator"/>
    <s v="Senior"/>
    <d v="2023-02-19T13:42:17"/>
    <d v="2023-02-21T13:42:17"/>
    <s v="Yes"/>
    <d v="2023-03-05T13:42:17"/>
    <s v="Accepted"/>
    <m/>
    <d v="2023-03-12T13:42:17"/>
    <s v="Accepted"/>
    <d v="2023-03-06T13:42:17"/>
    <d v="2023-03-07T13:42:17"/>
    <d v="2023-03-09T13:42:17"/>
    <d v="2023-03-16T13:42:17"/>
    <n v="1"/>
    <d v="2023-03-17T13:42:17"/>
    <d v="2023-03-20T13:42:17"/>
    <d v="2023-03-22T13:42:17"/>
    <m/>
    <m/>
    <d v="2023-04-03T13:42:17"/>
    <m/>
    <m/>
    <n v="2"/>
    <n v="14"/>
    <n v="12"/>
    <x v="12"/>
    <n v="4"/>
    <d v="2023-06-07T13:42:17"/>
    <n v="1"/>
    <n v="25"/>
    <n v="13"/>
    <m/>
    <m/>
    <m/>
    <m/>
    <m/>
    <m/>
    <m/>
    <m/>
    <m/>
    <m/>
  </r>
  <r>
    <n v="455"/>
    <s v="455 | Finance"/>
    <x v="7"/>
    <s v="Finance - Senior"/>
    <s v="Fund Administrator"/>
    <s v="Finance-Fund Administrator"/>
    <s v="Senior"/>
    <d v="2023-02-20T13:42:17"/>
    <d v="2023-02-21T13:42:17"/>
    <s v="Yes"/>
    <d v="2023-03-07T13:42:17"/>
    <s v="Accepted"/>
    <m/>
    <d v="2023-03-11T13:42:17"/>
    <s v="Accepted"/>
    <d v="2023-03-08T13:42:17"/>
    <d v="2023-03-12T13:42:17"/>
    <d v="2023-03-09T13:42:17"/>
    <d v="2023-03-11T13:42:17"/>
    <n v="1"/>
    <d v="2023-03-12T13:42:17"/>
    <d v="2023-03-15T13:42:17"/>
    <d v="2023-03-17T13:42:17"/>
    <m/>
    <m/>
    <d v="2023-03-30T13:42:17"/>
    <m/>
    <m/>
    <n v="1"/>
    <n v="15"/>
    <n v="14"/>
    <x v="14"/>
    <n v="2"/>
    <d v="2023-06-07T13:42:17"/>
    <n v="1"/>
    <n v="21"/>
    <n v="8"/>
    <m/>
    <m/>
    <m/>
    <m/>
    <m/>
    <m/>
    <m/>
    <m/>
    <m/>
    <m/>
  </r>
  <r>
    <n v="452"/>
    <s v="452 | Finance"/>
    <x v="7"/>
    <s v="Finance - Senior"/>
    <s v="Fund Administrator"/>
    <s v="Finance-Fund Administrator"/>
    <s v="Senior"/>
    <d v="2023-02-17T13:42:17"/>
    <d v="2023-02-20T13:42:17"/>
    <s v="Yes"/>
    <d v="2023-03-12T13:42:17"/>
    <s v="Failed"/>
    <s v="Position filled by another"/>
    <m/>
    <m/>
    <m/>
    <m/>
    <m/>
    <m/>
    <n v="0"/>
    <m/>
    <m/>
    <m/>
    <m/>
    <s v="Company"/>
    <m/>
    <m/>
    <m/>
    <n v="3"/>
    <n v="23"/>
    <n v="20"/>
    <x v="0"/>
    <s v=""/>
    <s v=""/>
    <s v=""/>
    <s v=""/>
    <s v=""/>
    <m/>
    <m/>
    <m/>
    <m/>
    <m/>
    <m/>
    <m/>
    <m/>
    <m/>
    <m/>
  </r>
  <r>
    <n v="400"/>
    <s v="400 | Finance"/>
    <x v="7"/>
    <s v="Finance - Senior"/>
    <s v="Fund Administrator"/>
    <s v="Finance-Fund Administrator"/>
    <s v="Senior"/>
    <d v="2023-02-18T16:28:40"/>
    <d v="2023-02-19T16:28:40"/>
    <s v="Yes"/>
    <d v="2023-03-07T16:28:40"/>
    <s v="Failed"/>
    <s v="Salary expectation too high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393"/>
    <s v="393 | Finance"/>
    <x v="7"/>
    <s v="Finance - Senior"/>
    <s v="Fund Administrator"/>
    <s v="Finance-Fund Administrator"/>
    <s v="Senior"/>
    <d v="2023-02-15T16:28:40"/>
    <d v="2023-02-16T16:28:40"/>
    <s v="Yes"/>
    <d v="2023-03-02T16:28:40"/>
    <s v="Declined"/>
    <m/>
    <d v="2023-03-08T16:28:40"/>
    <s v="Declined"/>
    <m/>
    <m/>
    <d v="2023-03-05T16:28:40"/>
    <m/>
    <n v="0"/>
    <m/>
    <m/>
    <m/>
    <m/>
    <m/>
    <m/>
    <m/>
    <m/>
    <n v="1"/>
    <n v="15"/>
    <n v="14"/>
    <x v="12"/>
    <n v="3"/>
    <d v="2023-06-03T16:28:40"/>
    <s v=""/>
    <s v=""/>
    <s v=""/>
    <m/>
    <m/>
    <m/>
    <m/>
    <m/>
    <m/>
    <m/>
    <m/>
    <m/>
    <m/>
  </r>
  <r>
    <n v="345"/>
    <s v="345 | Finance"/>
    <x v="7"/>
    <s v="Finance - Senior"/>
    <s v="Fund Administrator"/>
    <s v="Finance-Fund Administrator"/>
    <s v="Senior"/>
    <d v="2022-05-05T15:27:54"/>
    <d v="2022-05-07T15:27:54"/>
    <s v="Yes"/>
    <d v="2022-05-19T15:27:54"/>
    <s v="Declined"/>
    <m/>
    <d v="2022-05-23T15:27:54"/>
    <s v="Declined"/>
    <m/>
    <m/>
    <d v="2022-05-22T15:27:54"/>
    <m/>
    <n v="0"/>
    <m/>
    <m/>
    <m/>
    <m/>
    <m/>
    <m/>
    <m/>
    <m/>
    <n v="2"/>
    <n v="14"/>
    <n v="12"/>
    <x v="14"/>
    <n v="3"/>
    <d v="2022-08-20T15:27:54"/>
    <s v=""/>
    <s v=""/>
    <s v=""/>
    <m/>
    <m/>
    <m/>
    <m/>
    <m/>
    <m/>
    <m/>
    <m/>
    <m/>
    <m/>
  </r>
  <r>
    <n v="341"/>
    <s v="341 | Finance"/>
    <x v="7"/>
    <s v="Finance - Senior"/>
    <s v="Fund Administrator"/>
    <s v="Finance-Fund Administrator"/>
    <s v="Senior"/>
    <d v="2022-05-04T15:27:54"/>
    <d v="2022-05-06T15:27:54"/>
    <s v="Yes"/>
    <d v="2022-05-12T15:27:54"/>
    <s v="Pending"/>
    <m/>
    <d v="2022-05-15T15:27:54"/>
    <s v="Pending"/>
    <m/>
    <m/>
    <d v="2022-05-14T15:27:54"/>
    <m/>
    <n v="0"/>
    <m/>
    <m/>
    <m/>
    <m/>
    <m/>
    <m/>
    <m/>
    <m/>
    <n v="2"/>
    <n v="8"/>
    <n v="6"/>
    <x v="22"/>
    <n v="2"/>
    <d v="2022-08-12T15:27:54"/>
    <s v=""/>
    <s v=""/>
    <s v=""/>
    <m/>
    <m/>
    <m/>
    <m/>
    <m/>
    <m/>
    <m/>
    <m/>
    <m/>
    <m/>
  </r>
  <r>
    <n v="285"/>
    <s v="285 | Finance"/>
    <x v="7"/>
    <s v="Finance - Senior"/>
    <s v="Fund Administrator"/>
    <s v="Finance-Fund Administrator"/>
    <s v="Senior"/>
    <d v="2022-05-17T16:15:48"/>
    <d v="2022-05-19T16:15:48"/>
    <s v="Yes"/>
    <d v="2022-06-02T16:15:48"/>
    <s v="Declined"/>
    <m/>
    <d v="2022-06-08T16:15:48"/>
    <s v="Declined"/>
    <m/>
    <m/>
    <d v="2022-06-06T16:15:48"/>
    <m/>
    <n v="0"/>
    <m/>
    <m/>
    <m/>
    <m/>
    <m/>
    <m/>
    <m/>
    <m/>
    <n v="2"/>
    <n v="16"/>
    <n v="14"/>
    <x v="15"/>
    <n v="4"/>
    <d v="2022-09-04T16:15:48"/>
    <s v=""/>
    <s v=""/>
    <s v=""/>
    <m/>
    <m/>
    <m/>
    <m/>
    <m/>
    <m/>
    <m/>
    <m/>
    <m/>
    <m/>
  </r>
  <r>
    <n v="284"/>
    <s v="284 | Finance"/>
    <x v="7"/>
    <s v="Finance - Senior"/>
    <s v="Fund Administrator"/>
    <s v="Finance-Fund Administrator"/>
    <s v="Senior"/>
    <d v="2022-05-19T16:15:48"/>
    <d v="2022-05-20T16:15:48"/>
    <s v="Yes"/>
    <d v="2022-05-28T16:15:48"/>
    <s v="Declined"/>
    <m/>
    <d v="2022-05-31T16:15:48"/>
    <s v="Declined"/>
    <m/>
    <m/>
    <d v="2022-05-30T16:15:48"/>
    <m/>
    <n v="0"/>
    <m/>
    <m/>
    <m/>
    <m/>
    <m/>
    <m/>
    <m/>
    <m/>
    <n v="1"/>
    <n v="9"/>
    <n v="8"/>
    <x v="9"/>
    <n v="2"/>
    <d v="2022-08-28T16:15:48"/>
    <s v=""/>
    <s v=""/>
    <s v=""/>
    <m/>
    <m/>
    <m/>
    <m/>
    <m/>
    <m/>
    <m/>
    <m/>
    <m/>
    <m/>
  </r>
  <r>
    <n v="207"/>
    <s v="207 | Finance"/>
    <x v="7"/>
    <s v="Finance - Senior"/>
    <s v="Fund Administrator"/>
    <s v="Finance-Fund Administrator"/>
    <s v="Senior"/>
    <d v="2022-07-03T08:13:46"/>
    <d v="2022-07-06T08:13:46"/>
    <s v="Yes"/>
    <d v="2022-07-19T08:13:46"/>
    <s v="Pending"/>
    <m/>
    <d v="2022-07-22T08:13:46"/>
    <s v="Pending"/>
    <m/>
    <m/>
    <d v="2022-07-20T08:13:46"/>
    <m/>
    <n v="0"/>
    <m/>
    <m/>
    <m/>
    <m/>
    <m/>
    <m/>
    <m/>
    <m/>
    <n v="3"/>
    <n v="16"/>
    <n v="13"/>
    <x v="14"/>
    <n v="1"/>
    <d v="2022-10-18T08:13:46"/>
    <s v=""/>
    <s v=""/>
    <s v=""/>
    <m/>
    <m/>
    <m/>
    <m/>
    <m/>
    <m/>
    <m/>
    <m/>
    <m/>
    <m/>
  </r>
  <r>
    <n v="177"/>
    <s v="177 | Finance"/>
    <x v="7"/>
    <s v="Finance - Senior"/>
    <s v="Fund Administrator"/>
    <s v="Finance-Fund Administrator"/>
    <s v="Senior"/>
    <d v="2023-06-15T08:54:08"/>
    <d v="2023-06-19T08:54:08"/>
    <s v="Yes"/>
    <d v="2023-06-22T08:54:08"/>
    <s v="Declined"/>
    <m/>
    <d v="2023-06-28T08:54:08"/>
    <s v="Declined"/>
    <m/>
    <m/>
    <d v="2023-06-24T08:54:08"/>
    <m/>
    <n v="0"/>
    <m/>
    <m/>
    <m/>
    <m/>
    <m/>
    <m/>
    <m/>
    <m/>
    <n v="4"/>
    <n v="7"/>
    <n v="3"/>
    <x v="4"/>
    <n v="2"/>
    <d v="2023-09-22T08:54:08"/>
    <s v=""/>
    <s v=""/>
    <s v=""/>
    <m/>
    <m/>
    <m/>
    <m/>
    <m/>
    <m/>
    <m/>
    <m/>
    <m/>
    <m/>
  </r>
  <r>
    <n v="175"/>
    <s v="175 | Finance"/>
    <x v="7"/>
    <s v="Finance - Senior"/>
    <s v="Fund Administrator"/>
    <s v="Finance-Fund Administrator"/>
    <s v="Senior"/>
    <d v="2023-06-14T08:54:08"/>
    <d v="2023-06-18T08:54:08"/>
    <s v="Yes"/>
    <d v="2023-06-29T08:54:08"/>
    <s v="Accepted"/>
    <m/>
    <d v="2023-07-02T08:54:08"/>
    <s v="Accepted"/>
    <d v="2023-06-30T08:54:08"/>
    <d v="2023-07-04T08:54:08"/>
    <d v="2023-07-01T08:54:08"/>
    <d v="2023-07-08T08:54:08"/>
    <n v="1"/>
    <d v="2023-07-09T08:54:08"/>
    <d v="2023-07-11T08:54:08"/>
    <d v="2023-07-13T08:54:08"/>
    <m/>
    <m/>
    <d v="2023-07-27T08:54:08"/>
    <m/>
    <m/>
    <n v="4"/>
    <n v="15"/>
    <n v="11"/>
    <x v="14"/>
    <n v="2"/>
    <d v="2023-09-29T08:54:08"/>
    <n v="1"/>
    <n v="26"/>
    <n v="12"/>
    <m/>
    <m/>
    <m/>
    <m/>
    <m/>
    <m/>
    <m/>
    <m/>
    <m/>
    <m/>
  </r>
  <r>
    <n v="173"/>
    <s v="173 | Finance"/>
    <x v="7"/>
    <s v="Finance - Senior"/>
    <s v="Fund Administrator"/>
    <s v="Finance-Fund Administrator"/>
    <s v="Senior"/>
    <d v="2023-06-17T08:54:08"/>
    <d v="2023-06-18T08:54:08"/>
    <s v="Yes"/>
    <d v="2023-06-24T08:54:08"/>
    <s v="Declined"/>
    <m/>
    <d v="2023-06-28T08:54:08"/>
    <s v="Declined"/>
    <m/>
    <m/>
    <d v="2023-06-26T08:54:08"/>
    <m/>
    <n v="0"/>
    <m/>
    <m/>
    <m/>
    <m/>
    <m/>
    <m/>
    <m/>
    <m/>
    <n v="1"/>
    <n v="7"/>
    <n v="6"/>
    <x v="4"/>
    <n v="2"/>
    <d v="2023-09-24T08:54:08"/>
    <s v=""/>
    <s v=""/>
    <s v=""/>
    <m/>
    <m/>
    <m/>
    <m/>
    <m/>
    <m/>
    <m/>
    <m/>
    <m/>
    <m/>
  </r>
  <r>
    <n v="95"/>
    <s v="95 | Finance"/>
    <x v="7"/>
    <s v="Finance - Senior"/>
    <s v="Business Partner"/>
    <s v="Finance-Business Partner"/>
    <s v="Senior"/>
    <d v="2022-10-05T14:05:41"/>
    <d v="2022-10-07T14:05:41"/>
    <s v="Yes"/>
    <d v="2022-10-23T14:05:41"/>
    <s v="Pending"/>
    <m/>
    <d v="2022-10-28T14:05:41"/>
    <s v="Pending"/>
    <m/>
    <m/>
    <d v="2022-10-25T14:05:41"/>
    <m/>
    <n v="0"/>
    <m/>
    <m/>
    <m/>
    <m/>
    <m/>
    <m/>
    <m/>
    <m/>
    <n v="2"/>
    <n v="18"/>
    <n v="16"/>
    <x v="15"/>
    <n v="2"/>
    <d v="2023-01-23T14:05:41"/>
    <s v=""/>
    <s v=""/>
    <s v=""/>
    <m/>
    <m/>
    <m/>
    <m/>
    <m/>
    <m/>
    <m/>
    <m/>
    <m/>
    <m/>
  </r>
  <r>
    <n v="93"/>
    <s v="93 | Finance"/>
    <x v="7"/>
    <s v="Finance - Senior"/>
    <s v="Business Partner"/>
    <s v="Finance-Business Partner"/>
    <s v="Senior"/>
    <d v="2022-10-05T14:05:41"/>
    <d v="2022-10-08T14:05:41"/>
    <s v="Yes"/>
    <d v="2022-10-15T14:05:41"/>
    <s v="Declined"/>
    <m/>
    <d v="2022-10-21T14:05:41"/>
    <s v="Declined"/>
    <m/>
    <m/>
    <d v="2022-10-18T14:05:41"/>
    <m/>
    <n v="0"/>
    <m/>
    <m/>
    <m/>
    <m/>
    <m/>
    <m/>
    <m/>
    <m/>
    <n v="3"/>
    <n v="10"/>
    <n v="7"/>
    <x v="8"/>
    <n v="3"/>
    <d v="2023-01-16T14:05:41"/>
    <s v=""/>
    <s v=""/>
    <s v=""/>
    <m/>
    <m/>
    <m/>
    <m/>
    <m/>
    <m/>
    <m/>
    <m/>
    <m/>
    <m/>
  </r>
  <r>
    <n v="80"/>
    <s v="80 | Finance"/>
    <x v="7"/>
    <s v="Finance - Senior"/>
    <s v="Business Partner"/>
    <s v="Finance-Business Partner"/>
    <s v="Senior"/>
    <d v="2022-07-09T09:51:33"/>
    <d v="2022-07-10T09:51:33"/>
    <s v="Yes"/>
    <d v="2022-07-25T09:51:33"/>
    <s v="Accepted"/>
    <m/>
    <d v="2022-08-01T09:51:33"/>
    <s v="Accepted"/>
    <d v="2022-07-26T09:51:33"/>
    <d v="2022-07-28T09:51:33"/>
    <d v="2022-07-28T09:51:33"/>
    <d v="2022-08-02T09:51:33"/>
    <n v="1"/>
    <d v="2022-08-05T09:51:33"/>
    <d v="2022-08-07T09:51:33"/>
    <d v="2022-08-09T09:51:33"/>
    <m/>
    <m/>
    <d v="2022-08-21T09:51:33"/>
    <m/>
    <m/>
    <n v="1"/>
    <n v="16"/>
    <n v="15"/>
    <x v="13"/>
    <n v="3"/>
    <d v="2022-10-26T09:51:33"/>
    <n v="3"/>
    <n v="24"/>
    <n v="12"/>
    <m/>
    <m/>
    <m/>
    <m/>
    <m/>
    <m/>
    <m/>
    <m/>
    <m/>
    <m/>
  </r>
  <r>
    <n v="29"/>
    <s v="29 | Finance"/>
    <x v="7"/>
    <s v="Finance - Senior"/>
    <s v="Business Partner"/>
    <s v="Finance-Business Partner"/>
    <s v="Senior"/>
    <d v="2022-12-27T10:52:58"/>
    <d v="2022-12-31T10:52:5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8"/>
    <s v="18 | Finance"/>
    <x v="7"/>
    <s v="Finance - Senior"/>
    <s v="Business Partner"/>
    <s v="Finance-Business Partner"/>
    <s v="Senior"/>
    <d v="2022-03-16T21:37:51"/>
    <d v="2022-03-19T21:37:51"/>
    <s v="Yes"/>
    <d v="2022-03-28T21:37:51"/>
    <s v="Failed"/>
    <s v="Position filled by another"/>
    <m/>
    <m/>
    <m/>
    <m/>
    <d v="2022-03-30T21:37:51"/>
    <m/>
    <n v="0"/>
    <m/>
    <m/>
    <m/>
    <m/>
    <s v="Candidate"/>
    <m/>
    <m/>
    <m/>
    <n v="3"/>
    <n v="12"/>
    <n v="9"/>
    <x v="1"/>
    <n v="2"/>
    <d v="2022-06-28T21:37:51"/>
    <s v=""/>
    <s v=""/>
    <s v=""/>
    <m/>
    <m/>
    <m/>
    <m/>
    <m/>
    <m/>
    <m/>
    <m/>
    <m/>
    <m/>
  </r>
  <r>
    <n v="2843"/>
    <s v="2843 | Finance"/>
    <x v="7"/>
    <s v="Finance - Manager Level"/>
    <s v="Manager"/>
    <s v="Finance-Manager"/>
    <s v="Manager Level"/>
    <d v="2022-04-03T10:38:28"/>
    <d v="2022-04-04T10:38:28"/>
    <s v="Yes"/>
    <d v="2022-04-12T10:38:28"/>
    <s v="Declined"/>
    <m/>
    <d v="2022-04-17T10:38:28"/>
    <s v="Declined"/>
    <m/>
    <m/>
    <d v="2022-04-15T10:38:28"/>
    <m/>
    <n v="0"/>
    <m/>
    <m/>
    <m/>
    <m/>
    <m/>
    <m/>
    <m/>
    <m/>
    <n v="1"/>
    <n v="9"/>
    <n v="8"/>
    <x v="24"/>
    <n v="3"/>
    <d v="2022-07-14T10:38:28"/>
    <s v=""/>
    <s v=""/>
    <s v=""/>
    <m/>
    <m/>
    <m/>
    <m/>
    <m/>
    <m/>
    <m/>
    <m/>
    <m/>
    <m/>
  </r>
  <r>
    <n v="2780"/>
    <s v="2780 | Finance"/>
    <x v="7"/>
    <s v="Finance - Manager Level"/>
    <s v="Manager"/>
    <s v="Finance-Manager"/>
    <s v="Manager Level"/>
    <d v="2022-05-03T18:40:18"/>
    <d v="2022-05-04T18:40:18"/>
    <s v="Yes"/>
    <d v="2022-05-15T18:40:18"/>
    <s v="Accepted"/>
    <m/>
    <d v="2022-05-20T18:40:18"/>
    <s v="Accepted"/>
    <d v="2022-05-17T18:40:18"/>
    <d v="2022-05-18T18:40:18"/>
    <d v="2022-05-19T18:40:18"/>
    <d v="2022-05-20T18:40:18"/>
    <n v="1"/>
    <d v="2022-05-21T18:40:18"/>
    <d v="2022-05-24T18:40:18"/>
    <d v="2022-05-27T18:40:18"/>
    <m/>
    <m/>
    <d v="2022-06-07T18:40:18"/>
    <m/>
    <m/>
    <n v="1"/>
    <n v="12"/>
    <n v="11"/>
    <x v="20"/>
    <n v="4"/>
    <d v="2022-08-17T18:40:18"/>
    <n v="1"/>
    <n v="19"/>
    <n v="8"/>
    <m/>
    <m/>
    <m/>
    <m/>
    <m/>
    <m/>
    <m/>
    <m/>
    <m/>
    <m/>
  </r>
  <r>
    <n v="2778"/>
    <s v="2778 | Finance"/>
    <x v="7"/>
    <s v="Finance - Manager Level"/>
    <s v="Manager"/>
    <s v="Finance-Manager"/>
    <s v="Manager Level"/>
    <d v="2022-05-02T18:40:18"/>
    <d v="2022-05-03T18:40:18"/>
    <s v="Yes"/>
    <d v="2022-05-25T18:40:18"/>
    <s v="Declined"/>
    <m/>
    <d v="2022-05-29T18:40:18"/>
    <s v="Declined"/>
    <m/>
    <m/>
    <d v="2022-05-26T18:40:18"/>
    <m/>
    <n v="0"/>
    <m/>
    <m/>
    <m/>
    <m/>
    <m/>
    <m/>
    <m/>
    <m/>
    <n v="1"/>
    <n v="23"/>
    <n v="22"/>
    <x v="21"/>
    <n v="1"/>
    <d v="2022-08-24T18:40:18"/>
    <s v=""/>
    <s v=""/>
    <s v=""/>
    <m/>
    <m/>
    <m/>
    <m/>
    <m/>
    <m/>
    <m/>
    <m/>
    <m/>
    <m/>
  </r>
  <r>
    <n v="2752"/>
    <s v="2752 | Finance"/>
    <x v="7"/>
    <s v="Finance - Manager Level"/>
    <s v="Manager"/>
    <s v="Finance-Manager"/>
    <s v="Manager Level"/>
    <d v="2023-04-09T18:21:43"/>
    <d v="2023-04-12T18:21:43"/>
    <s v="Yes"/>
    <d v="2023-04-26T18:21:43"/>
    <s v="Accepted"/>
    <m/>
    <d v="2023-05-01T18:21:43"/>
    <s v="Accepted"/>
    <d v="2023-04-28T18:21:43"/>
    <d v="2023-05-01T18:21:43"/>
    <d v="2023-04-29T18:21:43"/>
    <d v="2023-05-05T18:21:43"/>
    <n v="1"/>
    <d v="2023-05-09T18:21:43"/>
    <d v="2023-05-11T18:21:43"/>
    <d v="2023-05-12T18:21:43"/>
    <m/>
    <m/>
    <d v="2023-05-21T18:21:43"/>
    <m/>
    <m/>
    <n v="3"/>
    <n v="17"/>
    <n v="14"/>
    <x v="15"/>
    <n v="3"/>
    <d v="2023-07-28T18:21:43"/>
    <n v="4"/>
    <n v="22"/>
    <n v="13"/>
    <m/>
    <m/>
    <m/>
    <m/>
    <m/>
    <m/>
    <m/>
    <m/>
    <m/>
    <m/>
  </r>
  <r>
    <n v="2677"/>
    <s v="2677 | Finance"/>
    <x v="7"/>
    <s v="Finance - Manager Level"/>
    <s v="Manager"/>
    <s v="Finance-Manager"/>
    <s v="Manager Level"/>
    <d v="2022-02-12T03:23:10"/>
    <d v="2022-02-15T03:23:10"/>
    <s v="Yes"/>
    <d v="2022-02-19T03:23:10"/>
    <s v="Declined"/>
    <m/>
    <d v="2022-02-24T03:23:10"/>
    <s v="Declined"/>
    <m/>
    <m/>
    <d v="2022-02-21T03:23:10"/>
    <m/>
    <n v="0"/>
    <m/>
    <m/>
    <m/>
    <m/>
    <m/>
    <m/>
    <m/>
    <m/>
    <n v="3"/>
    <n v="7"/>
    <n v="4"/>
    <x v="4"/>
    <n v="2"/>
    <d v="2022-05-22T03:23:10"/>
    <s v=""/>
    <s v=""/>
    <s v=""/>
    <m/>
    <m/>
    <m/>
    <m/>
    <m/>
    <m/>
    <m/>
    <m/>
    <m/>
    <m/>
  </r>
  <r>
    <n v="2676"/>
    <s v="2676 | Finance"/>
    <x v="7"/>
    <s v="Finance - Manager Level"/>
    <s v="Manager"/>
    <s v="Finance-Manager"/>
    <s v="Manager Level"/>
    <d v="2022-02-10T03:23:10"/>
    <d v="2022-02-12T03:23:10"/>
    <s v="Yes"/>
    <d v="2022-03-06T03:23:10"/>
    <s v="Declined"/>
    <m/>
    <d v="2022-03-11T03:23:10"/>
    <s v="Declined"/>
    <m/>
    <m/>
    <d v="2022-03-08T03:23:10"/>
    <m/>
    <n v="0"/>
    <m/>
    <m/>
    <m/>
    <m/>
    <m/>
    <m/>
    <m/>
    <m/>
    <n v="2"/>
    <n v="24"/>
    <n v="22"/>
    <x v="25"/>
    <n v="2"/>
    <d v="2022-06-06T03:23:10"/>
    <s v=""/>
    <s v=""/>
    <s v=""/>
    <m/>
    <m/>
    <m/>
    <m/>
    <m/>
    <m/>
    <m/>
    <m/>
    <m/>
    <m/>
  </r>
  <r>
    <n v="2675"/>
    <s v="2675 | Finance"/>
    <x v="7"/>
    <s v="Finance - Manager Level"/>
    <s v="Manager"/>
    <s v="Finance-Manager"/>
    <s v="Manager Level"/>
    <d v="2022-02-09T03:23:10"/>
    <d v="2022-02-12T03:23:1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673"/>
    <s v="2673 | Finance"/>
    <x v="7"/>
    <s v="Finance - Manager Level"/>
    <s v="Manager"/>
    <s v="Finance-Manager"/>
    <s v="Manager Level"/>
    <d v="2022-02-10T03:23:10"/>
    <d v="2022-02-12T03:23:1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550"/>
    <s v="2550 | Finance"/>
    <x v="7"/>
    <s v="Finance - Manager Level"/>
    <s v="Manager"/>
    <s v="Finance-Manager"/>
    <s v="Manager Level"/>
    <d v="2023-06-26T11:30:00"/>
    <d v="2023-06-29T11:30:00"/>
    <s v="Yes"/>
    <d v="2023-07-13T11:30:00"/>
    <s v="Declined"/>
    <m/>
    <d v="2023-07-19T11:30:00"/>
    <s v="Declined"/>
    <m/>
    <m/>
    <d v="2023-07-16T11:30:00"/>
    <m/>
    <n v="0"/>
    <m/>
    <m/>
    <m/>
    <m/>
    <m/>
    <m/>
    <m/>
    <m/>
    <n v="3"/>
    <n v="17"/>
    <n v="14"/>
    <x v="15"/>
    <n v="3"/>
    <d v="2023-10-14T11:30:00"/>
    <s v=""/>
    <s v=""/>
    <s v=""/>
    <m/>
    <m/>
    <m/>
    <m/>
    <m/>
    <m/>
    <m/>
    <m/>
    <m/>
    <m/>
  </r>
  <r>
    <n v="2544"/>
    <s v="2544 | Finance"/>
    <x v="7"/>
    <s v="Finance - Manager Level"/>
    <s v="Manager"/>
    <s v="Finance-Manager"/>
    <s v="Manager Level"/>
    <d v="2023-06-28T11:30:00"/>
    <d v="2023-06-29T11:30:00"/>
    <s v="Yes"/>
    <d v="2023-07-21T11:30:00"/>
    <s v="Failed"/>
    <s v="Other"/>
    <m/>
    <m/>
    <m/>
    <m/>
    <d v="2023-07-22T11:30:00"/>
    <m/>
    <n v="0"/>
    <m/>
    <m/>
    <m/>
    <m/>
    <s v="Company"/>
    <m/>
    <m/>
    <m/>
    <n v="1"/>
    <n v="23"/>
    <n v="22"/>
    <x v="21"/>
    <n v="1"/>
    <d v="2023-10-20T11:30:00"/>
    <s v=""/>
    <s v=""/>
    <s v=""/>
    <m/>
    <m/>
    <m/>
    <m/>
    <m/>
    <m/>
    <m/>
    <m/>
    <m/>
    <m/>
  </r>
  <r>
    <n v="2506"/>
    <s v="2506 | Finance"/>
    <x v="7"/>
    <s v="Finance - Manager Level"/>
    <s v="Manager"/>
    <s v="Finance-Manager"/>
    <s v="Manager Level"/>
    <d v="2022-06-25T18:38:51"/>
    <d v="2022-06-27T18:38:51"/>
    <s v="Yes"/>
    <d v="2022-07-16T18:38:51"/>
    <s v="Declined"/>
    <m/>
    <d v="2022-07-20T18:38:51"/>
    <s v="Declined"/>
    <m/>
    <m/>
    <d v="2022-07-19T18:38:51"/>
    <m/>
    <n v="0"/>
    <m/>
    <m/>
    <m/>
    <m/>
    <m/>
    <m/>
    <m/>
    <m/>
    <n v="2"/>
    <n v="21"/>
    <n v="19"/>
    <x v="21"/>
    <n v="3"/>
    <d v="2022-10-17T18:38:51"/>
    <s v=""/>
    <s v=""/>
    <s v=""/>
    <m/>
    <m/>
    <m/>
    <m/>
    <m/>
    <m/>
    <m/>
    <m/>
    <m/>
    <m/>
  </r>
  <r>
    <n v="2503"/>
    <s v="2503 | Finance"/>
    <x v="7"/>
    <s v="Finance - Manager Level"/>
    <s v="Manager"/>
    <s v="Finance-Manager"/>
    <s v="Manager Level"/>
    <d v="2022-06-27T18:38:51"/>
    <d v="2022-06-29T18:38:51"/>
    <s v="Yes"/>
    <d v="2022-07-02T18:38:51"/>
    <s v="Accepted"/>
    <m/>
    <d v="2022-07-06T18:38:51"/>
    <s v="Accepted"/>
    <d v="2022-07-03T18:38:51"/>
    <d v="2022-07-06T18:38:51"/>
    <d v="2022-07-03T18:38:51"/>
    <d v="2022-07-08T18:38:51"/>
    <n v="1"/>
    <d v="2022-07-09T18:38:51"/>
    <d v="2022-07-12T18:38:51"/>
    <d v="2022-07-13T18:38:51"/>
    <m/>
    <m/>
    <d v="2022-07-30T18:38:51"/>
    <m/>
    <m/>
    <n v="2"/>
    <n v="5"/>
    <n v="3"/>
    <x v="27"/>
    <n v="1"/>
    <d v="2022-10-01T18:38:51"/>
    <n v="1"/>
    <n v="27"/>
    <n v="10"/>
    <m/>
    <m/>
    <m/>
    <m/>
    <m/>
    <m/>
    <m/>
    <m/>
    <m/>
    <m/>
  </r>
  <r>
    <n v="2502"/>
    <s v="2502 | Finance"/>
    <x v="7"/>
    <s v="Finance - Manager Level"/>
    <s v="Manager"/>
    <s v="Finance-Manager"/>
    <s v="Manager Level"/>
    <d v="2022-06-28T18:38:51"/>
    <d v="2022-06-30T18:38:51"/>
    <s v="Yes"/>
    <d v="2022-07-12T18:38:51"/>
    <s v="Failed"/>
    <s v="Not a culture fit"/>
    <m/>
    <m/>
    <m/>
    <m/>
    <d v="2022-07-14T18:38:51"/>
    <m/>
    <n v="0"/>
    <m/>
    <m/>
    <m/>
    <m/>
    <s v="Candidate"/>
    <m/>
    <m/>
    <m/>
    <n v="2"/>
    <n v="14"/>
    <n v="12"/>
    <x v="20"/>
    <n v="2"/>
    <d v="2022-10-12T18:38:51"/>
    <s v=""/>
    <s v=""/>
    <s v=""/>
    <m/>
    <m/>
    <m/>
    <m/>
    <m/>
    <m/>
    <m/>
    <m/>
    <m/>
    <m/>
  </r>
  <r>
    <n v="2480"/>
    <s v="2480 | Finance"/>
    <x v="7"/>
    <s v="Finance - Manager Level"/>
    <s v="Manager"/>
    <s v="Finance-Manager"/>
    <s v="Manager Level"/>
    <d v="2022-12-20T10:20:25"/>
    <d v="2022-12-21T10:20:25"/>
    <s v="Yes"/>
    <d v="2023-01-10T10:20:25"/>
    <s v="Declined"/>
    <m/>
    <d v="2023-01-13T10:20:25"/>
    <s v="Declined"/>
    <m/>
    <m/>
    <d v="2023-01-12T10:20:25"/>
    <m/>
    <n v="0"/>
    <m/>
    <m/>
    <m/>
    <m/>
    <m/>
    <m/>
    <m/>
    <m/>
    <n v="1"/>
    <n v="21"/>
    <n v="20"/>
    <x v="3"/>
    <n v="2"/>
    <d v="2023-04-12T10:20:25"/>
    <s v=""/>
    <s v=""/>
    <s v=""/>
    <m/>
    <m/>
    <m/>
    <m/>
    <m/>
    <m/>
    <m/>
    <m/>
    <m/>
    <m/>
  </r>
  <r>
    <n v="2472"/>
    <s v="2472 | Finance"/>
    <x v="7"/>
    <s v="Finance - Manager Level"/>
    <s v="Manager"/>
    <s v="Finance-Manager"/>
    <s v="Manager Level"/>
    <d v="2022-12-19T10:20:25"/>
    <d v="2022-12-21T10:20:25"/>
    <s v="Yes"/>
    <d v="2022-12-27T10:20:25"/>
    <s v="Failed"/>
    <s v="Didn't pass technical test"/>
    <m/>
    <m/>
    <m/>
    <m/>
    <d v="2022-12-31T10:20:25"/>
    <m/>
    <n v="0"/>
    <m/>
    <m/>
    <m/>
    <m/>
    <s v="Candidate"/>
    <m/>
    <m/>
    <m/>
    <n v="2"/>
    <n v="8"/>
    <n v="6"/>
    <x v="24"/>
    <n v="4"/>
    <d v="2023-03-31T10:20:25"/>
    <s v=""/>
    <s v=""/>
    <s v=""/>
    <m/>
    <m/>
    <m/>
    <m/>
    <m/>
    <m/>
    <m/>
    <m/>
    <m/>
    <m/>
  </r>
  <r>
    <n v="2359"/>
    <s v="2359 | Finance"/>
    <x v="7"/>
    <s v="Finance - Manager Level"/>
    <s v="Manager"/>
    <s v="Finance-Manager"/>
    <s v="Manager Level"/>
    <d v="2023-04-07T12:37:54"/>
    <d v="2023-04-10T12:37:5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356"/>
    <s v="2356 | Finance"/>
    <x v="7"/>
    <s v="Finance - Manager Level"/>
    <s v="Manager"/>
    <s v="Finance-Manager"/>
    <s v="Manager Level"/>
    <d v="2023-04-12T12:37:54"/>
    <d v="2023-04-15T12:37:54"/>
    <s v="Yes"/>
    <d v="2023-04-22T12:37:54"/>
    <s v="Failed"/>
    <s v="Salary expectation too high"/>
    <m/>
    <m/>
    <m/>
    <m/>
    <m/>
    <m/>
    <n v="0"/>
    <m/>
    <m/>
    <m/>
    <m/>
    <s v="Candidate"/>
    <m/>
    <m/>
    <m/>
    <n v="3"/>
    <n v="10"/>
    <n v="7"/>
    <x v="0"/>
    <s v=""/>
    <s v=""/>
    <s v=""/>
    <s v=""/>
    <s v=""/>
    <m/>
    <m/>
    <m/>
    <m/>
    <m/>
    <m/>
    <m/>
    <m/>
    <m/>
    <m/>
  </r>
  <r>
    <n v="2330"/>
    <s v="2330 | Finance"/>
    <x v="7"/>
    <s v="Finance - Manager Level"/>
    <s v="Manager"/>
    <s v="Finance-Manager"/>
    <s v="Manager Level"/>
    <d v="2022-02-03T06:22:29"/>
    <d v="2022-02-06T06:22:29"/>
    <s v="Yes"/>
    <d v="2022-02-24T06:22:29"/>
    <s v="Declined"/>
    <m/>
    <d v="2022-02-28T06:22:29"/>
    <s v="Declined"/>
    <m/>
    <m/>
    <d v="2022-02-25T06:22:29"/>
    <m/>
    <n v="0"/>
    <m/>
    <m/>
    <m/>
    <m/>
    <m/>
    <m/>
    <m/>
    <m/>
    <n v="3"/>
    <n v="21"/>
    <n v="18"/>
    <x v="7"/>
    <n v="1"/>
    <d v="2022-05-26T06:22:29"/>
    <s v=""/>
    <s v=""/>
    <s v=""/>
    <m/>
    <m/>
    <m/>
    <m/>
    <m/>
    <m/>
    <m/>
    <m/>
    <m/>
    <m/>
  </r>
  <r>
    <n v="2308"/>
    <s v="2308 | Finance"/>
    <x v="7"/>
    <s v="Finance - Manager Level"/>
    <s v="Manager"/>
    <s v="Finance-Manager"/>
    <s v="Manager Level"/>
    <d v="2023-06-22T01:56:26"/>
    <d v="2023-06-25T01:56:26"/>
    <s v="Yes"/>
    <d v="2023-07-10T01:56:26"/>
    <s v="Failed"/>
    <s v="Position filled by another"/>
    <m/>
    <m/>
    <m/>
    <m/>
    <d v="2023-07-12T01:56:26"/>
    <m/>
    <n v="0"/>
    <m/>
    <m/>
    <m/>
    <m/>
    <s v="Company"/>
    <m/>
    <m/>
    <m/>
    <n v="3"/>
    <n v="18"/>
    <n v="15"/>
    <x v="15"/>
    <n v="2"/>
    <d v="2023-10-10T01:56:26"/>
    <s v=""/>
    <s v=""/>
    <s v=""/>
    <m/>
    <m/>
    <m/>
    <m/>
    <m/>
    <m/>
    <m/>
    <m/>
    <m/>
    <m/>
  </r>
  <r>
    <n v="2279"/>
    <s v="2279 | Finance"/>
    <x v="7"/>
    <s v="Finance - Manager Level"/>
    <s v="Manager"/>
    <s v="Finance-Manager"/>
    <s v="Manager Level"/>
    <d v="2023-08-26T21:41:36"/>
    <d v="2023-08-29T21:41:3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230"/>
    <s v="2230 | Finance"/>
    <x v="7"/>
    <s v="Finance - Manager Level"/>
    <s v="Manager"/>
    <s v="Finance-Manager"/>
    <s v="Manager Level"/>
    <d v="2023-08-16T12:50:13"/>
    <d v="2023-08-18T12:50:13"/>
    <s v="Yes"/>
    <d v="2023-08-31T12:50:13"/>
    <s v="Pending"/>
    <m/>
    <d v="2023-09-03T12:50:13"/>
    <s v="Pending"/>
    <m/>
    <m/>
    <d v="2023-09-01T12:50:13"/>
    <m/>
    <n v="0"/>
    <m/>
    <m/>
    <m/>
    <m/>
    <m/>
    <m/>
    <m/>
    <m/>
    <n v="2"/>
    <n v="15"/>
    <n v="13"/>
    <x v="20"/>
    <n v="1"/>
    <d v="2023-11-30T12:50:13"/>
    <s v=""/>
    <s v=""/>
    <s v=""/>
    <m/>
    <m/>
    <m/>
    <m/>
    <m/>
    <m/>
    <m/>
    <m/>
    <m/>
    <m/>
  </r>
  <r>
    <n v="2226"/>
    <s v="2226 | Finance"/>
    <x v="7"/>
    <s v="Finance - Manager Level"/>
    <s v="Manager"/>
    <s v="Finance-Manager"/>
    <s v="Manager Level"/>
    <d v="2023-08-18T12:50:13"/>
    <d v="2023-08-20T12:50:13"/>
    <s v="Yes"/>
    <d v="2023-09-02T12:50:13"/>
    <s v="Failed"/>
    <s v="Salary expectation too high"/>
    <m/>
    <m/>
    <m/>
    <m/>
    <m/>
    <m/>
    <n v="0"/>
    <m/>
    <m/>
    <m/>
    <m/>
    <s v="Company"/>
    <m/>
    <m/>
    <m/>
    <n v="2"/>
    <n v="15"/>
    <n v="13"/>
    <x v="0"/>
    <s v=""/>
    <s v=""/>
    <s v=""/>
    <s v=""/>
    <s v=""/>
    <m/>
    <m/>
    <m/>
    <m/>
    <m/>
    <m/>
    <m/>
    <m/>
    <m/>
    <m/>
  </r>
  <r>
    <n v="2222"/>
    <s v="2222 | Finance"/>
    <x v="7"/>
    <s v="Finance - Manager Level"/>
    <s v="Manager"/>
    <s v="Finance-Manager"/>
    <s v="Manager Level"/>
    <d v="2023-08-19T12:50:13"/>
    <d v="2023-08-22T12:50:13"/>
    <s v="Yes"/>
    <d v="2023-09-05T12:50:13"/>
    <s v="Declined"/>
    <m/>
    <d v="2023-09-08T12:50:13"/>
    <s v="Declined"/>
    <m/>
    <m/>
    <d v="2023-09-06T12:50:13"/>
    <m/>
    <n v="0"/>
    <m/>
    <m/>
    <m/>
    <m/>
    <m/>
    <m/>
    <m/>
    <m/>
    <n v="3"/>
    <n v="17"/>
    <n v="14"/>
    <x v="12"/>
    <n v="1"/>
    <d v="2023-12-05T12:50:13"/>
    <s v=""/>
    <s v=""/>
    <s v=""/>
    <m/>
    <m/>
    <m/>
    <m/>
    <m/>
    <m/>
    <m/>
    <m/>
    <m/>
    <m/>
  </r>
  <r>
    <n v="2172"/>
    <s v="2172 | Finance"/>
    <x v="7"/>
    <s v="Finance - Manager Level"/>
    <s v="Manager"/>
    <s v="Finance-Manager"/>
    <s v="Manager Level"/>
    <d v="2022-07-08T14:26:50"/>
    <d v="2022-07-11T14:26:50"/>
    <s v="Yes"/>
    <d v="2022-07-24T14:26:50"/>
    <s v="Failed"/>
    <s v="Position filled by another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2156"/>
    <s v="2156 | Finance"/>
    <x v="7"/>
    <s v="Finance - Manager Level"/>
    <s v="Manager"/>
    <s v="Finance-Manager"/>
    <s v="Manager Level"/>
    <d v="2023-08-04T09:27:05"/>
    <d v="2023-08-05T09:27:05"/>
    <s v="Yes"/>
    <d v="2023-08-22T09:27:05"/>
    <s v="Failed"/>
    <s v="Salary expectation too high"/>
    <m/>
    <m/>
    <m/>
    <m/>
    <m/>
    <m/>
    <n v="0"/>
    <m/>
    <m/>
    <m/>
    <m/>
    <s v="Candidate"/>
    <m/>
    <m/>
    <m/>
    <n v="1"/>
    <n v="18"/>
    <n v="17"/>
    <x v="0"/>
    <s v=""/>
    <s v=""/>
    <s v=""/>
    <s v=""/>
    <s v=""/>
    <m/>
    <m/>
    <m/>
    <m/>
    <m/>
    <m/>
    <m/>
    <m/>
    <m/>
    <m/>
  </r>
  <r>
    <n v="2154"/>
    <s v="2154 | Finance"/>
    <x v="7"/>
    <s v="Finance - Manager Level"/>
    <s v="Manager"/>
    <s v="Finance-Manager"/>
    <s v="Manager Level"/>
    <d v="2023-08-05T09:27:05"/>
    <d v="2023-08-08T09:27:05"/>
    <s v="Yes"/>
    <d v="2023-08-13T09:27:05"/>
    <s v="Accepted"/>
    <m/>
    <d v="2023-08-17T09:27:05"/>
    <s v="Accepted"/>
    <d v="2023-08-15T09:27:05"/>
    <d v="2023-08-17T09:27:05"/>
    <d v="2023-08-16T09:27:05"/>
    <d v="2023-08-25T09:27:05"/>
    <n v="1"/>
    <d v="2023-08-27T09:27:05"/>
    <d v="2023-08-30T09:27:05"/>
    <d v="2023-08-31T09:27:05"/>
    <m/>
    <m/>
    <d v="2023-09-11T09:27:05"/>
    <m/>
    <m/>
    <n v="3"/>
    <n v="8"/>
    <n v="5"/>
    <x v="9"/>
    <n v="3"/>
    <d v="2023-11-14T09:27:05"/>
    <n v="2"/>
    <n v="26"/>
    <n v="15"/>
    <m/>
    <m/>
    <m/>
    <m/>
    <m/>
    <m/>
    <m/>
    <m/>
    <m/>
    <m/>
  </r>
  <r>
    <n v="2083"/>
    <s v="2083 | Finance"/>
    <x v="7"/>
    <s v="Finance - Manager Level"/>
    <s v="Manager"/>
    <s v="Finance-Manager"/>
    <s v="Manager Level"/>
    <d v="2022-10-03T21:05:46"/>
    <d v="2022-10-06T21:05:46"/>
    <s v="Yes"/>
    <d v="2022-10-11T21:05:46"/>
    <s v="Failed"/>
    <s v="Salary expectation too high"/>
    <m/>
    <m/>
    <m/>
    <m/>
    <d v="2022-10-14T21:05:46"/>
    <m/>
    <n v="0"/>
    <m/>
    <m/>
    <m/>
    <m/>
    <s v="Candidate"/>
    <m/>
    <m/>
    <m/>
    <n v="3"/>
    <n v="8"/>
    <n v="5"/>
    <x v="9"/>
    <n v="3"/>
    <d v="2023-01-12T21:05:46"/>
    <s v=""/>
    <s v=""/>
    <s v=""/>
    <m/>
    <m/>
    <m/>
    <m/>
    <m/>
    <m/>
    <m/>
    <m/>
    <m/>
    <m/>
  </r>
  <r>
    <n v="2030"/>
    <s v="2030 | Finance"/>
    <x v="7"/>
    <s v="Finance - Manager Level"/>
    <s v="Manager"/>
    <s v="Finance-Manager"/>
    <s v="Manager Level"/>
    <d v="2022-08-10T16:19:01"/>
    <d v="2022-08-14T16:19:0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021"/>
    <s v="2021 | Finance"/>
    <x v="7"/>
    <s v="Finance - Manager Level"/>
    <s v="Manager"/>
    <s v="Finance-Manager"/>
    <s v="Manager Level"/>
    <d v="2022-08-12T16:19:01"/>
    <d v="2022-08-15T16:19:0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996"/>
    <s v="1996 | Finance"/>
    <x v="7"/>
    <s v="Finance - Manager Level"/>
    <s v="Manager"/>
    <s v="Finance-Manager"/>
    <s v="Manager Level"/>
    <d v="2023-03-30T15:41:39"/>
    <d v="2023-04-02T15:41:39"/>
    <s v="Yes"/>
    <d v="2023-04-10T15:41:39"/>
    <s v="Failed"/>
    <s v="Salary expectation too high"/>
    <m/>
    <m/>
    <m/>
    <m/>
    <d v="2023-04-13T15:41:39"/>
    <m/>
    <n v="0"/>
    <m/>
    <m/>
    <m/>
    <m/>
    <s v="Company"/>
    <m/>
    <m/>
    <m/>
    <n v="3"/>
    <n v="11"/>
    <n v="8"/>
    <x v="1"/>
    <n v="3"/>
    <d v="2023-07-12T15:41:39"/>
    <s v=""/>
    <s v=""/>
    <s v=""/>
    <m/>
    <m/>
    <m/>
    <m/>
    <m/>
    <m/>
    <m/>
    <m/>
    <m/>
    <m/>
  </r>
  <r>
    <n v="1889"/>
    <s v="1889 | Finance"/>
    <x v="7"/>
    <s v="Finance - Manager Level"/>
    <s v="Manager"/>
    <s v="Finance-Manager"/>
    <s v="Manager Level"/>
    <d v="2022-10-07T10:12:16"/>
    <d v="2022-10-10T10:12:1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887"/>
    <s v="1887 | Finance"/>
    <x v="7"/>
    <s v="Finance - Manager Level"/>
    <s v="Manager"/>
    <s v="Finance-Manager"/>
    <s v="Manager Level"/>
    <d v="2022-10-07T10:12:16"/>
    <d v="2022-10-10T10:12:16"/>
    <s v="Yes"/>
    <d v="2022-10-22T10:12:16"/>
    <s v="Declined"/>
    <m/>
    <d v="2022-10-29T10:12:16"/>
    <s v="Declined"/>
    <m/>
    <m/>
    <d v="2022-10-25T10:12:16"/>
    <m/>
    <n v="0"/>
    <m/>
    <m/>
    <m/>
    <m/>
    <m/>
    <m/>
    <m/>
    <m/>
    <n v="3"/>
    <n v="15"/>
    <n v="12"/>
    <x v="12"/>
    <n v="3"/>
    <d v="2023-01-23T10:12:16"/>
    <s v=""/>
    <s v=""/>
    <s v=""/>
    <m/>
    <m/>
    <m/>
    <m/>
    <m/>
    <m/>
    <m/>
    <m/>
    <m/>
    <m/>
  </r>
  <r>
    <n v="1886"/>
    <s v="1886 | Finance"/>
    <x v="7"/>
    <s v="Finance - Manager Level"/>
    <s v="Manager"/>
    <s v="Finance-Manager"/>
    <s v="Manager Level"/>
    <d v="2022-10-07T10:12:16"/>
    <d v="2022-10-08T10:12:16"/>
    <s v="Yes"/>
    <d v="2022-10-29T10:12:16"/>
    <s v="Failed"/>
    <s v="Other"/>
    <m/>
    <m/>
    <m/>
    <m/>
    <m/>
    <m/>
    <n v="0"/>
    <m/>
    <m/>
    <m/>
    <m/>
    <s v="Candidate"/>
    <m/>
    <m/>
    <m/>
    <n v="1"/>
    <n v="22"/>
    <n v="21"/>
    <x v="0"/>
    <s v=""/>
    <s v=""/>
    <s v=""/>
    <s v=""/>
    <s v=""/>
    <m/>
    <m/>
    <m/>
    <m/>
    <m/>
    <m/>
    <m/>
    <m/>
    <m/>
    <m/>
  </r>
  <r>
    <n v="1885"/>
    <s v="1885 | Finance"/>
    <x v="7"/>
    <s v="Finance - Manager Level"/>
    <s v="Manager"/>
    <s v="Finance-Manager"/>
    <s v="Manager Level"/>
    <d v="2022-10-09T10:12:16"/>
    <d v="2022-10-11T10:12:1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84"/>
    <s v="1884 | Finance"/>
    <x v="7"/>
    <s v="Finance - Manager Level"/>
    <s v="Manager"/>
    <s v="Finance-Manager"/>
    <s v="Manager Level"/>
    <d v="2022-10-11T10:12:16"/>
    <d v="2022-10-13T10:12:16"/>
    <s v="Yes"/>
    <d v="2022-10-21T10:12:16"/>
    <s v="Accepted"/>
    <m/>
    <d v="2022-10-26T10:12:16"/>
    <s v="Accepted"/>
    <d v="2022-10-22T10:12:16"/>
    <d v="2022-10-26T10:12:16"/>
    <d v="2022-10-24T10:12:16"/>
    <d v="2022-10-25T10:12:16"/>
    <n v="1"/>
    <d v="2022-10-28T10:12:16"/>
    <d v="2022-10-29T10:12:16"/>
    <d v="2022-10-30T10:12:16"/>
    <m/>
    <m/>
    <d v="2022-11-09T10:12:16"/>
    <m/>
    <m/>
    <n v="2"/>
    <n v="10"/>
    <n v="8"/>
    <x v="8"/>
    <n v="3"/>
    <d v="2023-01-22T10:12:16"/>
    <n v="3"/>
    <n v="16"/>
    <n v="6"/>
    <m/>
    <m/>
    <m/>
    <m/>
    <m/>
    <m/>
    <m/>
    <m/>
    <m/>
    <m/>
  </r>
  <r>
    <n v="1843"/>
    <s v="1843 | Finance"/>
    <x v="7"/>
    <s v="Finance - Manager Level"/>
    <s v="Manager"/>
    <s v="Finance-Manager"/>
    <s v="Manager Level"/>
    <d v="2022-02-17T23:17:04"/>
    <d v="2022-02-21T23:17:04"/>
    <s v="Yes"/>
    <d v="2022-03-07T23:17:04"/>
    <s v="Pending"/>
    <m/>
    <d v="2022-03-12T23:17:04"/>
    <s v="Pending"/>
    <m/>
    <m/>
    <d v="2022-03-08T23:17:04"/>
    <m/>
    <n v="0"/>
    <m/>
    <m/>
    <m/>
    <m/>
    <m/>
    <m/>
    <m/>
    <m/>
    <n v="4"/>
    <n v="18"/>
    <n v="14"/>
    <x v="13"/>
    <n v="1"/>
    <d v="2022-06-06T23:17:04"/>
    <s v=""/>
    <s v=""/>
    <s v=""/>
    <m/>
    <m/>
    <m/>
    <m/>
    <m/>
    <m/>
    <m/>
    <m/>
    <m/>
    <m/>
  </r>
  <r>
    <n v="1842"/>
    <s v="1842 | Finance"/>
    <x v="7"/>
    <s v="Finance - Manager Level"/>
    <s v="Manager"/>
    <s v="Finance-Manager"/>
    <s v="Manager Level"/>
    <d v="2022-02-18T23:17:04"/>
    <d v="2022-02-22T23:17:04"/>
    <s v="Yes"/>
    <d v="2022-03-07T23:17:04"/>
    <s v="Failed"/>
    <s v="Position filled by another"/>
    <m/>
    <m/>
    <m/>
    <m/>
    <m/>
    <m/>
    <n v="0"/>
    <m/>
    <m/>
    <m/>
    <m/>
    <s v="Company"/>
    <m/>
    <m/>
    <m/>
    <n v="4"/>
    <n v="17"/>
    <n v="13"/>
    <x v="0"/>
    <s v=""/>
    <s v=""/>
    <s v=""/>
    <s v=""/>
    <s v=""/>
    <m/>
    <m/>
    <m/>
    <m/>
    <m/>
    <m/>
    <m/>
    <m/>
    <m/>
    <m/>
  </r>
  <r>
    <n v="1828"/>
    <s v="1828 | Finance"/>
    <x v="7"/>
    <s v="Finance - Manager Level"/>
    <s v="Manager"/>
    <s v="Finance-Manager"/>
    <s v="Manager Level"/>
    <d v="2022-04-11T11:01:49"/>
    <d v="2022-04-13T11:01:49"/>
    <s v="Yes"/>
    <d v="2022-05-02T11:01:49"/>
    <s v="Pending"/>
    <m/>
    <d v="2022-05-08T11:01:49"/>
    <s v="Pending"/>
    <m/>
    <m/>
    <d v="2022-05-04T11:01:49"/>
    <m/>
    <n v="0"/>
    <m/>
    <m/>
    <m/>
    <m/>
    <m/>
    <m/>
    <m/>
    <m/>
    <n v="2"/>
    <n v="21"/>
    <n v="19"/>
    <x v="3"/>
    <n v="2"/>
    <d v="2022-08-02T11:01:49"/>
    <s v=""/>
    <s v=""/>
    <s v=""/>
    <m/>
    <m/>
    <m/>
    <m/>
    <m/>
    <m/>
    <m/>
    <m/>
    <m/>
    <m/>
  </r>
  <r>
    <n v="1827"/>
    <s v="1827 | Finance"/>
    <x v="7"/>
    <s v="Finance - Manager Level"/>
    <s v="Manager"/>
    <s v="Finance-Manager"/>
    <s v="Manager Level"/>
    <d v="2022-04-09T11:01:49"/>
    <d v="2022-04-11T11:01:49"/>
    <s v="Yes"/>
    <d v="2022-04-21T11:01:49"/>
    <s v="Accepted"/>
    <m/>
    <d v="2022-04-26T11:01:49"/>
    <s v="Accepted"/>
    <d v="2022-04-23T11:01:49"/>
    <d v="2022-04-26T11:01:49"/>
    <d v="2022-04-22T11:01:49"/>
    <d v="2022-04-30T11:01:49"/>
    <n v="1"/>
    <d v="2022-05-04T11:01:49"/>
    <d v="2022-05-06T11:01:49"/>
    <d v="2022-05-07T11:01:49"/>
    <m/>
    <m/>
    <d v="2022-05-20T11:01:49"/>
    <m/>
    <m/>
    <n v="2"/>
    <n v="12"/>
    <n v="10"/>
    <x v="8"/>
    <n v="1"/>
    <d v="2022-07-21T11:01:49"/>
    <n v="4"/>
    <n v="28"/>
    <n v="15"/>
    <m/>
    <m/>
    <m/>
    <m/>
    <m/>
    <m/>
    <m/>
    <m/>
    <m/>
    <m/>
  </r>
  <r>
    <n v="1825"/>
    <s v="1825 | Finance"/>
    <x v="7"/>
    <s v="Finance - Manager Level"/>
    <s v="Manager"/>
    <s v="Finance-Manager"/>
    <s v="Manager Level"/>
    <d v="2022-04-11T11:01:49"/>
    <d v="2022-04-14T11:01:49"/>
    <s v="Yes"/>
    <d v="2022-04-22T11:01:49"/>
    <s v="Failed"/>
    <s v="Not a culture fit"/>
    <m/>
    <m/>
    <m/>
    <m/>
    <m/>
    <m/>
    <n v="0"/>
    <m/>
    <m/>
    <m/>
    <m/>
    <s v="Candidate"/>
    <m/>
    <m/>
    <m/>
    <n v="3"/>
    <n v="11"/>
    <n v="8"/>
    <x v="0"/>
    <s v=""/>
    <s v=""/>
    <s v=""/>
    <s v=""/>
    <s v=""/>
    <m/>
    <m/>
    <m/>
    <m/>
    <m/>
    <m/>
    <m/>
    <m/>
    <m/>
    <m/>
  </r>
  <r>
    <n v="1824"/>
    <s v="1824 | Finance"/>
    <x v="7"/>
    <s v="Finance - Manager Level"/>
    <s v="Manager"/>
    <s v="Finance-Manager"/>
    <s v="Manager Level"/>
    <d v="2022-04-12T11:01:49"/>
    <d v="2022-04-15T11:01:49"/>
    <s v="Yes"/>
    <d v="2022-04-22T11:01:49"/>
    <s v="Failed"/>
    <s v="Not a culture fit"/>
    <m/>
    <m/>
    <m/>
    <m/>
    <m/>
    <m/>
    <n v="0"/>
    <m/>
    <m/>
    <m/>
    <m/>
    <s v="Candidate"/>
    <m/>
    <m/>
    <m/>
    <n v="3"/>
    <n v="10"/>
    <n v="7"/>
    <x v="0"/>
    <s v=""/>
    <s v=""/>
    <s v=""/>
    <s v=""/>
    <s v=""/>
    <m/>
    <m/>
    <m/>
    <m/>
    <m/>
    <m/>
    <m/>
    <m/>
    <m/>
    <m/>
  </r>
  <r>
    <n v="1755"/>
    <s v="1755 | Finance"/>
    <x v="7"/>
    <s v="Finance - Manager Level"/>
    <s v="Manager"/>
    <s v="Finance-Manager"/>
    <s v="Manager Level"/>
    <d v="2022-05-28T15:29:59"/>
    <d v="2022-05-31T15:29:59"/>
    <s v="Yes"/>
    <d v="2022-06-18T15:29:59"/>
    <s v="Failed"/>
    <s v="Other"/>
    <m/>
    <m/>
    <m/>
    <m/>
    <d v="2022-06-22T15:29:59"/>
    <m/>
    <n v="0"/>
    <m/>
    <m/>
    <m/>
    <m/>
    <s v="Company"/>
    <m/>
    <m/>
    <m/>
    <n v="3"/>
    <n v="21"/>
    <n v="18"/>
    <x v="11"/>
    <n v="4"/>
    <d v="2022-09-20T15:29:59"/>
    <s v=""/>
    <s v=""/>
    <s v=""/>
    <m/>
    <m/>
    <m/>
    <m/>
    <m/>
    <m/>
    <m/>
    <m/>
    <m/>
    <m/>
  </r>
  <r>
    <n v="1753"/>
    <s v="1753 | Finance"/>
    <x v="7"/>
    <s v="Finance - Manager Level"/>
    <s v="Manager"/>
    <s v="Finance-Manager"/>
    <s v="Manager Level"/>
    <d v="2022-06-02T15:29:59"/>
    <d v="2022-06-05T15:29:59"/>
    <s v="Yes"/>
    <d v="2022-06-11T15:29:59"/>
    <s v="Failed"/>
    <s v="Salary expectation too high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1739"/>
    <s v="1739 | Finance"/>
    <x v="7"/>
    <s v="Finance - Manager Level"/>
    <s v="Manager"/>
    <s v="Finance-Manager"/>
    <s v="Manager Level"/>
    <d v="2022-01-01T15:13:53"/>
    <d v="2022-01-03T15:13:5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710"/>
    <s v="1710 | Finance"/>
    <x v="7"/>
    <s v="Finance - Manager Level"/>
    <s v="Manager"/>
    <s v="Finance-Manager"/>
    <s v="Manager Level"/>
    <d v="2023-02-28T18:01:56"/>
    <d v="2023-03-03T18:01:56"/>
    <s v="Yes"/>
    <d v="2023-03-17T18:01:56"/>
    <s v="Pending"/>
    <m/>
    <d v="2023-03-23T18:01:56"/>
    <s v="Pending"/>
    <m/>
    <m/>
    <d v="2023-03-19T18:01:56"/>
    <m/>
    <n v="0"/>
    <m/>
    <m/>
    <m/>
    <m/>
    <m/>
    <m/>
    <m/>
    <m/>
    <n v="3"/>
    <n v="17"/>
    <n v="14"/>
    <x v="13"/>
    <n v="2"/>
    <d v="2023-06-17T18:01:56"/>
    <s v=""/>
    <s v=""/>
    <s v=""/>
    <m/>
    <m/>
    <m/>
    <m/>
    <m/>
    <m/>
    <m/>
    <m/>
    <m/>
    <m/>
  </r>
  <r>
    <n v="1676"/>
    <s v="1676 | Finance"/>
    <x v="7"/>
    <s v="Finance - Manager Level"/>
    <s v="Manager"/>
    <s v="Finance-Manager"/>
    <s v="Manager Level"/>
    <d v="2022-11-08T03:27:45"/>
    <d v="2022-11-09T03:27:45"/>
    <s v="Yes"/>
    <d v="2022-11-14T03:27:45"/>
    <s v="Failed"/>
    <s v="Salary expectation too high"/>
    <m/>
    <m/>
    <m/>
    <m/>
    <d v="2022-11-15T03:27:45"/>
    <m/>
    <n v="0"/>
    <m/>
    <m/>
    <m/>
    <m/>
    <s v="Company"/>
    <m/>
    <m/>
    <m/>
    <n v="1"/>
    <n v="6"/>
    <n v="5"/>
    <x v="5"/>
    <n v="1"/>
    <d v="2023-02-13T03:27:45"/>
    <s v=""/>
    <s v=""/>
    <s v=""/>
    <m/>
    <m/>
    <m/>
    <m/>
    <m/>
    <m/>
    <m/>
    <m/>
    <m/>
    <m/>
  </r>
  <r>
    <n v="1673"/>
    <s v="1673 | Finance"/>
    <x v="7"/>
    <s v="Finance - Manager Level"/>
    <s v="Manager"/>
    <s v="Finance-Manager"/>
    <s v="Manager Level"/>
    <d v="2022-11-05T03:27:45"/>
    <d v="2022-11-08T03:27:45"/>
    <s v="Yes"/>
    <d v="2022-11-27T03:27:45"/>
    <s v="Pending"/>
    <m/>
    <d v="2022-12-04T03:27:45"/>
    <s v="Pending"/>
    <m/>
    <m/>
    <d v="2022-12-01T03:27:45"/>
    <m/>
    <n v="0"/>
    <m/>
    <m/>
    <m/>
    <m/>
    <m/>
    <m/>
    <m/>
    <m/>
    <n v="3"/>
    <n v="22"/>
    <n v="19"/>
    <x v="25"/>
    <n v="4"/>
    <d v="2023-03-01T03:27:45"/>
    <s v=""/>
    <s v=""/>
    <s v=""/>
    <m/>
    <m/>
    <m/>
    <m/>
    <m/>
    <m/>
    <m/>
    <m/>
    <m/>
    <m/>
  </r>
  <r>
    <n v="1587"/>
    <s v="1587 | Finance"/>
    <x v="7"/>
    <s v="Finance - Manager Level"/>
    <s v="Manager"/>
    <s v="Finance-Manager"/>
    <s v="Manager Level"/>
    <d v="2023-09-17T20:10:47"/>
    <d v="2023-09-18T20:10:47"/>
    <s v="Yes"/>
    <d v="2023-09-23T20:10:47"/>
    <s v="Accepted"/>
    <m/>
    <d v="2023-09-28T20:10:47"/>
    <s v="Accepted"/>
    <d v="2023-09-24T20:10:47"/>
    <d v="2023-09-28T20:10:47"/>
    <d v="2023-09-26T20:10:47"/>
    <d v="2023-10-05T20:10:47"/>
    <n v="1"/>
    <d v="2023-10-08T20:10:47"/>
    <d v="2023-10-11T20:10:47"/>
    <d v="2023-10-13T20:10:47"/>
    <m/>
    <m/>
    <d v="2023-10-27T20:10:47"/>
    <m/>
    <m/>
    <n v="1"/>
    <n v="6"/>
    <n v="5"/>
    <x v="4"/>
    <n v="3"/>
    <d v="2023-12-25T20:10:47"/>
    <n v="3"/>
    <n v="31"/>
    <n v="17"/>
    <m/>
    <m/>
    <m/>
    <m/>
    <m/>
    <m/>
    <m/>
    <m/>
    <m/>
    <m/>
  </r>
  <r>
    <n v="1566"/>
    <s v="1566 | Finance"/>
    <x v="7"/>
    <s v="Finance - Manager Level"/>
    <s v="Manager"/>
    <s v="Finance-Manager"/>
    <s v="Manager Level"/>
    <d v="2022-03-18T11:46:18"/>
    <d v="2022-03-21T11:46:18"/>
    <s v="Yes"/>
    <d v="2022-04-01T11:46:18"/>
    <s v="Declined"/>
    <m/>
    <d v="2022-04-06T11:46:18"/>
    <s v="Declined"/>
    <m/>
    <m/>
    <d v="2022-04-03T11:46:18"/>
    <m/>
    <n v="0"/>
    <m/>
    <m/>
    <m/>
    <m/>
    <m/>
    <m/>
    <m/>
    <m/>
    <n v="3"/>
    <n v="14"/>
    <n v="11"/>
    <x v="20"/>
    <n v="2"/>
    <d v="2022-07-02T11:46:18"/>
    <s v=""/>
    <s v=""/>
    <s v=""/>
    <m/>
    <m/>
    <m/>
    <m/>
    <m/>
    <m/>
    <m/>
    <m/>
    <m/>
    <m/>
  </r>
  <r>
    <n v="1565"/>
    <s v="1565 | Finance"/>
    <x v="7"/>
    <s v="Finance - Manager Level"/>
    <s v="Manager"/>
    <s v="Finance-Manager"/>
    <s v="Manager Level"/>
    <d v="2022-03-15T11:46:18"/>
    <d v="2022-03-19T11:46:18"/>
    <s v="Yes"/>
    <d v="2022-03-31T11:46:18"/>
    <s v="Pending"/>
    <m/>
    <d v="2022-04-04T11:46:18"/>
    <s v="Pending"/>
    <m/>
    <m/>
    <d v="2022-04-01T11:46:18"/>
    <m/>
    <n v="0"/>
    <m/>
    <m/>
    <m/>
    <m/>
    <m/>
    <m/>
    <m/>
    <m/>
    <n v="4"/>
    <n v="16"/>
    <n v="12"/>
    <x v="14"/>
    <n v="1"/>
    <d v="2022-06-30T11:46:18"/>
    <s v=""/>
    <s v=""/>
    <s v=""/>
    <m/>
    <m/>
    <m/>
    <m/>
    <m/>
    <m/>
    <m/>
    <m/>
    <m/>
    <m/>
  </r>
  <r>
    <n v="1561"/>
    <s v="1561 | Finance"/>
    <x v="7"/>
    <s v="Finance - Manager Level"/>
    <s v="Manager"/>
    <s v="Finance-Manager"/>
    <s v="Manager Level"/>
    <d v="2022-03-20T11:46:18"/>
    <d v="2022-03-21T11:46:18"/>
    <s v="Yes"/>
    <d v="2022-04-05T11:46:18"/>
    <s v="Declined"/>
    <m/>
    <d v="2022-04-12T11:46:18"/>
    <s v="Declined"/>
    <m/>
    <m/>
    <d v="2022-04-09T11:46:18"/>
    <m/>
    <n v="0"/>
    <m/>
    <m/>
    <m/>
    <m/>
    <m/>
    <m/>
    <m/>
    <m/>
    <n v="1"/>
    <n v="16"/>
    <n v="15"/>
    <x v="15"/>
    <n v="4"/>
    <d v="2022-07-08T11:46:18"/>
    <s v=""/>
    <s v=""/>
    <s v=""/>
    <m/>
    <m/>
    <m/>
    <m/>
    <m/>
    <m/>
    <m/>
    <m/>
    <m/>
    <m/>
  </r>
  <r>
    <n v="1541"/>
    <s v="1541 | Finance"/>
    <x v="7"/>
    <s v="Finance - Manager Level"/>
    <s v="Manager"/>
    <s v="Finance-Manager"/>
    <s v="Manager Level"/>
    <d v="2023-05-28T20:23:44"/>
    <d v="2023-05-29T20:23:4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530"/>
    <s v="1530 | Finance"/>
    <x v="7"/>
    <s v="Finance - Manager Level"/>
    <s v="Manager"/>
    <s v="Finance-Manager"/>
    <s v="Manager Level"/>
    <d v="2023-01-02T00:36:18"/>
    <d v="2023-01-05T00:36:18"/>
    <s v="Yes"/>
    <d v="2023-01-11T00:36:18"/>
    <s v="Declined"/>
    <m/>
    <d v="2023-01-18T00:36:18"/>
    <s v="Declined"/>
    <m/>
    <m/>
    <d v="2023-01-14T00:36:18"/>
    <m/>
    <n v="0"/>
    <m/>
    <m/>
    <m/>
    <m/>
    <m/>
    <m/>
    <m/>
    <m/>
    <n v="3"/>
    <n v="9"/>
    <n v="6"/>
    <x v="24"/>
    <n v="3"/>
    <d v="2023-04-14T00:36:18"/>
    <s v=""/>
    <s v=""/>
    <s v=""/>
    <m/>
    <m/>
    <m/>
    <m/>
    <m/>
    <m/>
    <m/>
    <m/>
    <m/>
    <m/>
  </r>
  <r>
    <n v="1440"/>
    <s v="1440 | Finance"/>
    <x v="7"/>
    <s v="Finance - Manager Level"/>
    <s v="Manager"/>
    <s v="Finance-Manager"/>
    <s v="Manager Level"/>
    <d v="2023-06-06T22:29:11"/>
    <d v="2023-06-10T22:29:11"/>
    <s v="Yes"/>
    <d v="2023-06-22T22:29:11"/>
    <s v="Failed"/>
    <s v="Position filled by another"/>
    <m/>
    <m/>
    <m/>
    <m/>
    <d v="2023-06-24T22:29:11"/>
    <m/>
    <n v="0"/>
    <m/>
    <m/>
    <m/>
    <m/>
    <s v="Company"/>
    <m/>
    <m/>
    <m/>
    <n v="4"/>
    <n v="16"/>
    <n v="12"/>
    <x v="12"/>
    <n v="2"/>
    <d v="2023-09-22T22:29:11"/>
    <s v=""/>
    <s v=""/>
    <s v=""/>
    <m/>
    <m/>
    <m/>
    <m/>
    <m/>
    <m/>
    <m/>
    <m/>
    <m/>
    <m/>
  </r>
  <r>
    <n v="1437"/>
    <s v="1437 | Finance"/>
    <x v="7"/>
    <s v="Finance - Manager Level"/>
    <s v="Manager"/>
    <s v="Finance-Manager"/>
    <s v="Manager Level"/>
    <d v="2023-06-08T22:29:11"/>
    <d v="2023-06-12T22:29:11"/>
    <s v="Yes"/>
    <d v="2023-06-19T22:29:11"/>
    <s v="Pending"/>
    <m/>
    <d v="2023-06-26T22:29:11"/>
    <s v="Pending"/>
    <m/>
    <m/>
    <d v="2023-06-23T22:29:11"/>
    <m/>
    <n v="0"/>
    <m/>
    <m/>
    <m/>
    <m/>
    <m/>
    <m/>
    <m/>
    <m/>
    <n v="4"/>
    <n v="11"/>
    <n v="7"/>
    <x v="16"/>
    <n v="4"/>
    <d v="2023-09-21T22:29:11"/>
    <s v=""/>
    <s v=""/>
    <s v=""/>
    <m/>
    <m/>
    <m/>
    <m/>
    <m/>
    <m/>
    <m/>
    <m/>
    <m/>
    <m/>
  </r>
  <r>
    <n v="1432"/>
    <s v="1432 | Finance"/>
    <x v="7"/>
    <s v="Finance - Manager Level"/>
    <s v="Manager"/>
    <s v="Finance-Manager"/>
    <s v="Manager Level"/>
    <d v="2023-06-09T22:29:11"/>
    <d v="2023-06-13T22:29:11"/>
    <s v="Yes"/>
    <d v="2023-06-20T22:29:11"/>
    <s v="Failed"/>
    <s v="Other"/>
    <m/>
    <m/>
    <m/>
    <m/>
    <d v="2023-06-21T22:29:11"/>
    <m/>
    <n v="0"/>
    <m/>
    <m/>
    <m/>
    <m/>
    <s v="Company"/>
    <m/>
    <m/>
    <m/>
    <n v="4"/>
    <n v="11"/>
    <n v="7"/>
    <x v="24"/>
    <n v="1"/>
    <d v="2023-09-19T22:29:11"/>
    <s v=""/>
    <s v=""/>
    <s v=""/>
    <m/>
    <m/>
    <m/>
    <m/>
    <m/>
    <m/>
    <m/>
    <m/>
    <m/>
    <m/>
  </r>
  <r>
    <n v="1399"/>
    <s v="1399 | Finance"/>
    <x v="7"/>
    <s v="Finance - Manager Level"/>
    <s v="Manager"/>
    <s v="Finance-Manager"/>
    <s v="Manager Level"/>
    <d v="2022-08-15T08:38:11"/>
    <d v="2022-08-18T08:38:11"/>
    <s v="Yes"/>
    <d v="2022-08-28T08:38:11"/>
    <s v="Accepted"/>
    <m/>
    <d v="2022-08-30T08:38:11"/>
    <s v="Accepted"/>
    <d v="2022-08-30T08:38:11"/>
    <d v="2022-08-31T08:38:11"/>
    <d v="2022-08-29T08:38:11"/>
    <d v="2022-09-07T08:38:11"/>
    <n v="1"/>
    <d v="2022-09-08T08:38:11"/>
    <d v="2022-09-09T08:38:11"/>
    <d v="2022-09-11T08:38:11"/>
    <m/>
    <m/>
    <d v="2022-09-25T08:38:11"/>
    <m/>
    <m/>
    <n v="3"/>
    <n v="13"/>
    <n v="10"/>
    <x v="1"/>
    <n v="1"/>
    <d v="2022-11-27T08:38:11"/>
    <n v="1"/>
    <n v="27"/>
    <n v="13"/>
    <m/>
    <m/>
    <m/>
    <m/>
    <m/>
    <m/>
    <m/>
    <m/>
    <m/>
    <m/>
  </r>
  <r>
    <n v="1397"/>
    <s v="1397 | Finance"/>
    <x v="7"/>
    <s v="Finance - Manager Level"/>
    <s v="Manager"/>
    <s v="Finance-Manager"/>
    <s v="Manager Level"/>
    <d v="2022-08-16T08:38:11"/>
    <d v="2022-08-17T08:38:11"/>
    <s v="Yes"/>
    <d v="2022-09-06T08:38:11"/>
    <s v="Accepted"/>
    <m/>
    <d v="2022-09-09T08:38:11"/>
    <s v="Accepted"/>
    <d v="2022-09-07T08:38:11"/>
    <d v="2022-09-11T08:38:11"/>
    <d v="2022-09-08T08:38:11"/>
    <d v="2022-09-14T08:38:11"/>
    <n v="1"/>
    <d v="2022-09-18T08:38:11"/>
    <d v="2022-09-21T08:38:11"/>
    <d v="2022-09-24T08:38:11"/>
    <m/>
    <m/>
    <d v="2022-10-09T08:38:11"/>
    <m/>
    <m/>
    <n v="1"/>
    <n v="21"/>
    <n v="20"/>
    <x v="3"/>
    <n v="2"/>
    <d v="2022-12-07T08:38:11"/>
    <n v="4"/>
    <n v="31"/>
    <n v="16"/>
    <m/>
    <m/>
    <m/>
    <m/>
    <m/>
    <m/>
    <m/>
    <m/>
    <m/>
    <m/>
  </r>
  <r>
    <n v="1394"/>
    <s v="1394 | Finance"/>
    <x v="7"/>
    <s v="Finance - Manager Level"/>
    <s v="Manager"/>
    <s v="Finance-Manager"/>
    <s v="Manager Level"/>
    <d v="2022-08-18T08:38:11"/>
    <d v="2022-08-21T08:38:11"/>
    <s v="Yes"/>
    <d v="2022-09-07T08:38:11"/>
    <s v="Accepted"/>
    <m/>
    <d v="2022-09-12T08:38:11"/>
    <s v="Accepted"/>
    <d v="2022-09-09T08:38:11"/>
    <d v="2022-09-11T08:38:11"/>
    <d v="2022-09-08T08:38:11"/>
    <d v="2022-09-09T08:38:11"/>
    <n v="1"/>
    <d v="2022-09-12T08:38:11"/>
    <d v="2022-09-15T08:38:11"/>
    <d v="2022-09-16T08:38:11"/>
    <m/>
    <m/>
    <d v="2022-10-05T08:38:11"/>
    <m/>
    <m/>
    <n v="3"/>
    <n v="20"/>
    <n v="17"/>
    <x v="19"/>
    <n v="1"/>
    <d v="2022-12-07T08:38:11"/>
    <n v="3"/>
    <n v="27"/>
    <n v="8"/>
    <m/>
    <m/>
    <m/>
    <m/>
    <m/>
    <m/>
    <m/>
    <m/>
    <m/>
    <m/>
  </r>
  <r>
    <n v="1393"/>
    <s v="1393 | Finance"/>
    <x v="7"/>
    <s v="Finance - Manager Level"/>
    <s v="Manager"/>
    <s v="Finance-Manager"/>
    <s v="Manager Level"/>
    <d v="2022-08-17T08:38:11"/>
    <d v="2022-08-18T08:38:11"/>
    <s v="Yes"/>
    <d v="2022-08-29T08:38:11"/>
    <s v="Accepted"/>
    <m/>
    <d v="2022-09-06T08:38:11"/>
    <s v="Accepted"/>
    <d v="2022-08-30T08:38:11"/>
    <d v="2022-09-03T08:38:11"/>
    <d v="2022-09-02T08:38:11"/>
    <d v="2022-09-04T08:38:11"/>
    <n v="1"/>
    <d v="2022-09-08T08:38:11"/>
    <d v="2022-09-10T08:38:11"/>
    <d v="2022-09-12T08:38:11"/>
    <m/>
    <m/>
    <d v="2022-09-26T08:38:11"/>
    <m/>
    <m/>
    <n v="1"/>
    <n v="12"/>
    <n v="11"/>
    <x v="20"/>
    <n v="4"/>
    <d v="2022-12-01T08:38:11"/>
    <n v="4"/>
    <n v="24"/>
    <n v="10"/>
    <m/>
    <m/>
    <m/>
    <m/>
    <m/>
    <m/>
    <m/>
    <m/>
    <m/>
    <m/>
  </r>
  <r>
    <n v="1339"/>
    <s v="1339 | Finance"/>
    <x v="7"/>
    <s v="Finance - Manager Level"/>
    <s v="Manager"/>
    <s v="Finance-Manager"/>
    <s v="Manager Level"/>
    <d v="2023-08-28T16:35:04"/>
    <d v="2023-09-01T16:35:0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338"/>
    <s v="1338 | Finance"/>
    <x v="7"/>
    <s v="Finance - Manager Level"/>
    <s v="Manager"/>
    <s v="Finance-Manager"/>
    <s v="Manager Level"/>
    <d v="2023-08-30T16:35:04"/>
    <d v="2023-09-01T16:35:04"/>
    <s v="Yes"/>
    <d v="2023-09-18T16:35:04"/>
    <s v="Declined"/>
    <m/>
    <d v="2023-09-25T16:35:04"/>
    <s v="Declined"/>
    <m/>
    <m/>
    <d v="2023-09-22T16:35:04"/>
    <m/>
    <n v="0"/>
    <m/>
    <m/>
    <m/>
    <m/>
    <m/>
    <m/>
    <m/>
    <m/>
    <n v="2"/>
    <n v="19"/>
    <n v="17"/>
    <x v="3"/>
    <n v="4"/>
    <d v="2023-12-21T16:35:04"/>
    <s v=""/>
    <s v=""/>
    <s v=""/>
    <m/>
    <m/>
    <m/>
    <m/>
    <m/>
    <m/>
    <m/>
    <m/>
    <m/>
    <m/>
  </r>
  <r>
    <n v="1336"/>
    <s v="1336 | Finance"/>
    <x v="7"/>
    <s v="Finance - Manager Level"/>
    <s v="Manager"/>
    <s v="Finance-Manager"/>
    <s v="Manager Level"/>
    <d v="2023-08-31T16:35:04"/>
    <d v="2023-09-04T16:35:04"/>
    <s v="Yes"/>
    <d v="2023-09-14T16:35:04"/>
    <s v="Failed"/>
    <s v="Not a culture fit"/>
    <m/>
    <m/>
    <m/>
    <m/>
    <d v="2023-09-15T16:35:04"/>
    <m/>
    <n v="0"/>
    <m/>
    <m/>
    <m/>
    <m/>
    <s v="Candidate"/>
    <m/>
    <m/>
    <m/>
    <n v="4"/>
    <n v="14"/>
    <n v="10"/>
    <x v="16"/>
    <n v="1"/>
    <d v="2023-12-14T16:35:04"/>
    <s v=""/>
    <s v=""/>
    <s v=""/>
    <m/>
    <m/>
    <m/>
    <m/>
    <m/>
    <m/>
    <m/>
    <m/>
    <m/>
    <m/>
  </r>
  <r>
    <n v="1289"/>
    <s v="1289 | Finance"/>
    <x v="7"/>
    <s v="Finance - Manager Level"/>
    <s v="Manager"/>
    <s v="Finance-Manager"/>
    <s v="Manager Level"/>
    <d v="2022-03-23T17:39:51"/>
    <d v="2022-03-26T17:39:51"/>
    <s v="Yes"/>
    <d v="2022-04-09T17:39:51"/>
    <s v="Failed"/>
    <s v="Other"/>
    <m/>
    <m/>
    <m/>
    <m/>
    <m/>
    <m/>
    <n v="0"/>
    <m/>
    <m/>
    <m/>
    <m/>
    <s v="Candidate"/>
    <m/>
    <m/>
    <m/>
    <n v="3"/>
    <n v="17"/>
    <n v="14"/>
    <x v="0"/>
    <s v=""/>
    <s v=""/>
    <s v=""/>
    <s v=""/>
    <s v=""/>
    <m/>
    <m/>
    <m/>
    <m/>
    <m/>
    <m/>
    <m/>
    <m/>
    <m/>
    <m/>
  </r>
  <r>
    <n v="1284"/>
    <s v="1284 | Finance"/>
    <x v="7"/>
    <s v="Finance - Manager Level"/>
    <s v="Manager"/>
    <s v="Finance-Manager"/>
    <s v="Manager Level"/>
    <d v="2022-03-23T17:39:51"/>
    <d v="2022-03-27T17:39:51"/>
    <s v="Yes"/>
    <d v="2022-04-08T17:39:51"/>
    <s v="Accepted"/>
    <m/>
    <d v="2022-04-12T17:39:51"/>
    <s v="Accepted"/>
    <d v="2022-04-10T17:39:51"/>
    <d v="2022-04-14T17:39:51"/>
    <d v="2022-04-10T17:39:51"/>
    <d v="2022-04-17T17:39:51"/>
    <n v="1"/>
    <d v="2022-04-21T17:39:51"/>
    <d v="2022-04-22T17:39:51"/>
    <d v="2022-04-23T17:39:51"/>
    <m/>
    <m/>
    <d v="2022-05-10T17:39:51"/>
    <m/>
    <m/>
    <n v="4"/>
    <n v="16"/>
    <n v="12"/>
    <x v="12"/>
    <n v="2"/>
    <d v="2022-07-09T17:39:51"/>
    <n v="4"/>
    <n v="30"/>
    <n v="13"/>
    <m/>
    <m/>
    <m/>
    <m/>
    <m/>
    <m/>
    <m/>
    <m/>
    <m/>
    <m/>
  </r>
  <r>
    <n v="1281"/>
    <s v="1281 | Finance"/>
    <x v="7"/>
    <s v="Finance - Manager Level"/>
    <s v="Manager"/>
    <s v="Finance-Manager"/>
    <s v="Manager Level"/>
    <d v="2022-03-26T17:39:51"/>
    <d v="2022-03-27T17:39:51"/>
    <s v="Yes"/>
    <d v="2022-04-02T17:39:51"/>
    <s v="Accepted"/>
    <m/>
    <d v="2022-04-07T17:39:51"/>
    <s v="Accepted"/>
    <d v="2022-04-03T17:39:51"/>
    <d v="2022-04-06T17:39:51"/>
    <d v="2022-04-05T17:39:51"/>
    <d v="2022-04-12T17:39:51"/>
    <n v="1"/>
    <d v="2022-04-13T17:39:51"/>
    <d v="2022-04-15T17:39:51"/>
    <d v="2022-04-17T17:39:51"/>
    <m/>
    <m/>
    <d v="2022-04-27T17:39:51"/>
    <m/>
    <m/>
    <n v="1"/>
    <n v="7"/>
    <n v="6"/>
    <x v="22"/>
    <n v="3"/>
    <d v="2022-07-04T17:39:51"/>
    <n v="1"/>
    <n v="22"/>
    <n v="12"/>
    <m/>
    <m/>
    <m/>
    <m/>
    <m/>
    <m/>
    <m/>
    <m/>
    <m/>
    <m/>
  </r>
  <r>
    <n v="1267"/>
    <s v="1267 | Finance"/>
    <x v="7"/>
    <s v="Finance - Manager Level"/>
    <s v="Manager"/>
    <s v="Finance-Manager"/>
    <s v="Manager Level"/>
    <d v="2023-03-12T21:55:08"/>
    <d v="2023-03-16T21:55:08"/>
    <s v="Yes"/>
    <d v="2023-04-02T21:55:08"/>
    <s v="Accepted"/>
    <m/>
    <d v="2023-04-08T21:55:08"/>
    <s v="Accepted"/>
    <d v="2023-04-03T21:55:08"/>
    <d v="2023-04-07T21:55:08"/>
    <d v="2023-04-05T21:55:08"/>
    <d v="2023-04-14T21:55:08"/>
    <n v="1"/>
    <d v="2023-04-16T21:55:08"/>
    <d v="2023-04-19T21:55:08"/>
    <d v="2023-04-21T21:55:08"/>
    <m/>
    <m/>
    <d v="2023-05-02T21:55:08"/>
    <m/>
    <m/>
    <n v="4"/>
    <n v="21"/>
    <n v="17"/>
    <x v="21"/>
    <n v="3"/>
    <d v="2023-07-04T21:55:08"/>
    <n v="2"/>
    <n v="27"/>
    <n v="16"/>
    <m/>
    <m/>
    <m/>
    <m/>
    <m/>
    <m/>
    <m/>
    <m/>
    <m/>
    <m/>
  </r>
  <r>
    <n v="1261"/>
    <s v="1261 | Finance"/>
    <x v="7"/>
    <s v="Finance - Manager Level"/>
    <s v="Manager"/>
    <s v="Finance-Manager"/>
    <s v="Manager Level"/>
    <d v="2023-03-14T21:55:08"/>
    <d v="2023-03-16T21:55:08"/>
    <s v="Yes"/>
    <d v="2023-04-06T21:55:08"/>
    <s v="Declined"/>
    <m/>
    <d v="2023-04-09T21:55:08"/>
    <s v="Declined"/>
    <m/>
    <m/>
    <d v="2023-04-08T21:55:08"/>
    <m/>
    <n v="0"/>
    <m/>
    <m/>
    <m/>
    <m/>
    <m/>
    <m/>
    <m/>
    <m/>
    <n v="2"/>
    <n v="23"/>
    <n v="21"/>
    <x v="11"/>
    <n v="2"/>
    <d v="2023-07-07T21:55:08"/>
    <s v=""/>
    <s v=""/>
    <s v=""/>
    <m/>
    <m/>
    <m/>
    <m/>
    <m/>
    <m/>
    <m/>
    <m/>
    <m/>
    <m/>
  </r>
  <r>
    <n v="1146"/>
    <s v="1146 | Finance"/>
    <x v="7"/>
    <s v="Finance - Manager Level"/>
    <s v="Manager"/>
    <s v="Finance-Manager"/>
    <s v="Manager Level"/>
    <d v="2023-08-03T01:36:53"/>
    <d v="2023-08-07T01:36:5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18"/>
    <s v="1118 | Finance"/>
    <x v="7"/>
    <s v="Finance - Manager Level"/>
    <s v="Manager"/>
    <s v="Finance-Manager"/>
    <s v="Manager Level"/>
    <d v="2023-04-04T06:23:43"/>
    <d v="2023-04-07T06:23:43"/>
    <s v="Yes"/>
    <d v="2023-04-16T06:23:43"/>
    <s v="Declined"/>
    <m/>
    <d v="2023-04-21T06:23:43"/>
    <s v="Declined"/>
    <m/>
    <m/>
    <d v="2023-04-17T06:23:43"/>
    <m/>
    <n v="0"/>
    <m/>
    <m/>
    <m/>
    <m/>
    <m/>
    <m/>
    <m/>
    <m/>
    <n v="3"/>
    <n v="12"/>
    <n v="9"/>
    <x v="8"/>
    <n v="1"/>
    <d v="2023-07-16T06:23:43"/>
    <s v=""/>
    <s v=""/>
    <s v=""/>
    <m/>
    <m/>
    <m/>
    <m/>
    <m/>
    <m/>
    <m/>
    <m/>
    <m/>
    <m/>
  </r>
  <r>
    <n v="1113"/>
    <s v="1113 | Finance"/>
    <x v="7"/>
    <s v="Finance - Manager Level"/>
    <s v="Manager"/>
    <s v="Finance-Manager"/>
    <s v="Manager Level"/>
    <d v="2023-04-02T06:23:43"/>
    <d v="2023-04-06T06:23:43"/>
    <s v="Yes"/>
    <d v="2023-04-26T06:23:43"/>
    <s v="Accepted"/>
    <m/>
    <d v="2023-05-01T06:23:43"/>
    <s v="Accepted"/>
    <d v="2023-04-28T06:23:43"/>
    <d v="2023-05-02T06:23:43"/>
    <d v="2023-04-29T06:23:43"/>
    <d v="2023-05-09T06:23:43"/>
    <n v="1"/>
    <d v="2023-05-12T06:23:43"/>
    <d v="2023-05-14T06:23:43"/>
    <d v="2023-05-16T06:23:43"/>
    <m/>
    <m/>
    <d v="2023-05-29T06:23:43"/>
    <m/>
    <m/>
    <n v="4"/>
    <n v="24"/>
    <n v="20"/>
    <x v="18"/>
    <n v="3"/>
    <d v="2023-07-28T06:23:43"/>
    <n v="3"/>
    <n v="30"/>
    <n v="17"/>
    <m/>
    <m/>
    <m/>
    <m/>
    <m/>
    <m/>
    <m/>
    <m/>
    <m/>
    <m/>
  </r>
  <r>
    <n v="1070"/>
    <s v="1070 | Finance"/>
    <x v="7"/>
    <s v="Finance - Manager Level"/>
    <s v="Manager"/>
    <s v="Finance-Manager"/>
    <s v="Manager Level"/>
    <d v="2022-08-06T09:56:30"/>
    <d v="2022-08-08T09:56:30"/>
    <s v="Yes"/>
    <d v="2022-08-24T09:56:30"/>
    <s v="Failed"/>
    <s v="Salary expectation too high"/>
    <m/>
    <m/>
    <m/>
    <m/>
    <d v="2022-08-25T09:56:30"/>
    <m/>
    <n v="0"/>
    <m/>
    <m/>
    <m/>
    <m/>
    <s v="Company"/>
    <m/>
    <m/>
    <m/>
    <n v="2"/>
    <n v="18"/>
    <n v="16"/>
    <x v="13"/>
    <n v="1"/>
    <d v="2022-11-23T09:56:30"/>
    <s v=""/>
    <s v=""/>
    <s v=""/>
    <m/>
    <m/>
    <m/>
    <m/>
    <m/>
    <m/>
    <m/>
    <m/>
    <m/>
    <m/>
  </r>
  <r>
    <n v="1069"/>
    <s v="1069 | Finance"/>
    <x v="7"/>
    <s v="Finance - Manager Level"/>
    <s v="Manager"/>
    <s v="Finance-Manager"/>
    <s v="Manager Level"/>
    <d v="2022-08-08T09:56:30"/>
    <d v="2022-08-11T09:56:30"/>
    <s v="Yes"/>
    <d v="2022-08-25T09:56:30"/>
    <s v="Declined"/>
    <m/>
    <d v="2022-08-30T09:56:30"/>
    <s v="Declined"/>
    <m/>
    <m/>
    <d v="2022-08-26T09:56:30"/>
    <m/>
    <n v="0"/>
    <m/>
    <m/>
    <m/>
    <m/>
    <m/>
    <m/>
    <m/>
    <m/>
    <n v="3"/>
    <n v="17"/>
    <n v="14"/>
    <x v="12"/>
    <n v="1"/>
    <d v="2022-11-24T09:56:30"/>
    <s v=""/>
    <s v=""/>
    <s v=""/>
    <m/>
    <m/>
    <m/>
    <m/>
    <m/>
    <m/>
    <m/>
    <m/>
    <m/>
    <m/>
  </r>
  <r>
    <n v="1035"/>
    <s v="1035 | Finance"/>
    <x v="7"/>
    <s v="Finance - Manager Level"/>
    <s v="Manager"/>
    <s v="Finance-Manager"/>
    <s v="Manager Level"/>
    <d v="2023-03-03T19:44:13"/>
    <d v="2023-03-04T19:44:1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020"/>
    <s v="1020 | Finance"/>
    <x v="7"/>
    <s v="Finance - Manager Level"/>
    <s v="Manager"/>
    <s v="Finance-Manager"/>
    <s v="Manager Level"/>
    <d v="2022-02-05T07:54:35"/>
    <d v="2022-02-09T07:54:35"/>
    <s v="Yes"/>
    <d v="2022-02-20T07:54:35"/>
    <s v="Accepted"/>
    <m/>
    <d v="2022-02-25T07:54:35"/>
    <s v="Accepted"/>
    <d v="2022-02-21T07:54:35"/>
    <d v="2022-02-22T07:54:35"/>
    <d v="2022-02-22T07:54:35"/>
    <d v="2022-03-04T07:54:35"/>
    <n v="1"/>
    <d v="2022-03-06T07:54:35"/>
    <d v="2022-03-08T07:54:35"/>
    <d v="2022-03-09T07:54:35"/>
    <m/>
    <m/>
    <d v="2022-03-31T07:54:35"/>
    <m/>
    <m/>
    <n v="4"/>
    <n v="15"/>
    <n v="11"/>
    <x v="14"/>
    <n v="2"/>
    <d v="2022-05-23T07:54:35"/>
    <n v="2"/>
    <n v="37"/>
    <n v="15"/>
    <m/>
    <m/>
    <m/>
    <m/>
    <m/>
    <m/>
    <m/>
    <m/>
    <m/>
    <m/>
  </r>
  <r>
    <n v="1011"/>
    <s v="1011 | Finance"/>
    <x v="7"/>
    <s v="Finance - Manager Level"/>
    <s v="Manager"/>
    <s v="Finance-Manager"/>
    <s v="Manager Level"/>
    <d v="2022-02-05T07:54:35"/>
    <d v="2022-02-07T07:54:35"/>
    <s v="Yes"/>
    <d v="2022-02-23T07:54:35"/>
    <s v="Failed"/>
    <s v="Didn't pass technical test"/>
    <m/>
    <m/>
    <m/>
    <m/>
    <d v="2022-02-25T07:54:35"/>
    <m/>
    <n v="0"/>
    <m/>
    <m/>
    <m/>
    <m/>
    <s v="Candidate"/>
    <m/>
    <m/>
    <m/>
    <n v="2"/>
    <n v="18"/>
    <n v="16"/>
    <x v="15"/>
    <n v="2"/>
    <d v="2022-05-26T07:54:35"/>
    <s v=""/>
    <s v=""/>
    <s v=""/>
    <m/>
    <m/>
    <m/>
    <m/>
    <m/>
    <m/>
    <m/>
    <m/>
    <m/>
    <m/>
  </r>
  <r>
    <n v="979"/>
    <s v="979 | Finance"/>
    <x v="7"/>
    <s v="Finance - Manager Level"/>
    <s v="Manager"/>
    <s v="Finance-Manager"/>
    <s v="Manager Level"/>
    <d v="2022-07-15T16:46:55"/>
    <d v="2022-07-19T16:46:55"/>
    <s v="Yes"/>
    <d v="2022-07-26T16:46:55"/>
    <s v="Accepted"/>
    <m/>
    <d v="2022-08-01T16:46:55"/>
    <s v="Accepted"/>
    <d v="2022-07-27T16:46:55"/>
    <d v="2022-07-31T16:46:55"/>
    <d v="2022-07-29T16:46:55"/>
    <d v="2022-08-06T16:46:55"/>
    <n v="1"/>
    <d v="2022-08-09T16:46:55"/>
    <d v="2022-08-11T16:46:55"/>
    <d v="2022-08-13T16:46:55"/>
    <m/>
    <m/>
    <d v="2022-08-22T16:46:55"/>
    <m/>
    <m/>
    <n v="4"/>
    <n v="11"/>
    <n v="7"/>
    <x v="1"/>
    <n v="3"/>
    <d v="2022-10-27T16:46:55"/>
    <n v="3"/>
    <n v="24"/>
    <n v="15"/>
    <m/>
    <m/>
    <m/>
    <m/>
    <m/>
    <m/>
    <m/>
    <m/>
    <m/>
    <m/>
  </r>
  <r>
    <n v="975"/>
    <s v="975 | Finance"/>
    <x v="7"/>
    <s v="Finance - Manager Level"/>
    <s v="Manager"/>
    <s v="Finance-Manager"/>
    <s v="Manager Level"/>
    <d v="2022-07-16T16:46:55"/>
    <d v="2022-07-17T16:46:55"/>
    <s v="Yes"/>
    <d v="2022-07-24T16:46:55"/>
    <s v="Pending"/>
    <m/>
    <d v="2022-07-28T16:46:55"/>
    <s v="Pending"/>
    <m/>
    <m/>
    <d v="2022-07-26T16:46:55"/>
    <m/>
    <n v="0"/>
    <m/>
    <m/>
    <m/>
    <m/>
    <m/>
    <m/>
    <m/>
    <m/>
    <n v="1"/>
    <n v="8"/>
    <n v="7"/>
    <x v="22"/>
    <n v="2"/>
    <d v="2022-10-24T16:46:55"/>
    <s v=""/>
    <s v=""/>
    <s v=""/>
    <m/>
    <m/>
    <m/>
    <m/>
    <m/>
    <m/>
    <m/>
    <m/>
    <m/>
    <m/>
  </r>
  <r>
    <n v="971"/>
    <s v="971 | Finance"/>
    <x v="7"/>
    <s v="Finance - Manager Level"/>
    <s v="Manager"/>
    <s v="Finance-Manager"/>
    <s v="Manager Level"/>
    <d v="2022-07-14T16:46:55"/>
    <d v="2022-07-16T16:46:55"/>
    <s v="Yes"/>
    <d v="2022-07-29T16:46:55"/>
    <s v="Failed"/>
    <s v="Position filled by another"/>
    <m/>
    <m/>
    <m/>
    <m/>
    <d v="2022-08-01T16:46:55"/>
    <m/>
    <n v="0"/>
    <m/>
    <m/>
    <m/>
    <m/>
    <s v="Company"/>
    <m/>
    <m/>
    <m/>
    <n v="2"/>
    <n v="15"/>
    <n v="13"/>
    <x v="12"/>
    <n v="3"/>
    <d v="2022-10-30T16:46:55"/>
    <s v=""/>
    <s v=""/>
    <s v=""/>
    <m/>
    <m/>
    <m/>
    <m/>
    <m/>
    <m/>
    <m/>
    <m/>
    <m/>
    <m/>
  </r>
  <r>
    <n v="970"/>
    <s v="970 | Finance"/>
    <x v="7"/>
    <s v="Finance - Manager Level"/>
    <s v="Manager"/>
    <s v="Finance-Manager"/>
    <s v="Manager Level"/>
    <d v="2023-07-10T08:10:15"/>
    <d v="2023-07-14T08:10:1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899"/>
    <s v="899 | Finance"/>
    <x v="7"/>
    <s v="Finance - Manager Level"/>
    <s v="Manager"/>
    <s v="Finance-Manager"/>
    <s v="Manager Level"/>
    <d v="2022-10-13T22:33:20"/>
    <d v="2022-10-15T22:33:20"/>
    <s v="Yes"/>
    <d v="2022-10-26T22:33:20"/>
    <s v="Accepted"/>
    <m/>
    <d v="2022-11-01T22:33:20"/>
    <s v="Accepted"/>
    <d v="2022-10-27T22:33:20"/>
    <d v="2022-10-28T22:33:20"/>
    <d v="2022-10-29T22:33:20"/>
    <d v="2022-11-08T22:33:20"/>
    <n v="1"/>
    <d v="2022-11-12T22:33:20"/>
    <d v="2022-11-14T22:33:20"/>
    <d v="2022-11-15T22:33:20"/>
    <m/>
    <m/>
    <d v="2022-12-08T22:33:20"/>
    <m/>
    <m/>
    <n v="2"/>
    <n v="13"/>
    <n v="11"/>
    <x v="20"/>
    <n v="3"/>
    <d v="2023-01-27T22:33:20"/>
    <n v="4"/>
    <n v="40"/>
    <n v="17"/>
    <m/>
    <m/>
    <m/>
    <m/>
    <m/>
    <m/>
    <m/>
    <m/>
    <m/>
    <m/>
  </r>
  <r>
    <n v="886"/>
    <s v="886 | Finance"/>
    <x v="7"/>
    <s v="Finance - Manager Level"/>
    <s v="Manager"/>
    <s v="Finance-Manager"/>
    <s v="Manager Level"/>
    <d v="2022-09-20T04:47:55"/>
    <d v="2022-09-23T04:47:55"/>
    <s v="Yes"/>
    <d v="2022-10-04T04:47:55"/>
    <s v="Failed"/>
    <s v="Salary expectation too high"/>
    <m/>
    <m/>
    <m/>
    <m/>
    <m/>
    <m/>
    <n v="0"/>
    <m/>
    <m/>
    <m/>
    <m/>
    <s v="Company"/>
    <m/>
    <m/>
    <m/>
    <n v="3"/>
    <n v="14"/>
    <n v="11"/>
    <x v="0"/>
    <s v=""/>
    <s v=""/>
    <s v=""/>
    <s v=""/>
    <s v=""/>
    <m/>
    <m/>
    <m/>
    <m/>
    <m/>
    <m/>
    <m/>
    <m/>
    <m/>
    <m/>
  </r>
  <r>
    <n v="866"/>
    <s v="866 | Finance"/>
    <x v="7"/>
    <s v="Finance - Manager Level"/>
    <s v="Manager"/>
    <s v="Finance-Manager"/>
    <s v="Manager Level"/>
    <d v="2023-07-17T02:28:49"/>
    <d v="2023-07-20T02:28:49"/>
    <s v="Yes"/>
    <d v="2023-08-04T02:28:49"/>
    <s v="Failed"/>
    <s v="Didn't pass technical test"/>
    <m/>
    <m/>
    <m/>
    <m/>
    <m/>
    <m/>
    <n v="0"/>
    <m/>
    <m/>
    <m/>
    <m/>
    <s v="Candidate"/>
    <m/>
    <m/>
    <m/>
    <n v="3"/>
    <n v="18"/>
    <n v="15"/>
    <x v="0"/>
    <s v=""/>
    <s v=""/>
    <s v=""/>
    <s v=""/>
    <s v=""/>
    <m/>
    <m/>
    <m/>
    <m/>
    <m/>
    <m/>
    <m/>
    <m/>
    <m/>
    <m/>
  </r>
  <r>
    <n v="862"/>
    <s v="862 | Finance"/>
    <x v="7"/>
    <s v="Finance - Manager Level"/>
    <s v="Manager"/>
    <s v="Finance-Manager"/>
    <s v="Manager Level"/>
    <d v="2023-07-22T02:28:49"/>
    <d v="2023-07-23T02:28:4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861"/>
    <s v="861 | Finance"/>
    <x v="7"/>
    <s v="Finance - Manager Level"/>
    <s v="Manager"/>
    <s v="Finance-Manager"/>
    <s v="Manager Level"/>
    <d v="2023-07-14T02:28:49"/>
    <d v="2023-07-18T02:28:49"/>
    <s v="Yes"/>
    <d v="2023-08-06T02:28:49"/>
    <s v="Accepted"/>
    <m/>
    <d v="2023-08-11T02:28:49"/>
    <s v="Accepted"/>
    <d v="2023-08-07T02:28:49"/>
    <d v="2023-08-09T02:28:49"/>
    <d v="2023-08-09T02:28:49"/>
    <d v="2023-08-19T02:28:49"/>
    <n v="1"/>
    <d v="2023-08-23T02:28:49"/>
    <d v="2023-08-25T02:28:49"/>
    <d v="2023-08-27T02:28:49"/>
    <m/>
    <m/>
    <d v="2023-09-15T02:28:49"/>
    <m/>
    <m/>
    <n v="4"/>
    <n v="23"/>
    <n v="19"/>
    <x v="25"/>
    <n v="3"/>
    <d v="2023-11-07T02:28:49"/>
    <n v="4"/>
    <n v="37"/>
    <n v="18"/>
    <m/>
    <m/>
    <m/>
    <m/>
    <m/>
    <m/>
    <m/>
    <m/>
    <m/>
    <m/>
  </r>
  <r>
    <n v="750"/>
    <s v="750 | Finance"/>
    <x v="7"/>
    <s v="Finance - Manager Level"/>
    <s v="Manager"/>
    <s v="Finance-Manager"/>
    <s v="Manager Level"/>
    <d v="2022-11-04T05:17:37"/>
    <d v="2022-11-05T05:17:3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747"/>
    <s v="747 | Finance"/>
    <x v="7"/>
    <s v="Finance - Manager Level"/>
    <s v="Manager"/>
    <s v="Finance-Manager"/>
    <s v="Manager Level"/>
    <d v="2022-11-02T05:17:37"/>
    <d v="2022-11-06T05:17:3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704"/>
    <s v="704 | Finance"/>
    <x v="7"/>
    <s v="Finance - Manager Level"/>
    <s v="Manager"/>
    <s v="Finance-Manager"/>
    <s v="Manager Level"/>
    <d v="2023-07-08T15:23:01"/>
    <d v="2023-07-12T15:23:0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609"/>
    <s v="609 | Finance"/>
    <x v="7"/>
    <s v="Finance - Manager Level"/>
    <s v="Manager"/>
    <s v="Finance-Manager"/>
    <s v="Manager Level"/>
    <d v="2022-01-10T07:25:27"/>
    <d v="2022-01-12T07:25:27"/>
    <s v="Yes"/>
    <d v="2022-01-28T07:25:27"/>
    <s v="Declined"/>
    <m/>
    <d v="2022-02-03T07:25:27"/>
    <s v="Declined"/>
    <m/>
    <m/>
    <d v="2022-01-30T07:25:27"/>
    <m/>
    <n v="0"/>
    <m/>
    <m/>
    <m/>
    <m/>
    <m/>
    <m/>
    <m/>
    <m/>
    <n v="2"/>
    <n v="18"/>
    <n v="16"/>
    <x v="15"/>
    <n v="2"/>
    <d v="2022-04-30T07:25:27"/>
    <s v=""/>
    <s v=""/>
    <s v=""/>
    <m/>
    <m/>
    <m/>
    <m/>
    <m/>
    <m/>
    <m/>
    <m/>
    <m/>
    <m/>
  </r>
  <r>
    <n v="600"/>
    <s v="600 | Finance"/>
    <x v="7"/>
    <s v="Finance - Manager Level"/>
    <s v="Manager"/>
    <s v="Finance-Manager"/>
    <s v="Manager Level"/>
    <d v="2022-11-12T19:43:02"/>
    <d v="2022-11-16T19:43:02"/>
    <s v="Yes"/>
    <d v="2022-11-26T19:43:02"/>
    <s v="Failed"/>
    <s v="Didn't pass technical test"/>
    <m/>
    <m/>
    <m/>
    <m/>
    <m/>
    <m/>
    <n v="0"/>
    <m/>
    <m/>
    <m/>
    <m/>
    <s v="Candidate"/>
    <m/>
    <m/>
    <m/>
    <n v="4"/>
    <n v="14"/>
    <n v="10"/>
    <x v="0"/>
    <s v=""/>
    <s v=""/>
    <s v=""/>
    <s v=""/>
    <s v=""/>
    <m/>
    <m/>
    <m/>
    <m/>
    <m/>
    <m/>
    <m/>
    <m/>
    <m/>
    <m/>
  </r>
  <r>
    <n v="595"/>
    <s v="595 | Finance"/>
    <x v="7"/>
    <s v="Finance - Manager Level"/>
    <s v="Manager"/>
    <s v="Finance-Manager"/>
    <s v="Manager Level"/>
    <d v="2022-11-17T19:43:02"/>
    <d v="2022-11-19T19:43:02"/>
    <s v="Yes"/>
    <d v="2022-11-29T19:43:02"/>
    <s v="Accepted"/>
    <m/>
    <d v="2022-12-02T19:43:02"/>
    <s v="Accepted"/>
    <d v="2022-12-01T19:43:02"/>
    <d v="2022-12-04T19:43:02"/>
    <d v="2022-11-30T19:43:02"/>
    <d v="2022-12-06T19:43:02"/>
    <n v="1"/>
    <d v="2022-12-08T19:43:02"/>
    <d v="2022-12-11T19:43:02"/>
    <d v="2022-12-14T19:43:02"/>
    <m/>
    <m/>
    <d v="2022-12-25T19:43:02"/>
    <m/>
    <m/>
    <n v="2"/>
    <n v="12"/>
    <n v="10"/>
    <x v="8"/>
    <n v="1"/>
    <d v="2023-02-28T19:43:02"/>
    <n v="2"/>
    <n v="25"/>
    <n v="14"/>
    <m/>
    <m/>
    <m/>
    <m/>
    <m/>
    <m/>
    <m/>
    <m/>
    <m/>
    <m/>
  </r>
  <r>
    <n v="451"/>
    <s v="451 | Finance"/>
    <x v="7"/>
    <s v="Finance - Manager Level"/>
    <s v="Manager"/>
    <s v="Finance-Manager"/>
    <s v="Manager Level"/>
    <d v="2023-02-16T13:42:17"/>
    <d v="2023-02-20T13:42:17"/>
    <s v="Yes"/>
    <d v="2023-03-03T13:42:17"/>
    <s v="Failed"/>
    <s v="Other"/>
    <m/>
    <m/>
    <m/>
    <m/>
    <d v="2023-03-07T13:42:17"/>
    <m/>
    <n v="0"/>
    <m/>
    <m/>
    <m/>
    <m/>
    <s v="Company"/>
    <m/>
    <m/>
    <m/>
    <n v="4"/>
    <n v="15"/>
    <n v="11"/>
    <x v="13"/>
    <n v="4"/>
    <d v="2023-06-05T13:42:17"/>
    <s v=""/>
    <s v=""/>
    <s v=""/>
    <m/>
    <m/>
    <m/>
    <m/>
    <m/>
    <m/>
    <m/>
    <m/>
    <m/>
    <m/>
  </r>
  <r>
    <n v="392"/>
    <s v="392 | Finance"/>
    <x v="7"/>
    <s v="Finance - Manager Level"/>
    <s v="Manager"/>
    <s v="Finance-Manager"/>
    <s v="Manager Level"/>
    <d v="2023-02-13T16:28:40"/>
    <d v="2023-02-15T16:28:40"/>
    <s v="Yes"/>
    <d v="2023-02-26T16:28:40"/>
    <s v="Failed"/>
    <s v="Position filled by another"/>
    <m/>
    <m/>
    <m/>
    <m/>
    <d v="2023-02-27T16:28:40"/>
    <m/>
    <n v="0"/>
    <m/>
    <m/>
    <m/>
    <m/>
    <s v="Company"/>
    <m/>
    <m/>
    <m/>
    <n v="2"/>
    <n v="13"/>
    <n v="11"/>
    <x v="1"/>
    <n v="1"/>
    <d v="2023-05-28T16:28:40"/>
    <s v=""/>
    <s v=""/>
    <s v=""/>
    <m/>
    <m/>
    <m/>
    <m/>
    <m/>
    <m/>
    <m/>
    <m/>
    <m/>
    <m/>
  </r>
  <r>
    <n v="349"/>
    <s v="349 | Finance"/>
    <x v="7"/>
    <s v="Finance - Manager Level"/>
    <s v="Manager"/>
    <s v="Finance-Manager"/>
    <s v="Manager Level"/>
    <d v="2022-05-03T15:27:54"/>
    <d v="2022-05-04T15:27:54"/>
    <s v="Yes"/>
    <d v="2022-05-21T15:27:54"/>
    <s v="Accepted"/>
    <m/>
    <d v="2022-05-27T15:27:54"/>
    <s v="Accepted"/>
    <d v="2022-05-22T15:27:54"/>
    <d v="2022-05-26T15:27:54"/>
    <d v="2022-05-25T15:27:54"/>
    <d v="2022-06-04T15:27:54"/>
    <n v="1"/>
    <d v="2022-06-07T15:27:54"/>
    <d v="2022-06-09T15:27:54"/>
    <d v="2022-06-11T15:27:54"/>
    <m/>
    <m/>
    <d v="2022-06-22T15:27:54"/>
    <m/>
    <m/>
    <n v="1"/>
    <n v="18"/>
    <n v="17"/>
    <x v="7"/>
    <n v="4"/>
    <d v="2022-08-23T15:27:54"/>
    <n v="3"/>
    <n v="28"/>
    <n v="17"/>
    <m/>
    <m/>
    <m/>
    <m/>
    <m/>
    <m/>
    <m/>
    <m/>
    <m/>
    <m/>
  </r>
  <r>
    <n v="347"/>
    <s v="347 | Finance"/>
    <x v="7"/>
    <s v="Finance - Manager Level"/>
    <s v="Manager"/>
    <s v="Finance-Manager"/>
    <s v="Manager Level"/>
    <d v="2022-05-02T15:27:54"/>
    <d v="2022-05-06T15:27:54"/>
    <s v="Yes"/>
    <d v="2022-05-13T15:27:54"/>
    <s v="Failed"/>
    <s v="Didn't pass technical test"/>
    <m/>
    <m/>
    <m/>
    <m/>
    <d v="2022-05-17T15:27:54"/>
    <m/>
    <n v="0"/>
    <m/>
    <m/>
    <m/>
    <m/>
    <s v="Company"/>
    <m/>
    <m/>
    <m/>
    <n v="4"/>
    <n v="11"/>
    <n v="7"/>
    <x v="16"/>
    <n v="4"/>
    <d v="2022-08-15T15:27:54"/>
    <s v=""/>
    <s v=""/>
    <s v=""/>
    <m/>
    <m/>
    <m/>
    <m/>
    <m/>
    <m/>
    <m/>
    <m/>
    <m/>
    <m/>
  </r>
  <r>
    <n v="346"/>
    <s v="346 | Finance"/>
    <x v="7"/>
    <s v="Finance - Manager Level"/>
    <s v="Manager"/>
    <s v="Finance-Manager"/>
    <s v="Manager Level"/>
    <d v="2022-05-02T15:27:54"/>
    <d v="2022-05-05T15:27:54"/>
    <s v="Yes"/>
    <d v="2022-05-18T15:27:54"/>
    <s v="Failed"/>
    <s v="Salary expectation too high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342"/>
    <s v="342 | Finance"/>
    <x v="7"/>
    <s v="Finance - Manager Level"/>
    <s v="Manager"/>
    <s v="Finance-Manager"/>
    <s v="Manager Level"/>
    <d v="2022-05-05T15:27:54"/>
    <d v="2022-05-08T15:27:54"/>
    <s v="Yes"/>
    <d v="2022-05-16T15:27:54"/>
    <s v="Failed"/>
    <s v="Didn't pass technical test"/>
    <m/>
    <m/>
    <m/>
    <m/>
    <d v="2022-05-19T15:27:54"/>
    <m/>
    <n v="0"/>
    <m/>
    <m/>
    <m/>
    <m/>
    <s v="Candidate"/>
    <m/>
    <m/>
    <m/>
    <n v="3"/>
    <n v="11"/>
    <n v="8"/>
    <x v="1"/>
    <n v="3"/>
    <d v="2022-08-17T15:27:54"/>
    <s v=""/>
    <s v=""/>
    <s v=""/>
    <m/>
    <m/>
    <m/>
    <m/>
    <m/>
    <m/>
    <m/>
    <m/>
    <m/>
    <m/>
  </r>
  <r>
    <n v="287"/>
    <s v="287 | Finance"/>
    <x v="7"/>
    <s v="Finance - Manager Level"/>
    <s v="Contoller"/>
    <s v="Finance-Contoller"/>
    <s v="Manager Level"/>
    <d v="2022-05-20T16:15:48"/>
    <d v="2022-05-24T16:15:4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82"/>
    <s v="282 | Finance"/>
    <x v="7"/>
    <s v="Finance - Manager Level"/>
    <s v="Contoller"/>
    <s v="Finance-Contoller"/>
    <s v="Manager Level"/>
    <d v="2022-05-19T16:15:48"/>
    <d v="2022-05-22T16:15:48"/>
    <s v="Yes"/>
    <d v="2022-05-29T16:15:48"/>
    <s v="Accepted"/>
    <m/>
    <d v="2022-06-03T16:15:48"/>
    <s v="Accepted"/>
    <d v="2022-05-31T16:15:48"/>
    <d v="2022-06-02T16:15:48"/>
    <d v="2022-05-31T16:15:48"/>
    <d v="2022-06-04T16:15:48"/>
    <n v="1"/>
    <d v="2022-06-06T16:15:48"/>
    <d v="2022-06-08T16:15:48"/>
    <d v="2022-06-09T16:15:48"/>
    <m/>
    <m/>
    <d v="2022-07-01T16:15:48"/>
    <m/>
    <m/>
    <n v="3"/>
    <n v="10"/>
    <n v="7"/>
    <x v="24"/>
    <n v="2"/>
    <d v="2022-08-29T16:15:48"/>
    <n v="2"/>
    <n v="31"/>
    <n v="9"/>
    <m/>
    <m/>
    <m/>
    <m/>
    <m/>
    <m/>
    <m/>
    <m/>
    <m/>
    <m/>
  </r>
  <r>
    <n v="202"/>
    <s v="202 | Finance"/>
    <x v="7"/>
    <s v="Finance - Manager Level"/>
    <s v="Contoller"/>
    <s v="Finance-Contoller"/>
    <s v="Manager Level"/>
    <d v="2022-07-02T08:13:46"/>
    <d v="2022-07-06T08:13:46"/>
    <s v="Yes"/>
    <d v="2022-07-20T08:13:46"/>
    <s v="Failed"/>
    <s v="Salary expectation too high"/>
    <m/>
    <m/>
    <m/>
    <m/>
    <d v="2022-07-23T08:13:46"/>
    <m/>
    <n v="0"/>
    <m/>
    <m/>
    <m/>
    <m/>
    <s v="Company"/>
    <m/>
    <m/>
    <m/>
    <n v="4"/>
    <n v="18"/>
    <n v="14"/>
    <x v="19"/>
    <n v="3"/>
    <d v="2022-10-21T08:13:46"/>
    <s v=""/>
    <s v=""/>
    <s v=""/>
    <m/>
    <m/>
    <m/>
    <m/>
    <m/>
    <m/>
    <m/>
    <m/>
    <m/>
    <m/>
  </r>
  <r>
    <n v="179"/>
    <s v="179 | Finance"/>
    <x v="7"/>
    <s v="Finance - Manager Level"/>
    <s v="Contoller"/>
    <s v="Finance-Contoller"/>
    <s v="Manager Level"/>
    <d v="2023-06-16T08:54:08"/>
    <d v="2023-06-17T08:54:08"/>
    <s v="Yes"/>
    <d v="2023-06-27T08:54:08"/>
    <s v="Declined"/>
    <m/>
    <d v="2023-07-03T08:54:08"/>
    <s v="Declined"/>
    <m/>
    <m/>
    <d v="2023-06-29T08:54:08"/>
    <m/>
    <n v="0"/>
    <m/>
    <m/>
    <m/>
    <m/>
    <m/>
    <m/>
    <m/>
    <m/>
    <n v="1"/>
    <n v="11"/>
    <n v="10"/>
    <x v="8"/>
    <n v="2"/>
    <d v="2023-09-27T08:54:08"/>
    <s v=""/>
    <s v=""/>
    <s v=""/>
    <m/>
    <m/>
    <m/>
    <m/>
    <m/>
    <m/>
    <m/>
    <m/>
    <m/>
    <m/>
  </r>
  <r>
    <n v="174"/>
    <s v="174 | Finance"/>
    <x v="7"/>
    <s v="Finance - Manager Level"/>
    <s v="Contoller"/>
    <s v="Finance-Contoller"/>
    <s v="Manager Level"/>
    <d v="2023-06-13T08:54:08"/>
    <d v="2023-06-17T08:54:08"/>
    <s v="Yes"/>
    <d v="2023-06-27T08:54:08"/>
    <s v="Failed"/>
    <s v="Other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172"/>
    <s v="172 | Finance"/>
    <x v="7"/>
    <s v="Finance - Manager Level"/>
    <s v="Contoller"/>
    <s v="Finance-Contoller"/>
    <s v="Manager Level"/>
    <d v="2023-06-16T08:54:08"/>
    <d v="2023-06-18T08:54:08"/>
    <s v="Yes"/>
    <d v="2023-07-04T08:54:08"/>
    <s v="Declined"/>
    <m/>
    <d v="2023-07-10T08:54:08"/>
    <s v="Declined"/>
    <m/>
    <m/>
    <d v="2023-07-06T08:54:08"/>
    <m/>
    <n v="0"/>
    <m/>
    <m/>
    <m/>
    <m/>
    <m/>
    <m/>
    <m/>
    <m/>
    <n v="2"/>
    <n v="18"/>
    <n v="16"/>
    <x v="15"/>
    <n v="2"/>
    <d v="2023-10-04T08:54:08"/>
    <s v=""/>
    <s v=""/>
    <s v=""/>
    <m/>
    <m/>
    <m/>
    <m/>
    <m/>
    <m/>
    <m/>
    <m/>
    <m/>
    <m/>
  </r>
  <r>
    <n v="103"/>
    <s v="103 | Finance"/>
    <x v="7"/>
    <s v="Finance - Manager Level"/>
    <s v="Contoller"/>
    <s v="Finance-Contoller"/>
    <s v="Manager Level"/>
    <d v="2023-03-31T21:07:16"/>
    <d v="2023-04-01T21:07:16"/>
    <s v="Yes"/>
    <d v="2023-04-15T21:07:16"/>
    <s v="Accepted"/>
    <m/>
    <d v="2023-04-21T21:07:16"/>
    <s v="Accepted"/>
    <d v="2023-04-17T21:07:16"/>
    <d v="2023-04-20T21:07:16"/>
    <d v="2023-04-17T21:07:16"/>
    <d v="2023-04-18T21:07:16"/>
    <n v="1"/>
    <d v="2023-04-21T21:07:16"/>
    <d v="2023-04-23T21:07:16"/>
    <d v="2023-04-26T21:07:16"/>
    <m/>
    <m/>
    <d v="2023-05-04T21:07:16"/>
    <m/>
    <m/>
    <n v="1"/>
    <n v="15"/>
    <n v="14"/>
    <x v="14"/>
    <n v="2"/>
    <d v="2023-07-16T21:07:16"/>
    <n v="3"/>
    <n v="17"/>
    <n v="9"/>
    <m/>
    <m/>
    <m/>
    <m/>
    <m/>
    <m/>
    <m/>
    <m/>
    <m/>
    <m/>
  </r>
  <r>
    <n v="102"/>
    <s v="102 | Finance"/>
    <x v="7"/>
    <s v="Finance - Manager Level"/>
    <s v="Contoller"/>
    <s v="Finance-Contoller"/>
    <s v="Manager Level"/>
    <d v="2023-03-25T21:07:16"/>
    <d v="2023-03-29T21:07:16"/>
    <s v="Yes"/>
    <d v="2023-04-08T21:07:16"/>
    <s v="Accepted"/>
    <m/>
    <d v="2023-04-10T21:07:16"/>
    <s v="Accepted"/>
    <d v="2023-04-09T21:07:16"/>
    <d v="2023-04-13T21:07:16"/>
    <d v="2023-04-09T21:07:16"/>
    <d v="2023-04-10T21:07:16"/>
    <n v="1"/>
    <d v="2023-04-12T21:07:16"/>
    <d v="2023-04-15T21:07:16"/>
    <d v="2023-04-16T21:07:16"/>
    <m/>
    <m/>
    <d v="2023-04-30T21:07:16"/>
    <m/>
    <m/>
    <n v="4"/>
    <n v="14"/>
    <n v="10"/>
    <x v="16"/>
    <n v="1"/>
    <d v="2023-07-08T21:07:16"/>
    <n v="2"/>
    <n v="21"/>
    <n v="7"/>
    <m/>
    <m/>
    <m/>
    <m/>
    <m/>
    <m/>
    <m/>
    <m/>
    <m/>
    <m/>
  </r>
  <r>
    <n v="99"/>
    <s v="99 | Finance"/>
    <x v="7"/>
    <s v="Finance - Manager Level"/>
    <s v="Contoller"/>
    <s v="Finance-Contoller"/>
    <s v="Manager Level"/>
    <d v="2022-10-05T14:05:41"/>
    <d v="2022-10-08T14:05:41"/>
    <s v="Yes"/>
    <d v="2022-10-17T14:05:41"/>
    <s v="Accepted"/>
    <m/>
    <d v="2022-10-22T14:05:41"/>
    <s v="Accepted"/>
    <d v="2022-10-19T14:05:41"/>
    <d v="2022-10-20T14:05:41"/>
    <d v="2022-10-18T14:05:41"/>
    <d v="2022-10-21T14:05:41"/>
    <n v="1"/>
    <d v="2022-10-25T14:05:41"/>
    <d v="2022-10-26T14:05:41"/>
    <d v="2022-10-28T14:05:41"/>
    <m/>
    <m/>
    <d v="2022-11-12T14:05:41"/>
    <m/>
    <m/>
    <n v="3"/>
    <n v="12"/>
    <n v="9"/>
    <x v="8"/>
    <n v="1"/>
    <d v="2023-01-16T14:05:41"/>
    <n v="4"/>
    <n v="25"/>
    <n v="10"/>
    <m/>
    <m/>
    <m/>
    <m/>
    <m/>
    <m/>
    <m/>
    <m/>
    <m/>
    <m/>
  </r>
  <r>
    <n v="97"/>
    <s v="97 | Finance"/>
    <x v="7"/>
    <s v="Finance - Manager Level"/>
    <s v="Contoller"/>
    <s v="Finance-Contoller"/>
    <s v="Manager Level"/>
    <d v="2022-10-06T14:05:41"/>
    <d v="2022-10-07T14:05:41"/>
    <s v="Yes"/>
    <d v="2022-10-17T14:05:41"/>
    <s v="Accepted"/>
    <m/>
    <d v="2022-10-21T14:05:41"/>
    <s v="Accepted"/>
    <d v="2022-10-19T14:05:41"/>
    <d v="2022-10-22T14:05:41"/>
    <d v="2022-10-18T14:05:41"/>
    <d v="2022-10-22T14:05:41"/>
    <n v="1"/>
    <d v="2022-10-24T14:05:41"/>
    <d v="2022-10-27T14:05:41"/>
    <d v="2022-10-29T14:05:41"/>
    <m/>
    <m/>
    <d v="2022-11-16T14:05:41"/>
    <m/>
    <m/>
    <n v="1"/>
    <n v="11"/>
    <n v="10"/>
    <x v="24"/>
    <n v="1"/>
    <d v="2023-01-16T14:05:41"/>
    <n v="2"/>
    <n v="29"/>
    <n v="11"/>
    <m/>
    <m/>
    <m/>
    <m/>
    <m/>
    <m/>
    <m/>
    <m/>
    <m/>
    <m/>
  </r>
  <r>
    <n v="92"/>
    <s v="92 | Finance"/>
    <x v="7"/>
    <s v="Finance - Manager Level"/>
    <s v="Contoller"/>
    <s v="Finance-Contoller"/>
    <s v="Manager Level"/>
    <d v="2022-10-06T14:05:41"/>
    <d v="2022-10-07T14:05:41"/>
    <s v="Yes"/>
    <d v="2022-10-26T14:05:41"/>
    <s v="Accepted"/>
    <m/>
    <d v="2022-11-03T14:05:41"/>
    <s v="Accepted"/>
    <d v="2022-10-27T14:05:41"/>
    <d v="2022-10-29T14:05:41"/>
    <d v="2022-10-30T14:05:41"/>
    <d v="2022-11-07T14:05:41"/>
    <n v="1"/>
    <d v="2022-11-08T14:05:41"/>
    <d v="2022-11-11T14:05:41"/>
    <d v="2022-11-14T14:05:41"/>
    <m/>
    <m/>
    <d v="2022-12-05T14:05:41"/>
    <m/>
    <m/>
    <n v="1"/>
    <n v="20"/>
    <n v="19"/>
    <x v="21"/>
    <n v="4"/>
    <d v="2023-01-28T14:05:41"/>
    <n v="1"/>
    <n v="36"/>
    <n v="15"/>
    <m/>
    <m/>
    <m/>
    <m/>
    <m/>
    <m/>
    <m/>
    <m/>
    <m/>
    <m/>
  </r>
  <r>
    <n v="79"/>
    <s v="79 | Finance"/>
    <x v="7"/>
    <s v="Finance - Manager Level"/>
    <s v="Contoller"/>
    <s v="Finance-Contoller"/>
    <s v="Manager Level"/>
    <d v="2022-07-07T09:51:33"/>
    <d v="2022-07-10T09:51:33"/>
    <s v="Yes"/>
    <d v="2022-07-22T09:51:33"/>
    <s v="Failed"/>
    <s v="Salary expectation too high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76"/>
    <s v="76 | Finance"/>
    <x v="7"/>
    <s v="Finance - Manager Level"/>
    <s v="Contoller"/>
    <s v="Finance-Contoller"/>
    <s v="Manager Level"/>
    <d v="2022-07-10T09:51:33"/>
    <d v="2022-07-11T09:51:3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4"/>
    <s v="24 | Finance"/>
    <x v="7"/>
    <s v="Finance - Manager Level"/>
    <s v="Contoller"/>
    <s v="Finance-Contoller"/>
    <s v="Manager Level"/>
    <d v="2022-12-24T10:52:58"/>
    <d v="2022-12-26T10:52:58"/>
    <s v="Yes"/>
    <d v="2023-01-12T10:52:58"/>
    <s v="Failed"/>
    <s v="Didn't pass technical test"/>
    <m/>
    <m/>
    <m/>
    <m/>
    <d v="2023-01-15T10:52:58"/>
    <m/>
    <n v="0"/>
    <m/>
    <m/>
    <m/>
    <m/>
    <s v="Company"/>
    <m/>
    <m/>
    <m/>
    <n v="2"/>
    <n v="19"/>
    <n v="17"/>
    <x v="7"/>
    <n v="3"/>
    <d v="2023-04-15T10:52:58"/>
    <s v=""/>
    <s v=""/>
    <s v=""/>
    <m/>
    <m/>
    <m/>
    <m/>
    <m/>
    <m/>
    <m/>
    <m/>
    <m/>
    <m/>
  </r>
  <r>
    <n v="17"/>
    <s v="17 | Finance"/>
    <x v="7"/>
    <s v="Finance - Manager Level"/>
    <s v="Contoller"/>
    <s v="Finance-Contoller"/>
    <s v="Manager Level"/>
    <d v="2022-03-13T21:37:51"/>
    <d v="2022-03-16T21:37:51"/>
    <s v="Yes"/>
    <d v="2022-04-01T21:37:51"/>
    <s v="Declined"/>
    <m/>
    <d v="2022-04-05T21:37:51"/>
    <s v="Declined"/>
    <m/>
    <m/>
    <d v="2022-04-04T21:37:51"/>
    <m/>
    <n v="0"/>
    <m/>
    <m/>
    <m/>
    <m/>
    <m/>
    <m/>
    <m/>
    <m/>
    <n v="3"/>
    <n v="19"/>
    <n v="16"/>
    <x v="7"/>
    <n v="3"/>
    <d v="2022-07-03T21:37:51"/>
    <s v=""/>
    <s v=""/>
    <s v=""/>
    <m/>
    <m/>
    <m/>
    <m/>
    <m/>
    <m/>
    <m/>
    <m/>
    <m/>
    <m/>
  </r>
  <r>
    <n v="2848"/>
    <s v="2848 | Finance"/>
    <x v="7"/>
    <s v="Finance - Junior"/>
    <s v="Analyst"/>
    <s v="Finance-Analyst"/>
    <s v="Junior"/>
    <d v="2022-03-31T10:38:28"/>
    <d v="2022-04-01T10:38:28"/>
    <s v="Yes"/>
    <d v="2022-04-19T10:38:28"/>
    <s v="Declined"/>
    <m/>
    <d v="2022-04-21T10:38:28"/>
    <s v="Declined"/>
    <m/>
    <m/>
    <d v="2022-04-20T10:38:28"/>
    <m/>
    <n v="0"/>
    <m/>
    <m/>
    <m/>
    <m/>
    <m/>
    <m/>
    <m/>
    <m/>
    <n v="1"/>
    <n v="19"/>
    <n v="18"/>
    <x v="15"/>
    <n v="1"/>
    <d v="2022-07-19T10:38:28"/>
    <s v=""/>
    <s v=""/>
    <s v=""/>
    <m/>
    <m/>
    <m/>
    <m/>
    <m/>
    <m/>
    <m/>
    <m/>
    <m/>
    <m/>
  </r>
  <r>
    <n v="2845"/>
    <s v="2845 | Finance"/>
    <x v="7"/>
    <s v="Finance - Junior"/>
    <s v="Analyst"/>
    <s v="Finance-Analyst"/>
    <s v="Junior"/>
    <d v="2022-03-30T10:38:28"/>
    <d v="2022-04-02T10:38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775"/>
    <s v="2775 | Finance"/>
    <x v="7"/>
    <s v="Finance - Junior"/>
    <s v="Analyst"/>
    <s v="Finance-Analyst"/>
    <s v="Junior"/>
    <d v="2022-04-30T18:40:18"/>
    <d v="2022-05-03T18:40:18"/>
    <s v="Yes"/>
    <d v="2022-05-20T18:40:18"/>
    <s v="Failed"/>
    <s v="Salary expectation too high"/>
    <m/>
    <m/>
    <m/>
    <m/>
    <m/>
    <m/>
    <n v="0"/>
    <m/>
    <m/>
    <m/>
    <m/>
    <s v="Company"/>
    <m/>
    <m/>
    <m/>
    <n v="3"/>
    <n v="20"/>
    <n v="17"/>
    <x v="0"/>
    <s v=""/>
    <s v=""/>
    <s v=""/>
    <s v=""/>
    <s v=""/>
    <m/>
    <m/>
    <m/>
    <m/>
    <m/>
    <m/>
    <m/>
    <m/>
    <m/>
    <m/>
  </r>
  <r>
    <n v="2773"/>
    <s v="2773 | Finance"/>
    <x v="7"/>
    <s v="Finance - Junior"/>
    <s v="Analyst"/>
    <s v="Finance-Analyst"/>
    <s v="Junior"/>
    <d v="2022-04-30T18:40:18"/>
    <d v="2022-05-02T18:40:18"/>
    <s v="Yes"/>
    <d v="2022-05-10T18:40:18"/>
    <s v="Declined"/>
    <m/>
    <d v="2022-05-13T18:40:18"/>
    <s v="Declined"/>
    <m/>
    <m/>
    <d v="2022-05-11T18:40:18"/>
    <m/>
    <n v="0"/>
    <m/>
    <m/>
    <m/>
    <m/>
    <m/>
    <m/>
    <m/>
    <m/>
    <n v="2"/>
    <n v="10"/>
    <n v="8"/>
    <x v="9"/>
    <n v="1"/>
    <d v="2022-08-09T18:40:18"/>
    <s v=""/>
    <s v=""/>
    <s v=""/>
    <m/>
    <m/>
    <m/>
    <m/>
    <m/>
    <m/>
    <m/>
    <m/>
    <m/>
    <m/>
  </r>
  <r>
    <n v="2759"/>
    <s v="2759 | Finance"/>
    <x v="7"/>
    <s v="Finance - Junior"/>
    <s v="Analyst"/>
    <s v="Finance-Analyst"/>
    <s v="Junior"/>
    <d v="2023-04-11T18:21:43"/>
    <d v="2023-04-14T18:21:43"/>
    <s v="Yes"/>
    <d v="2023-04-22T18:21:43"/>
    <s v="Accepted"/>
    <m/>
    <d v="2023-04-24T18:21:43"/>
    <s v="Accepted"/>
    <d v="2023-04-24T18:21:43"/>
    <d v="2023-04-26T18:21:43"/>
    <d v="2023-04-23T18:21:43"/>
    <d v="2023-05-01T18:21:43"/>
    <n v="1"/>
    <d v="2023-05-03T18:21:43"/>
    <d v="2023-05-06T18:21:43"/>
    <d v="2023-05-08T18:21:43"/>
    <m/>
    <m/>
    <d v="2023-05-30T18:21:43"/>
    <m/>
    <m/>
    <n v="3"/>
    <n v="11"/>
    <n v="8"/>
    <x v="24"/>
    <n v="1"/>
    <d v="2023-07-22T18:21:43"/>
    <n v="2"/>
    <n v="37"/>
    <n v="15"/>
    <m/>
    <m/>
    <m/>
    <m/>
    <m/>
    <m/>
    <m/>
    <m/>
    <m/>
    <m/>
  </r>
  <r>
    <n v="2689"/>
    <s v="2689 | Finance"/>
    <x v="7"/>
    <s v="Finance - Junior"/>
    <s v="Analyst"/>
    <s v="Finance-Analyst"/>
    <s v="Junior"/>
    <d v="2023-07-28T17:11:38"/>
    <d v="2023-07-31T17:11:38"/>
    <s v="Yes"/>
    <d v="2023-08-18T17:11:38"/>
    <s v="Accepted"/>
    <m/>
    <d v="2023-08-26T17:11:38"/>
    <s v="Accepted"/>
    <d v="2023-08-20T17:11:38"/>
    <d v="2023-08-24T17:11:38"/>
    <d v="2023-08-22T17:11:38"/>
    <d v="2023-08-28T17:11:38"/>
    <n v="1"/>
    <d v="2023-08-31T17:11:38"/>
    <d v="2023-09-01T17:11:38"/>
    <d v="2023-09-02T17:11:38"/>
    <m/>
    <m/>
    <d v="2023-09-16T17:11:38"/>
    <m/>
    <m/>
    <n v="3"/>
    <n v="21"/>
    <n v="18"/>
    <x v="11"/>
    <n v="4"/>
    <d v="2023-11-20T17:11:38"/>
    <n v="3"/>
    <n v="25"/>
    <n v="11"/>
    <m/>
    <m/>
    <m/>
    <m/>
    <m/>
    <m/>
    <m/>
    <m/>
    <m/>
    <m/>
  </r>
  <r>
    <n v="2687"/>
    <s v="2687 | Finance"/>
    <x v="7"/>
    <s v="Finance - Junior"/>
    <s v="Analyst"/>
    <s v="Finance-Analyst"/>
    <s v="Junior"/>
    <d v="2023-07-27T17:11:38"/>
    <d v="2023-07-30T17:11:38"/>
    <s v="Yes"/>
    <d v="2023-08-08T17:11:38"/>
    <s v="Failed"/>
    <s v="Salary expectation too high"/>
    <m/>
    <m/>
    <m/>
    <m/>
    <d v="2023-08-12T17:11:38"/>
    <m/>
    <n v="0"/>
    <m/>
    <m/>
    <m/>
    <m/>
    <s v="Company"/>
    <m/>
    <m/>
    <m/>
    <n v="3"/>
    <n v="12"/>
    <n v="9"/>
    <x v="20"/>
    <n v="4"/>
    <d v="2023-11-10T17:11:38"/>
    <s v=""/>
    <s v=""/>
    <s v=""/>
    <m/>
    <m/>
    <m/>
    <m/>
    <m/>
    <m/>
    <m/>
    <m/>
    <m/>
    <m/>
  </r>
  <r>
    <n v="2683"/>
    <s v="2683 | Finance"/>
    <x v="7"/>
    <s v="Finance - Junior"/>
    <s v="Analyst"/>
    <s v="Finance-Analyst"/>
    <s v="Junior"/>
    <d v="2023-08-01T17:11:38"/>
    <d v="2023-08-03T17:11:38"/>
    <s v="Yes"/>
    <d v="2023-08-18T17:11:38"/>
    <s v="Accepted"/>
    <m/>
    <d v="2023-08-26T17:11:38"/>
    <s v="Accepted"/>
    <d v="2023-08-19T17:11:38"/>
    <d v="2023-08-23T17:11:38"/>
    <d v="2023-08-22T17:11:38"/>
    <d v="2023-08-29T17:11:38"/>
    <n v="1"/>
    <d v="2023-08-31T17:11:38"/>
    <d v="2023-09-01T17:11:38"/>
    <d v="2023-09-03T17:11:38"/>
    <m/>
    <m/>
    <d v="2023-09-25T17:11:38"/>
    <m/>
    <m/>
    <n v="2"/>
    <n v="17"/>
    <n v="15"/>
    <x v="19"/>
    <n v="4"/>
    <d v="2023-11-20T17:11:38"/>
    <n v="2"/>
    <n v="34"/>
    <n v="12"/>
    <m/>
    <m/>
    <m/>
    <m/>
    <m/>
    <m/>
    <m/>
    <m/>
    <m/>
    <m/>
  </r>
  <r>
    <n v="2682"/>
    <s v="2682 | Finance"/>
    <x v="7"/>
    <s v="Finance - Junior"/>
    <s v="Analyst"/>
    <s v="Finance-Analyst"/>
    <s v="Junior"/>
    <d v="2023-07-31T17:11:38"/>
    <d v="2023-08-01T17:11:3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680"/>
    <s v="2680 | Finance"/>
    <x v="7"/>
    <s v="Finance - Junior"/>
    <s v="Analyst"/>
    <s v="Finance-Analyst"/>
    <s v="Junior"/>
    <d v="2022-02-07T03:23:10"/>
    <d v="2022-02-10T03:23:10"/>
    <s v="Yes"/>
    <d v="2022-03-05T03:23:10"/>
    <s v="Accepted"/>
    <m/>
    <d v="2022-03-12T03:23:10"/>
    <s v="Accepted"/>
    <d v="2022-03-07T03:23:10"/>
    <d v="2022-03-08T03:23:10"/>
    <d v="2022-03-08T03:23:10"/>
    <d v="2022-03-16T03:23:10"/>
    <n v="1"/>
    <d v="2022-03-19T03:23:10"/>
    <d v="2022-03-22T03:23:10"/>
    <d v="2022-03-24T03:23:10"/>
    <m/>
    <m/>
    <d v="2022-04-02T03:23:10"/>
    <m/>
    <m/>
    <n v="3"/>
    <n v="26"/>
    <n v="23"/>
    <x v="23"/>
    <n v="3"/>
    <d v="2022-06-06T03:23:10"/>
    <n v="3"/>
    <n v="25"/>
    <n v="16"/>
    <m/>
    <m/>
    <m/>
    <m/>
    <m/>
    <m/>
    <m/>
    <m/>
    <m/>
    <m/>
  </r>
  <r>
    <n v="2678"/>
    <s v="2678 | Finance"/>
    <x v="7"/>
    <s v="Finance - Junior"/>
    <s v="Analyst"/>
    <s v="Finance-Analyst"/>
    <s v="Junior"/>
    <d v="2022-02-13T03:23:10"/>
    <d v="2022-02-14T03:23:10"/>
    <s v="Yes"/>
    <d v="2022-02-20T03:23:10"/>
    <s v="Accepted"/>
    <m/>
    <d v="2022-02-23T03:23:10"/>
    <s v="Accepted"/>
    <d v="2022-02-22T03:23:10"/>
    <d v="2022-02-23T03:23:10"/>
    <d v="2022-02-22T03:23:10"/>
    <d v="2022-03-01T03:23:10"/>
    <n v="1"/>
    <d v="2022-03-04T03:23:10"/>
    <d v="2022-03-05T03:23:10"/>
    <d v="2022-03-08T03:23:10"/>
    <m/>
    <m/>
    <d v="2022-03-27T03:23:10"/>
    <m/>
    <m/>
    <n v="1"/>
    <n v="7"/>
    <n v="6"/>
    <x v="4"/>
    <n v="2"/>
    <d v="2022-05-23T03:23:10"/>
    <n v="3"/>
    <n v="33"/>
    <n v="14"/>
    <m/>
    <m/>
    <m/>
    <m/>
    <m/>
    <m/>
    <m/>
    <m/>
    <m/>
    <m/>
  </r>
  <r>
    <n v="2549"/>
    <s v="2549 | Finance"/>
    <x v="7"/>
    <s v="Finance - Junior"/>
    <s v="Analyst"/>
    <s v="Finance-Analyst"/>
    <s v="Junior"/>
    <d v="2023-07-01T11:30:00"/>
    <d v="2023-07-04T11:30:00"/>
    <s v="Yes"/>
    <d v="2023-07-09T11:30:00"/>
    <s v="Failed"/>
    <s v="Position filled by another"/>
    <m/>
    <m/>
    <m/>
    <m/>
    <m/>
    <m/>
    <n v="0"/>
    <m/>
    <m/>
    <m/>
    <m/>
    <s v="Candidate"/>
    <m/>
    <m/>
    <m/>
    <n v="3"/>
    <n v="8"/>
    <n v="5"/>
    <x v="0"/>
    <s v=""/>
    <s v=""/>
    <s v=""/>
    <s v=""/>
    <s v=""/>
    <m/>
    <m/>
    <m/>
    <m/>
    <m/>
    <m/>
    <m/>
    <m/>
    <m/>
    <m/>
  </r>
  <r>
    <n v="2543"/>
    <s v="2543 | Finance"/>
    <x v="7"/>
    <s v="Finance - Junior"/>
    <s v="Analyst"/>
    <s v="Finance-Analyst"/>
    <s v="Junior"/>
    <d v="2023-06-27T11:30:00"/>
    <d v="2023-07-01T11:30:0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10"/>
    <s v="2510 | Finance"/>
    <x v="7"/>
    <s v="Finance - Junior"/>
    <s v="Analyst"/>
    <s v="Finance-Analyst"/>
    <s v="Junior"/>
    <d v="2022-06-26T18:38:51"/>
    <d v="2022-06-29T18:38:51"/>
    <s v="Yes"/>
    <d v="2022-07-11T18:38:51"/>
    <s v="Declined"/>
    <m/>
    <d v="2022-07-16T18:38:51"/>
    <s v="Declined"/>
    <m/>
    <m/>
    <d v="2022-07-15T18:38:51"/>
    <m/>
    <n v="0"/>
    <m/>
    <m/>
    <m/>
    <m/>
    <m/>
    <m/>
    <m/>
    <m/>
    <n v="3"/>
    <n v="15"/>
    <n v="12"/>
    <x v="13"/>
    <n v="4"/>
    <d v="2022-10-13T18:38:51"/>
    <s v=""/>
    <s v=""/>
    <s v=""/>
    <m/>
    <m/>
    <m/>
    <m/>
    <m/>
    <m/>
    <m/>
    <m/>
    <m/>
    <m/>
  </r>
  <r>
    <n v="2507"/>
    <s v="2507 | Finance"/>
    <x v="7"/>
    <s v="Finance - Junior"/>
    <s v="Analyst"/>
    <s v="Finance-Analyst"/>
    <s v="Junior"/>
    <d v="2022-06-24T18:38:51"/>
    <d v="2022-06-28T18:38:51"/>
    <s v="Yes"/>
    <d v="2022-07-09T18:38:51"/>
    <s v="Failed"/>
    <s v="Salary expectation too high"/>
    <m/>
    <m/>
    <m/>
    <m/>
    <d v="2022-07-12T18:38:51"/>
    <m/>
    <n v="0"/>
    <m/>
    <m/>
    <m/>
    <m/>
    <s v="Company"/>
    <m/>
    <m/>
    <m/>
    <n v="4"/>
    <n v="15"/>
    <n v="11"/>
    <x v="12"/>
    <n v="3"/>
    <d v="2022-10-10T18:38:51"/>
    <s v=""/>
    <s v=""/>
    <s v=""/>
    <m/>
    <m/>
    <m/>
    <m/>
    <m/>
    <m/>
    <m/>
    <m/>
    <m/>
    <m/>
  </r>
  <r>
    <n v="2477"/>
    <s v="2477 | Finance"/>
    <x v="7"/>
    <s v="Finance - Junior"/>
    <s v="Analyst"/>
    <s v="Finance-Analyst"/>
    <s v="Junior"/>
    <d v="2022-12-20T10:20:25"/>
    <d v="2022-12-22T10:20:25"/>
    <s v="Yes"/>
    <d v="2023-01-05T10:20:25"/>
    <s v="Declined"/>
    <m/>
    <d v="2023-01-12T10:20:25"/>
    <s v="Declined"/>
    <m/>
    <m/>
    <d v="2023-01-08T10:20:25"/>
    <m/>
    <n v="0"/>
    <m/>
    <m/>
    <m/>
    <m/>
    <m/>
    <m/>
    <m/>
    <m/>
    <n v="2"/>
    <n v="16"/>
    <n v="14"/>
    <x v="13"/>
    <n v="3"/>
    <d v="2023-04-08T10:20:25"/>
    <s v=""/>
    <s v=""/>
    <s v=""/>
    <m/>
    <m/>
    <m/>
    <m/>
    <m/>
    <m/>
    <m/>
    <m/>
    <m/>
    <m/>
  </r>
  <r>
    <n v="2473"/>
    <s v="2473 | Finance"/>
    <x v="7"/>
    <s v="Finance - Junior"/>
    <s v="Analyst"/>
    <s v="Finance-Analyst"/>
    <s v="Junior"/>
    <d v="2022-12-19T10:20:25"/>
    <d v="2022-12-21T10:20:25"/>
    <s v="Yes"/>
    <d v="2022-12-31T10:20:25"/>
    <s v="Accepted"/>
    <m/>
    <d v="2023-01-07T10:20:25"/>
    <s v="Accepted"/>
    <d v="2023-01-02T10:20:25"/>
    <d v="2023-01-05T10:20:25"/>
    <d v="2023-01-03T10:20:25"/>
    <d v="2023-01-11T10:20:25"/>
    <n v="1"/>
    <d v="2023-01-14T10:20:25"/>
    <d v="2023-01-17T10:20:25"/>
    <d v="2023-01-20T10:20:25"/>
    <m/>
    <m/>
    <d v="2023-02-05T10:20:25"/>
    <m/>
    <m/>
    <n v="2"/>
    <n v="12"/>
    <n v="10"/>
    <x v="16"/>
    <n v="3"/>
    <d v="2023-04-03T10:20:25"/>
    <n v="3"/>
    <n v="33"/>
    <n v="17"/>
    <m/>
    <m/>
    <m/>
    <m/>
    <m/>
    <m/>
    <m/>
    <m/>
    <m/>
    <m/>
  </r>
  <r>
    <n v="2358"/>
    <s v="2358 | Finance"/>
    <x v="7"/>
    <s v="Finance - Junior"/>
    <s v="Analyst"/>
    <s v="Finance-Analyst"/>
    <s v="Junior"/>
    <d v="2023-04-13T12:37:54"/>
    <d v="2023-04-15T12:37:54"/>
    <s v="Yes"/>
    <d v="2023-04-21T12:37:54"/>
    <s v="Failed"/>
    <s v="Position filled by another"/>
    <m/>
    <m/>
    <m/>
    <m/>
    <m/>
    <m/>
    <n v="0"/>
    <m/>
    <m/>
    <m/>
    <m/>
    <s v="Candidate"/>
    <m/>
    <m/>
    <m/>
    <n v="2"/>
    <n v="8"/>
    <n v="6"/>
    <x v="0"/>
    <s v=""/>
    <s v=""/>
    <s v=""/>
    <s v=""/>
    <s v=""/>
    <m/>
    <m/>
    <m/>
    <m/>
    <m/>
    <m/>
    <m/>
    <m/>
    <m/>
    <m/>
  </r>
  <r>
    <n v="2352"/>
    <s v="2352 | Finance"/>
    <x v="7"/>
    <s v="Finance - Junior"/>
    <s v="Analyst"/>
    <s v="Finance-Analyst"/>
    <s v="Junior"/>
    <d v="2023-04-11T12:37:54"/>
    <d v="2023-04-14T12:37:54"/>
    <s v="Yes"/>
    <d v="2023-04-28T12:37:54"/>
    <s v="Declined"/>
    <m/>
    <d v="2023-05-03T12:37:54"/>
    <s v="Declined"/>
    <m/>
    <m/>
    <d v="2023-04-30T12:37:54"/>
    <m/>
    <n v="0"/>
    <m/>
    <m/>
    <m/>
    <m/>
    <m/>
    <m/>
    <m/>
    <m/>
    <n v="3"/>
    <n v="17"/>
    <n v="14"/>
    <x v="13"/>
    <n v="2"/>
    <d v="2023-07-29T12:37:54"/>
    <s v=""/>
    <s v=""/>
    <s v=""/>
    <m/>
    <m/>
    <m/>
    <m/>
    <m/>
    <m/>
    <m/>
    <m/>
    <m/>
    <m/>
  </r>
  <r>
    <n v="2329"/>
    <s v="2329 | Finance"/>
    <x v="7"/>
    <s v="Finance - Junior"/>
    <s v="Analyst"/>
    <s v="Finance-Analyst"/>
    <s v="Junior"/>
    <d v="2022-02-03T06:22:29"/>
    <d v="2022-02-07T06:22:2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27"/>
    <s v="2327 | Finance"/>
    <x v="7"/>
    <s v="Finance - Junior"/>
    <s v="Analyst"/>
    <s v="Finance-Analyst"/>
    <s v="Junior"/>
    <d v="2022-02-06T06:22:29"/>
    <d v="2022-02-08T06:22:29"/>
    <s v="Yes"/>
    <d v="2022-02-18T06:22:29"/>
    <s v="Failed"/>
    <s v="Salary expectation too high"/>
    <m/>
    <m/>
    <m/>
    <m/>
    <m/>
    <m/>
    <n v="0"/>
    <m/>
    <m/>
    <m/>
    <m/>
    <s v="Candidate"/>
    <m/>
    <m/>
    <m/>
    <n v="2"/>
    <n v="12"/>
    <n v="10"/>
    <x v="0"/>
    <s v=""/>
    <s v=""/>
    <s v=""/>
    <s v=""/>
    <s v=""/>
    <m/>
    <m/>
    <m/>
    <m/>
    <m/>
    <m/>
    <m/>
    <m/>
    <m/>
    <m/>
  </r>
  <r>
    <n v="2324"/>
    <s v="2324 | Finance"/>
    <x v="7"/>
    <s v="Finance - Junior"/>
    <s v="Analyst"/>
    <s v="Finance-Analyst"/>
    <s v="Junior"/>
    <d v="2022-02-02T06:22:29"/>
    <d v="2022-02-05T06:22:2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322"/>
    <s v="2322 | Finance"/>
    <x v="7"/>
    <s v="Finance - Junior"/>
    <s v="Analyst"/>
    <s v="Finance-Analyst"/>
    <s v="Junior"/>
    <d v="2022-02-02T06:22:29"/>
    <d v="2022-02-06T06:22:2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10"/>
    <s v="2310 | Finance"/>
    <x v="7"/>
    <s v="Finance - Junior"/>
    <s v="Analyst"/>
    <s v="Finance-Analyst"/>
    <s v="Junior"/>
    <d v="2023-06-21T01:56:26"/>
    <d v="2023-06-23T01:56:26"/>
    <s v="Yes"/>
    <d v="2023-07-03T01:56:26"/>
    <s v="Failed"/>
    <s v="Other"/>
    <m/>
    <m/>
    <m/>
    <m/>
    <m/>
    <m/>
    <n v="0"/>
    <m/>
    <m/>
    <m/>
    <m/>
    <s v="Company"/>
    <m/>
    <m/>
    <m/>
    <n v="2"/>
    <n v="12"/>
    <n v="10"/>
    <x v="0"/>
    <s v=""/>
    <s v=""/>
    <s v=""/>
    <s v=""/>
    <s v=""/>
    <m/>
    <m/>
    <m/>
    <m/>
    <m/>
    <m/>
    <m/>
    <m/>
    <m/>
    <m/>
  </r>
  <r>
    <n v="2303"/>
    <s v="2303 | Finance"/>
    <x v="7"/>
    <s v="Finance - Junior"/>
    <s v="Analyst"/>
    <s v="Finance-Analyst"/>
    <s v="Junior"/>
    <d v="2023-06-19T01:56:26"/>
    <d v="2023-06-23T01:56:26"/>
    <s v="Yes"/>
    <d v="2023-07-16T01:56:26"/>
    <s v="Failed"/>
    <s v="Salary expectation too high"/>
    <m/>
    <m/>
    <m/>
    <m/>
    <d v="2023-07-18T01:56:26"/>
    <m/>
    <n v="0"/>
    <m/>
    <m/>
    <m/>
    <m/>
    <s v="Company"/>
    <m/>
    <m/>
    <m/>
    <n v="4"/>
    <n v="27"/>
    <n v="23"/>
    <x v="23"/>
    <n v="2"/>
    <d v="2023-10-16T01:56:26"/>
    <s v=""/>
    <s v=""/>
    <s v=""/>
    <m/>
    <m/>
    <m/>
    <m/>
    <m/>
    <m/>
    <m/>
    <m/>
    <m/>
    <m/>
  </r>
  <r>
    <n v="2289"/>
    <s v="2289 | Finance"/>
    <x v="7"/>
    <s v="Finance - Junior"/>
    <s v="Analyst"/>
    <s v="Finance-Analyst"/>
    <s v="Junior"/>
    <d v="2022-07-19T11:44:34"/>
    <d v="2022-07-23T11:44:34"/>
    <s v="Yes"/>
    <d v="2022-08-13T11:44:34"/>
    <s v="Accepted"/>
    <m/>
    <d v="2022-08-17T11:44:34"/>
    <s v="Accepted"/>
    <d v="2022-08-14T11:44:34"/>
    <d v="2022-08-18T11:44:34"/>
    <d v="2022-08-16T11:44:34"/>
    <d v="2022-08-25T11:44:34"/>
    <n v="1"/>
    <d v="2022-08-28T11:44:34"/>
    <d v="2022-08-29T11:44:34"/>
    <d v="2022-08-31T11:44:34"/>
    <m/>
    <m/>
    <d v="2022-09-11T11:44:34"/>
    <m/>
    <m/>
    <n v="4"/>
    <n v="25"/>
    <n v="21"/>
    <x v="6"/>
    <n v="3"/>
    <d v="2022-11-14T11:44:34"/>
    <n v="3"/>
    <n v="26"/>
    <n v="15"/>
    <m/>
    <m/>
    <m/>
    <m/>
    <m/>
    <m/>
    <m/>
    <m/>
    <m/>
    <m/>
  </r>
  <r>
    <n v="2288"/>
    <s v="2288 | Finance"/>
    <x v="7"/>
    <s v="Finance - Junior"/>
    <s v="Analyst"/>
    <s v="Finance-Analyst"/>
    <s v="Junior"/>
    <d v="2022-07-22T11:44:34"/>
    <d v="2022-07-23T11:44:3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284"/>
    <s v="2284 | Finance"/>
    <x v="7"/>
    <s v="Finance - Junior"/>
    <s v="Analyst"/>
    <s v="Finance-Analyst"/>
    <s v="Junior"/>
    <d v="2022-07-17T11:44:34"/>
    <d v="2022-07-21T11:44:34"/>
    <s v="Yes"/>
    <d v="2022-08-10T11:44:34"/>
    <s v="Failed"/>
    <s v="Other"/>
    <m/>
    <m/>
    <m/>
    <m/>
    <m/>
    <m/>
    <n v="0"/>
    <m/>
    <m/>
    <m/>
    <m/>
    <s v="Company"/>
    <m/>
    <m/>
    <m/>
    <n v="4"/>
    <n v="24"/>
    <n v="20"/>
    <x v="0"/>
    <s v=""/>
    <s v=""/>
    <s v=""/>
    <s v=""/>
    <s v=""/>
    <m/>
    <m/>
    <m/>
    <m/>
    <m/>
    <m/>
    <m/>
    <m/>
    <m/>
    <m/>
  </r>
  <r>
    <n v="2280"/>
    <s v="2280 | Finance"/>
    <x v="7"/>
    <s v="Finance - Junior"/>
    <s v="Analyst"/>
    <s v="Finance-Analyst"/>
    <s v="Junior"/>
    <d v="2023-08-27T21:41:36"/>
    <d v="2023-08-28T21:41:36"/>
    <s v="Yes"/>
    <d v="2023-09-11T21:41:36"/>
    <s v="Declined"/>
    <m/>
    <d v="2023-09-15T21:41:36"/>
    <s v="Declined"/>
    <m/>
    <m/>
    <d v="2023-09-12T21:41:36"/>
    <m/>
    <n v="0"/>
    <m/>
    <m/>
    <m/>
    <m/>
    <m/>
    <m/>
    <m/>
    <m/>
    <n v="1"/>
    <n v="15"/>
    <n v="14"/>
    <x v="20"/>
    <n v="1"/>
    <d v="2023-12-11T21:41:36"/>
    <s v=""/>
    <s v=""/>
    <s v=""/>
    <m/>
    <m/>
    <m/>
    <m/>
    <m/>
    <m/>
    <m/>
    <m/>
    <m/>
    <m/>
  </r>
  <r>
    <n v="2277"/>
    <s v="2277 | Finance"/>
    <x v="7"/>
    <s v="Finance - Junior"/>
    <s v="Analyst"/>
    <s v="Finance-Analyst"/>
    <s v="Junior"/>
    <d v="2023-08-28T21:41:36"/>
    <d v="2023-09-01T21:41:36"/>
    <s v="Yes"/>
    <d v="2023-09-13T21:41:36"/>
    <s v="Failed"/>
    <s v="Salary expectation too high"/>
    <m/>
    <m/>
    <m/>
    <m/>
    <d v="2023-09-14T21:41:36"/>
    <m/>
    <n v="0"/>
    <m/>
    <m/>
    <m/>
    <m/>
    <s v="Candidate"/>
    <m/>
    <m/>
    <m/>
    <n v="4"/>
    <n v="16"/>
    <n v="12"/>
    <x v="14"/>
    <n v="1"/>
    <d v="2023-12-13T21:41:36"/>
    <s v=""/>
    <s v=""/>
    <s v=""/>
    <m/>
    <m/>
    <m/>
    <m/>
    <m/>
    <m/>
    <m/>
    <m/>
    <m/>
    <m/>
  </r>
  <r>
    <n v="2276"/>
    <s v="2276 | Finance"/>
    <x v="7"/>
    <s v="Finance - Junior"/>
    <s v="Analyst"/>
    <s v="Finance-Analyst"/>
    <s v="Junior"/>
    <d v="2023-08-26T21:41:36"/>
    <d v="2023-08-29T21:41:36"/>
    <s v="Yes"/>
    <d v="2023-09-05T21:41:36"/>
    <s v="Failed"/>
    <s v="Didn't pass technical test"/>
    <m/>
    <m/>
    <m/>
    <m/>
    <d v="2023-09-06T21:41:36"/>
    <m/>
    <n v="0"/>
    <m/>
    <m/>
    <m/>
    <m/>
    <s v="Candidate"/>
    <m/>
    <m/>
    <m/>
    <n v="3"/>
    <n v="10"/>
    <n v="7"/>
    <x v="9"/>
    <n v="1"/>
    <d v="2023-12-05T21:41:36"/>
    <s v=""/>
    <s v=""/>
    <s v=""/>
    <m/>
    <m/>
    <m/>
    <m/>
    <m/>
    <m/>
    <m/>
    <m/>
    <m/>
    <m/>
  </r>
  <r>
    <n v="2236"/>
    <s v="2236 | Finance"/>
    <x v="7"/>
    <s v="Finance - Junior"/>
    <s v="Analyst"/>
    <s v="Finance-Analyst"/>
    <s v="Junior"/>
    <d v="2023-04-10T23:01:36"/>
    <d v="2023-04-14T23:01:36"/>
    <s v="Yes"/>
    <d v="2023-05-04T23:01:36"/>
    <s v="Failed"/>
    <s v="Not a culture fit"/>
    <m/>
    <m/>
    <m/>
    <m/>
    <m/>
    <m/>
    <n v="0"/>
    <m/>
    <m/>
    <m/>
    <m/>
    <s v="Company"/>
    <m/>
    <m/>
    <m/>
    <n v="4"/>
    <n v="24"/>
    <n v="20"/>
    <x v="0"/>
    <s v=""/>
    <s v=""/>
    <s v=""/>
    <s v=""/>
    <s v=""/>
    <m/>
    <m/>
    <m/>
    <m/>
    <m/>
    <m/>
    <m/>
    <m/>
    <m/>
    <m/>
  </r>
  <r>
    <n v="2232"/>
    <s v="2232 | Finance"/>
    <x v="7"/>
    <s v="Finance - Junior"/>
    <s v="Analyst"/>
    <s v="Finance-Analyst"/>
    <s v="Junior"/>
    <d v="2023-04-15T23:01:36"/>
    <d v="2023-04-17T23:01:36"/>
    <s v="Yes"/>
    <d v="2023-04-25T23:01:36"/>
    <s v="Failed"/>
    <s v="Not a culture fit"/>
    <m/>
    <m/>
    <m/>
    <m/>
    <m/>
    <m/>
    <n v="0"/>
    <m/>
    <m/>
    <m/>
    <m/>
    <s v="Candidate"/>
    <m/>
    <m/>
    <m/>
    <n v="2"/>
    <n v="10"/>
    <n v="8"/>
    <x v="0"/>
    <s v=""/>
    <s v=""/>
    <s v=""/>
    <s v=""/>
    <s v=""/>
    <m/>
    <m/>
    <m/>
    <m/>
    <m/>
    <m/>
    <m/>
    <m/>
    <m/>
    <m/>
  </r>
  <r>
    <n v="2179"/>
    <s v="2179 | Finance"/>
    <x v="7"/>
    <s v="Finance - Junior"/>
    <s v="Analyst"/>
    <s v="Finance-Analyst"/>
    <s v="Junior"/>
    <d v="2022-07-11T14:26:50"/>
    <d v="2022-07-14T14:26:50"/>
    <s v="Yes"/>
    <d v="2022-07-22T14:26:50"/>
    <s v="Declined"/>
    <m/>
    <d v="2022-07-26T14:26:50"/>
    <s v="Declined"/>
    <m/>
    <m/>
    <d v="2022-07-25T14:26:50"/>
    <m/>
    <n v="0"/>
    <m/>
    <m/>
    <m/>
    <m/>
    <m/>
    <m/>
    <m/>
    <m/>
    <n v="3"/>
    <n v="11"/>
    <n v="8"/>
    <x v="1"/>
    <n v="3"/>
    <d v="2022-10-23T14:26:50"/>
    <s v=""/>
    <s v=""/>
    <s v=""/>
    <m/>
    <m/>
    <m/>
    <m/>
    <m/>
    <m/>
    <m/>
    <m/>
    <m/>
    <m/>
  </r>
  <r>
    <n v="2176"/>
    <s v="2176 | Finance"/>
    <x v="7"/>
    <s v="Finance - Junior"/>
    <s v="Analyst"/>
    <s v="Finance-Analyst"/>
    <s v="Junior"/>
    <d v="2022-07-12T14:26:50"/>
    <d v="2022-07-16T14:26:50"/>
    <s v="Yes"/>
    <d v="2022-07-20T14:26:50"/>
    <s v="Failed"/>
    <s v="Didn't pass technical test"/>
    <m/>
    <m/>
    <m/>
    <m/>
    <d v="2022-07-22T14:26:50"/>
    <m/>
    <n v="0"/>
    <m/>
    <m/>
    <m/>
    <m/>
    <s v="Company"/>
    <m/>
    <m/>
    <m/>
    <n v="4"/>
    <n v="8"/>
    <n v="4"/>
    <x v="22"/>
    <n v="2"/>
    <d v="2022-10-20T14:26:50"/>
    <s v=""/>
    <s v=""/>
    <s v=""/>
    <m/>
    <m/>
    <m/>
    <m/>
    <m/>
    <m/>
    <m/>
    <m/>
    <m/>
    <m/>
  </r>
  <r>
    <n v="2158"/>
    <s v="2158 | Finance"/>
    <x v="7"/>
    <s v="Finance - Junior"/>
    <s v="Analyst"/>
    <s v="Finance-Analyst"/>
    <s v="Junior"/>
    <d v="2023-08-03T09:27:05"/>
    <d v="2023-08-04T09:27:05"/>
    <s v="Yes"/>
    <d v="2023-08-12T09:27:05"/>
    <s v="Failed"/>
    <s v="Salary expectation too high"/>
    <m/>
    <m/>
    <m/>
    <m/>
    <d v="2023-08-15T09:27:05"/>
    <m/>
    <n v="0"/>
    <m/>
    <m/>
    <m/>
    <m/>
    <s v="Company"/>
    <m/>
    <m/>
    <m/>
    <n v="1"/>
    <n v="9"/>
    <n v="8"/>
    <x v="24"/>
    <n v="3"/>
    <d v="2023-11-13T09:27:05"/>
    <s v=""/>
    <s v=""/>
    <s v=""/>
    <m/>
    <m/>
    <m/>
    <m/>
    <m/>
    <m/>
    <m/>
    <m/>
    <m/>
    <m/>
  </r>
  <r>
    <n v="2155"/>
    <s v="2155 | Finance"/>
    <x v="7"/>
    <s v="Finance - Junior"/>
    <s v="Analyst"/>
    <s v="Finance-Analyst"/>
    <s v="Junior"/>
    <d v="2023-08-02T09:27:05"/>
    <d v="2023-08-04T09:27:05"/>
    <s v="Yes"/>
    <d v="2023-08-18T09:27:05"/>
    <s v="Pending"/>
    <m/>
    <d v="2023-08-22T09:27:05"/>
    <s v="Pending"/>
    <m/>
    <m/>
    <d v="2023-08-21T09:27:05"/>
    <m/>
    <n v="0"/>
    <m/>
    <m/>
    <m/>
    <m/>
    <m/>
    <m/>
    <m/>
    <m/>
    <n v="2"/>
    <n v="16"/>
    <n v="14"/>
    <x v="13"/>
    <n v="3"/>
    <d v="2023-11-19T09:27:05"/>
    <s v=""/>
    <s v=""/>
    <s v=""/>
    <m/>
    <m/>
    <m/>
    <m/>
    <m/>
    <m/>
    <m/>
    <m/>
    <m/>
    <m/>
  </r>
  <r>
    <n v="2086"/>
    <s v="2086 | Finance"/>
    <x v="7"/>
    <s v="Finance - Junior"/>
    <s v="Analyst"/>
    <s v="Finance-Analyst"/>
    <s v="Junior"/>
    <d v="2022-09-28T21:05:46"/>
    <d v="2022-10-01T21:05:4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082"/>
    <s v="2082 | Finance"/>
    <x v="7"/>
    <s v="Finance - Junior"/>
    <s v="Analyst"/>
    <s v="Finance-Analyst"/>
    <s v="Junior"/>
    <d v="2022-10-01T21:05:46"/>
    <d v="2022-10-05T21:05:46"/>
    <s v="Yes"/>
    <d v="2022-10-10T21:05:46"/>
    <s v="Declined"/>
    <m/>
    <d v="2022-10-13T21:05:46"/>
    <s v="Declined"/>
    <m/>
    <m/>
    <d v="2022-10-11T21:05:46"/>
    <m/>
    <n v="0"/>
    <m/>
    <m/>
    <m/>
    <m/>
    <m/>
    <m/>
    <m/>
    <m/>
    <n v="4"/>
    <n v="9"/>
    <n v="5"/>
    <x v="22"/>
    <n v="1"/>
    <d v="2023-01-09T21:05:46"/>
    <s v=""/>
    <s v=""/>
    <s v=""/>
    <m/>
    <m/>
    <m/>
    <m/>
    <m/>
    <m/>
    <m/>
    <m/>
    <m/>
    <m/>
  </r>
  <r>
    <n v="1994"/>
    <s v="1994 | Finance"/>
    <x v="7"/>
    <s v="Finance - Junior"/>
    <s v="Analyst"/>
    <s v="Finance-Analyst"/>
    <s v="Junior"/>
    <d v="2023-03-31T15:41:39"/>
    <d v="2023-04-03T15:41:39"/>
    <s v="Yes"/>
    <d v="2023-04-19T15:41:39"/>
    <s v="Accepted"/>
    <m/>
    <d v="2023-04-25T15:41:39"/>
    <s v="Accepted"/>
    <d v="2023-04-21T15:41:39"/>
    <d v="2023-04-22T15:41:39"/>
    <d v="2023-04-22T15:41:39"/>
    <d v="2023-04-24T15:41:39"/>
    <n v="1"/>
    <d v="2023-04-28T15:41:39"/>
    <d v="2023-04-30T15:41:39"/>
    <d v="2023-05-01T15:41:39"/>
    <m/>
    <m/>
    <d v="2023-05-21T15:41:39"/>
    <m/>
    <m/>
    <n v="3"/>
    <n v="19"/>
    <n v="16"/>
    <x v="7"/>
    <n v="3"/>
    <d v="2023-07-21T15:41:39"/>
    <n v="4"/>
    <n v="29"/>
    <n v="9"/>
    <m/>
    <m/>
    <m/>
    <m/>
    <m/>
    <m/>
    <m/>
    <m/>
    <m/>
    <m/>
  </r>
  <r>
    <n v="1882"/>
    <s v="1882 | Finance"/>
    <x v="7"/>
    <s v="Finance - Junior"/>
    <s v="Analyst"/>
    <s v="Finance-Analyst"/>
    <s v="Junior"/>
    <d v="2022-10-11T10:12:16"/>
    <d v="2022-10-13T10:12:16"/>
    <s v="Yes"/>
    <d v="2022-10-22T10:12:16"/>
    <s v="Failed"/>
    <s v="Didn't pass technical test"/>
    <m/>
    <m/>
    <m/>
    <m/>
    <d v="2022-10-24T10:12:16"/>
    <m/>
    <n v="0"/>
    <m/>
    <m/>
    <m/>
    <m/>
    <s v="Company"/>
    <m/>
    <m/>
    <m/>
    <n v="2"/>
    <n v="11"/>
    <n v="9"/>
    <x v="8"/>
    <n v="2"/>
    <d v="2023-01-22T10:12:16"/>
    <s v=""/>
    <s v=""/>
    <s v=""/>
    <m/>
    <m/>
    <m/>
    <m/>
    <m/>
    <m/>
    <m/>
    <m/>
    <m/>
    <m/>
  </r>
  <r>
    <n v="1881"/>
    <s v="1881 | Finance"/>
    <x v="7"/>
    <s v="Finance - Junior"/>
    <s v="Billing Officer"/>
    <s v="Finance-Billing Officer"/>
    <s v="Junior"/>
    <d v="2022-10-09T10:12:16"/>
    <d v="2022-10-12T10:12:16"/>
    <s v="Yes"/>
    <d v="2022-10-19T10:12:16"/>
    <s v="Failed"/>
    <s v="Other"/>
    <m/>
    <m/>
    <m/>
    <m/>
    <d v="2022-10-21T10:12:16"/>
    <m/>
    <n v="0"/>
    <m/>
    <m/>
    <m/>
    <m/>
    <s v="Candidate"/>
    <m/>
    <m/>
    <m/>
    <n v="3"/>
    <n v="10"/>
    <n v="7"/>
    <x v="24"/>
    <n v="2"/>
    <d v="2023-01-19T10:12:16"/>
    <s v=""/>
    <s v=""/>
    <s v=""/>
    <m/>
    <m/>
    <m/>
    <m/>
    <m/>
    <m/>
    <m/>
    <m/>
    <m/>
    <m/>
  </r>
  <r>
    <n v="1869"/>
    <s v="1869 | Finance"/>
    <x v="7"/>
    <s v="Finance - Junior"/>
    <s v="Billing Officer"/>
    <s v="Finance-Billing Officer"/>
    <s v="Junior"/>
    <d v="2022-03-19T08:24:54"/>
    <d v="2022-03-20T08:24:54"/>
    <s v="Yes"/>
    <d v="2022-04-03T08:24:54"/>
    <s v="Failed"/>
    <s v="Not a culture fit"/>
    <m/>
    <m/>
    <m/>
    <m/>
    <d v="2022-04-04T08:24:54"/>
    <m/>
    <n v="0"/>
    <m/>
    <m/>
    <m/>
    <m/>
    <s v="Candidate"/>
    <m/>
    <m/>
    <m/>
    <n v="1"/>
    <n v="15"/>
    <n v="14"/>
    <x v="20"/>
    <n v="1"/>
    <d v="2022-07-03T08:24:54"/>
    <s v=""/>
    <s v=""/>
    <s v=""/>
    <m/>
    <m/>
    <m/>
    <m/>
    <m/>
    <m/>
    <m/>
    <m/>
    <m/>
    <m/>
  </r>
  <r>
    <n v="1868"/>
    <s v="1868 | Finance"/>
    <x v="7"/>
    <s v="Finance - Junior"/>
    <s v="Billing Officer"/>
    <s v="Finance-Billing Officer"/>
    <s v="Junior"/>
    <d v="2022-03-21T08:24:54"/>
    <d v="2022-03-25T08:24:54"/>
    <s v="Yes"/>
    <d v="2022-03-30T08:24:54"/>
    <s v="Failed"/>
    <s v="Other"/>
    <m/>
    <m/>
    <m/>
    <m/>
    <m/>
    <m/>
    <n v="0"/>
    <m/>
    <m/>
    <m/>
    <m/>
    <s v="Candidate"/>
    <m/>
    <m/>
    <m/>
    <n v="4"/>
    <n v="9"/>
    <n v="5"/>
    <x v="0"/>
    <s v=""/>
    <s v=""/>
    <s v=""/>
    <s v=""/>
    <s v=""/>
    <m/>
    <m/>
    <m/>
    <m/>
    <m/>
    <m/>
    <m/>
    <m/>
    <m/>
    <m/>
  </r>
  <r>
    <n v="1849"/>
    <s v="1849 | Finance"/>
    <x v="7"/>
    <s v="Finance - Junior"/>
    <s v="Billing Officer"/>
    <s v="Finance-Billing Officer"/>
    <s v="Junior"/>
    <d v="2022-02-19T23:17:04"/>
    <d v="2022-02-21T23:17:04"/>
    <s v="Yes"/>
    <d v="2022-02-28T23:17:04"/>
    <s v="Accepted"/>
    <m/>
    <d v="2022-03-03T23:17:04"/>
    <s v="Accepted"/>
    <d v="2022-03-02T23:17:04"/>
    <d v="2022-03-05T23:17:04"/>
    <d v="2022-03-02T23:17:04"/>
    <d v="2022-03-12T23:17:04"/>
    <n v="1"/>
    <d v="2022-03-13T23:17:04"/>
    <d v="2022-03-15T23:17:04"/>
    <d v="2022-03-16T23:17:04"/>
    <m/>
    <m/>
    <d v="2022-03-29T23:17:04"/>
    <m/>
    <m/>
    <n v="2"/>
    <n v="9"/>
    <n v="7"/>
    <x v="9"/>
    <n v="2"/>
    <d v="2022-05-31T23:17:04"/>
    <n v="1"/>
    <n v="27"/>
    <n v="14"/>
    <m/>
    <m/>
    <m/>
    <m/>
    <m/>
    <m/>
    <m/>
    <m/>
    <m/>
    <m/>
  </r>
  <r>
    <n v="1847"/>
    <s v="1847 | Finance"/>
    <x v="7"/>
    <s v="Finance - Junior"/>
    <s v="Billing Officer"/>
    <s v="Finance-Billing Officer"/>
    <s v="Junior"/>
    <d v="2022-02-14T23:17:04"/>
    <d v="2022-02-17T23:17:04"/>
    <s v="Yes"/>
    <d v="2022-02-26T23:17:04"/>
    <s v="Declined"/>
    <m/>
    <d v="2022-03-05T23:17:04"/>
    <s v="Declined"/>
    <m/>
    <m/>
    <d v="2022-03-02T23:17:04"/>
    <m/>
    <n v="0"/>
    <m/>
    <m/>
    <m/>
    <m/>
    <m/>
    <m/>
    <m/>
    <m/>
    <n v="3"/>
    <n v="12"/>
    <n v="9"/>
    <x v="20"/>
    <n v="4"/>
    <d v="2022-05-31T23:17:04"/>
    <s v=""/>
    <s v=""/>
    <s v=""/>
    <m/>
    <m/>
    <m/>
    <m/>
    <m/>
    <m/>
    <m/>
    <m/>
    <m/>
    <m/>
  </r>
  <r>
    <n v="1821"/>
    <s v="1821 | Finance"/>
    <x v="7"/>
    <s v="Finance - Junior"/>
    <s v="Billing Officer"/>
    <s v="Finance-Billing Officer"/>
    <s v="Junior"/>
    <d v="2022-04-08T11:01:49"/>
    <d v="2022-04-12T11:01:49"/>
    <s v="Yes"/>
    <d v="2022-05-02T11:01:49"/>
    <s v="Failed"/>
    <s v="Position filled by another"/>
    <m/>
    <m/>
    <m/>
    <m/>
    <m/>
    <m/>
    <n v="0"/>
    <m/>
    <m/>
    <m/>
    <m/>
    <s v="Company"/>
    <m/>
    <m/>
    <m/>
    <n v="4"/>
    <n v="24"/>
    <n v="20"/>
    <x v="0"/>
    <s v=""/>
    <s v=""/>
    <s v=""/>
    <s v=""/>
    <s v=""/>
    <m/>
    <m/>
    <m/>
    <m/>
    <m/>
    <m/>
    <m/>
    <m/>
    <m/>
    <m/>
  </r>
  <r>
    <n v="1733"/>
    <s v="1733 | Finance"/>
    <x v="7"/>
    <s v="Finance - Junior"/>
    <s v="Billing Officer"/>
    <s v="Finance-Billing Officer"/>
    <s v="Junior"/>
    <d v="2022-01-03T15:13:53"/>
    <d v="2022-01-04T15:13:53"/>
    <s v="Yes"/>
    <d v="2022-01-12T15:13:53"/>
    <s v="Failed"/>
    <s v="Other"/>
    <m/>
    <m/>
    <m/>
    <m/>
    <d v="2022-01-15T15:13:53"/>
    <m/>
    <n v="0"/>
    <m/>
    <m/>
    <m/>
    <m/>
    <s v="Candidate"/>
    <m/>
    <m/>
    <m/>
    <n v="1"/>
    <n v="9"/>
    <n v="8"/>
    <x v="24"/>
    <n v="3"/>
    <d v="2022-04-15T15:13:53"/>
    <s v=""/>
    <s v=""/>
    <s v=""/>
    <m/>
    <m/>
    <m/>
    <m/>
    <m/>
    <m/>
    <m/>
    <m/>
    <m/>
    <m/>
  </r>
  <r>
    <n v="1707"/>
    <s v="1707 | Finance"/>
    <x v="7"/>
    <s v="Finance - Junior"/>
    <s v="Billing Officer"/>
    <s v="Finance-Billing Officer"/>
    <s v="Junior"/>
    <d v="2023-03-04T18:01:56"/>
    <d v="2023-03-08T18:01:56"/>
    <s v="Yes"/>
    <d v="2023-03-25T18:01:56"/>
    <s v="Failed"/>
    <s v="Position filled by another"/>
    <m/>
    <m/>
    <m/>
    <m/>
    <d v="2023-03-27T18:01:56"/>
    <m/>
    <n v="0"/>
    <m/>
    <m/>
    <m/>
    <m/>
    <s v="Candidate"/>
    <m/>
    <m/>
    <m/>
    <n v="4"/>
    <n v="21"/>
    <n v="17"/>
    <x v="3"/>
    <n v="2"/>
    <d v="2023-06-25T18:01:56"/>
    <s v=""/>
    <s v=""/>
    <s v=""/>
    <m/>
    <m/>
    <m/>
    <m/>
    <m/>
    <m/>
    <m/>
    <m/>
    <m/>
    <m/>
  </r>
  <r>
    <n v="1634"/>
    <s v="1634 | Finance"/>
    <x v="7"/>
    <s v="Finance - Junior"/>
    <s v="Billing Officer"/>
    <s v="Finance-Billing Officer"/>
    <s v="Junior"/>
    <d v="2023-09-02T07:41:24"/>
    <d v="2023-09-06T07:41:24"/>
    <s v="Yes"/>
    <d v="2023-09-22T07:41:24"/>
    <s v="Accepted"/>
    <m/>
    <d v="2023-09-27T07:41:24"/>
    <s v="Accepted"/>
    <d v="2023-09-24T07:41:24"/>
    <d v="2023-09-26T07:41:24"/>
    <d v="2023-09-24T07:41:24"/>
    <d v="2023-09-26T07:41:24"/>
    <n v="1"/>
    <d v="2023-09-27T07:41:24"/>
    <d v="2023-09-29T07:41:24"/>
    <d v="2023-09-30T07:41:24"/>
    <m/>
    <m/>
    <d v="2023-10-16T07:41:24"/>
    <m/>
    <m/>
    <n v="4"/>
    <n v="20"/>
    <n v="16"/>
    <x v="7"/>
    <n v="2"/>
    <d v="2023-12-23T07:41:24"/>
    <n v="1"/>
    <n v="22"/>
    <n v="6"/>
    <m/>
    <m/>
    <m/>
    <m/>
    <m/>
    <m/>
    <m/>
    <m/>
    <m/>
    <m/>
  </r>
  <r>
    <n v="1589"/>
    <s v="1589 | Finance"/>
    <x v="7"/>
    <s v="Finance - Junior"/>
    <s v="Billing Officer"/>
    <s v="Finance-Billing Officer"/>
    <s v="Junior"/>
    <d v="2023-09-11T20:10:47"/>
    <d v="2023-09-13T20:10:47"/>
    <s v="Yes"/>
    <d v="2023-09-28T20:10:47"/>
    <s v="Declined"/>
    <m/>
    <d v="2023-10-03T20:10:47"/>
    <s v="Declined"/>
    <m/>
    <m/>
    <d v="2023-09-30T20:10:47"/>
    <m/>
    <n v="0"/>
    <m/>
    <m/>
    <m/>
    <m/>
    <m/>
    <m/>
    <m/>
    <m/>
    <n v="2"/>
    <n v="17"/>
    <n v="15"/>
    <x v="13"/>
    <n v="2"/>
    <d v="2023-12-29T20:10:47"/>
    <s v=""/>
    <s v=""/>
    <s v=""/>
    <m/>
    <m/>
    <m/>
    <m/>
    <m/>
    <m/>
    <m/>
    <m/>
    <m/>
    <m/>
  </r>
  <r>
    <n v="1582"/>
    <s v="1582 | Finance"/>
    <x v="7"/>
    <s v="Finance - Junior"/>
    <s v="Billing Officer"/>
    <s v="Finance-Billing Officer"/>
    <s v="Junior"/>
    <d v="2023-09-15T20:10:47"/>
    <d v="2023-09-18T20:10:47"/>
    <s v="Yes"/>
    <d v="2023-09-30T20:10:47"/>
    <s v="Failed"/>
    <s v="Other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1570"/>
    <s v="1570 | Finance"/>
    <x v="7"/>
    <s v="Finance - Junior"/>
    <s v="Billing Officer"/>
    <s v="Finance-Billing Officer"/>
    <s v="Junior"/>
    <d v="2022-03-17T11:46:18"/>
    <d v="2022-03-21T11:46:18"/>
    <s v="Yes"/>
    <d v="2022-03-27T11:46:18"/>
    <s v="Failed"/>
    <s v="Position filled by another"/>
    <m/>
    <m/>
    <m/>
    <m/>
    <d v="2022-03-31T11:46:18"/>
    <m/>
    <n v="0"/>
    <m/>
    <m/>
    <m/>
    <m/>
    <s v="Candidate"/>
    <m/>
    <m/>
    <m/>
    <n v="4"/>
    <n v="10"/>
    <n v="6"/>
    <x v="1"/>
    <n v="4"/>
    <d v="2022-06-29T11:46:18"/>
    <s v=""/>
    <s v=""/>
    <s v=""/>
    <m/>
    <m/>
    <m/>
    <m/>
    <m/>
    <m/>
    <m/>
    <m/>
    <m/>
    <m/>
  </r>
  <r>
    <n v="1548"/>
    <s v="1548 | Finance"/>
    <x v="7"/>
    <s v="Finance - Junior"/>
    <s v="Billing Officer"/>
    <s v="Finance-Billing Officer"/>
    <s v="Junior"/>
    <d v="2023-05-27T20:23:44"/>
    <d v="2023-05-29T20:23:44"/>
    <s v="Yes"/>
    <d v="2023-06-12T20:23:44"/>
    <s v="Declined"/>
    <m/>
    <d v="2023-06-17T20:23:44"/>
    <s v="Declined"/>
    <m/>
    <m/>
    <d v="2023-06-15T20:23:44"/>
    <m/>
    <n v="0"/>
    <m/>
    <m/>
    <m/>
    <m/>
    <m/>
    <m/>
    <m/>
    <m/>
    <n v="2"/>
    <n v="16"/>
    <n v="14"/>
    <x v="13"/>
    <n v="3"/>
    <d v="2023-09-13T20:23:44"/>
    <s v=""/>
    <s v=""/>
    <s v=""/>
    <m/>
    <m/>
    <m/>
    <m/>
    <m/>
    <m/>
    <m/>
    <m/>
    <m/>
    <m/>
  </r>
  <r>
    <n v="1543"/>
    <s v="1543 | Finance"/>
    <x v="7"/>
    <s v="Finance - Junior"/>
    <s v="Billing Officer"/>
    <s v="Finance-Billing Officer"/>
    <s v="Junior"/>
    <d v="2023-05-27T20:23:44"/>
    <d v="2023-05-31T20:23:4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520"/>
    <s v="1520 | Finance"/>
    <x v="7"/>
    <s v="Finance - Junior"/>
    <s v="Billing Officer"/>
    <s v="Finance-Billing Officer"/>
    <s v="Junior"/>
    <d v="2022-12-24T05:00:38"/>
    <d v="2022-12-27T05:00:38"/>
    <s v="Yes"/>
    <d v="2023-01-02T05:00:38"/>
    <s v="Failed"/>
    <s v="Salary expectation too high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1511"/>
    <s v="1511 | Finance"/>
    <x v="7"/>
    <s v="Finance - Junior"/>
    <s v="Billing Officer"/>
    <s v="Finance-Billing Officer"/>
    <s v="Junior"/>
    <d v="2022-12-23T05:00:38"/>
    <d v="2022-12-27T05:00:38"/>
    <s v="Yes"/>
    <d v="2023-01-15T05:00:38"/>
    <s v="Accepted"/>
    <m/>
    <d v="2023-01-18T05:00:38"/>
    <s v="Accepted"/>
    <d v="2023-01-16T05:00:38"/>
    <d v="2023-01-20T05:00:38"/>
    <d v="2023-01-17T05:00:38"/>
    <d v="2023-01-25T05:00:38"/>
    <n v="1"/>
    <d v="2023-01-29T05:00:38"/>
    <d v="2023-01-31T05:00:38"/>
    <d v="2023-02-03T05:00:38"/>
    <m/>
    <m/>
    <d v="2023-02-10T05:00:38"/>
    <m/>
    <m/>
    <n v="4"/>
    <n v="23"/>
    <n v="19"/>
    <x v="11"/>
    <n v="2"/>
    <d v="2023-04-17T05:00:38"/>
    <n v="4"/>
    <n v="24"/>
    <n v="17"/>
    <m/>
    <m/>
    <m/>
    <m/>
    <m/>
    <m/>
    <m/>
    <m/>
    <m/>
    <m/>
  </r>
  <r>
    <n v="1439"/>
    <s v="1439 | Finance"/>
    <x v="7"/>
    <s v="Finance - Junior"/>
    <s v="Billing Officer"/>
    <s v="Finance-Billing Officer"/>
    <s v="Junior"/>
    <d v="2023-06-07T22:29:11"/>
    <d v="2023-06-10T22:29:11"/>
    <s v="Yes"/>
    <d v="2023-06-24T22:29:11"/>
    <s v="Failed"/>
    <s v="Salary expectation too high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1438"/>
    <s v="1438 | Finance"/>
    <x v="7"/>
    <s v="Finance - Junior"/>
    <s v="Billing Officer"/>
    <s v="Finance-Billing Officer"/>
    <s v="Junior"/>
    <d v="2023-06-07T22:29:11"/>
    <d v="2023-06-11T22:29:11"/>
    <s v="Yes"/>
    <d v="2023-06-17T22:29:11"/>
    <s v="Failed"/>
    <s v="Didn't pass technical test"/>
    <m/>
    <m/>
    <m/>
    <m/>
    <m/>
    <m/>
    <n v="0"/>
    <m/>
    <m/>
    <m/>
    <m/>
    <s v="Candidate"/>
    <m/>
    <m/>
    <m/>
    <n v="4"/>
    <n v="10"/>
    <n v="6"/>
    <x v="0"/>
    <s v=""/>
    <s v=""/>
    <s v=""/>
    <s v=""/>
    <s v=""/>
    <m/>
    <m/>
    <m/>
    <m/>
    <m/>
    <m/>
    <m/>
    <m/>
    <m/>
    <m/>
  </r>
  <r>
    <n v="1431"/>
    <s v="1431 | Finance"/>
    <x v="7"/>
    <s v="Finance - Junior"/>
    <s v="Billing Officer"/>
    <s v="Finance-Billing Officer"/>
    <s v="Junior"/>
    <d v="2023-06-09T22:29:11"/>
    <d v="2023-06-11T22:29:11"/>
    <s v="Yes"/>
    <d v="2023-06-24T22:29:11"/>
    <s v="Pending"/>
    <m/>
    <d v="2023-06-28T22:29:11"/>
    <s v="Pending"/>
    <m/>
    <m/>
    <d v="2023-06-26T22:29:11"/>
    <m/>
    <n v="0"/>
    <m/>
    <m/>
    <m/>
    <m/>
    <m/>
    <m/>
    <m/>
    <m/>
    <n v="2"/>
    <n v="15"/>
    <n v="13"/>
    <x v="14"/>
    <n v="2"/>
    <d v="2023-09-24T22:29:11"/>
    <s v=""/>
    <s v=""/>
    <s v=""/>
    <m/>
    <m/>
    <m/>
    <m/>
    <m/>
    <m/>
    <m/>
    <m/>
    <m/>
    <m/>
  </r>
  <r>
    <n v="1333"/>
    <s v="1333 | Finance"/>
    <x v="7"/>
    <s v="Finance - Junior"/>
    <s v="Billing Officer"/>
    <s v="Finance-Billing Officer"/>
    <s v="Junior"/>
    <d v="2023-08-31T16:35:04"/>
    <d v="2023-09-03T16:35:04"/>
    <s v="Yes"/>
    <d v="2023-09-16T16:35:04"/>
    <s v="Failed"/>
    <s v="Position filled by another"/>
    <m/>
    <m/>
    <m/>
    <m/>
    <m/>
    <m/>
    <n v="0"/>
    <m/>
    <m/>
    <m/>
    <m/>
    <s v="Company"/>
    <m/>
    <m/>
    <m/>
    <n v="3"/>
    <n v="16"/>
    <n v="13"/>
    <x v="0"/>
    <s v=""/>
    <s v=""/>
    <s v=""/>
    <s v=""/>
    <s v=""/>
    <m/>
    <m/>
    <m/>
    <m/>
    <m/>
    <m/>
    <m/>
    <m/>
    <m/>
    <m/>
  </r>
  <r>
    <n v="1331"/>
    <s v="1331 | Finance"/>
    <x v="7"/>
    <s v="Finance - Junior"/>
    <s v="Billing Officer"/>
    <s v="Finance-Billing Officer"/>
    <s v="Junior"/>
    <d v="2023-08-27T16:35:04"/>
    <d v="2023-08-31T16:35:04"/>
    <s v="Yes"/>
    <d v="2023-09-10T16:35:04"/>
    <s v="Accepted"/>
    <m/>
    <d v="2023-09-16T16:35:04"/>
    <s v="Accepted"/>
    <d v="2023-09-11T16:35:04"/>
    <d v="2023-09-13T16:35:04"/>
    <d v="2023-09-14T16:35:04"/>
    <d v="2023-09-19T16:35:04"/>
    <n v="1"/>
    <d v="2023-09-21T16:35:04"/>
    <d v="2023-09-23T16:35:04"/>
    <d v="2023-09-25T16:35:04"/>
    <m/>
    <m/>
    <d v="2023-10-08T16:35:04"/>
    <m/>
    <m/>
    <n v="4"/>
    <n v="14"/>
    <n v="10"/>
    <x v="12"/>
    <n v="4"/>
    <d v="2023-12-13T16:35:04"/>
    <n v="2"/>
    <n v="24"/>
    <n v="11"/>
    <m/>
    <m/>
    <m/>
    <m/>
    <m/>
    <m/>
    <m/>
    <m/>
    <m/>
    <m/>
  </r>
  <r>
    <n v="1310"/>
    <s v="1310 | Finance"/>
    <x v="7"/>
    <s v="Finance - Junior"/>
    <s v="Billing Officer"/>
    <s v="Finance-Billing Officer"/>
    <s v="Junior"/>
    <d v="2022-12-23T04:33:07"/>
    <d v="2022-12-24T04:33:07"/>
    <s v="Yes"/>
    <d v="2023-01-08T04:33:07"/>
    <s v="Failed"/>
    <s v="Other"/>
    <m/>
    <m/>
    <m/>
    <m/>
    <d v="2023-01-12T04:33:07"/>
    <m/>
    <n v="0"/>
    <m/>
    <m/>
    <m/>
    <m/>
    <s v="Company"/>
    <m/>
    <m/>
    <m/>
    <n v="1"/>
    <n v="16"/>
    <n v="15"/>
    <x v="15"/>
    <n v="4"/>
    <d v="2023-04-12T04:33:07"/>
    <s v=""/>
    <s v=""/>
    <s v=""/>
    <m/>
    <m/>
    <m/>
    <m/>
    <m/>
    <m/>
    <m/>
    <m/>
    <m/>
    <m/>
  </r>
  <r>
    <n v="1304"/>
    <s v="1304 | Finance"/>
    <x v="7"/>
    <s v="Finance - Junior"/>
    <s v="Billing Officer"/>
    <s v="Finance-Billing Officer"/>
    <s v="Junior"/>
    <d v="2022-12-17T04:33:07"/>
    <d v="2022-12-21T04:33:07"/>
    <s v="Yes"/>
    <d v="2023-01-02T04:33:07"/>
    <s v="Declined"/>
    <m/>
    <d v="2023-01-06T04:33:07"/>
    <s v="Declined"/>
    <m/>
    <m/>
    <d v="2023-01-04T04:33:07"/>
    <m/>
    <n v="0"/>
    <m/>
    <m/>
    <m/>
    <m/>
    <m/>
    <m/>
    <m/>
    <m/>
    <n v="4"/>
    <n v="16"/>
    <n v="12"/>
    <x v="12"/>
    <n v="2"/>
    <d v="2023-04-04T04:33:07"/>
    <s v=""/>
    <s v=""/>
    <s v=""/>
    <m/>
    <m/>
    <m/>
    <m/>
    <m/>
    <m/>
    <m/>
    <m/>
    <m/>
    <m/>
  </r>
  <r>
    <n v="1303"/>
    <s v="1303 | Finance"/>
    <x v="7"/>
    <s v="Finance - Junior"/>
    <s v="Billing Officer"/>
    <s v="Finance-Billing Officer"/>
    <s v="Junior"/>
    <d v="2022-12-20T04:33:07"/>
    <d v="2022-12-24T04:33:07"/>
    <s v="Yes"/>
    <d v="2022-12-29T04:33:07"/>
    <s v="Accepted"/>
    <m/>
    <d v="2023-01-04T04:33:07"/>
    <s v="Accepted"/>
    <d v="2022-12-30T04:33:07"/>
    <d v="2023-01-01T04:33:07"/>
    <d v="2023-01-02T04:33:07"/>
    <d v="2023-01-05T04:33:07"/>
    <n v="1"/>
    <d v="2023-01-09T04:33:07"/>
    <d v="2023-01-10T04:33:07"/>
    <d v="2023-01-13T04:33:07"/>
    <m/>
    <m/>
    <d v="2023-01-24T04:33:07"/>
    <m/>
    <m/>
    <n v="4"/>
    <n v="9"/>
    <n v="5"/>
    <x v="8"/>
    <n v="4"/>
    <d v="2023-04-02T04:33:07"/>
    <n v="4"/>
    <n v="22"/>
    <n v="11"/>
    <m/>
    <m/>
    <m/>
    <m/>
    <m/>
    <m/>
    <m/>
    <m/>
    <m/>
    <m/>
  </r>
  <r>
    <n v="1286"/>
    <s v="1286 | Finance"/>
    <x v="7"/>
    <s v="Finance - Junior"/>
    <s v="Billing Officer"/>
    <s v="Finance-Billing Officer"/>
    <s v="Junior"/>
    <d v="2022-03-23T17:39:51"/>
    <d v="2022-03-27T17:39:51"/>
    <s v="Yes"/>
    <d v="2022-04-15T17:39:51"/>
    <s v="Failed"/>
    <s v="Other"/>
    <m/>
    <m/>
    <m/>
    <m/>
    <d v="2022-04-18T17:39:51"/>
    <m/>
    <n v="0"/>
    <m/>
    <m/>
    <m/>
    <m/>
    <s v="Company"/>
    <m/>
    <m/>
    <m/>
    <n v="4"/>
    <n v="23"/>
    <n v="19"/>
    <x v="25"/>
    <n v="3"/>
    <d v="2022-07-17T17:39:51"/>
    <s v=""/>
    <s v=""/>
    <s v=""/>
    <m/>
    <m/>
    <m/>
    <m/>
    <m/>
    <m/>
    <m/>
    <m/>
    <m/>
    <m/>
  </r>
  <r>
    <n v="1282"/>
    <s v="1282 | Finance"/>
    <x v="7"/>
    <s v="Finance - Junior"/>
    <s v="Billing Officer"/>
    <s v="Finance-Billing Officer"/>
    <s v="Junior"/>
    <d v="2022-03-23T17:39:51"/>
    <d v="2022-03-24T17:39:51"/>
    <s v="Yes"/>
    <d v="2022-04-08T17:39:51"/>
    <s v="Failed"/>
    <s v="Other"/>
    <m/>
    <m/>
    <m/>
    <m/>
    <d v="2022-04-12T17:39:51"/>
    <m/>
    <n v="0"/>
    <m/>
    <m/>
    <m/>
    <m/>
    <s v="Candidate"/>
    <m/>
    <m/>
    <m/>
    <n v="1"/>
    <n v="16"/>
    <n v="15"/>
    <x v="15"/>
    <n v="4"/>
    <d v="2022-07-11T17:39:51"/>
    <s v=""/>
    <s v=""/>
    <s v=""/>
    <m/>
    <m/>
    <m/>
    <m/>
    <m/>
    <m/>
    <m/>
    <m/>
    <m/>
    <m/>
  </r>
  <r>
    <n v="1266"/>
    <s v="1266 | Finance"/>
    <x v="7"/>
    <s v="Finance - Junior"/>
    <s v="Billing Officer"/>
    <s v="Finance-Billing Officer"/>
    <s v="Junior"/>
    <d v="2023-03-13T21:55:08"/>
    <d v="2023-03-14T21:55:08"/>
    <s v="Yes"/>
    <d v="2023-03-25T21:55:08"/>
    <s v="Failed"/>
    <s v="Salary expectation too high"/>
    <m/>
    <m/>
    <m/>
    <m/>
    <m/>
    <m/>
    <n v="0"/>
    <m/>
    <m/>
    <m/>
    <m/>
    <s v="Candidate"/>
    <m/>
    <m/>
    <m/>
    <n v="1"/>
    <n v="12"/>
    <n v="11"/>
    <x v="0"/>
    <s v=""/>
    <s v=""/>
    <s v=""/>
    <s v=""/>
    <s v=""/>
    <m/>
    <m/>
    <m/>
    <m/>
    <m/>
    <m/>
    <m/>
    <m/>
    <m/>
    <m/>
  </r>
  <r>
    <n v="1265"/>
    <s v="1265 | Finance"/>
    <x v="7"/>
    <s v="Finance - Junior"/>
    <s v="Billing Officer"/>
    <s v="Finance-Billing Officer"/>
    <s v="Junior"/>
    <d v="2023-03-15T21:55:08"/>
    <d v="2023-03-17T21:55:08"/>
    <s v="Yes"/>
    <d v="2023-03-22T21:55:08"/>
    <s v="Failed"/>
    <s v="Other"/>
    <m/>
    <m/>
    <m/>
    <m/>
    <d v="2023-03-25T21:55:08"/>
    <m/>
    <n v="0"/>
    <m/>
    <m/>
    <m/>
    <m/>
    <s v="Company"/>
    <m/>
    <m/>
    <m/>
    <n v="2"/>
    <n v="7"/>
    <n v="5"/>
    <x v="22"/>
    <n v="3"/>
    <d v="2023-06-23T21:55:08"/>
    <s v=""/>
    <s v=""/>
    <s v=""/>
    <m/>
    <m/>
    <m/>
    <m/>
    <m/>
    <m/>
    <m/>
    <m/>
    <m/>
    <m/>
  </r>
  <r>
    <n v="1252"/>
    <s v="1252 | Finance"/>
    <x v="7"/>
    <s v="Finance - Junior"/>
    <s v="Billing Officer"/>
    <s v="Finance-Billing Officer"/>
    <s v="Junior"/>
    <d v="2022-06-21T04:05:26"/>
    <d v="2022-06-25T04:05:26"/>
    <s v="Yes"/>
    <d v="2022-07-14T04:05:26"/>
    <s v="Failed"/>
    <s v="Salary expectation too high"/>
    <m/>
    <m/>
    <m/>
    <m/>
    <d v="2022-07-18T04:05:26"/>
    <m/>
    <n v="0"/>
    <m/>
    <m/>
    <m/>
    <m/>
    <s v="Company"/>
    <m/>
    <m/>
    <m/>
    <n v="4"/>
    <n v="23"/>
    <n v="19"/>
    <x v="18"/>
    <n v="4"/>
    <d v="2022-10-16T04:05:26"/>
    <s v=""/>
    <s v=""/>
    <s v=""/>
    <m/>
    <m/>
    <m/>
    <m/>
    <m/>
    <m/>
    <m/>
    <m/>
    <m/>
    <m/>
  </r>
  <r>
    <n v="1038"/>
    <s v="1038 | Finance"/>
    <x v="7"/>
    <s v="Finance - Junior"/>
    <s v="Billing Officer"/>
    <s v="Finance-Billing Officer"/>
    <s v="Junior"/>
    <d v="2023-03-02T19:44:13"/>
    <d v="2023-03-05T19:44:13"/>
    <s v="Yes"/>
    <d v="2023-03-16T19:44:13"/>
    <s v="Failed"/>
    <s v="Salary expectation too high"/>
    <m/>
    <m/>
    <m/>
    <m/>
    <d v="2023-03-19T19:44:13"/>
    <m/>
    <n v="0"/>
    <m/>
    <m/>
    <m/>
    <m/>
    <s v="Candidate"/>
    <m/>
    <m/>
    <m/>
    <n v="3"/>
    <n v="14"/>
    <n v="11"/>
    <x v="14"/>
    <n v="3"/>
    <d v="2023-06-17T19:44:13"/>
    <s v=""/>
    <s v=""/>
    <s v=""/>
    <m/>
    <m/>
    <m/>
    <m/>
    <m/>
    <m/>
    <m/>
    <m/>
    <m/>
    <m/>
  </r>
  <r>
    <n v="1033"/>
    <s v="1033 | Finance"/>
    <x v="7"/>
    <s v="Finance - Junior"/>
    <s v="Billing Officer"/>
    <s v="Finance-Billing Officer"/>
    <s v="Junior"/>
    <d v="2023-02-28T19:44:13"/>
    <d v="2023-03-04T19:44:13"/>
    <s v="Yes"/>
    <d v="2023-03-12T19:44:13"/>
    <s v="Declined"/>
    <m/>
    <d v="2023-03-17T19:44:13"/>
    <s v="Declined"/>
    <m/>
    <m/>
    <d v="2023-03-15T19:44:13"/>
    <m/>
    <n v="0"/>
    <m/>
    <m/>
    <m/>
    <m/>
    <m/>
    <m/>
    <m/>
    <m/>
    <n v="4"/>
    <n v="12"/>
    <n v="8"/>
    <x v="16"/>
    <n v="3"/>
    <d v="2023-06-13T19:44:13"/>
    <s v=""/>
    <s v=""/>
    <s v=""/>
    <m/>
    <m/>
    <m/>
    <m/>
    <m/>
    <m/>
    <m/>
    <m/>
    <m/>
    <m/>
  </r>
  <r>
    <n v="1017"/>
    <s v="1017 | Finance"/>
    <x v="7"/>
    <s v="Finance - Junior"/>
    <s v="Billing Officer"/>
    <s v="Finance-Billing Officer"/>
    <s v="Junior"/>
    <d v="2022-02-06T07:54:35"/>
    <d v="2022-02-07T07:54:35"/>
    <s v="Yes"/>
    <d v="2022-02-23T07:54:35"/>
    <s v="Failed"/>
    <s v="Not a culture fit"/>
    <m/>
    <m/>
    <m/>
    <m/>
    <d v="2022-02-25T07:54:35"/>
    <m/>
    <n v="0"/>
    <m/>
    <m/>
    <m/>
    <m/>
    <s v="Candidate"/>
    <m/>
    <m/>
    <m/>
    <n v="1"/>
    <n v="17"/>
    <n v="16"/>
    <x v="13"/>
    <n v="2"/>
    <d v="2022-05-26T07:54:35"/>
    <s v=""/>
    <s v=""/>
    <s v=""/>
    <m/>
    <m/>
    <m/>
    <m/>
    <m/>
    <m/>
    <m/>
    <m/>
    <m/>
    <m/>
  </r>
  <r>
    <n v="1016"/>
    <s v="1016 | Finance"/>
    <x v="7"/>
    <s v="Finance - Junior"/>
    <s v="Billing Officer"/>
    <s v="Finance-Billing Officer"/>
    <s v="Junior"/>
    <d v="2022-02-07T07:54:35"/>
    <d v="2022-02-08T07:54:3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66"/>
    <s v="966 | Finance"/>
    <x v="7"/>
    <s v="Finance - Junior"/>
    <s v="Billing Officer"/>
    <s v="Finance-Billing Officer"/>
    <s v="Junior"/>
    <d v="2023-07-11T08:10:15"/>
    <d v="2023-07-15T08:10:15"/>
    <s v="Yes"/>
    <d v="2023-07-31T08:10:15"/>
    <s v="Declined"/>
    <m/>
    <d v="2023-08-05T08:10:15"/>
    <s v="Declined"/>
    <m/>
    <m/>
    <d v="2023-08-02T08:10:15"/>
    <m/>
    <n v="0"/>
    <m/>
    <m/>
    <m/>
    <m/>
    <m/>
    <m/>
    <m/>
    <m/>
    <n v="4"/>
    <n v="20"/>
    <n v="16"/>
    <x v="7"/>
    <n v="2"/>
    <d v="2023-10-31T08:10:15"/>
    <s v=""/>
    <s v=""/>
    <s v=""/>
    <m/>
    <m/>
    <m/>
    <m/>
    <m/>
    <m/>
    <m/>
    <m/>
    <m/>
    <m/>
  </r>
  <r>
    <n v="965"/>
    <s v="965 | Finance"/>
    <x v="7"/>
    <s v="Finance - Junior"/>
    <s v="Billing Officer"/>
    <s v="Finance-Billing Officer"/>
    <s v="Junior"/>
    <d v="2023-07-13T08:10:15"/>
    <d v="2023-07-14T08:10:15"/>
    <s v="Yes"/>
    <d v="2023-07-23T08:10:15"/>
    <s v="Accepted"/>
    <m/>
    <d v="2023-07-30T08:10:15"/>
    <s v="Accepted"/>
    <d v="2023-07-24T08:10:15"/>
    <d v="2023-07-26T08:10:15"/>
    <d v="2023-07-26T08:10:15"/>
    <d v="2023-07-27T08:10:15"/>
    <n v="1"/>
    <d v="2023-07-30T08:10:15"/>
    <d v="2023-08-02T08:10:15"/>
    <d v="2023-08-05T08:10:15"/>
    <m/>
    <m/>
    <d v="2023-08-17T08:10:15"/>
    <m/>
    <m/>
    <n v="1"/>
    <n v="10"/>
    <n v="9"/>
    <x v="8"/>
    <n v="3"/>
    <d v="2023-10-24T08:10:15"/>
    <n v="3"/>
    <n v="22"/>
    <n v="10"/>
    <m/>
    <m/>
    <m/>
    <m/>
    <m/>
    <m/>
    <m/>
    <m/>
    <m/>
    <m/>
  </r>
  <r>
    <n v="887"/>
    <s v="887 | Finance"/>
    <x v="7"/>
    <s v="Finance - Junior"/>
    <s v="Billing Officer"/>
    <s v="Finance-Billing Officer"/>
    <s v="Junior"/>
    <d v="2022-09-20T04:47:55"/>
    <d v="2022-09-23T04:47:55"/>
    <s v="Yes"/>
    <d v="2022-10-14T04:47:55"/>
    <s v="Failed"/>
    <s v="Salary expectation too high"/>
    <m/>
    <m/>
    <m/>
    <m/>
    <m/>
    <m/>
    <n v="0"/>
    <m/>
    <m/>
    <m/>
    <m/>
    <s v="Company"/>
    <m/>
    <m/>
    <m/>
    <n v="3"/>
    <n v="24"/>
    <n v="21"/>
    <x v="0"/>
    <s v=""/>
    <s v=""/>
    <s v=""/>
    <s v=""/>
    <s v=""/>
    <m/>
    <m/>
    <m/>
    <m/>
    <m/>
    <m/>
    <m/>
    <m/>
    <m/>
    <m/>
  </r>
  <r>
    <n v="864"/>
    <s v="864 | Finance"/>
    <x v="7"/>
    <s v="Finance - Junior"/>
    <s v="Billing Officer"/>
    <s v="Finance-Billing Officer"/>
    <s v="Junior"/>
    <d v="2023-07-19T02:28:49"/>
    <d v="2023-07-21T02:28:49"/>
    <s v="Yes"/>
    <d v="2023-08-01T02:28:49"/>
    <s v="Failed"/>
    <s v="Not a culture fit"/>
    <m/>
    <m/>
    <m/>
    <m/>
    <m/>
    <m/>
    <n v="0"/>
    <m/>
    <m/>
    <m/>
    <m/>
    <s v="Candidate"/>
    <m/>
    <m/>
    <m/>
    <n v="2"/>
    <n v="13"/>
    <n v="11"/>
    <x v="0"/>
    <s v=""/>
    <s v=""/>
    <s v=""/>
    <s v=""/>
    <s v=""/>
    <m/>
    <m/>
    <m/>
    <m/>
    <m/>
    <m/>
    <m/>
    <m/>
    <m/>
    <m/>
  </r>
  <r>
    <n v="851"/>
    <s v="851 | Finance"/>
    <x v="7"/>
    <s v="Finance - Junior"/>
    <s v="Billing Officer"/>
    <s v="Finance-Billing Officer"/>
    <s v="Junior"/>
    <d v="2023-02-04T00:03:45"/>
    <d v="2023-02-06T00:03:45"/>
    <s v="Yes"/>
    <d v="2023-02-12T00:03:45"/>
    <s v="Declined"/>
    <m/>
    <d v="2023-02-17T00:03:45"/>
    <s v="Declined"/>
    <m/>
    <m/>
    <d v="2023-02-14T00:03:45"/>
    <m/>
    <n v="0"/>
    <m/>
    <m/>
    <m/>
    <m/>
    <m/>
    <m/>
    <m/>
    <m/>
    <n v="2"/>
    <n v="8"/>
    <n v="6"/>
    <x v="22"/>
    <n v="2"/>
    <d v="2023-05-15T00:03:45"/>
    <s v=""/>
    <s v=""/>
    <s v=""/>
    <m/>
    <m/>
    <m/>
    <m/>
    <m/>
    <m/>
    <m/>
    <m/>
    <m/>
    <m/>
  </r>
  <r>
    <n v="746"/>
    <s v="746 | Finance"/>
    <x v="7"/>
    <s v="Finance - Junior"/>
    <s v="Billing Officer"/>
    <s v="Finance-Billing Officer"/>
    <s v="Junior"/>
    <d v="2022-11-01T05:17:37"/>
    <d v="2022-11-04T05:17:3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743"/>
    <s v="743 | Finance"/>
    <x v="7"/>
    <s v="Finance - Junior"/>
    <s v="Billing Officer"/>
    <s v="Finance-Billing Officer"/>
    <s v="Junior"/>
    <d v="2022-11-05T05:17:37"/>
    <d v="2022-11-06T05:17:3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703"/>
    <s v="703 | Finance"/>
    <x v="7"/>
    <s v="Finance - Junior"/>
    <s v="Billing Officer"/>
    <s v="Finance-Billing Officer"/>
    <s v="Junior"/>
    <d v="2023-07-08T15:23:01"/>
    <d v="2023-07-09T15:23:01"/>
    <s v="Yes"/>
    <d v="2023-07-27T15:23:01"/>
    <s v="Accepted"/>
    <m/>
    <d v="2023-08-01T15:23:01"/>
    <s v="Accepted"/>
    <d v="2023-07-28T15:23:01"/>
    <d v="2023-07-31T15:23:01"/>
    <d v="2023-07-29T15:23:01"/>
    <d v="2023-08-06T15:23:01"/>
    <n v="1"/>
    <d v="2023-08-09T15:23:01"/>
    <d v="2023-08-12T15:23:01"/>
    <d v="2023-08-13T15:23:01"/>
    <m/>
    <m/>
    <d v="2023-08-22T15:23:01"/>
    <m/>
    <m/>
    <n v="1"/>
    <n v="19"/>
    <n v="18"/>
    <x v="19"/>
    <n v="2"/>
    <d v="2023-10-27T15:23:01"/>
    <n v="3"/>
    <n v="24"/>
    <n v="15"/>
    <m/>
    <m/>
    <m/>
    <m/>
    <m/>
    <m/>
    <m/>
    <m/>
    <m/>
    <m/>
  </r>
  <r>
    <n v="702"/>
    <s v="702 | Finance"/>
    <x v="7"/>
    <s v="Finance - Junior"/>
    <s v="Billing Officer"/>
    <s v="Finance-Billing Officer"/>
    <s v="Junior"/>
    <d v="2023-07-12T15:23:01"/>
    <d v="2023-07-13T15:23:01"/>
    <s v="Yes"/>
    <d v="2023-07-19T15:23:01"/>
    <s v="Failed"/>
    <s v="Salary expectation too high"/>
    <m/>
    <m/>
    <m/>
    <m/>
    <d v="2023-07-20T15:23:01"/>
    <m/>
    <n v="0"/>
    <m/>
    <m/>
    <m/>
    <m/>
    <s v="Company"/>
    <m/>
    <m/>
    <m/>
    <n v="1"/>
    <n v="7"/>
    <n v="6"/>
    <x v="10"/>
    <n v="1"/>
    <d v="2023-10-18T15:23:01"/>
    <s v=""/>
    <s v=""/>
    <s v=""/>
    <m/>
    <m/>
    <m/>
    <m/>
    <m/>
    <m/>
    <m/>
    <m/>
    <m/>
    <m/>
  </r>
  <r>
    <n v="607"/>
    <s v="607 | Finance"/>
    <x v="7"/>
    <s v="Finance - Junior"/>
    <s v="Billing Officer"/>
    <s v="Finance-Billing Officer"/>
    <s v="Junior"/>
    <d v="2022-01-08T07:25:27"/>
    <d v="2022-01-10T07:25:27"/>
    <s v="Yes"/>
    <d v="2022-01-20T07:25:27"/>
    <s v="Declined"/>
    <m/>
    <d v="2022-01-27T07:25:27"/>
    <s v="Declined"/>
    <m/>
    <m/>
    <d v="2022-01-23T07:25:27"/>
    <m/>
    <n v="0"/>
    <m/>
    <m/>
    <m/>
    <m/>
    <m/>
    <m/>
    <m/>
    <m/>
    <n v="2"/>
    <n v="12"/>
    <n v="10"/>
    <x v="16"/>
    <n v="3"/>
    <d v="2022-04-23T07:25:27"/>
    <s v=""/>
    <s v=""/>
    <s v=""/>
    <m/>
    <m/>
    <m/>
    <m/>
    <m/>
    <m/>
    <m/>
    <m/>
    <m/>
    <m/>
  </r>
  <r>
    <n v="601"/>
    <s v="601 | Finance"/>
    <x v="7"/>
    <s v="Finance - Junior"/>
    <s v="Billing Officer"/>
    <s v="Finance-Billing Officer"/>
    <s v="Junior"/>
    <d v="2022-01-08T07:25:27"/>
    <d v="2022-01-11T07:25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599"/>
    <s v="599 | Finance"/>
    <x v="7"/>
    <s v="Finance - Junior"/>
    <s v="Billing Officer"/>
    <s v="Finance-Billing Officer"/>
    <s v="Junior"/>
    <d v="2022-11-16T19:43:02"/>
    <d v="2022-11-18T19:43:02"/>
    <s v="Yes"/>
    <d v="2022-12-04T19:43:02"/>
    <s v="Failed"/>
    <s v="Other"/>
    <m/>
    <m/>
    <m/>
    <m/>
    <m/>
    <m/>
    <n v="0"/>
    <m/>
    <m/>
    <m/>
    <m/>
    <s v="Candidate"/>
    <m/>
    <m/>
    <m/>
    <n v="2"/>
    <n v="18"/>
    <n v="16"/>
    <x v="0"/>
    <s v=""/>
    <s v=""/>
    <s v=""/>
    <s v=""/>
    <s v=""/>
    <m/>
    <m/>
    <m/>
    <m/>
    <m/>
    <m/>
    <m/>
    <m/>
    <m/>
    <m/>
  </r>
  <r>
    <n v="460"/>
    <s v="460 | Finance"/>
    <x v="7"/>
    <s v="Finance - Junior"/>
    <s v="Billing Officer"/>
    <s v="Finance-Billing Officer"/>
    <s v="Junior"/>
    <d v="2023-02-13T13:42:17"/>
    <d v="2023-02-16T13:42:17"/>
    <s v="Yes"/>
    <d v="2023-02-27T13:42:17"/>
    <s v="Declined"/>
    <m/>
    <d v="2023-03-04T13:42:17"/>
    <s v="Declined"/>
    <m/>
    <m/>
    <d v="2023-03-01T13:42:17"/>
    <m/>
    <n v="0"/>
    <m/>
    <m/>
    <m/>
    <m/>
    <m/>
    <m/>
    <m/>
    <m/>
    <n v="3"/>
    <n v="14"/>
    <n v="11"/>
    <x v="20"/>
    <n v="2"/>
    <d v="2023-05-30T13:42:17"/>
    <s v=""/>
    <s v=""/>
    <s v=""/>
    <m/>
    <m/>
    <m/>
    <m/>
    <m/>
    <m/>
    <m/>
    <m/>
    <m/>
    <m/>
  </r>
  <r>
    <n v="454"/>
    <s v="454 | Finance"/>
    <x v="7"/>
    <s v="Finance - Junior"/>
    <s v="Billing Officer"/>
    <s v="Finance-Billing Officer"/>
    <s v="Junior"/>
    <d v="2023-02-14T13:42:17"/>
    <d v="2023-02-17T13:42:17"/>
    <s v="Yes"/>
    <d v="2023-03-09T13:42:17"/>
    <s v="Failed"/>
    <s v="Not a culture fit"/>
    <m/>
    <m/>
    <m/>
    <m/>
    <m/>
    <m/>
    <n v="0"/>
    <m/>
    <m/>
    <m/>
    <m/>
    <s v="Company"/>
    <m/>
    <m/>
    <m/>
    <n v="3"/>
    <n v="23"/>
    <n v="20"/>
    <x v="0"/>
    <s v=""/>
    <s v=""/>
    <s v=""/>
    <s v=""/>
    <s v=""/>
    <m/>
    <m/>
    <m/>
    <m/>
    <m/>
    <m/>
    <m/>
    <m/>
    <m/>
    <m/>
  </r>
  <r>
    <n v="453"/>
    <s v="453 | Finance"/>
    <x v="7"/>
    <s v="Finance - Junior"/>
    <s v="Billing Officer"/>
    <s v="Finance-Billing Officer"/>
    <s v="Junior"/>
    <d v="2023-02-12T13:42:17"/>
    <d v="2023-02-16T13:42:17"/>
    <s v="Yes"/>
    <d v="2023-02-26T13:42:17"/>
    <s v="Failed"/>
    <s v="Other"/>
    <m/>
    <m/>
    <m/>
    <m/>
    <m/>
    <m/>
    <n v="0"/>
    <m/>
    <m/>
    <m/>
    <m/>
    <s v="Company"/>
    <m/>
    <m/>
    <m/>
    <n v="4"/>
    <n v="14"/>
    <n v="10"/>
    <x v="0"/>
    <s v=""/>
    <s v=""/>
    <s v=""/>
    <s v=""/>
    <s v=""/>
    <m/>
    <m/>
    <m/>
    <m/>
    <m/>
    <m/>
    <m/>
    <m/>
    <m/>
    <m/>
  </r>
  <r>
    <n v="394"/>
    <s v="394 | Finance"/>
    <x v="7"/>
    <s v="Finance - Junior"/>
    <s v="Billing Officer"/>
    <s v="Finance-Billing Officer"/>
    <s v="Junior"/>
    <d v="2023-02-16T16:28:40"/>
    <d v="2023-02-19T16:28:40"/>
    <s v="Yes"/>
    <d v="2023-02-27T16:28:40"/>
    <s v="Declined"/>
    <m/>
    <d v="2023-03-01T16:28:40"/>
    <s v="Declined"/>
    <m/>
    <m/>
    <d v="2023-02-28T16:28:40"/>
    <m/>
    <n v="0"/>
    <m/>
    <m/>
    <m/>
    <m/>
    <m/>
    <m/>
    <m/>
    <m/>
    <n v="3"/>
    <n v="11"/>
    <n v="8"/>
    <x v="24"/>
    <n v="1"/>
    <d v="2023-05-29T16:28:40"/>
    <s v=""/>
    <s v=""/>
    <s v=""/>
    <m/>
    <m/>
    <m/>
    <m/>
    <m/>
    <m/>
    <m/>
    <m/>
    <m/>
    <m/>
  </r>
  <r>
    <n v="350"/>
    <s v="350 | Finance"/>
    <x v="7"/>
    <s v="Finance - Junior"/>
    <s v="Billing Officer"/>
    <s v="Finance-Billing Officer"/>
    <s v="Junior"/>
    <d v="2022-05-02T15:27:54"/>
    <d v="2022-05-03T15:27:5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90"/>
    <s v="290 | Finance"/>
    <x v="7"/>
    <s v="Finance - Junior"/>
    <s v="Billing Officer"/>
    <s v="Finance-Billing Officer"/>
    <s v="Junior"/>
    <d v="2022-05-19T16:15:48"/>
    <d v="2022-05-23T16:15:48"/>
    <s v="Yes"/>
    <d v="2022-06-03T16:15:48"/>
    <s v="Declined"/>
    <m/>
    <d v="2022-06-10T16:15:48"/>
    <s v="Declined"/>
    <m/>
    <m/>
    <d v="2022-06-06T16:15:48"/>
    <m/>
    <n v="0"/>
    <m/>
    <m/>
    <m/>
    <m/>
    <m/>
    <m/>
    <m/>
    <m/>
    <n v="4"/>
    <n v="15"/>
    <n v="11"/>
    <x v="12"/>
    <n v="3"/>
    <d v="2022-09-04T16:15:48"/>
    <s v=""/>
    <s v=""/>
    <s v=""/>
    <m/>
    <m/>
    <m/>
    <m/>
    <m/>
    <m/>
    <m/>
    <m/>
    <m/>
    <m/>
  </r>
  <r>
    <n v="288"/>
    <s v="288 | Finance"/>
    <x v="7"/>
    <s v="Finance - Junior"/>
    <s v="Billing Officer"/>
    <s v="Finance-Billing Officer"/>
    <s v="Junior"/>
    <d v="2022-05-19T16:15:48"/>
    <d v="2022-05-20T16:15:48"/>
    <s v="Yes"/>
    <d v="2022-05-28T16:15:48"/>
    <s v="Declined"/>
    <m/>
    <d v="2022-05-31T16:15:48"/>
    <s v="Declined"/>
    <m/>
    <m/>
    <d v="2022-05-29T16:15:48"/>
    <m/>
    <n v="0"/>
    <m/>
    <m/>
    <m/>
    <m/>
    <m/>
    <m/>
    <m/>
    <m/>
    <n v="1"/>
    <n v="9"/>
    <n v="8"/>
    <x v="22"/>
    <n v="1"/>
    <d v="2022-08-27T16:15:48"/>
    <s v=""/>
    <s v=""/>
    <s v=""/>
    <m/>
    <m/>
    <m/>
    <m/>
    <m/>
    <m/>
    <m/>
    <m/>
    <m/>
    <m/>
  </r>
  <r>
    <n v="208"/>
    <s v="208 | Finance"/>
    <x v="7"/>
    <s v="Finance - Junior"/>
    <s v="Billing Officer"/>
    <s v="Finance-Billing Officer"/>
    <s v="Junior"/>
    <d v="2022-07-09T08:13:46"/>
    <d v="2022-07-10T08:13:4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6"/>
    <s v="206 | Finance"/>
    <x v="7"/>
    <s v="Finance - Junior"/>
    <s v="Billing Officer"/>
    <s v="Finance-Billing Officer"/>
    <s v="Junior"/>
    <d v="2022-07-05T08:13:46"/>
    <d v="2022-07-06T08:13:46"/>
    <s v="Yes"/>
    <d v="2022-07-18T08:13:46"/>
    <s v="Failed"/>
    <s v="Salary expectation too high"/>
    <m/>
    <m/>
    <m/>
    <m/>
    <d v="2022-07-21T08:13:46"/>
    <m/>
    <n v="0"/>
    <m/>
    <m/>
    <m/>
    <m/>
    <s v="Candidate"/>
    <m/>
    <m/>
    <m/>
    <n v="1"/>
    <n v="13"/>
    <n v="12"/>
    <x v="20"/>
    <n v="3"/>
    <d v="2022-10-19T08:13:46"/>
    <s v=""/>
    <s v=""/>
    <s v=""/>
    <m/>
    <m/>
    <m/>
    <m/>
    <m/>
    <m/>
    <m/>
    <m/>
    <m/>
    <m/>
  </r>
  <r>
    <n v="205"/>
    <s v="205 | Finance"/>
    <x v="7"/>
    <s v="Finance - Junior"/>
    <s v="Billing Officer"/>
    <s v="Finance-Billing Officer"/>
    <s v="Junior"/>
    <d v="2022-07-08T08:13:46"/>
    <d v="2022-07-09T08:13:46"/>
    <s v="Yes"/>
    <d v="2022-07-16T08:13:46"/>
    <s v="Failed"/>
    <s v="Didn't pass technical test"/>
    <m/>
    <m/>
    <m/>
    <m/>
    <d v="2022-07-20T08:13:46"/>
    <m/>
    <n v="0"/>
    <m/>
    <m/>
    <m/>
    <m/>
    <s v="Company"/>
    <m/>
    <m/>
    <m/>
    <n v="1"/>
    <n v="8"/>
    <n v="7"/>
    <x v="24"/>
    <n v="4"/>
    <d v="2022-10-18T08:13:46"/>
    <s v=""/>
    <s v=""/>
    <s v=""/>
    <m/>
    <m/>
    <m/>
    <m/>
    <m/>
    <m/>
    <m/>
    <m/>
    <m/>
    <m/>
  </r>
  <r>
    <n v="180"/>
    <s v="180 | Finance"/>
    <x v="7"/>
    <s v="Finance - Junior"/>
    <s v="Billing Officer"/>
    <s v="Finance-Billing Officer"/>
    <s v="Junior"/>
    <d v="2023-06-11T08:54:08"/>
    <d v="2023-06-14T08:54:08"/>
    <s v="Yes"/>
    <d v="2023-06-29T08:54:08"/>
    <s v="Failed"/>
    <s v="Salary expectation too high"/>
    <m/>
    <m/>
    <m/>
    <m/>
    <d v="2023-06-30T08:54:08"/>
    <m/>
    <n v="0"/>
    <m/>
    <m/>
    <m/>
    <m/>
    <s v="Candidate"/>
    <m/>
    <m/>
    <m/>
    <n v="3"/>
    <n v="18"/>
    <n v="15"/>
    <x v="13"/>
    <n v="1"/>
    <d v="2023-09-28T08:54:08"/>
    <s v=""/>
    <s v=""/>
    <s v=""/>
    <m/>
    <m/>
    <m/>
    <m/>
    <m/>
    <m/>
    <m/>
    <m/>
    <m/>
    <m/>
  </r>
  <r>
    <n v="108"/>
    <s v="108 | Finance"/>
    <x v="7"/>
    <s v="Finance - Junior"/>
    <s v="Billing Officer"/>
    <s v="Finance-Billing Officer"/>
    <s v="Junior"/>
    <d v="2023-03-30T21:07:16"/>
    <d v="2023-03-31T21:07:1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78"/>
    <s v="78 | Finance"/>
    <x v="7"/>
    <s v="Finance - Junior"/>
    <s v="Billing Officer"/>
    <s v="Finance-Billing Officer"/>
    <s v="Junior"/>
    <d v="2022-07-08T09:51:33"/>
    <d v="2022-07-10T09:51:33"/>
    <s v="Yes"/>
    <d v="2022-07-16T09:51:33"/>
    <s v="Failed"/>
    <s v="Didn't pass technical test"/>
    <m/>
    <m/>
    <m/>
    <m/>
    <d v="2022-07-20T09:51:33"/>
    <m/>
    <n v="0"/>
    <m/>
    <m/>
    <m/>
    <m/>
    <s v="Candidate"/>
    <m/>
    <m/>
    <m/>
    <n v="2"/>
    <n v="8"/>
    <n v="6"/>
    <x v="24"/>
    <n v="4"/>
    <d v="2022-10-18T09:51:33"/>
    <s v=""/>
    <s v=""/>
    <s v=""/>
    <m/>
    <m/>
    <m/>
    <m/>
    <m/>
    <m/>
    <m/>
    <m/>
    <m/>
    <m/>
  </r>
  <r>
    <n v="77"/>
    <s v="77 | Finance"/>
    <x v="7"/>
    <s v="Finance - Junior"/>
    <s v="Billing Officer"/>
    <s v="Finance-Billing Officer"/>
    <s v="Junior"/>
    <d v="2022-07-08T09:51:33"/>
    <d v="2022-07-10T09:51:33"/>
    <s v="Yes"/>
    <d v="2022-07-22T09:51:33"/>
    <s v="Declined"/>
    <m/>
    <d v="2022-07-30T09:51:33"/>
    <s v="Declined"/>
    <m/>
    <m/>
    <d v="2022-07-26T09:51:33"/>
    <m/>
    <n v="0"/>
    <m/>
    <m/>
    <m/>
    <m/>
    <m/>
    <m/>
    <m/>
    <m/>
    <n v="2"/>
    <n v="14"/>
    <n v="12"/>
    <x v="12"/>
    <n v="4"/>
    <d v="2022-10-24T09:51:33"/>
    <s v=""/>
    <s v=""/>
    <s v=""/>
    <m/>
    <m/>
    <m/>
    <m/>
    <m/>
    <m/>
    <m/>
    <m/>
    <m/>
    <m/>
  </r>
  <r>
    <n v="74"/>
    <s v="74 | Finance"/>
    <x v="7"/>
    <s v="Finance - Junior"/>
    <s v="Billing Officer"/>
    <s v="Finance-Billing Officer"/>
    <s v="Junior"/>
    <d v="2022-07-03T09:51:33"/>
    <d v="2022-07-07T09:51:33"/>
    <s v="Yes"/>
    <d v="2022-07-28T09:51:33"/>
    <s v="Declined"/>
    <m/>
    <d v="2022-08-04T09:51:33"/>
    <s v="Declined"/>
    <m/>
    <m/>
    <d v="2022-08-01T09:51:33"/>
    <m/>
    <n v="0"/>
    <m/>
    <m/>
    <m/>
    <m/>
    <m/>
    <m/>
    <m/>
    <m/>
    <n v="4"/>
    <n v="25"/>
    <n v="21"/>
    <x v="23"/>
    <n v="4"/>
    <d v="2022-10-30T09:51:33"/>
    <s v=""/>
    <s v=""/>
    <s v=""/>
    <m/>
    <m/>
    <m/>
    <m/>
    <m/>
    <m/>
    <m/>
    <m/>
    <m/>
    <m/>
  </r>
  <r>
    <n v="72"/>
    <s v="72 | Finance"/>
    <x v="7"/>
    <s v="Finance - Junior"/>
    <s v="Billing Officer"/>
    <s v="Finance-Billing Officer"/>
    <s v="Junior"/>
    <d v="2022-07-08T09:51:33"/>
    <d v="2022-07-11T09:51:33"/>
    <s v="Yes"/>
    <d v="2022-07-14T09:51:33"/>
    <s v="Declined"/>
    <m/>
    <d v="2022-07-19T09:51:33"/>
    <s v="Declined"/>
    <m/>
    <m/>
    <d v="2022-07-16T09:51:33"/>
    <m/>
    <n v="0"/>
    <m/>
    <m/>
    <m/>
    <m/>
    <m/>
    <m/>
    <m/>
    <m/>
    <n v="3"/>
    <n v="6"/>
    <n v="3"/>
    <x v="10"/>
    <n v="2"/>
    <d v="2022-10-14T09:51:33"/>
    <s v=""/>
    <s v=""/>
    <s v=""/>
    <m/>
    <m/>
    <m/>
    <m/>
    <m/>
    <m/>
    <m/>
    <m/>
    <m/>
    <m/>
  </r>
  <r>
    <n v="15"/>
    <s v="15 | Finance"/>
    <x v="7"/>
    <s v="Finance - Junior"/>
    <s v="Billing Officer"/>
    <s v="Finance-Billing Officer"/>
    <s v="Junior"/>
    <d v="2022-03-17T21:37:51"/>
    <d v="2022-03-18T21:37:51"/>
    <s v="Yes"/>
    <d v="2022-03-24T21:37:51"/>
    <s v="Accepted"/>
    <m/>
    <d v="2022-03-26T21:37:51"/>
    <s v="Accepted"/>
    <d v="2022-03-25T21:37:51"/>
    <d v="2022-03-26T21:37:51"/>
    <d v="2022-03-25T21:37:51"/>
    <d v="2022-04-03T21:37:51"/>
    <n v="1"/>
    <d v="2022-04-05T21:37:51"/>
    <d v="2022-04-06T21:37:51"/>
    <d v="2022-04-07T21:37:51"/>
    <m/>
    <m/>
    <d v="2022-04-28T21:37:51"/>
    <m/>
    <m/>
    <n v="1"/>
    <n v="7"/>
    <n v="6"/>
    <x v="10"/>
    <n v="1"/>
    <d v="2022-06-23T21:37:51"/>
    <n v="2"/>
    <n v="34"/>
    <n v="13"/>
    <m/>
    <m/>
    <m/>
    <m/>
    <m/>
    <m/>
    <m/>
    <m/>
    <m/>
    <m/>
  </r>
  <r>
    <n v="2290"/>
    <s v="2290 | Finance"/>
    <x v="7"/>
    <s v="Finance - Executive"/>
    <s v="Associate Director"/>
    <s v="Finance-Associate Director"/>
    <s v="Executive"/>
    <d v="2022-07-20T11:44:34"/>
    <d v="2022-07-24T11:44:3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028"/>
    <s v="2028 | Finance"/>
    <x v="7"/>
    <s v="Finance - Executive"/>
    <s v="Associate Director"/>
    <s v="Finance-Associate Director"/>
    <s v="Executive"/>
    <d v="2022-08-14T16:19:01"/>
    <d v="2022-08-15T16:19:0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829"/>
    <s v="1829 | Finance"/>
    <x v="7"/>
    <s v="Finance - Executive"/>
    <s v="Associate Director"/>
    <s v="Finance-Associate Director"/>
    <s v="Executive"/>
    <d v="2022-04-10T11:01:49"/>
    <d v="2022-04-14T11:01:4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759"/>
    <s v="1759 | Finance"/>
    <x v="7"/>
    <s v="Finance - Executive"/>
    <s v="Associate Director"/>
    <s v="Finance-Associate Director"/>
    <s v="Executive"/>
    <d v="2022-06-02T15:29:59"/>
    <d v="2022-06-03T15:29:5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632"/>
    <s v="1632 | Finance"/>
    <x v="7"/>
    <s v="Finance - Executive"/>
    <s v="Associate Director"/>
    <s v="Finance-Associate Director"/>
    <s v="Executive"/>
    <d v="2023-09-02T07:41:24"/>
    <d v="2023-09-05T07:41:2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516"/>
    <s v="1516 | Finance"/>
    <x v="7"/>
    <s v="Finance - Executive"/>
    <s v="Associate Director"/>
    <s v="Finance-Associate Director"/>
    <s v="Executive"/>
    <d v="2022-12-30T05:00:38"/>
    <d v="2022-12-31T05:00:3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435"/>
    <s v="1435 | Finance"/>
    <x v="7"/>
    <s v="Finance - Executive"/>
    <s v="Associate Director"/>
    <s v="Finance-Associate Director"/>
    <s v="Executive"/>
    <d v="2023-06-08T22:29:11"/>
    <d v="2023-06-12T22:29:1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49"/>
    <s v="1149 | Finance"/>
    <x v="7"/>
    <s v="Finance - Executive"/>
    <s v="Associate Director"/>
    <s v="Finance-Associate Director"/>
    <s v="Executive"/>
    <d v="2023-08-02T01:36:53"/>
    <d v="2023-08-05T01:36:5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034"/>
    <s v="1034 | Finance"/>
    <x v="7"/>
    <s v="Finance - Executive"/>
    <s v="Associate Director"/>
    <s v="Finance-Associate Director"/>
    <s v="Executive"/>
    <d v="2023-03-01T19:44:13"/>
    <d v="2023-03-02T19:44:1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74"/>
    <s v="974 | Finance"/>
    <x v="7"/>
    <s v="Finance - Executive"/>
    <s v="Associate Director"/>
    <s v="Finance-Associate Director"/>
    <s v="Executive"/>
    <d v="2022-07-12T16:46:55"/>
    <d v="2022-07-16T16:46:55"/>
    <s v="Yes"/>
    <d v="2022-08-08T16:46:55"/>
    <s v="Declined"/>
    <m/>
    <d v="2022-08-13T16:46:55"/>
    <s v="Declined"/>
    <m/>
    <m/>
    <d v="2022-08-12T16:46:55"/>
    <m/>
    <n v="0"/>
    <m/>
    <m/>
    <m/>
    <m/>
    <m/>
    <m/>
    <m/>
    <m/>
    <n v="4"/>
    <n v="27"/>
    <n v="23"/>
    <x v="17"/>
    <n v="4"/>
    <d v="2022-11-10T16:46:55"/>
    <s v=""/>
    <s v=""/>
    <s v=""/>
    <m/>
    <m/>
    <m/>
    <m/>
    <m/>
    <m/>
    <m/>
    <m/>
    <m/>
    <m/>
  </r>
  <r>
    <n v="961"/>
    <s v="961 | Finance"/>
    <x v="7"/>
    <s v="Finance - Executive"/>
    <s v="Associate Director"/>
    <s v="Finance-Associate Director"/>
    <s v="Executive"/>
    <d v="2023-07-15T08:10:15"/>
    <d v="2023-07-17T08:10:15"/>
    <s v="Yes"/>
    <d v="2023-08-03T08:10:15"/>
    <s v="Accepted"/>
    <m/>
    <d v="2023-08-06T08:10:15"/>
    <s v="Accepted"/>
    <d v="2023-08-05T08:10:15"/>
    <d v="2023-08-09T08:10:15"/>
    <d v="2023-08-04T08:10:15"/>
    <d v="2023-08-11T08:10:15"/>
    <n v="1"/>
    <d v="2023-08-14T08:10:15"/>
    <d v="2023-08-17T08:10:15"/>
    <d v="2023-08-18T08:10:15"/>
    <m/>
    <m/>
    <d v="2023-08-28T08:10:15"/>
    <m/>
    <m/>
    <n v="2"/>
    <n v="19"/>
    <n v="17"/>
    <x v="15"/>
    <n v="1"/>
    <d v="2023-11-02T08:10:15"/>
    <n v="3"/>
    <n v="24"/>
    <n v="14"/>
    <m/>
    <m/>
    <m/>
    <m/>
    <m/>
    <m/>
    <m/>
    <m/>
    <m/>
    <m/>
  </r>
  <r>
    <n v="900"/>
    <s v="900 | Finance"/>
    <x v="7"/>
    <s v="Finance - Executive"/>
    <s v="Associate Director"/>
    <s v="Finance-Associate Director"/>
    <s v="Executive"/>
    <d v="2022-10-09T22:33:20"/>
    <d v="2022-10-13T22:33:20"/>
    <s v="Yes"/>
    <d v="2022-10-21T22:33:20"/>
    <s v="Failed"/>
    <s v="Position filled by another"/>
    <m/>
    <m/>
    <m/>
    <m/>
    <d v="2022-10-24T22:33:20"/>
    <m/>
    <n v="0"/>
    <m/>
    <m/>
    <m/>
    <m/>
    <s v="Candidate"/>
    <m/>
    <m/>
    <m/>
    <n v="4"/>
    <n v="12"/>
    <n v="8"/>
    <x v="16"/>
    <n v="3"/>
    <d v="2023-01-22T22:33:20"/>
    <s v=""/>
    <s v=""/>
    <s v=""/>
    <m/>
    <m/>
    <m/>
    <m/>
    <m/>
    <m/>
    <m/>
    <m/>
    <m/>
    <m/>
  </r>
  <r>
    <n v="896"/>
    <s v="896 | Finance"/>
    <x v="7"/>
    <s v="Finance - Executive"/>
    <s v="Associate Director"/>
    <s v="Finance-Associate Director"/>
    <s v="Executive"/>
    <d v="2022-10-12T22:33:20"/>
    <d v="2022-10-14T22:33:20"/>
    <s v="Yes"/>
    <d v="2022-10-23T22:33:20"/>
    <s v="Failed"/>
    <s v="Position filled by another"/>
    <m/>
    <m/>
    <m/>
    <m/>
    <d v="2022-10-25T22:33:20"/>
    <m/>
    <n v="0"/>
    <m/>
    <m/>
    <m/>
    <m/>
    <s v="Candidate"/>
    <m/>
    <m/>
    <m/>
    <n v="2"/>
    <n v="11"/>
    <n v="9"/>
    <x v="8"/>
    <n v="2"/>
    <d v="2023-01-23T22:33:20"/>
    <s v=""/>
    <s v=""/>
    <s v=""/>
    <m/>
    <m/>
    <m/>
    <m/>
    <m/>
    <m/>
    <m/>
    <m/>
    <m/>
    <m/>
  </r>
  <r>
    <n v="893"/>
    <s v="893 | Finance"/>
    <x v="7"/>
    <s v="Finance - Executive"/>
    <s v="Principal Officer"/>
    <s v="Finance-Principal Officer"/>
    <s v="Executive"/>
    <d v="2022-10-08T22:33:20"/>
    <d v="2022-10-10T22:33:20"/>
    <s v="Yes"/>
    <d v="2022-10-23T22:33:20"/>
    <s v="Failed"/>
    <s v="Salary expectation too high"/>
    <m/>
    <m/>
    <m/>
    <m/>
    <m/>
    <m/>
    <n v="0"/>
    <m/>
    <m/>
    <m/>
    <m/>
    <s v="Candidate"/>
    <m/>
    <m/>
    <m/>
    <n v="2"/>
    <n v="15"/>
    <n v="13"/>
    <x v="0"/>
    <s v=""/>
    <s v=""/>
    <s v=""/>
    <s v=""/>
    <s v=""/>
    <m/>
    <m/>
    <m/>
    <m/>
    <m/>
    <m/>
    <m/>
    <m/>
    <m/>
    <m/>
  </r>
  <r>
    <n v="891"/>
    <s v="891 | Finance"/>
    <x v="7"/>
    <s v="Finance - Executive"/>
    <s v="Principal Officer"/>
    <s v="Finance-Principal Officer"/>
    <s v="Executive"/>
    <d v="2022-10-11T22:33:20"/>
    <d v="2022-10-15T22:33:20"/>
    <s v="Yes"/>
    <d v="2022-11-01T22:33:20"/>
    <s v="Declined"/>
    <m/>
    <d v="2022-11-04T22:33:20"/>
    <s v="Declined"/>
    <m/>
    <m/>
    <d v="2022-11-02T22:33:20"/>
    <m/>
    <n v="0"/>
    <m/>
    <m/>
    <m/>
    <m/>
    <m/>
    <m/>
    <m/>
    <m/>
    <n v="4"/>
    <n v="21"/>
    <n v="17"/>
    <x v="7"/>
    <n v="1"/>
    <d v="2023-01-31T22:33:20"/>
    <s v=""/>
    <s v=""/>
    <s v=""/>
    <m/>
    <m/>
    <m/>
    <m/>
    <m/>
    <m/>
    <m/>
    <m/>
    <m/>
    <m/>
  </r>
  <r>
    <n v="888"/>
    <s v="888 | Finance"/>
    <x v="7"/>
    <s v="Finance - Executive"/>
    <s v="Principal Officer"/>
    <s v="Finance-Principal Officer"/>
    <s v="Executive"/>
    <d v="2022-09-19T04:47:55"/>
    <d v="2022-09-22T04:47:55"/>
    <s v="Yes"/>
    <d v="2022-10-07T04:47:55"/>
    <s v="Failed"/>
    <s v="Other"/>
    <m/>
    <m/>
    <m/>
    <m/>
    <d v="2022-10-10T04:47:55"/>
    <m/>
    <n v="0"/>
    <m/>
    <m/>
    <m/>
    <m/>
    <s v="Candidate"/>
    <m/>
    <m/>
    <m/>
    <n v="3"/>
    <n v="18"/>
    <n v="15"/>
    <x v="19"/>
    <n v="3"/>
    <d v="2023-01-08T04:47:55"/>
    <s v=""/>
    <s v=""/>
    <s v=""/>
    <m/>
    <m/>
    <m/>
    <m/>
    <m/>
    <m/>
    <m/>
    <m/>
    <m/>
    <m/>
  </r>
  <r>
    <n v="883"/>
    <s v="883 | Finance"/>
    <x v="7"/>
    <s v="Finance - Executive"/>
    <s v="Principal Officer"/>
    <s v="Finance-Principal Officer"/>
    <s v="Executive"/>
    <d v="2022-09-20T04:47:55"/>
    <d v="2022-09-22T04:47:55"/>
    <s v="Yes"/>
    <d v="2022-09-29T04:47:55"/>
    <s v="Failed"/>
    <s v="Position filled by another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882"/>
    <s v="882 | Finance"/>
    <x v="7"/>
    <s v="Finance - Executive"/>
    <s v="Principal Officer"/>
    <s v="Finance-Principal Officer"/>
    <s v="Executive"/>
    <d v="2022-09-22T04:47:55"/>
    <d v="2022-09-26T04:47:55"/>
    <s v="Yes"/>
    <d v="2022-10-05T04:47:55"/>
    <s v="Failed"/>
    <s v="Other"/>
    <m/>
    <m/>
    <m/>
    <m/>
    <d v="2022-10-09T04:47:55"/>
    <m/>
    <n v="0"/>
    <m/>
    <m/>
    <m/>
    <m/>
    <s v="Candidate"/>
    <m/>
    <m/>
    <m/>
    <n v="4"/>
    <n v="13"/>
    <n v="9"/>
    <x v="14"/>
    <n v="4"/>
    <d v="2023-01-07T04:47:55"/>
    <s v=""/>
    <s v=""/>
    <s v=""/>
    <m/>
    <m/>
    <m/>
    <m/>
    <m/>
    <m/>
    <m/>
    <m/>
    <m/>
    <m/>
  </r>
  <r>
    <n v="869"/>
    <s v="869 | Finance"/>
    <x v="7"/>
    <s v="Finance - Executive"/>
    <s v="Principal Officer"/>
    <s v="Finance-Principal Officer"/>
    <s v="Executive"/>
    <d v="2023-07-14T02:28:49"/>
    <d v="2023-07-18T02:28:4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868"/>
    <s v="868 | Finance"/>
    <x v="7"/>
    <s v="Finance - Executive"/>
    <s v="Principal Officer"/>
    <s v="Finance-Principal Officer"/>
    <s v="Executive"/>
    <d v="2023-07-17T02:28:49"/>
    <d v="2023-07-18T02:28:49"/>
    <s v="Yes"/>
    <d v="2023-07-29T02:28:49"/>
    <s v="Failed"/>
    <s v="Salary expectation too high"/>
    <m/>
    <m/>
    <m/>
    <m/>
    <d v="2023-08-01T02:28:49"/>
    <m/>
    <n v="0"/>
    <m/>
    <m/>
    <m/>
    <m/>
    <s v="Company"/>
    <m/>
    <m/>
    <m/>
    <n v="1"/>
    <n v="12"/>
    <n v="11"/>
    <x v="16"/>
    <n v="3"/>
    <d v="2023-10-30T02:28:49"/>
    <s v=""/>
    <s v=""/>
    <s v=""/>
    <m/>
    <m/>
    <m/>
    <m/>
    <m/>
    <m/>
    <m/>
    <m/>
    <m/>
    <m/>
  </r>
  <r>
    <n v="867"/>
    <s v="867 | Finance"/>
    <x v="7"/>
    <s v="Finance - Executive"/>
    <s v="Principal Officer"/>
    <s v="Finance-Principal Officer"/>
    <s v="Executive"/>
    <d v="2023-07-16T02:28:49"/>
    <d v="2023-07-19T02:28:49"/>
    <s v="Yes"/>
    <d v="2023-08-03T02:28:49"/>
    <s v="Accepted"/>
    <m/>
    <d v="2023-08-07T02:28:49"/>
    <s v="Accepted"/>
    <d v="2023-08-04T02:28:49"/>
    <d v="2023-08-07T02:28:49"/>
    <d v="2023-08-04T02:28:49"/>
    <d v="2023-08-13T02:28:49"/>
    <n v="1"/>
    <d v="2023-08-14T02:28:49"/>
    <d v="2023-08-17T02:28:49"/>
    <d v="2023-08-20T02:28:49"/>
    <m/>
    <m/>
    <d v="2023-09-01T02:28:49"/>
    <m/>
    <m/>
    <n v="3"/>
    <n v="18"/>
    <n v="15"/>
    <x v="13"/>
    <n v="1"/>
    <d v="2023-11-02T02:28:49"/>
    <n v="1"/>
    <n v="28"/>
    <n v="16"/>
    <m/>
    <m/>
    <m/>
    <m/>
    <m/>
    <m/>
    <m/>
    <m/>
    <m/>
    <m/>
  </r>
  <r>
    <n v="857"/>
    <s v="857 | Finance"/>
    <x v="7"/>
    <s v="Finance - Executive"/>
    <s v="Principal Officer"/>
    <s v="Finance-Principal Officer"/>
    <s v="Executive"/>
    <d v="2023-01-31T00:03:45"/>
    <d v="2023-02-04T00:03:45"/>
    <s v="Yes"/>
    <d v="2023-02-16T00:03:45"/>
    <s v="Accepted"/>
    <m/>
    <d v="2023-02-20T00:03:45"/>
    <s v="Accepted"/>
    <d v="2023-02-18T00:03:45"/>
    <d v="2023-02-20T00:03:45"/>
    <d v="2023-02-19T00:03:45"/>
    <d v="2023-02-23T00:03:45"/>
    <n v="1"/>
    <d v="2023-02-27T00:03:45"/>
    <d v="2023-03-02T00:03:45"/>
    <d v="2023-03-04T00:03:45"/>
    <m/>
    <m/>
    <d v="2023-03-21T00:03:45"/>
    <m/>
    <m/>
    <n v="4"/>
    <n v="16"/>
    <n v="12"/>
    <x v="13"/>
    <n v="3"/>
    <d v="2023-05-20T00:03:45"/>
    <n v="4"/>
    <n v="30"/>
    <n v="13"/>
    <m/>
    <m/>
    <m/>
    <m/>
    <m/>
    <m/>
    <m/>
    <m/>
    <m/>
    <m/>
  </r>
  <r>
    <n v="854"/>
    <s v="854 | Finance"/>
    <x v="7"/>
    <s v="Finance - Executive"/>
    <s v="Principal Officer"/>
    <s v="Finance-Principal Officer"/>
    <s v="Executive"/>
    <d v="2023-01-29T00:03:45"/>
    <d v="2023-02-01T00:03:4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53"/>
    <s v="853 | Finance"/>
    <x v="7"/>
    <s v="Finance - Executive"/>
    <s v="Principal Officer"/>
    <s v="Finance-Principal Officer"/>
    <s v="Executive"/>
    <d v="2023-01-31T00:03:45"/>
    <d v="2023-02-02T00:03:45"/>
    <s v="Yes"/>
    <d v="2023-02-22T00:03:45"/>
    <s v="Accepted"/>
    <m/>
    <d v="2023-02-26T00:03:45"/>
    <s v="Accepted"/>
    <d v="2023-02-24T00:03:45"/>
    <d v="2023-02-28T00:03:45"/>
    <d v="2023-02-23T00:03:45"/>
    <d v="2023-02-27T00:03:45"/>
    <n v="1"/>
    <d v="2023-03-03T00:03:45"/>
    <d v="2023-03-04T00:03:45"/>
    <d v="2023-03-06T00:03:45"/>
    <m/>
    <m/>
    <d v="2023-03-23T00:03:45"/>
    <m/>
    <m/>
    <n v="2"/>
    <n v="22"/>
    <n v="20"/>
    <x v="3"/>
    <n v="1"/>
    <d v="2023-05-24T00:03:45"/>
    <n v="4"/>
    <n v="28"/>
    <n v="11"/>
    <m/>
    <m/>
    <m/>
    <m/>
    <m/>
    <m/>
    <m/>
    <m/>
    <m/>
    <m/>
  </r>
  <r>
    <n v="742"/>
    <s v="742 | Finance"/>
    <x v="7"/>
    <s v="Finance - Executive"/>
    <s v="Principal Officer"/>
    <s v="Finance-Principal Officer"/>
    <s v="Executive"/>
    <d v="2022-10-30T05:17:37"/>
    <d v="2022-11-03T05:17:37"/>
    <s v="Yes"/>
    <d v="2022-11-20T05:17:37"/>
    <s v="Failed"/>
    <s v="Position filled by another"/>
    <m/>
    <m/>
    <m/>
    <m/>
    <m/>
    <m/>
    <n v="0"/>
    <m/>
    <m/>
    <m/>
    <m/>
    <s v="Candidate"/>
    <m/>
    <m/>
    <m/>
    <n v="4"/>
    <n v="21"/>
    <n v="17"/>
    <x v="0"/>
    <s v=""/>
    <s v=""/>
    <s v=""/>
    <s v=""/>
    <s v=""/>
    <m/>
    <m/>
    <m/>
    <m/>
    <m/>
    <m/>
    <m/>
    <m/>
    <m/>
    <m/>
  </r>
  <r>
    <n v="741"/>
    <s v="741 | Finance"/>
    <x v="7"/>
    <s v="Finance - Executive"/>
    <s v="Principal Officer"/>
    <s v="Finance-Principal Officer"/>
    <s v="Executive"/>
    <d v="2022-11-04T05:17:37"/>
    <d v="2022-11-05T05:17:37"/>
    <s v="Yes"/>
    <d v="2022-11-27T05:17:37"/>
    <s v="Pending"/>
    <m/>
    <d v="2022-12-01T05:17:37"/>
    <s v="Pending"/>
    <m/>
    <m/>
    <d v="2022-11-29T05:17:37"/>
    <m/>
    <n v="0"/>
    <m/>
    <m/>
    <m/>
    <m/>
    <m/>
    <m/>
    <m/>
    <m/>
    <n v="1"/>
    <n v="23"/>
    <n v="22"/>
    <x v="11"/>
    <n v="2"/>
    <d v="2023-02-27T05:17:37"/>
    <s v=""/>
    <s v=""/>
    <s v=""/>
    <m/>
    <m/>
    <m/>
    <m/>
    <m/>
    <m/>
    <m/>
    <m/>
    <m/>
    <m/>
  </r>
  <r>
    <n v="709"/>
    <s v="709 | Finance"/>
    <x v="7"/>
    <s v="Finance - Executive"/>
    <s v="Principal Officer"/>
    <s v="Finance-Principal Officer"/>
    <s v="Executive"/>
    <d v="2023-07-06T15:23:01"/>
    <d v="2023-07-10T15:23:01"/>
    <s v="Yes"/>
    <d v="2023-07-29T15:23:01"/>
    <s v="Failed"/>
    <s v="Position filled by another"/>
    <m/>
    <m/>
    <m/>
    <m/>
    <d v="2023-08-02T15:23:01"/>
    <m/>
    <n v="0"/>
    <m/>
    <m/>
    <m/>
    <m/>
    <s v="Company"/>
    <m/>
    <m/>
    <m/>
    <n v="4"/>
    <n v="23"/>
    <n v="19"/>
    <x v="18"/>
    <n v="4"/>
    <d v="2023-10-31T15:23:01"/>
    <s v=""/>
    <s v=""/>
    <s v=""/>
    <m/>
    <m/>
    <m/>
    <m/>
    <m/>
    <m/>
    <m/>
    <m/>
    <m/>
    <m/>
  </r>
  <r>
    <n v="708"/>
    <s v="708 | Finance"/>
    <x v="7"/>
    <s v="Finance - Executive"/>
    <s v="Principal Officer"/>
    <s v="Finance-Principal Officer"/>
    <s v="Executive"/>
    <d v="2023-07-07T15:23:01"/>
    <d v="2023-07-08T15:23:01"/>
    <s v="Yes"/>
    <d v="2023-07-21T15:23:01"/>
    <s v="Declined"/>
    <m/>
    <d v="2023-07-24T15:23:01"/>
    <s v="Declined"/>
    <m/>
    <m/>
    <d v="2023-07-23T15:23:01"/>
    <m/>
    <n v="0"/>
    <m/>
    <m/>
    <m/>
    <m/>
    <m/>
    <m/>
    <m/>
    <m/>
    <n v="1"/>
    <n v="14"/>
    <n v="13"/>
    <x v="20"/>
    <n v="2"/>
    <d v="2023-10-21T15:23:01"/>
    <s v=""/>
    <s v=""/>
    <s v=""/>
    <m/>
    <m/>
    <m/>
    <m/>
    <m/>
    <m/>
    <m/>
    <m/>
    <m/>
    <m/>
  </r>
  <r>
    <n v="706"/>
    <s v="706 | Finance"/>
    <x v="7"/>
    <s v="Finance - Executive"/>
    <s v="Principal Officer"/>
    <s v="Finance-Principal Officer"/>
    <s v="Executive"/>
    <d v="2023-07-08T15:23:01"/>
    <d v="2023-07-10T15:23:01"/>
    <s v="Yes"/>
    <d v="2023-07-19T15:23:01"/>
    <s v="Pending"/>
    <m/>
    <d v="2023-07-23T15:23:01"/>
    <s v="Pending"/>
    <m/>
    <m/>
    <d v="2023-07-21T15:23:01"/>
    <m/>
    <n v="0"/>
    <m/>
    <m/>
    <m/>
    <m/>
    <m/>
    <m/>
    <m/>
    <m/>
    <n v="2"/>
    <n v="11"/>
    <n v="9"/>
    <x v="8"/>
    <n v="2"/>
    <d v="2023-10-19T15:23:01"/>
    <s v=""/>
    <s v=""/>
    <s v=""/>
    <m/>
    <m/>
    <m/>
    <m/>
    <m/>
    <m/>
    <m/>
    <m/>
    <m/>
    <m/>
  </r>
  <r>
    <n v="604"/>
    <s v="604 | Finance"/>
    <x v="7"/>
    <s v="Finance - Executive"/>
    <s v="Principal Officer"/>
    <s v="Finance-Principal Officer"/>
    <s v="Executive"/>
    <d v="2022-01-07T07:25:27"/>
    <d v="2022-01-10T07:25:27"/>
    <s v="Yes"/>
    <d v="2022-01-27T07:25:27"/>
    <s v="Pending"/>
    <m/>
    <d v="2022-02-02T07:25:27"/>
    <s v="Pending"/>
    <m/>
    <m/>
    <d v="2022-01-30T07:25:27"/>
    <m/>
    <n v="0"/>
    <m/>
    <m/>
    <m/>
    <m/>
    <m/>
    <m/>
    <m/>
    <m/>
    <n v="3"/>
    <n v="20"/>
    <n v="17"/>
    <x v="3"/>
    <n v="3"/>
    <d v="2022-04-30T07:25:27"/>
    <s v=""/>
    <s v=""/>
    <s v=""/>
    <m/>
    <m/>
    <m/>
    <m/>
    <m/>
    <m/>
    <m/>
    <m/>
    <m/>
    <m/>
  </r>
  <r>
    <n v="603"/>
    <s v="603 | Finance"/>
    <x v="7"/>
    <s v="Finance - Executive"/>
    <s v="Principal Officer"/>
    <s v="Finance-Principal Officer"/>
    <s v="Executive"/>
    <d v="2022-01-11T07:25:27"/>
    <d v="2022-01-12T07:25:27"/>
    <s v="Yes"/>
    <d v="2022-01-28T07:25:27"/>
    <s v="Accepted"/>
    <m/>
    <d v="2022-02-05T07:25:27"/>
    <s v="Accepted"/>
    <d v="2022-01-29T07:25:27"/>
    <d v="2022-01-31T07:25:27"/>
    <d v="2022-02-01T07:25:27"/>
    <d v="2022-02-09T07:25:27"/>
    <n v="1"/>
    <d v="2022-02-11T07:25:27"/>
    <d v="2022-02-12T07:25:27"/>
    <d v="2022-02-14T07:25:27"/>
    <m/>
    <m/>
    <d v="2022-02-25T07:25:27"/>
    <m/>
    <m/>
    <n v="1"/>
    <n v="17"/>
    <n v="16"/>
    <x v="19"/>
    <n v="4"/>
    <d v="2022-05-02T07:25:27"/>
    <n v="2"/>
    <n v="24"/>
    <n v="13"/>
    <m/>
    <m/>
    <m/>
    <m/>
    <m/>
    <m/>
    <m/>
    <m/>
    <m/>
    <m/>
  </r>
  <r>
    <n v="602"/>
    <s v="602 | Finance"/>
    <x v="7"/>
    <s v="Finance - Executive"/>
    <s v="Principal Officer"/>
    <s v="Finance-Principal Officer"/>
    <s v="Executive"/>
    <d v="2022-01-10T07:25:27"/>
    <d v="2022-01-13T07:25:27"/>
    <s v="Yes"/>
    <d v="2022-01-25T07:25:27"/>
    <s v="Declined"/>
    <m/>
    <d v="2022-01-30T07:25:27"/>
    <s v="Declined"/>
    <m/>
    <m/>
    <d v="2022-01-27T07:25:27"/>
    <m/>
    <n v="0"/>
    <m/>
    <m/>
    <m/>
    <m/>
    <m/>
    <m/>
    <m/>
    <m/>
    <n v="3"/>
    <n v="15"/>
    <n v="12"/>
    <x v="14"/>
    <n v="2"/>
    <d v="2022-04-27T07:25:27"/>
    <s v=""/>
    <s v=""/>
    <s v=""/>
    <m/>
    <m/>
    <m/>
    <m/>
    <m/>
    <m/>
    <m/>
    <m/>
    <m/>
    <m/>
  </r>
  <r>
    <n v="598"/>
    <s v="598 | Finance"/>
    <x v="7"/>
    <s v="Finance - Executive"/>
    <s v="Principal Officer"/>
    <s v="Finance-Principal Officer"/>
    <s v="Executive"/>
    <d v="2022-11-15T19:43:02"/>
    <d v="2022-11-19T19:43:02"/>
    <s v="Yes"/>
    <d v="2022-11-27T19:43:02"/>
    <s v="Accepted"/>
    <m/>
    <d v="2022-11-30T19:43:02"/>
    <s v="Accepted"/>
    <d v="2022-11-29T19:43:02"/>
    <d v="2022-11-30T19:43:02"/>
    <d v="2022-11-28T19:43:02"/>
    <d v="2022-12-03T19:43:02"/>
    <n v="1"/>
    <d v="2022-12-07T19:43:02"/>
    <d v="2022-12-10T19:43:02"/>
    <d v="2022-12-12T19:43:02"/>
    <m/>
    <m/>
    <d v="2022-12-24T19:43:02"/>
    <m/>
    <m/>
    <n v="4"/>
    <n v="12"/>
    <n v="8"/>
    <x v="8"/>
    <n v="1"/>
    <d v="2023-02-26T19:43:02"/>
    <n v="4"/>
    <n v="26"/>
    <n v="14"/>
    <m/>
    <m/>
    <m/>
    <m/>
    <m/>
    <m/>
    <m/>
    <m/>
    <m/>
    <m/>
  </r>
  <r>
    <n v="596"/>
    <s v="596 | Finance"/>
    <x v="7"/>
    <s v="Finance - Executive"/>
    <s v="Principal Officer"/>
    <s v="Finance-Principal Officer"/>
    <s v="Executive"/>
    <d v="2022-11-13T19:43:02"/>
    <d v="2022-11-16T19:43:02"/>
    <s v="Yes"/>
    <d v="2022-11-30T19:43:02"/>
    <s v="Accepted"/>
    <m/>
    <d v="2022-12-05T19:43:02"/>
    <s v="Accepted"/>
    <d v="2022-12-02T19:43:02"/>
    <d v="2022-12-03T19:43:02"/>
    <d v="2022-12-03T19:43:02"/>
    <d v="2022-12-12T19:43:02"/>
    <n v="1"/>
    <d v="2022-12-14T19:43:02"/>
    <d v="2022-12-15T19:43:02"/>
    <d v="2022-12-18T19:43:02"/>
    <m/>
    <m/>
    <d v="2023-01-02T19:43:02"/>
    <m/>
    <m/>
    <n v="3"/>
    <n v="17"/>
    <n v="14"/>
    <x v="15"/>
    <n v="3"/>
    <d v="2023-03-03T19:43:02"/>
    <n v="2"/>
    <n v="30"/>
    <n v="15"/>
    <m/>
    <m/>
    <m/>
    <m/>
    <m/>
    <m/>
    <m/>
    <m/>
    <m/>
    <m/>
  </r>
  <r>
    <n v="593"/>
    <s v="593 | Finance"/>
    <x v="7"/>
    <s v="Finance - Executive"/>
    <s v="Principal Officer"/>
    <s v="Finance-Principal Officer"/>
    <s v="Executive"/>
    <d v="2022-11-12T19:43:02"/>
    <d v="2022-11-16T19:43:02"/>
    <s v="Yes"/>
    <d v="2022-11-27T19:43:02"/>
    <s v="Accepted"/>
    <m/>
    <d v="2022-12-03T19:43:02"/>
    <s v="Accepted"/>
    <d v="2022-11-29T19:43:02"/>
    <d v="2022-12-01T19:43:02"/>
    <d v="2022-12-01T19:43:02"/>
    <d v="2022-12-05T19:43:02"/>
    <n v="1"/>
    <d v="2022-12-06T19:43:02"/>
    <d v="2022-12-07T19:43:02"/>
    <d v="2022-12-08T19:43:02"/>
    <m/>
    <m/>
    <d v="2022-12-28T19:43:02"/>
    <m/>
    <m/>
    <n v="4"/>
    <n v="15"/>
    <n v="11"/>
    <x v="13"/>
    <n v="4"/>
    <d v="2023-03-01T19:43:02"/>
    <n v="1"/>
    <n v="27"/>
    <n v="7"/>
    <m/>
    <m/>
    <m/>
    <m/>
    <m/>
    <m/>
    <m/>
    <m/>
    <m/>
    <m/>
  </r>
  <r>
    <n v="592"/>
    <s v="592 | Finance"/>
    <x v="7"/>
    <s v="Finance - Executive"/>
    <s v="Principal Officer"/>
    <s v="Finance-Principal Officer"/>
    <s v="Executive"/>
    <d v="2022-11-13T19:43:02"/>
    <d v="2022-11-15T19:43:02"/>
    <s v="Yes"/>
    <d v="2022-12-02T19:43:02"/>
    <s v="Accepted"/>
    <m/>
    <d v="2022-12-07T19:43:02"/>
    <s v="Accepted"/>
    <d v="2022-12-04T19:43:02"/>
    <d v="2022-12-05T19:43:02"/>
    <d v="2022-12-03T19:43:02"/>
    <d v="2022-12-12T19:43:02"/>
    <n v="1"/>
    <d v="2022-12-14T19:43:02"/>
    <d v="2022-12-17T19:43:02"/>
    <d v="2022-12-19T19:43:02"/>
    <m/>
    <m/>
    <d v="2023-01-09T19:43:02"/>
    <m/>
    <m/>
    <n v="2"/>
    <n v="19"/>
    <n v="17"/>
    <x v="15"/>
    <n v="1"/>
    <d v="2023-03-03T19:43:02"/>
    <n v="2"/>
    <n v="37"/>
    <n v="16"/>
    <m/>
    <m/>
    <m/>
    <m/>
    <m/>
    <m/>
    <m/>
    <m/>
    <m/>
    <m/>
  </r>
  <r>
    <n v="457"/>
    <s v="457 | Finance"/>
    <x v="7"/>
    <s v="Finance - Executive"/>
    <s v="Principal Officer"/>
    <s v="Finance-Principal Officer"/>
    <s v="Executive"/>
    <d v="2023-02-13T13:42:17"/>
    <d v="2023-02-16T13:42:17"/>
    <s v="Yes"/>
    <d v="2023-03-08T13:42:17"/>
    <s v="Declined"/>
    <m/>
    <d v="2023-03-16T13:42:17"/>
    <s v="Declined"/>
    <m/>
    <m/>
    <d v="2023-03-12T13:42:17"/>
    <m/>
    <n v="0"/>
    <m/>
    <m/>
    <m/>
    <m/>
    <m/>
    <m/>
    <m/>
    <m/>
    <n v="3"/>
    <n v="23"/>
    <n v="20"/>
    <x v="18"/>
    <n v="4"/>
    <d v="2023-06-10T13:42:17"/>
    <s v=""/>
    <s v=""/>
    <s v=""/>
    <m/>
    <m/>
    <m/>
    <m/>
    <m/>
    <m/>
    <m/>
    <m/>
    <m/>
    <m/>
  </r>
  <r>
    <n v="398"/>
    <s v="398 | Finance"/>
    <x v="7"/>
    <s v="Finance - Executive"/>
    <s v="Principal Officer"/>
    <s v="Finance-Principal Officer"/>
    <s v="Executive"/>
    <d v="2023-02-12T16:28:40"/>
    <d v="2023-02-15T16:28:40"/>
    <s v="Yes"/>
    <d v="2023-02-26T16:28:40"/>
    <s v="Failed"/>
    <s v="Other"/>
    <m/>
    <m/>
    <m/>
    <m/>
    <d v="2023-03-02T16:28:40"/>
    <m/>
    <n v="0"/>
    <m/>
    <m/>
    <m/>
    <m/>
    <s v="Company"/>
    <m/>
    <m/>
    <m/>
    <n v="3"/>
    <n v="14"/>
    <n v="11"/>
    <x v="12"/>
    <n v="4"/>
    <d v="2023-05-31T16:28:40"/>
    <s v=""/>
    <s v=""/>
    <s v=""/>
    <m/>
    <m/>
    <m/>
    <m/>
    <m/>
    <m/>
    <m/>
    <m/>
    <m/>
    <m/>
  </r>
  <r>
    <n v="397"/>
    <s v="397 | Finance"/>
    <x v="7"/>
    <s v="Finance - Executive"/>
    <s v="Principal Officer"/>
    <s v="Finance-Principal Officer"/>
    <s v="Executive"/>
    <d v="2023-02-14T16:28:40"/>
    <d v="2023-02-16T16:28:4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391"/>
    <s v="391 | Finance"/>
    <x v="7"/>
    <s v="Finance - Executive"/>
    <s v="Principal Officer"/>
    <s v="Finance-Principal Officer"/>
    <s v="Executive"/>
    <d v="2023-02-16T16:28:40"/>
    <d v="2023-02-19T16:28:40"/>
    <s v="Yes"/>
    <d v="2023-03-01T16:28:40"/>
    <s v="Failed"/>
    <s v="Didn't pass technical test"/>
    <m/>
    <m/>
    <m/>
    <m/>
    <m/>
    <m/>
    <n v="0"/>
    <m/>
    <m/>
    <m/>
    <m/>
    <s v="Company"/>
    <m/>
    <m/>
    <m/>
    <n v="3"/>
    <n v="13"/>
    <n v="10"/>
    <x v="0"/>
    <s v=""/>
    <s v=""/>
    <s v=""/>
    <s v=""/>
    <s v=""/>
    <m/>
    <m/>
    <m/>
    <m/>
    <m/>
    <m/>
    <m/>
    <m/>
    <m/>
    <m/>
  </r>
  <r>
    <n v="348"/>
    <s v="348 | Finance"/>
    <x v="7"/>
    <s v="Finance - Executive"/>
    <s v="Principal Officer"/>
    <s v="Finance-Principal Officer"/>
    <s v="Executive"/>
    <d v="2022-05-01T15:27:54"/>
    <d v="2022-05-04T15:27:54"/>
    <s v="Yes"/>
    <d v="2022-05-12T15:27:54"/>
    <s v="Accepted"/>
    <m/>
    <d v="2022-05-16T15:27:54"/>
    <s v="Accepted"/>
    <d v="2022-05-13T15:27:54"/>
    <d v="2022-05-17T15:27:54"/>
    <d v="2022-05-15T15:27:54"/>
    <d v="2022-05-22T15:27:54"/>
    <n v="1"/>
    <d v="2022-05-24T15:27:54"/>
    <d v="2022-05-25T15:27:54"/>
    <d v="2022-05-27T15:27:54"/>
    <m/>
    <m/>
    <d v="2022-06-13T15:27:54"/>
    <m/>
    <m/>
    <n v="3"/>
    <n v="11"/>
    <n v="8"/>
    <x v="1"/>
    <n v="3"/>
    <d v="2022-08-13T15:27:54"/>
    <n v="2"/>
    <n v="29"/>
    <n v="12"/>
    <m/>
    <m/>
    <m/>
    <m/>
    <m/>
    <m/>
    <m/>
    <m/>
    <m/>
    <m/>
  </r>
  <r>
    <n v="344"/>
    <s v="344 | Finance"/>
    <x v="7"/>
    <s v="Finance - Executive"/>
    <s v="Principal Officer"/>
    <s v="Finance-Principal Officer"/>
    <s v="Executive"/>
    <d v="2022-04-30T15:27:54"/>
    <d v="2022-05-04T15:27:5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343"/>
    <s v="343 | Finance"/>
    <x v="7"/>
    <s v="Finance - Executive"/>
    <s v="Principal Officer"/>
    <s v="Finance-Principal Officer"/>
    <s v="Executive"/>
    <d v="2022-05-07T15:27:54"/>
    <d v="2022-05-08T15:27:54"/>
    <s v="Yes"/>
    <d v="2022-05-25T15:27:54"/>
    <s v="Failed"/>
    <s v="Didn't pass technical test"/>
    <m/>
    <m/>
    <m/>
    <m/>
    <d v="2022-05-26T15:27:54"/>
    <m/>
    <n v="0"/>
    <m/>
    <m/>
    <m/>
    <m/>
    <s v="Candidate"/>
    <m/>
    <m/>
    <m/>
    <n v="1"/>
    <n v="18"/>
    <n v="17"/>
    <x v="13"/>
    <n v="1"/>
    <d v="2022-08-24T15:27:54"/>
    <s v=""/>
    <s v=""/>
    <s v=""/>
    <m/>
    <m/>
    <m/>
    <m/>
    <m/>
    <m/>
    <m/>
    <m/>
    <m/>
    <m/>
  </r>
  <r>
    <n v="289"/>
    <s v="289 | Finance"/>
    <x v="7"/>
    <s v="Finance - Executive"/>
    <s v="Principal Officer"/>
    <s v="Finance-Principal Officer"/>
    <s v="Executive"/>
    <d v="2022-05-17T16:15:48"/>
    <d v="2022-05-19T16:15:48"/>
    <s v="Yes"/>
    <d v="2022-06-11T16:15:48"/>
    <s v="Accepted"/>
    <m/>
    <d v="2022-06-15T16:15:48"/>
    <s v="Accepted"/>
    <d v="2022-06-12T16:15:48"/>
    <d v="2022-06-16T16:15:48"/>
    <d v="2022-06-14T16:15:48"/>
    <d v="2022-06-23T16:15:48"/>
    <n v="1"/>
    <d v="2022-06-26T16:15:48"/>
    <d v="2022-06-27T16:15:48"/>
    <d v="2022-06-30T16:15:48"/>
    <m/>
    <m/>
    <d v="2022-07-14T16:15:48"/>
    <m/>
    <m/>
    <n v="2"/>
    <n v="25"/>
    <n v="23"/>
    <x v="6"/>
    <n v="3"/>
    <d v="2022-09-12T16:15:48"/>
    <n v="3"/>
    <n v="30"/>
    <n v="16"/>
    <m/>
    <m/>
    <m/>
    <m/>
    <m/>
    <m/>
    <m/>
    <m/>
    <m/>
    <m/>
  </r>
  <r>
    <n v="281"/>
    <s v="281 | Finance"/>
    <x v="7"/>
    <s v="Finance - Executive"/>
    <s v="Director"/>
    <s v="Finance-Director"/>
    <s v="Executive"/>
    <d v="2022-05-18T16:15:48"/>
    <d v="2022-05-20T16:15:48"/>
    <s v="Yes"/>
    <d v="2022-06-04T16:15:48"/>
    <s v="Failed"/>
    <s v="Position filled by another"/>
    <m/>
    <m/>
    <m/>
    <m/>
    <d v="2022-06-07T16:15:48"/>
    <m/>
    <n v="0"/>
    <m/>
    <m/>
    <m/>
    <m/>
    <s v="Candidate"/>
    <m/>
    <m/>
    <m/>
    <n v="2"/>
    <n v="17"/>
    <n v="15"/>
    <x v="15"/>
    <n v="3"/>
    <d v="2022-09-05T16:15:48"/>
    <s v=""/>
    <s v=""/>
    <s v=""/>
    <m/>
    <m/>
    <m/>
    <m/>
    <m/>
    <m/>
    <m/>
    <m/>
    <m/>
    <m/>
  </r>
  <r>
    <n v="209"/>
    <s v="209 | Finance"/>
    <x v="7"/>
    <s v="Finance - Executive"/>
    <s v="Director"/>
    <s v="Finance-Director"/>
    <s v="Executive"/>
    <d v="2022-07-02T08:13:46"/>
    <d v="2022-07-06T08:13:46"/>
    <s v="Yes"/>
    <d v="2022-07-22T08:13:46"/>
    <s v="Failed"/>
    <s v="Other"/>
    <m/>
    <m/>
    <m/>
    <m/>
    <d v="2022-07-26T08:13:46"/>
    <m/>
    <n v="0"/>
    <m/>
    <m/>
    <m/>
    <m/>
    <s v="Candidate"/>
    <m/>
    <m/>
    <m/>
    <n v="4"/>
    <n v="20"/>
    <n v="16"/>
    <x v="21"/>
    <n v="4"/>
    <d v="2022-10-24T08:13:46"/>
    <s v=""/>
    <s v=""/>
    <s v=""/>
    <m/>
    <m/>
    <m/>
    <m/>
    <m/>
    <m/>
    <m/>
    <m/>
    <m/>
    <m/>
  </r>
  <r>
    <n v="201"/>
    <s v="201 | Finance"/>
    <x v="7"/>
    <s v="Finance - Executive"/>
    <s v="Director"/>
    <s v="Finance-Director"/>
    <s v="Executive"/>
    <d v="2022-07-06T08:13:46"/>
    <d v="2022-07-10T08:13:4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07"/>
    <s v="107 | Finance"/>
    <x v="7"/>
    <s v="Finance - Executive"/>
    <s v="Director"/>
    <s v="Finance-Director"/>
    <s v="Executive"/>
    <d v="2023-03-28T21:07:16"/>
    <d v="2023-03-31T21:07:16"/>
    <s v="Yes"/>
    <d v="2023-04-06T21:07:16"/>
    <s v="Pending"/>
    <m/>
    <d v="2023-04-14T21:07:16"/>
    <s v="Pending"/>
    <m/>
    <m/>
    <d v="2023-04-10T21:07:16"/>
    <m/>
    <n v="0"/>
    <m/>
    <m/>
    <m/>
    <m/>
    <m/>
    <m/>
    <m/>
    <m/>
    <n v="3"/>
    <n v="9"/>
    <n v="6"/>
    <x v="8"/>
    <n v="4"/>
    <d v="2023-07-09T21:07:16"/>
    <s v=""/>
    <s v=""/>
    <s v=""/>
    <m/>
    <m/>
    <m/>
    <m/>
    <m/>
    <m/>
    <m/>
    <m/>
    <m/>
    <m/>
  </r>
  <r>
    <n v="96"/>
    <s v="96 | Finance"/>
    <x v="7"/>
    <s v="Finance - Executive"/>
    <s v="Director"/>
    <s v="Finance-Director"/>
    <s v="Executive"/>
    <d v="2022-10-06T14:05:41"/>
    <d v="2022-10-10T14:05:41"/>
    <s v="Yes"/>
    <d v="2022-10-21T14:05:41"/>
    <s v="Failed"/>
    <s v="Salary expectation too high"/>
    <m/>
    <m/>
    <m/>
    <m/>
    <d v="2022-10-23T14:05:41"/>
    <m/>
    <n v="0"/>
    <m/>
    <m/>
    <m/>
    <m/>
    <s v="Candidate"/>
    <m/>
    <m/>
    <m/>
    <n v="4"/>
    <n v="15"/>
    <n v="11"/>
    <x v="14"/>
    <n v="2"/>
    <d v="2023-01-21T14:05:41"/>
    <s v=""/>
    <s v=""/>
    <s v=""/>
    <m/>
    <m/>
    <m/>
    <m/>
    <m/>
    <m/>
    <m/>
    <m/>
    <m/>
    <m/>
  </r>
  <r>
    <n v="75"/>
    <s v="75 | Finance"/>
    <x v="7"/>
    <s v="Finance - Executive"/>
    <s v="Director"/>
    <s v="Finance-Director"/>
    <s v="Executive"/>
    <d v="2022-07-05T09:51:33"/>
    <d v="2022-07-06T09:51:33"/>
    <s v="Yes"/>
    <d v="2022-07-27T09:51:33"/>
    <s v="Failed"/>
    <s v="Position filled by another"/>
    <m/>
    <m/>
    <m/>
    <m/>
    <m/>
    <m/>
    <n v="0"/>
    <m/>
    <m/>
    <m/>
    <m/>
    <s v="Candidate"/>
    <m/>
    <m/>
    <m/>
    <n v="1"/>
    <n v="22"/>
    <n v="21"/>
    <x v="0"/>
    <s v=""/>
    <s v=""/>
    <s v=""/>
    <s v=""/>
    <s v=""/>
    <m/>
    <m/>
    <m/>
    <m/>
    <m/>
    <m/>
    <m/>
    <m/>
    <m/>
    <m/>
  </r>
  <r>
    <n v="73"/>
    <s v="73 | Finance"/>
    <x v="7"/>
    <s v="Finance - Executive"/>
    <s v="Director"/>
    <s v="Finance-Director"/>
    <s v="Executive"/>
    <d v="2022-07-06T09:51:33"/>
    <d v="2022-07-07T09:51:33"/>
    <s v="Yes"/>
    <d v="2022-07-17T09:51:33"/>
    <s v="Accepted"/>
    <m/>
    <d v="2022-07-22T09:51:33"/>
    <s v="Accepted"/>
    <d v="2022-07-18T09:51:33"/>
    <d v="2022-07-22T09:51:33"/>
    <d v="2022-07-21T09:51:33"/>
    <d v="2022-07-30T09:51:33"/>
    <n v="1"/>
    <d v="2022-08-03T09:51:33"/>
    <d v="2022-08-04T09:51:33"/>
    <d v="2022-08-06T09:51:33"/>
    <m/>
    <m/>
    <d v="2022-08-23T09:51:33"/>
    <m/>
    <m/>
    <n v="1"/>
    <n v="11"/>
    <n v="10"/>
    <x v="16"/>
    <n v="4"/>
    <d v="2022-10-19T09:51:33"/>
    <n v="4"/>
    <n v="33"/>
    <n v="16"/>
    <m/>
    <m/>
    <m/>
    <m/>
    <m/>
    <m/>
    <m/>
    <m/>
    <m/>
    <m/>
  </r>
  <r>
    <n v="71"/>
    <s v="71 | Finance"/>
    <x v="7"/>
    <s v="Finance - Executive"/>
    <s v="Director"/>
    <s v="Finance-Director"/>
    <s v="Executive"/>
    <d v="2022-07-10T09:51:33"/>
    <d v="2022-07-11T09:51:33"/>
    <s v="Yes"/>
    <d v="2022-07-20T09:51:33"/>
    <s v="Pending"/>
    <m/>
    <d v="2022-07-26T09:51:33"/>
    <s v="Pending"/>
    <m/>
    <m/>
    <d v="2022-07-24T09:51:33"/>
    <m/>
    <n v="0"/>
    <m/>
    <m/>
    <m/>
    <m/>
    <m/>
    <m/>
    <m/>
    <m/>
    <n v="1"/>
    <n v="10"/>
    <n v="9"/>
    <x v="1"/>
    <n v="4"/>
    <d v="2022-10-22T09:51:33"/>
    <s v=""/>
    <s v=""/>
    <s v=""/>
    <m/>
    <m/>
    <m/>
    <m/>
    <m/>
    <m/>
    <m/>
    <m/>
    <m/>
    <m/>
  </r>
  <r>
    <n v="27"/>
    <s v="27 | Finance"/>
    <x v="7"/>
    <s v="Finance - Executive"/>
    <s v="Director"/>
    <s v="Finance-Director"/>
    <s v="Executive"/>
    <d v="2022-12-23T10:52:58"/>
    <d v="2022-12-26T10:52:58"/>
    <s v="Yes"/>
    <d v="2023-01-07T10:52:58"/>
    <s v="Pending"/>
    <m/>
    <d v="2023-01-12T10:52:58"/>
    <s v="Pending"/>
    <m/>
    <m/>
    <d v="2023-01-08T10:52:58"/>
    <m/>
    <n v="0"/>
    <m/>
    <m/>
    <m/>
    <m/>
    <m/>
    <m/>
    <m/>
    <m/>
    <n v="3"/>
    <n v="15"/>
    <n v="12"/>
    <x v="20"/>
    <n v="1"/>
    <d v="2023-04-08T10:52:58"/>
    <s v=""/>
    <s v=""/>
    <s v=""/>
    <m/>
    <m/>
    <m/>
    <m/>
    <m/>
    <m/>
    <m/>
    <m/>
    <m/>
    <m/>
  </r>
  <r>
    <n v="26"/>
    <s v="26 | Finance"/>
    <x v="7"/>
    <s v="Finance - Executive"/>
    <s v="Director"/>
    <s v="Finance-Director"/>
    <s v="Executive"/>
    <d v="2022-12-27T10:52:58"/>
    <d v="2022-12-31T10:52:58"/>
    <s v="Yes"/>
    <d v="2023-01-19T10:52:58"/>
    <s v="Accepted"/>
    <m/>
    <d v="2023-01-26T10:52:58"/>
    <s v="Accepted"/>
    <d v="2023-01-20T10:52:58"/>
    <d v="2023-01-22T10:52:58"/>
    <d v="2023-01-22T10:52:58"/>
    <d v="2023-01-27T10:52:58"/>
    <n v="1"/>
    <d v="2023-01-28T10:52:58"/>
    <d v="2023-01-29T10:52:58"/>
    <d v="2023-02-01T10:52:58"/>
    <m/>
    <m/>
    <d v="2023-02-13T10:52:58"/>
    <m/>
    <m/>
    <n v="4"/>
    <n v="23"/>
    <n v="19"/>
    <x v="25"/>
    <n v="3"/>
    <d v="2023-04-22T10:52:58"/>
    <n v="1"/>
    <n v="22"/>
    <n v="10"/>
    <m/>
    <m/>
    <m/>
    <m/>
    <m/>
    <m/>
    <m/>
    <m/>
    <m/>
    <m/>
  </r>
  <r>
    <n v="25"/>
    <s v="25 | Finance"/>
    <x v="7"/>
    <s v="Finance - Executive"/>
    <s v="Director"/>
    <s v="Finance-Director"/>
    <s v="Executive"/>
    <d v="2022-12-22T10:52:58"/>
    <d v="2022-12-26T10:52:58"/>
    <s v="Yes"/>
    <d v="2023-01-12T10:52:58"/>
    <s v="Failed"/>
    <s v="Position filled by another"/>
    <m/>
    <m/>
    <m/>
    <m/>
    <d v="2023-01-13T10:52:58"/>
    <m/>
    <n v="0"/>
    <m/>
    <m/>
    <m/>
    <m/>
    <s v="Company"/>
    <m/>
    <m/>
    <m/>
    <n v="4"/>
    <n v="21"/>
    <n v="17"/>
    <x v="7"/>
    <n v="1"/>
    <d v="2023-04-13T10:52:58"/>
    <s v=""/>
    <s v=""/>
    <s v=""/>
    <m/>
    <m/>
    <m/>
    <m/>
    <m/>
    <m/>
    <m/>
    <m/>
    <m/>
    <m/>
  </r>
  <r>
    <n v="19"/>
    <s v="19 | Finance"/>
    <x v="7"/>
    <s v="Finance - Executive"/>
    <s v="Director"/>
    <s v="Finance-Director"/>
    <s v="Executive"/>
    <d v="2022-03-17T21:37:51"/>
    <d v="2022-03-19T21:37:51"/>
    <s v="Yes"/>
    <d v="2022-03-29T21:37:51"/>
    <s v="Failed"/>
    <s v="Other"/>
    <m/>
    <m/>
    <m/>
    <m/>
    <m/>
    <m/>
    <n v="0"/>
    <m/>
    <m/>
    <m/>
    <m/>
    <s v="Candidate"/>
    <m/>
    <m/>
    <m/>
    <n v="2"/>
    <n v="12"/>
    <n v="10"/>
    <x v="0"/>
    <s v=""/>
    <s v=""/>
    <s v=""/>
    <s v=""/>
    <s v=""/>
    <m/>
    <m/>
    <m/>
    <m/>
    <m/>
    <m/>
    <m/>
    <m/>
    <m/>
    <m/>
  </r>
  <r>
    <n v="13"/>
    <s v="13 | Finance"/>
    <x v="7"/>
    <s v="Finance - Executive"/>
    <s v="Director"/>
    <s v="Finance-Director"/>
    <s v="Executive"/>
    <d v="2022-03-12T21:37:51"/>
    <d v="2022-03-16T21:37:51"/>
    <s v="Yes"/>
    <d v="2022-03-28T21:37:51"/>
    <s v="Failed"/>
    <s v="Position filled by another"/>
    <m/>
    <m/>
    <m/>
    <m/>
    <m/>
    <m/>
    <n v="0"/>
    <m/>
    <m/>
    <m/>
    <m/>
    <s v="Candidate"/>
    <m/>
    <m/>
    <m/>
    <n v="4"/>
    <n v="16"/>
    <n v="12"/>
    <x v="0"/>
    <s v=""/>
    <s v=""/>
    <s v=""/>
    <s v=""/>
    <s v=""/>
    <m/>
    <m/>
    <m/>
    <m/>
    <m/>
    <m/>
    <m/>
    <m/>
    <m/>
    <m/>
  </r>
  <r>
    <n v="11"/>
    <s v="11 | Finance"/>
    <x v="7"/>
    <s v="Finance - Executive"/>
    <s v="Director"/>
    <s v="Finance-Director"/>
    <s v="Executive"/>
    <d v="2022-03-14T21:37:51"/>
    <d v="2022-03-16T21:37:51"/>
    <s v="Yes"/>
    <d v="2022-04-04T21:37:51"/>
    <s v="Failed"/>
    <s v="Salary expectation too high"/>
    <m/>
    <m/>
    <m/>
    <m/>
    <d v="2022-04-07T21:37:51"/>
    <m/>
    <n v="0"/>
    <m/>
    <m/>
    <m/>
    <m/>
    <s v="Company"/>
    <m/>
    <m/>
    <m/>
    <n v="2"/>
    <n v="21"/>
    <n v="19"/>
    <x v="21"/>
    <n v="3"/>
    <d v="2022-07-06T21:37:51"/>
    <s v=""/>
    <s v=""/>
    <s v=""/>
    <m/>
    <m/>
    <m/>
    <m/>
    <m/>
    <m/>
    <m/>
    <m/>
    <m/>
    <m/>
  </r>
  <r>
    <n v="2760"/>
    <s v="2760 | Finance"/>
    <x v="7"/>
    <s v="Finance - Associate"/>
    <s v="Revenue Recorgnition"/>
    <s v="Finance-Revenue Recorgnition"/>
    <s v="Associate"/>
    <d v="2023-04-10T18:21:43"/>
    <d v="2023-04-13T18:21:43"/>
    <s v="Yes"/>
    <d v="2023-04-21T18:21:43"/>
    <s v="Failed"/>
    <s v="Not a culture fit"/>
    <m/>
    <m/>
    <m/>
    <m/>
    <d v="2023-04-24T18:21:43"/>
    <m/>
    <n v="0"/>
    <m/>
    <m/>
    <m/>
    <m/>
    <s v="Company"/>
    <m/>
    <m/>
    <m/>
    <n v="3"/>
    <n v="11"/>
    <n v="8"/>
    <x v="1"/>
    <n v="3"/>
    <d v="2023-07-23T18:21:43"/>
    <s v=""/>
    <s v=""/>
    <s v=""/>
    <m/>
    <m/>
    <m/>
    <m/>
    <m/>
    <m/>
    <m/>
    <m/>
    <m/>
    <m/>
  </r>
  <r>
    <n v="2684"/>
    <s v="2684 | Finance"/>
    <x v="7"/>
    <s v="Finance - Associate"/>
    <s v="Revenue Recorgnition"/>
    <s v="Finance-Revenue Recorgnition"/>
    <s v="Associate"/>
    <d v="2023-07-29T17:11:38"/>
    <d v="2023-07-31T17:11:3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79"/>
    <s v="2679 | Finance"/>
    <x v="7"/>
    <s v="Finance - Associate"/>
    <s v="Revenue Recorgnition"/>
    <s v="Finance-Revenue Recorgnition"/>
    <s v="Associate"/>
    <d v="2022-02-08T03:23:10"/>
    <d v="2022-02-11T03:23:10"/>
    <s v="Yes"/>
    <d v="2022-03-03T03:23:10"/>
    <s v="Accepted"/>
    <m/>
    <d v="2022-03-07T03:23:10"/>
    <s v="Accepted"/>
    <d v="2022-03-05T03:23:10"/>
    <d v="2022-03-07T03:23:10"/>
    <d v="2022-03-06T03:23:10"/>
    <d v="2022-03-10T03:23:10"/>
    <n v="1"/>
    <d v="2022-03-14T03:23:10"/>
    <d v="2022-03-17T03:23:10"/>
    <d v="2022-03-18T03:23:10"/>
    <m/>
    <m/>
    <d v="2022-03-29T03:23:10"/>
    <m/>
    <m/>
    <n v="3"/>
    <n v="23"/>
    <n v="20"/>
    <x v="25"/>
    <n v="3"/>
    <d v="2022-06-04T03:23:10"/>
    <n v="4"/>
    <n v="23"/>
    <n v="12"/>
    <m/>
    <m/>
    <m/>
    <m/>
    <m/>
    <m/>
    <m/>
    <m/>
    <m/>
    <m/>
  </r>
  <r>
    <n v="2672"/>
    <s v="2672 | Finance"/>
    <x v="7"/>
    <s v="Finance - Associate"/>
    <s v="Revenue Recorgnition"/>
    <s v="Finance-Revenue Recorgnition"/>
    <s v="Associate"/>
    <d v="2022-02-12T03:23:10"/>
    <d v="2022-02-15T03:23:10"/>
    <s v="Yes"/>
    <d v="2022-02-21T03:23:10"/>
    <s v="Failed"/>
    <s v="Other"/>
    <m/>
    <m/>
    <m/>
    <m/>
    <d v="2022-02-24T03:23:10"/>
    <m/>
    <n v="0"/>
    <m/>
    <m/>
    <m/>
    <m/>
    <s v="Company"/>
    <m/>
    <m/>
    <m/>
    <n v="3"/>
    <n v="9"/>
    <n v="6"/>
    <x v="24"/>
    <n v="3"/>
    <d v="2022-05-25T03:23:10"/>
    <s v=""/>
    <s v=""/>
    <s v=""/>
    <m/>
    <m/>
    <m/>
    <m/>
    <m/>
    <m/>
    <m/>
    <m/>
    <m/>
    <m/>
  </r>
  <r>
    <n v="2548"/>
    <s v="2548 | Finance"/>
    <x v="7"/>
    <s v="Finance - Associate"/>
    <s v="Revenue Recorgnition"/>
    <s v="Finance-Revenue Recorgnition"/>
    <s v="Associate"/>
    <d v="2023-06-30T11:30:00"/>
    <d v="2023-07-03T11:30:00"/>
    <s v="Yes"/>
    <d v="2023-07-18T11:30:00"/>
    <s v="Failed"/>
    <s v="Salary expectation too high"/>
    <m/>
    <m/>
    <m/>
    <m/>
    <m/>
    <m/>
    <n v="0"/>
    <m/>
    <m/>
    <m/>
    <m/>
    <s v="Company"/>
    <m/>
    <m/>
    <m/>
    <n v="3"/>
    <n v="18"/>
    <n v="15"/>
    <x v="0"/>
    <s v=""/>
    <s v=""/>
    <s v=""/>
    <s v=""/>
    <s v=""/>
    <m/>
    <m/>
    <m/>
    <m/>
    <m/>
    <m/>
    <m/>
    <m/>
    <m/>
    <m/>
  </r>
  <r>
    <n v="2546"/>
    <s v="2546 | Finance"/>
    <x v="7"/>
    <s v="Finance - Associate"/>
    <s v="Revenue Recorgnition"/>
    <s v="Finance-Revenue Recorgnition"/>
    <s v="Associate"/>
    <d v="2023-07-01T11:30:00"/>
    <d v="2023-07-02T11:30:00"/>
    <s v="Yes"/>
    <d v="2023-07-19T11:30:00"/>
    <s v="Accepted"/>
    <m/>
    <d v="2023-07-27T11:30:00"/>
    <s v="Accepted"/>
    <d v="2023-07-21T11:30:00"/>
    <d v="2023-07-25T11:30:00"/>
    <d v="2023-07-23T11:30:00"/>
    <d v="2023-07-28T11:30:00"/>
    <n v="1"/>
    <d v="2023-07-31T11:30:00"/>
    <d v="2023-08-03T11:30:00"/>
    <d v="2023-08-05T11:30:00"/>
    <m/>
    <m/>
    <d v="2023-08-14T11:30:00"/>
    <m/>
    <m/>
    <n v="1"/>
    <n v="18"/>
    <n v="17"/>
    <x v="7"/>
    <n v="4"/>
    <d v="2023-10-21T11:30:00"/>
    <n v="3"/>
    <n v="22"/>
    <n v="13"/>
    <m/>
    <m/>
    <m/>
    <m/>
    <m/>
    <m/>
    <m/>
    <m/>
    <m/>
    <m/>
  </r>
  <r>
    <n v="2509"/>
    <s v="2509 | Finance"/>
    <x v="7"/>
    <s v="Finance - Associate"/>
    <s v="Revenue Recorgnition"/>
    <s v="Finance-Revenue Recorgnition"/>
    <s v="Associate"/>
    <d v="2022-06-26T18:38:51"/>
    <d v="2022-06-29T18:38:51"/>
    <s v="Yes"/>
    <d v="2022-07-11T18:38:51"/>
    <s v="Declined"/>
    <m/>
    <d v="2022-07-16T18:38:51"/>
    <s v="Declined"/>
    <m/>
    <m/>
    <d v="2022-07-12T18:38:51"/>
    <m/>
    <n v="0"/>
    <m/>
    <m/>
    <m/>
    <m/>
    <m/>
    <m/>
    <m/>
    <m/>
    <n v="3"/>
    <n v="15"/>
    <n v="12"/>
    <x v="20"/>
    <n v="1"/>
    <d v="2022-10-10T18:38:51"/>
    <s v=""/>
    <s v=""/>
    <s v=""/>
    <m/>
    <m/>
    <m/>
    <m/>
    <m/>
    <m/>
    <m/>
    <m/>
    <m/>
    <m/>
  </r>
  <r>
    <n v="2504"/>
    <s v="2504 | Finance"/>
    <x v="7"/>
    <s v="Finance - Associate"/>
    <s v="Revenue Recorgnition"/>
    <s v="Finance-Revenue Recorgnition"/>
    <s v="Associate"/>
    <d v="2022-06-25T18:38:51"/>
    <d v="2022-06-28T18:38:51"/>
    <s v="Yes"/>
    <d v="2022-07-18T18:38:51"/>
    <s v="Failed"/>
    <s v="Other"/>
    <m/>
    <m/>
    <m/>
    <m/>
    <d v="2022-07-21T18:38:51"/>
    <m/>
    <n v="0"/>
    <m/>
    <m/>
    <m/>
    <m/>
    <s v="Candidate"/>
    <m/>
    <m/>
    <m/>
    <n v="3"/>
    <n v="23"/>
    <n v="20"/>
    <x v="25"/>
    <n v="3"/>
    <d v="2022-10-19T18:38:51"/>
    <s v=""/>
    <s v=""/>
    <s v=""/>
    <m/>
    <m/>
    <m/>
    <m/>
    <m/>
    <m/>
    <m/>
    <m/>
    <m/>
    <m/>
  </r>
  <r>
    <n v="2501"/>
    <s v="2501 | Finance"/>
    <x v="7"/>
    <s v="Finance - Associate"/>
    <s v="Revenue Recorgnition"/>
    <s v="Finance-Revenue Recorgnition"/>
    <s v="Associate"/>
    <d v="2022-06-22T18:38:51"/>
    <d v="2022-06-26T18:38:51"/>
    <s v="Yes"/>
    <d v="2022-07-09T18:38:51"/>
    <s v="Failed"/>
    <s v="Not a culture fit"/>
    <m/>
    <m/>
    <m/>
    <m/>
    <d v="2022-07-12T18:38:51"/>
    <m/>
    <n v="0"/>
    <m/>
    <m/>
    <m/>
    <m/>
    <s v="Candidate"/>
    <m/>
    <m/>
    <m/>
    <n v="4"/>
    <n v="17"/>
    <n v="13"/>
    <x v="15"/>
    <n v="3"/>
    <d v="2022-10-10T18:38:51"/>
    <s v=""/>
    <s v=""/>
    <s v=""/>
    <m/>
    <m/>
    <m/>
    <m/>
    <m/>
    <m/>
    <m/>
    <m/>
    <m/>
    <m/>
  </r>
  <r>
    <n v="2475"/>
    <s v="2475 | Finance"/>
    <x v="7"/>
    <s v="Finance - Associate"/>
    <s v="Revenue Recorgnition"/>
    <s v="Finance-Revenue Recorgnition"/>
    <s v="Associate"/>
    <d v="2022-12-20T10:20:25"/>
    <d v="2022-12-22T10:20:25"/>
    <s v="Yes"/>
    <d v="2022-12-31T10:20:25"/>
    <s v="Declined"/>
    <m/>
    <d v="2023-01-03T10:20:25"/>
    <s v="Declined"/>
    <m/>
    <m/>
    <d v="2023-01-02T10:20:25"/>
    <m/>
    <n v="0"/>
    <m/>
    <m/>
    <m/>
    <m/>
    <m/>
    <m/>
    <m/>
    <m/>
    <n v="2"/>
    <n v="11"/>
    <n v="9"/>
    <x v="8"/>
    <n v="2"/>
    <d v="2023-04-02T10:20:25"/>
    <s v=""/>
    <s v=""/>
    <s v=""/>
    <m/>
    <m/>
    <m/>
    <m/>
    <m/>
    <m/>
    <m/>
    <m/>
    <m/>
    <m/>
  </r>
  <r>
    <n v="2353"/>
    <s v="2353 | Finance"/>
    <x v="7"/>
    <s v="Finance - Associate"/>
    <s v="Revenue Recorgnition"/>
    <s v="Finance-Revenue Recorgnition"/>
    <s v="Associate"/>
    <d v="2023-04-11T12:37:54"/>
    <d v="2023-04-12T12:37:54"/>
    <s v="Yes"/>
    <d v="2023-04-24T12:37:54"/>
    <s v="Failed"/>
    <s v="Salary expectation too high"/>
    <m/>
    <m/>
    <m/>
    <m/>
    <m/>
    <m/>
    <n v="0"/>
    <m/>
    <m/>
    <m/>
    <m/>
    <s v="Company"/>
    <m/>
    <m/>
    <m/>
    <n v="1"/>
    <n v="13"/>
    <n v="12"/>
    <x v="0"/>
    <s v=""/>
    <s v=""/>
    <s v=""/>
    <s v=""/>
    <s v=""/>
    <m/>
    <m/>
    <m/>
    <m/>
    <m/>
    <m/>
    <m/>
    <m/>
    <m/>
    <m/>
  </r>
  <r>
    <n v="2351"/>
    <s v="2351 | Finance"/>
    <x v="7"/>
    <s v="Finance - Associate"/>
    <s v="Revenue Recorgnition"/>
    <s v="Finance-Revenue Recorgnition"/>
    <s v="Associate"/>
    <d v="2023-04-06T12:37:54"/>
    <d v="2023-04-10T12:37:54"/>
    <s v="Yes"/>
    <d v="2023-04-28T12:37:54"/>
    <s v="Accepted"/>
    <m/>
    <d v="2023-05-04T12:37:54"/>
    <s v="Accepted"/>
    <d v="2023-04-29T12:37:54"/>
    <d v="2023-05-03T12:37:54"/>
    <d v="2023-05-02T12:37:54"/>
    <d v="2023-05-07T12:37:54"/>
    <n v="1"/>
    <d v="2023-05-10T12:37:54"/>
    <d v="2023-05-13T12:37:54"/>
    <d v="2023-05-16T12:37:54"/>
    <m/>
    <m/>
    <d v="2023-05-24T12:37:54"/>
    <m/>
    <m/>
    <n v="4"/>
    <n v="22"/>
    <n v="18"/>
    <x v="25"/>
    <n v="4"/>
    <d v="2023-07-31T12:37:54"/>
    <n v="3"/>
    <n v="22"/>
    <n v="14"/>
    <m/>
    <m/>
    <m/>
    <m/>
    <m/>
    <m/>
    <m/>
    <m/>
    <m/>
    <m/>
  </r>
  <r>
    <n v="2326"/>
    <s v="2326 | Finance"/>
    <x v="7"/>
    <s v="Finance - Associate"/>
    <s v="Revenue Recorgnition"/>
    <s v="Finance-Revenue Recorgnition"/>
    <s v="Associate"/>
    <d v="2022-02-06T06:22:29"/>
    <d v="2022-02-10T06:22:29"/>
    <s v="Yes"/>
    <d v="2022-02-16T06:22:29"/>
    <s v="Accepted"/>
    <m/>
    <d v="2022-02-21T06:22:29"/>
    <s v="Accepted"/>
    <d v="2022-02-18T06:22:29"/>
    <d v="2022-02-22T06:22:29"/>
    <d v="2022-02-18T06:22:29"/>
    <d v="2022-02-28T06:22:29"/>
    <n v="1"/>
    <d v="2022-03-04T06:22:29"/>
    <d v="2022-03-07T06:22:29"/>
    <d v="2022-03-08T06:22:29"/>
    <m/>
    <m/>
    <d v="2022-03-29T06:22:29"/>
    <m/>
    <m/>
    <n v="4"/>
    <n v="10"/>
    <n v="6"/>
    <x v="24"/>
    <n v="2"/>
    <d v="2022-05-19T06:22:29"/>
    <n v="4"/>
    <n v="39"/>
    <n v="18"/>
    <m/>
    <m/>
    <m/>
    <m/>
    <m/>
    <m/>
    <m/>
    <m/>
    <m/>
    <m/>
  </r>
  <r>
    <n v="2321"/>
    <s v="2321 | Finance"/>
    <x v="7"/>
    <s v="Finance - Associate"/>
    <s v="Revenue Recorgnition"/>
    <s v="Finance-Revenue Recorgnition"/>
    <s v="Associate"/>
    <d v="2022-02-04T06:22:29"/>
    <d v="2022-02-08T06:22:29"/>
    <s v="Yes"/>
    <d v="2022-02-23T06:22:29"/>
    <s v="Failed"/>
    <s v="Position filled by another"/>
    <m/>
    <m/>
    <m/>
    <m/>
    <d v="2022-02-25T06:22:29"/>
    <m/>
    <n v="0"/>
    <m/>
    <m/>
    <m/>
    <m/>
    <s v="Company"/>
    <m/>
    <m/>
    <m/>
    <n v="4"/>
    <n v="19"/>
    <n v="15"/>
    <x v="19"/>
    <n v="2"/>
    <d v="2022-05-26T06:22:29"/>
    <s v=""/>
    <s v=""/>
    <s v=""/>
    <m/>
    <m/>
    <m/>
    <m/>
    <m/>
    <m/>
    <m/>
    <m/>
    <m/>
    <m/>
  </r>
  <r>
    <n v="2306"/>
    <s v="2306 | Finance"/>
    <x v="7"/>
    <s v="Finance - Associate"/>
    <s v="Revenue Recorgnition"/>
    <s v="Finance-Revenue Recorgnition"/>
    <s v="Associate"/>
    <d v="2023-06-24T01:56:26"/>
    <d v="2023-06-25T01:56:26"/>
    <s v="Yes"/>
    <d v="2023-07-08T01:56:26"/>
    <s v="Failed"/>
    <s v="Didn't pass technical test"/>
    <m/>
    <m/>
    <m/>
    <m/>
    <m/>
    <m/>
    <n v="0"/>
    <m/>
    <m/>
    <m/>
    <m/>
    <s v="Candidate"/>
    <m/>
    <m/>
    <m/>
    <n v="1"/>
    <n v="14"/>
    <n v="13"/>
    <x v="0"/>
    <s v=""/>
    <s v=""/>
    <s v=""/>
    <s v=""/>
    <s v=""/>
    <m/>
    <m/>
    <m/>
    <m/>
    <m/>
    <m/>
    <m/>
    <m/>
    <m/>
    <m/>
  </r>
  <r>
    <n v="2302"/>
    <s v="2302 | Finance"/>
    <x v="7"/>
    <s v="Finance - Associate"/>
    <s v="Revenue Recorgnition"/>
    <s v="Finance-Revenue Recorgnition"/>
    <s v="Associate"/>
    <d v="2023-06-20T01:56:26"/>
    <d v="2023-06-24T01:56:26"/>
    <s v="Yes"/>
    <d v="2023-07-03T01:56:26"/>
    <s v="Failed"/>
    <s v="Salary expectation too high"/>
    <m/>
    <m/>
    <m/>
    <m/>
    <d v="2023-07-04T01:56:26"/>
    <m/>
    <n v="0"/>
    <m/>
    <m/>
    <m/>
    <m/>
    <s v="Company"/>
    <m/>
    <m/>
    <m/>
    <n v="4"/>
    <n v="13"/>
    <n v="9"/>
    <x v="1"/>
    <n v="1"/>
    <d v="2023-10-02T01:56:26"/>
    <s v=""/>
    <s v=""/>
    <s v=""/>
    <m/>
    <m/>
    <m/>
    <m/>
    <m/>
    <m/>
    <m/>
    <m/>
    <m/>
    <m/>
  </r>
  <r>
    <n v="2271"/>
    <s v="2271 | Finance"/>
    <x v="7"/>
    <s v="Finance - Associate"/>
    <s v="Revenue Recorgnition"/>
    <s v="Finance-Revenue Recorgnition"/>
    <s v="Associate"/>
    <d v="2023-08-29T21:41:36"/>
    <d v="2023-08-30T21:41:36"/>
    <s v="Yes"/>
    <d v="2023-09-04T21:41:36"/>
    <s v="Accepted"/>
    <m/>
    <d v="2023-09-09T21:41:36"/>
    <s v="Accepted"/>
    <d v="2023-09-05T21:41:36"/>
    <d v="2023-09-06T21:41:36"/>
    <d v="2023-09-06T21:41:36"/>
    <d v="2023-09-13T21:41:36"/>
    <n v="1"/>
    <d v="2023-09-15T21:41:36"/>
    <d v="2023-09-16T21:41:36"/>
    <d v="2023-09-19T21:41:36"/>
    <m/>
    <m/>
    <d v="2023-10-10T21:41:36"/>
    <m/>
    <m/>
    <n v="1"/>
    <n v="6"/>
    <n v="5"/>
    <x v="10"/>
    <n v="2"/>
    <d v="2023-12-05T21:41:36"/>
    <n v="2"/>
    <n v="34"/>
    <n v="13"/>
    <m/>
    <m/>
    <m/>
    <m/>
    <m/>
    <m/>
    <m/>
    <m/>
    <m/>
    <m/>
  </r>
  <r>
    <n v="2229"/>
    <s v="2229 | Finance"/>
    <x v="7"/>
    <s v="Finance - Associate"/>
    <s v="Revenue Recorgnition"/>
    <s v="Finance-Revenue Recorgnition"/>
    <s v="Associate"/>
    <d v="2023-08-13T12:50:13"/>
    <d v="2023-08-17T12:50:13"/>
    <s v="Yes"/>
    <d v="2023-09-07T12:50:13"/>
    <s v="Failed"/>
    <s v="Didn't pass technical test"/>
    <m/>
    <m/>
    <m/>
    <m/>
    <d v="2023-09-08T12:50:13"/>
    <m/>
    <n v="0"/>
    <m/>
    <m/>
    <m/>
    <m/>
    <s v="Candidate"/>
    <m/>
    <m/>
    <m/>
    <n v="4"/>
    <n v="25"/>
    <n v="21"/>
    <x v="25"/>
    <n v="1"/>
    <d v="2023-12-07T12:50:13"/>
    <s v=""/>
    <s v=""/>
    <s v=""/>
    <m/>
    <m/>
    <m/>
    <m/>
    <m/>
    <m/>
    <m/>
    <m/>
    <m/>
    <m/>
  </r>
  <r>
    <n v="2227"/>
    <s v="2227 | Finance"/>
    <x v="7"/>
    <s v="Finance - Associate"/>
    <s v="Revenue Recorgnition"/>
    <s v="Finance-Revenue Recorgnition"/>
    <s v="Associate"/>
    <d v="2023-08-17T12:50:13"/>
    <d v="2023-08-20T12:50:13"/>
    <s v="Yes"/>
    <d v="2023-08-27T12:50:13"/>
    <s v="Accepted"/>
    <m/>
    <d v="2023-08-31T12:50:13"/>
    <s v="Accepted"/>
    <d v="2023-08-29T12:50:13"/>
    <d v="2023-08-31T12:50:13"/>
    <d v="2023-08-28T12:50:13"/>
    <d v="2023-09-07T12:50:13"/>
    <n v="1"/>
    <d v="2023-09-11T12:50:13"/>
    <d v="2023-09-14T12:50:13"/>
    <d v="2023-09-17T12:50:13"/>
    <m/>
    <m/>
    <d v="2023-10-05T12:50:13"/>
    <m/>
    <m/>
    <n v="3"/>
    <n v="10"/>
    <n v="7"/>
    <x v="9"/>
    <n v="1"/>
    <d v="2023-11-26T12:50:13"/>
    <n v="4"/>
    <n v="38"/>
    <n v="20"/>
    <m/>
    <m/>
    <m/>
    <m/>
    <m/>
    <m/>
    <m/>
    <m/>
    <m/>
    <m/>
  </r>
  <r>
    <n v="2221"/>
    <s v="2221 | Finance"/>
    <x v="7"/>
    <s v="Finance - Associate"/>
    <s v="Revenue Recorgnition"/>
    <s v="Finance-Revenue Recorgnition"/>
    <s v="Associate"/>
    <d v="2023-08-20T12:50:13"/>
    <d v="2023-08-21T12:50:13"/>
    <s v="Yes"/>
    <d v="2023-09-09T12:50:13"/>
    <s v="Declined"/>
    <m/>
    <d v="2023-09-12T12:50:13"/>
    <s v="Declined"/>
    <m/>
    <m/>
    <d v="2023-09-10T12:50:13"/>
    <m/>
    <n v="0"/>
    <m/>
    <m/>
    <m/>
    <m/>
    <m/>
    <m/>
    <m/>
    <m/>
    <n v="1"/>
    <n v="20"/>
    <n v="19"/>
    <x v="19"/>
    <n v="1"/>
    <d v="2023-12-09T12:50:13"/>
    <s v=""/>
    <s v=""/>
    <s v=""/>
    <m/>
    <m/>
    <m/>
    <m/>
    <m/>
    <m/>
    <m/>
    <m/>
    <m/>
    <m/>
  </r>
  <r>
    <n v="2178"/>
    <s v="2178 | Finance"/>
    <x v="7"/>
    <s v="Finance - Associate"/>
    <s v="Revenue Recorgnition"/>
    <s v="Finance-Revenue Recorgnition"/>
    <s v="Associate"/>
    <d v="2022-07-14T14:26:50"/>
    <d v="2022-07-16T14:26:50"/>
    <s v="Yes"/>
    <d v="2022-07-31T14:26:50"/>
    <s v="Accepted"/>
    <m/>
    <d v="2022-08-04T14:26:50"/>
    <s v="Accepted"/>
    <d v="2022-08-02T14:26:50"/>
    <d v="2022-08-03T14:26:50"/>
    <d v="2022-08-03T14:26:50"/>
    <d v="2022-08-04T14:26:50"/>
    <n v="1"/>
    <d v="2022-08-07T14:26:50"/>
    <d v="2022-08-10T14:26:50"/>
    <d v="2022-08-11T14:26:50"/>
    <m/>
    <m/>
    <d v="2022-08-24T14:26:50"/>
    <m/>
    <m/>
    <n v="2"/>
    <n v="17"/>
    <n v="15"/>
    <x v="15"/>
    <n v="3"/>
    <d v="2022-11-01T14:26:50"/>
    <n v="3"/>
    <n v="21"/>
    <n v="8"/>
    <m/>
    <m/>
    <m/>
    <m/>
    <m/>
    <m/>
    <m/>
    <m/>
    <m/>
    <m/>
  </r>
  <r>
    <n v="2177"/>
    <s v="2177 | Finance"/>
    <x v="7"/>
    <s v="Finance - Associate"/>
    <s v="Revenue Recorgnition"/>
    <s v="Finance-Revenue Recorgnition"/>
    <s v="Associate"/>
    <d v="2022-07-08T14:26:50"/>
    <d v="2022-07-11T14:26:50"/>
    <s v="Yes"/>
    <d v="2022-07-22T14:26:50"/>
    <s v="Failed"/>
    <s v="Not a culture fit"/>
    <m/>
    <m/>
    <m/>
    <m/>
    <d v="2022-07-24T14:26:50"/>
    <m/>
    <n v="0"/>
    <m/>
    <m/>
    <m/>
    <m/>
    <s v="Company"/>
    <m/>
    <m/>
    <m/>
    <n v="3"/>
    <n v="14"/>
    <n v="11"/>
    <x v="20"/>
    <n v="2"/>
    <d v="2022-10-22T14:26:50"/>
    <s v=""/>
    <s v=""/>
    <s v=""/>
    <m/>
    <m/>
    <m/>
    <m/>
    <m/>
    <m/>
    <m/>
    <m/>
    <m/>
    <m/>
  </r>
  <r>
    <n v="2159"/>
    <s v="2159 | Finance"/>
    <x v="7"/>
    <s v="Finance - Associate"/>
    <s v="Revenue Recorgnition"/>
    <s v="Finance-Revenue Recorgnition"/>
    <s v="Associate"/>
    <d v="2023-08-03T09:27:05"/>
    <d v="2023-08-04T09:27:05"/>
    <s v="Yes"/>
    <d v="2023-08-14T09:27:05"/>
    <s v="Failed"/>
    <s v="Didn't pass technical test"/>
    <m/>
    <m/>
    <m/>
    <m/>
    <d v="2023-08-18T09:27:05"/>
    <m/>
    <n v="0"/>
    <m/>
    <m/>
    <m/>
    <m/>
    <s v="Candidate"/>
    <m/>
    <m/>
    <m/>
    <n v="1"/>
    <n v="11"/>
    <n v="10"/>
    <x v="16"/>
    <n v="4"/>
    <d v="2023-11-16T09:27:05"/>
    <s v=""/>
    <s v=""/>
    <s v=""/>
    <m/>
    <m/>
    <m/>
    <m/>
    <m/>
    <m/>
    <m/>
    <m/>
    <m/>
    <m/>
  </r>
  <r>
    <n v="2157"/>
    <s v="2157 | Finance"/>
    <x v="7"/>
    <s v="Finance - Associate"/>
    <s v="Revenue Recorgnition"/>
    <s v="Finance-Revenue Recorgnition"/>
    <s v="Associate"/>
    <d v="2023-08-02T09:27:05"/>
    <d v="2023-08-03T09:27:05"/>
    <s v="Yes"/>
    <d v="2023-08-15T09:27:05"/>
    <s v="Declined"/>
    <m/>
    <d v="2023-08-21T09:27:05"/>
    <s v="Declined"/>
    <m/>
    <m/>
    <d v="2023-08-18T09:27:05"/>
    <m/>
    <n v="0"/>
    <m/>
    <m/>
    <m/>
    <m/>
    <m/>
    <m/>
    <m/>
    <m/>
    <n v="1"/>
    <n v="13"/>
    <n v="12"/>
    <x v="20"/>
    <n v="3"/>
    <d v="2023-11-16T09:27:05"/>
    <s v=""/>
    <s v=""/>
    <s v=""/>
    <m/>
    <m/>
    <m/>
    <m/>
    <m/>
    <m/>
    <m/>
    <m/>
    <m/>
    <m/>
  </r>
  <r>
    <n v="2085"/>
    <s v="2085 | Finance"/>
    <x v="7"/>
    <s v="Finance - Associate"/>
    <s v="Revenue Recorgnition"/>
    <s v="Finance-Revenue Recorgnition"/>
    <s v="Associate"/>
    <d v="2022-10-04T21:05:46"/>
    <d v="2022-10-05T21:05:46"/>
    <s v="Yes"/>
    <d v="2022-10-11T21:05:46"/>
    <s v="Accepted"/>
    <m/>
    <d v="2022-10-15T21:05:46"/>
    <s v="Accepted"/>
    <d v="2022-10-12T21:05:46"/>
    <d v="2022-10-14T21:05:46"/>
    <d v="2022-10-12T21:05:46"/>
    <d v="2022-10-14T21:05:46"/>
    <n v="1"/>
    <d v="2022-10-18T21:05:46"/>
    <d v="2022-10-20T21:05:46"/>
    <d v="2022-10-21T21:05:46"/>
    <m/>
    <m/>
    <d v="2022-11-07T21:05:46"/>
    <m/>
    <m/>
    <n v="1"/>
    <n v="7"/>
    <n v="6"/>
    <x v="10"/>
    <n v="1"/>
    <d v="2023-01-10T21:05:46"/>
    <n v="4"/>
    <n v="26"/>
    <n v="9"/>
    <m/>
    <m/>
    <m/>
    <m/>
    <m/>
    <m/>
    <m/>
    <m/>
    <m/>
    <m/>
  </r>
  <r>
    <n v="2024"/>
    <s v="2024 | Finance"/>
    <x v="7"/>
    <s v="Finance - Associate"/>
    <s v="Revenue Recorgnition"/>
    <s v="Finance-Revenue Recorgnition"/>
    <s v="Associate"/>
    <d v="2022-08-09T16:19:01"/>
    <d v="2022-08-12T16:19:01"/>
    <s v="Yes"/>
    <d v="2022-08-29T16:19:01"/>
    <s v="Failed"/>
    <s v="Didn't pass technical test"/>
    <m/>
    <m/>
    <m/>
    <m/>
    <m/>
    <m/>
    <n v="0"/>
    <m/>
    <m/>
    <m/>
    <m/>
    <s v="Candidate"/>
    <m/>
    <m/>
    <m/>
    <n v="3"/>
    <n v="20"/>
    <n v="17"/>
    <x v="0"/>
    <s v=""/>
    <s v=""/>
    <s v=""/>
    <s v=""/>
    <s v=""/>
    <m/>
    <m/>
    <m/>
    <m/>
    <m/>
    <m/>
    <m/>
    <m/>
    <m/>
    <m/>
  </r>
  <r>
    <n v="1888"/>
    <s v="1888 | Finance"/>
    <x v="7"/>
    <s v="Finance - Associate"/>
    <s v="Revenue Recorgnition"/>
    <s v="Finance-Revenue Recorgnition"/>
    <s v="Associate"/>
    <d v="2022-10-06T10:12:16"/>
    <d v="2022-10-10T10:12:16"/>
    <s v="Yes"/>
    <d v="2022-10-18T10:12:16"/>
    <s v="Failed"/>
    <s v="Position filled by another"/>
    <m/>
    <m/>
    <m/>
    <m/>
    <d v="2022-10-20T10:12:16"/>
    <m/>
    <n v="0"/>
    <m/>
    <m/>
    <m/>
    <m/>
    <s v="Candidate"/>
    <m/>
    <m/>
    <m/>
    <n v="4"/>
    <n v="12"/>
    <n v="8"/>
    <x v="1"/>
    <n v="2"/>
    <d v="2023-01-18T10:12:16"/>
    <s v=""/>
    <s v=""/>
    <s v=""/>
    <m/>
    <m/>
    <m/>
    <m/>
    <m/>
    <m/>
    <m/>
    <m/>
    <m/>
    <m/>
  </r>
  <r>
    <n v="1830"/>
    <s v="1830 | Finance"/>
    <x v="7"/>
    <s v="Finance - Associate"/>
    <s v="Revenue Recorgnition"/>
    <s v="Finance-Revenue Recorgnition"/>
    <s v="Associate"/>
    <d v="2022-04-11T11:01:49"/>
    <d v="2022-04-13T11:01:4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826"/>
    <s v="1826 | Finance"/>
    <x v="7"/>
    <s v="Finance - Associate"/>
    <s v="Revenue Recorgnition"/>
    <s v="Finance-Revenue Recorgnition"/>
    <s v="Associate"/>
    <d v="2022-04-13T11:01:49"/>
    <d v="2022-04-14T11:01:49"/>
    <s v="Yes"/>
    <d v="2022-04-21T11:01:49"/>
    <s v="Declined"/>
    <m/>
    <d v="2022-04-24T11:01:49"/>
    <s v="Declined"/>
    <m/>
    <m/>
    <d v="2022-04-22T11:01:49"/>
    <m/>
    <n v="0"/>
    <m/>
    <m/>
    <m/>
    <m/>
    <m/>
    <m/>
    <m/>
    <m/>
    <n v="1"/>
    <n v="8"/>
    <n v="7"/>
    <x v="4"/>
    <n v="1"/>
    <d v="2022-07-21T11:01:49"/>
    <s v=""/>
    <s v=""/>
    <s v=""/>
    <m/>
    <m/>
    <m/>
    <m/>
    <m/>
    <m/>
    <m/>
    <m/>
    <m/>
    <m/>
  </r>
  <r>
    <n v="1823"/>
    <s v="1823 | Finance"/>
    <x v="7"/>
    <s v="Finance - Associate"/>
    <s v="Revenue Recorgnition"/>
    <s v="Finance-Revenue Recorgnition"/>
    <s v="Associate"/>
    <d v="2022-04-15T11:01:49"/>
    <d v="2022-04-16T11:01:49"/>
    <s v="Yes"/>
    <d v="2022-04-27T11:01:49"/>
    <s v="Declined"/>
    <m/>
    <d v="2022-05-05T11:01:49"/>
    <s v="Declined"/>
    <m/>
    <m/>
    <d v="2022-05-01T11:01:49"/>
    <m/>
    <n v="0"/>
    <m/>
    <m/>
    <m/>
    <m/>
    <m/>
    <m/>
    <m/>
    <m/>
    <n v="1"/>
    <n v="12"/>
    <n v="11"/>
    <x v="20"/>
    <n v="4"/>
    <d v="2022-07-30T11:01:49"/>
    <s v=""/>
    <s v=""/>
    <s v=""/>
    <m/>
    <m/>
    <m/>
    <m/>
    <m/>
    <m/>
    <m/>
    <m/>
    <m/>
    <m/>
  </r>
  <r>
    <n v="1754"/>
    <s v="1754 | Finance"/>
    <x v="7"/>
    <s v="Finance - Associate"/>
    <s v="Revenue Recorgnition"/>
    <s v="Finance-Revenue Recorgnition"/>
    <s v="Associate"/>
    <d v="2022-06-03T15:29:59"/>
    <d v="2022-06-04T15:29:59"/>
    <s v="Yes"/>
    <d v="2022-06-18T15:29:59"/>
    <s v="Failed"/>
    <s v="Not a culture fit"/>
    <m/>
    <m/>
    <m/>
    <m/>
    <d v="2022-06-22T15:29:59"/>
    <m/>
    <n v="0"/>
    <m/>
    <m/>
    <m/>
    <m/>
    <s v="Candidate"/>
    <m/>
    <m/>
    <m/>
    <n v="1"/>
    <n v="15"/>
    <n v="14"/>
    <x v="13"/>
    <n v="4"/>
    <d v="2022-09-20T15:29:59"/>
    <s v=""/>
    <s v=""/>
    <s v=""/>
    <m/>
    <m/>
    <m/>
    <m/>
    <m/>
    <m/>
    <m/>
    <m/>
    <m/>
    <m/>
  </r>
  <r>
    <n v="1751"/>
    <s v="1751 | Finance"/>
    <x v="7"/>
    <s v="Finance - Associate"/>
    <s v="Revenue Recorgnition"/>
    <s v="Finance-Revenue Recorgnition"/>
    <s v="Associate"/>
    <d v="2022-06-01T15:29:59"/>
    <d v="2022-06-04T15:29:59"/>
    <s v="Yes"/>
    <d v="2022-06-21T15:29:59"/>
    <s v="Failed"/>
    <s v="Salary expectation too high"/>
    <m/>
    <m/>
    <m/>
    <m/>
    <m/>
    <m/>
    <n v="0"/>
    <m/>
    <m/>
    <m/>
    <m/>
    <s v="Candidate"/>
    <m/>
    <m/>
    <m/>
    <n v="3"/>
    <n v="20"/>
    <n v="17"/>
    <x v="0"/>
    <s v=""/>
    <s v=""/>
    <s v=""/>
    <s v=""/>
    <s v=""/>
    <m/>
    <m/>
    <m/>
    <m/>
    <m/>
    <m/>
    <m/>
    <m/>
    <m/>
    <m/>
  </r>
  <r>
    <n v="1732"/>
    <s v="1732 | Finance"/>
    <x v="7"/>
    <s v="Finance - Associate"/>
    <s v="Revenue Recorgnition"/>
    <s v="Finance-Revenue Recorgnition"/>
    <s v="Associate"/>
    <d v="2021-12-31T15:13:53"/>
    <d v="2022-01-02T15:13:53"/>
    <s v="Yes"/>
    <d v="2022-01-20T15:13:53"/>
    <s v="Declined"/>
    <m/>
    <d v="2022-01-25T15:13:53"/>
    <s v="Declined"/>
    <m/>
    <m/>
    <d v="2022-01-23T15:13:53"/>
    <m/>
    <n v="0"/>
    <m/>
    <m/>
    <m/>
    <m/>
    <m/>
    <m/>
    <m/>
    <m/>
    <n v="2"/>
    <n v="20"/>
    <n v="18"/>
    <x v="3"/>
    <n v="3"/>
    <d v="2022-04-23T15:13:53"/>
    <s v=""/>
    <s v=""/>
    <s v=""/>
    <m/>
    <m/>
    <m/>
    <m/>
    <m/>
    <m/>
    <m/>
    <m/>
    <m/>
    <m/>
  </r>
  <r>
    <n v="1706"/>
    <s v="1706 | Finance"/>
    <x v="7"/>
    <s v="Finance - Associate"/>
    <s v="Revenue Recorgnition"/>
    <s v="Finance-Revenue Recorgnition"/>
    <s v="Associate"/>
    <d v="2023-03-01T18:01:56"/>
    <d v="2023-03-05T18:01:56"/>
    <s v="Yes"/>
    <d v="2023-03-25T18:01:56"/>
    <s v="Failed"/>
    <s v="Position filled by another"/>
    <m/>
    <m/>
    <m/>
    <m/>
    <d v="2023-03-28T18:01:56"/>
    <m/>
    <n v="0"/>
    <m/>
    <m/>
    <m/>
    <m/>
    <s v="Company"/>
    <m/>
    <m/>
    <m/>
    <n v="4"/>
    <n v="24"/>
    <n v="20"/>
    <x v="18"/>
    <n v="3"/>
    <d v="2023-06-26T18:01:56"/>
    <s v=""/>
    <s v=""/>
    <s v=""/>
    <m/>
    <m/>
    <m/>
    <m/>
    <m/>
    <m/>
    <m/>
    <m/>
    <m/>
    <m/>
  </r>
  <r>
    <n v="1704"/>
    <s v="1704 | Finance"/>
    <x v="7"/>
    <s v="Finance - Associate"/>
    <s v="Revenue Recorgnition"/>
    <s v="Finance-Revenue Recorgnition"/>
    <s v="Associate"/>
    <d v="2023-03-02T18:01:56"/>
    <d v="2023-03-03T18:01:56"/>
    <s v="Yes"/>
    <d v="2023-03-21T18:01:56"/>
    <s v="Declined"/>
    <m/>
    <d v="2023-03-27T18:01:56"/>
    <s v="Declined"/>
    <m/>
    <m/>
    <d v="2023-03-25T18:01:56"/>
    <m/>
    <n v="0"/>
    <m/>
    <m/>
    <m/>
    <m/>
    <m/>
    <m/>
    <m/>
    <m/>
    <n v="1"/>
    <n v="19"/>
    <n v="18"/>
    <x v="3"/>
    <n v="4"/>
    <d v="2023-06-23T18:01:56"/>
    <s v=""/>
    <s v=""/>
    <s v=""/>
    <m/>
    <m/>
    <m/>
    <m/>
    <m/>
    <m/>
    <m/>
    <m/>
    <m/>
    <m/>
  </r>
  <r>
    <n v="1674"/>
    <s v="1674 | Finance"/>
    <x v="7"/>
    <s v="Finance - Associate"/>
    <s v="Revenue Recorgnition"/>
    <s v="Finance-Revenue Recorgnition"/>
    <s v="Associate"/>
    <d v="2022-11-06T03:27:45"/>
    <d v="2022-11-08T03:27:4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672"/>
    <s v="1672 | Finance"/>
    <x v="7"/>
    <s v="Finance - Associate"/>
    <s v="Revenue Recorgnition"/>
    <s v="Finance-Revenue Recorgnition"/>
    <s v="Associate"/>
    <d v="2022-11-05T03:27:45"/>
    <d v="2022-11-09T03:27:45"/>
    <s v="Yes"/>
    <d v="2022-11-27T03:27:45"/>
    <s v="Accepted"/>
    <m/>
    <d v="2022-11-30T03:27:45"/>
    <s v="Accepted"/>
    <d v="2022-11-29T03:27:45"/>
    <d v="2022-11-30T03:27:45"/>
    <d v="2022-11-28T03:27:45"/>
    <d v="2022-12-01T03:27:45"/>
    <n v="1"/>
    <d v="2022-12-03T03:27:45"/>
    <d v="2022-12-05T03:27:45"/>
    <d v="2022-12-06T03:27:45"/>
    <m/>
    <m/>
    <d v="2022-12-29T03:27:45"/>
    <m/>
    <m/>
    <n v="4"/>
    <n v="22"/>
    <n v="18"/>
    <x v="3"/>
    <n v="1"/>
    <d v="2023-02-26T03:27:45"/>
    <n v="2"/>
    <n v="31"/>
    <n v="8"/>
    <m/>
    <m/>
    <m/>
    <m/>
    <m/>
    <m/>
    <m/>
    <m/>
    <m/>
    <m/>
  </r>
  <r>
    <n v="1671"/>
    <s v="1671 | Finance"/>
    <x v="7"/>
    <s v="Finance - Associate"/>
    <s v="Revenue Recorgnition"/>
    <s v="Finance-Revenue Recorgnition"/>
    <s v="Associate"/>
    <d v="2022-11-05T03:27:45"/>
    <d v="2022-11-09T03:27:45"/>
    <s v="Yes"/>
    <d v="2022-11-27T03:27:45"/>
    <s v="Failed"/>
    <s v="Position filled by another"/>
    <m/>
    <m/>
    <m/>
    <m/>
    <m/>
    <m/>
    <n v="0"/>
    <m/>
    <m/>
    <m/>
    <m/>
    <s v="Company"/>
    <m/>
    <m/>
    <m/>
    <n v="4"/>
    <n v="22"/>
    <n v="18"/>
    <x v="0"/>
    <s v=""/>
    <s v=""/>
    <s v=""/>
    <s v=""/>
    <s v=""/>
    <m/>
    <m/>
    <m/>
    <m/>
    <m/>
    <m/>
    <m/>
    <m/>
    <m/>
    <m/>
  </r>
  <r>
    <n v="1640"/>
    <s v="1640 | Finance"/>
    <x v="7"/>
    <s v="Finance - Associate"/>
    <s v="Revenue Recorgnition"/>
    <s v="Finance-Revenue Recorgnition"/>
    <s v="Associate"/>
    <d v="2023-09-04T07:41:24"/>
    <d v="2023-09-06T07:41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590"/>
    <s v="1590 | Finance"/>
    <x v="7"/>
    <s v="Finance - Associate"/>
    <s v="Revenue Recorgnition"/>
    <s v="Finance-Revenue Recorgnition"/>
    <s v="Associate"/>
    <d v="2023-09-16T20:10:47"/>
    <d v="2023-09-18T20:10:47"/>
    <s v="Yes"/>
    <d v="2023-10-03T20:10:47"/>
    <s v="Declined"/>
    <m/>
    <d v="2023-10-09T20:10:47"/>
    <s v="Declined"/>
    <m/>
    <m/>
    <d v="2023-10-06T20:10:47"/>
    <m/>
    <n v="0"/>
    <m/>
    <m/>
    <m/>
    <m/>
    <m/>
    <m/>
    <m/>
    <m/>
    <n v="2"/>
    <n v="17"/>
    <n v="15"/>
    <x v="15"/>
    <n v="3"/>
    <d v="2024-01-04T20:10:47"/>
    <s v=""/>
    <s v=""/>
    <s v=""/>
    <m/>
    <m/>
    <m/>
    <m/>
    <m/>
    <m/>
    <m/>
    <m/>
    <m/>
    <m/>
  </r>
  <r>
    <n v="1588"/>
    <s v="1588 | Finance"/>
    <x v="7"/>
    <s v="Finance - Associate"/>
    <s v="Revenue Recorgnition"/>
    <s v="Finance-Revenue Recorgnition"/>
    <s v="Associate"/>
    <d v="2023-09-13T20:10:47"/>
    <d v="2023-09-15T20:10:47"/>
    <s v="Yes"/>
    <d v="2023-09-24T20:10:47"/>
    <s v="Failed"/>
    <s v="Position filled by another"/>
    <m/>
    <m/>
    <m/>
    <m/>
    <m/>
    <m/>
    <n v="0"/>
    <m/>
    <m/>
    <m/>
    <m/>
    <s v="Company"/>
    <m/>
    <m/>
    <m/>
    <n v="2"/>
    <n v="11"/>
    <n v="9"/>
    <x v="0"/>
    <s v=""/>
    <s v=""/>
    <s v=""/>
    <s v=""/>
    <s v=""/>
    <m/>
    <m/>
    <m/>
    <m/>
    <m/>
    <m/>
    <m/>
    <m/>
    <m/>
    <m/>
  </r>
  <r>
    <n v="1584"/>
    <s v="1584 | Finance"/>
    <x v="7"/>
    <s v="Finance - Associate"/>
    <s v="Revenue Recorgnition"/>
    <s v="Finance-Revenue Recorgnition"/>
    <s v="Associate"/>
    <d v="2023-09-12T20:10:47"/>
    <d v="2023-09-15T20:10:47"/>
    <s v="Yes"/>
    <d v="2023-09-22T20:10:47"/>
    <s v="Pending"/>
    <m/>
    <d v="2023-09-28T20:10:47"/>
    <s v="Pending"/>
    <m/>
    <m/>
    <d v="2023-09-24T20:10:47"/>
    <m/>
    <n v="0"/>
    <m/>
    <m/>
    <m/>
    <m/>
    <m/>
    <m/>
    <m/>
    <m/>
    <n v="3"/>
    <n v="10"/>
    <n v="7"/>
    <x v="24"/>
    <n v="2"/>
    <d v="2023-12-23T20:10:47"/>
    <s v=""/>
    <s v=""/>
    <s v=""/>
    <m/>
    <m/>
    <m/>
    <m/>
    <m/>
    <m/>
    <m/>
    <m/>
    <m/>
    <m/>
  </r>
  <r>
    <n v="1583"/>
    <s v="1583 | Finance"/>
    <x v="7"/>
    <s v="Finance - Associate"/>
    <s v="Revenue Recorgnition"/>
    <s v="Finance-Revenue Recorgnition"/>
    <s v="Associate"/>
    <d v="2023-09-13T20:10:47"/>
    <d v="2023-09-15T20:10:47"/>
    <s v="Yes"/>
    <d v="2023-09-29T20:10:47"/>
    <s v="Failed"/>
    <s v="Didn't pass technical test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1563"/>
    <s v="1563 | Finance"/>
    <x v="7"/>
    <s v="Finance - Associate"/>
    <s v="Revenue Recorgnition"/>
    <s v="Finance-Revenue Recorgnition"/>
    <s v="Associate"/>
    <d v="2022-03-21T11:46:18"/>
    <d v="2022-03-23T11:46:18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550"/>
    <s v="1550 | Finance"/>
    <x v="7"/>
    <s v="Finance - Associate"/>
    <s v="Revenue Recorgnition"/>
    <s v="Finance-Revenue Recorgnition"/>
    <s v="Associate"/>
    <d v="2023-05-26T20:23:44"/>
    <d v="2023-05-28T20:23:44"/>
    <s v="Yes"/>
    <d v="2023-06-05T20:23:44"/>
    <s v="Accepted"/>
    <m/>
    <d v="2023-06-11T20:23:44"/>
    <s v="Accepted"/>
    <d v="2023-06-07T20:23:44"/>
    <d v="2023-06-09T20:23:44"/>
    <d v="2023-06-07T20:23:44"/>
    <d v="2023-06-09T20:23:44"/>
    <n v="1"/>
    <d v="2023-06-10T20:23:44"/>
    <d v="2023-06-12T20:23:44"/>
    <d v="2023-06-15T20:23:44"/>
    <m/>
    <m/>
    <d v="2023-06-29T20:23:44"/>
    <m/>
    <m/>
    <n v="2"/>
    <n v="10"/>
    <n v="8"/>
    <x v="24"/>
    <n v="2"/>
    <d v="2023-09-05T20:23:44"/>
    <n v="1"/>
    <n v="22"/>
    <n v="8"/>
    <m/>
    <m/>
    <m/>
    <m/>
    <m/>
    <m/>
    <m/>
    <m/>
    <m/>
    <m/>
  </r>
  <r>
    <n v="1545"/>
    <s v="1545 | Finance"/>
    <x v="7"/>
    <s v="Finance - Associate"/>
    <s v="Revenue Recorgnition"/>
    <s v="Finance-Revenue Recorgnition"/>
    <s v="Associate"/>
    <d v="2023-05-27T20:23:44"/>
    <d v="2023-05-29T20:23:44"/>
    <s v="Yes"/>
    <d v="2023-06-15T20:23:44"/>
    <s v="Failed"/>
    <s v="Other"/>
    <m/>
    <m/>
    <m/>
    <m/>
    <d v="2023-06-19T20:23:44"/>
    <m/>
    <n v="0"/>
    <m/>
    <m/>
    <m/>
    <m/>
    <s v="Candidate"/>
    <m/>
    <m/>
    <m/>
    <n v="2"/>
    <n v="19"/>
    <n v="17"/>
    <x v="3"/>
    <n v="4"/>
    <d v="2023-09-17T20:23:44"/>
    <s v=""/>
    <s v=""/>
    <s v=""/>
    <m/>
    <m/>
    <m/>
    <m/>
    <m/>
    <m/>
    <m/>
    <m/>
    <m/>
    <m/>
  </r>
  <r>
    <n v="1528"/>
    <s v="1528 | Finance"/>
    <x v="7"/>
    <s v="Finance - Associate"/>
    <s v="Billing Officer"/>
    <s v="Finance-Billing Officer"/>
    <s v="Associate"/>
    <d v="2023-01-02T00:36:18"/>
    <d v="2023-01-03T00:36:18"/>
    <s v="Yes"/>
    <d v="2023-01-17T00:36:18"/>
    <s v="Accepted"/>
    <m/>
    <d v="2023-01-22T00:36:18"/>
    <s v="Accepted"/>
    <d v="2023-01-18T00:36:18"/>
    <d v="2023-01-20T00:36:18"/>
    <d v="2023-01-19T00:36:18"/>
    <d v="2023-01-26T00:36:18"/>
    <n v="1"/>
    <d v="2023-01-30T00:36:18"/>
    <d v="2023-02-02T00:36:18"/>
    <d v="2023-02-03T00:36:18"/>
    <m/>
    <m/>
    <d v="2023-02-17T00:36:18"/>
    <m/>
    <m/>
    <n v="1"/>
    <n v="15"/>
    <n v="14"/>
    <x v="14"/>
    <n v="2"/>
    <d v="2023-04-19T00:36:18"/>
    <n v="4"/>
    <n v="29"/>
    <n v="15"/>
    <m/>
    <m/>
    <m/>
    <m/>
    <m/>
    <m/>
    <m/>
    <m/>
    <m/>
    <m/>
  </r>
  <r>
    <n v="1525"/>
    <s v="1525 | Finance"/>
    <x v="7"/>
    <s v="Finance - Associate"/>
    <s v="Billing Officer"/>
    <s v="Finance-Billing Officer"/>
    <s v="Associate"/>
    <d v="2023-01-02T00:36:18"/>
    <d v="2023-01-06T00:36:18"/>
    <s v="Yes"/>
    <d v="2023-01-19T00:36:18"/>
    <s v="Failed"/>
    <s v="Salary expectation too high"/>
    <m/>
    <m/>
    <m/>
    <m/>
    <d v="2023-01-20T00:36:18"/>
    <m/>
    <n v="0"/>
    <m/>
    <m/>
    <m/>
    <m/>
    <s v="Company"/>
    <m/>
    <m/>
    <m/>
    <n v="4"/>
    <n v="17"/>
    <n v="13"/>
    <x v="12"/>
    <n v="1"/>
    <d v="2023-04-20T00:36:18"/>
    <s v=""/>
    <s v=""/>
    <s v=""/>
    <m/>
    <m/>
    <m/>
    <m/>
    <m/>
    <m/>
    <m/>
    <m/>
    <m/>
    <m/>
  </r>
  <r>
    <n v="1523"/>
    <s v="1523 | Finance"/>
    <x v="7"/>
    <s v="Finance - Associate"/>
    <s v="Billing Officer"/>
    <s v="Finance-Billing Officer"/>
    <s v="Associate"/>
    <d v="2023-01-01T00:36:18"/>
    <d v="2023-01-04T00:36:18"/>
    <s v="Yes"/>
    <d v="2023-01-19T00:36:18"/>
    <s v="Declined"/>
    <m/>
    <d v="2023-01-23T00:36:18"/>
    <s v="Declined"/>
    <m/>
    <m/>
    <d v="2023-01-22T00:36:18"/>
    <m/>
    <n v="0"/>
    <m/>
    <m/>
    <m/>
    <m/>
    <m/>
    <m/>
    <m/>
    <m/>
    <n v="3"/>
    <n v="18"/>
    <n v="15"/>
    <x v="19"/>
    <n v="3"/>
    <d v="2023-04-22T00:36:18"/>
    <s v=""/>
    <s v=""/>
    <s v=""/>
    <m/>
    <m/>
    <m/>
    <m/>
    <m/>
    <m/>
    <m/>
    <m/>
    <m/>
    <m/>
  </r>
  <r>
    <n v="1515"/>
    <s v="1515 | Finance"/>
    <x v="7"/>
    <s v="Finance - Associate"/>
    <s v="Billing Officer"/>
    <s v="Finance-Billing Officer"/>
    <s v="Associate"/>
    <d v="2022-12-25T05:00:38"/>
    <d v="2022-12-29T05:00:38"/>
    <s v="Yes"/>
    <d v="2023-01-02T05:00:38"/>
    <s v="Declined"/>
    <m/>
    <d v="2023-01-05T05:00:38"/>
    <s v="Declined"/>
    <m/>
    <m/>
    <d v="2023-01-03T05:00:38"/>
    <m/>
    <n v="0"/>
    <m/>
    <m/>
    <m/>
    <m/>
    <m/>
    <m/>
    <m/>
    <m/>
    <n v="4"/>
    <n v="8"/>
    <n v="4"/>
    <x v="4"/>
    <n v="1"/>
    <d v="2023-04-03T05:00:38"/>
    <s v=""/>
    <s v=""/>
    <s v=""/>
    <m/>
    <m/>
    <m/>
    <m/>
    <m/>
    <m/>
    <m/>
    <m/>
    <m/>
    <m/>
  </r>
  <r>
    <n v="1513"/>
    <s v="1513 | Finance"/>
    <x v="7"/>
    <s v="Finance - Associate"/>
    <s v="Billing Officer"/>
    <s v="Finance-Billing Officer"/>
    <s v="Associate"/>
    <d v="2022-12-30T05:00:38"/>
    <d v="2022-12-31T05:00:38"/>
    <s v="Yes"/>
    <d v="2023-01-11T05:00:38"/>
    <s v="Failed"/>
    <s v="Didn't pass technical test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1433"/>
    <s v="1433 | Finance"/>
    <x v="7"/>
    <s v="Finance - Associate"/>
    <s v="Billing Officer"/>
    <s v="Finance-Billing Officer"/>
    <s v="Associate"/>
    <d v="2023-06-08T22:29:11"/>
    <d v="2023-06-11T22:29:11"/>
    <s v="Yes"/>
    <d v="2023-06-29T22:29:11"/>
    <s v="Accepted"/>
    <m/>
    <d v="2023-07-03T22:29:11"/>
    <s v="Accepted"/>
    <d v="2023-07-01T22:29:11"/>
    <d v="2023-07-03T22:29:11"/>
    <d v="2023-07-01T22:29:11"/>
    <d v="2023-07-09T22:29:11"/>
    <n v="1"/>
    <d v="2023-07-11T22:29:11"/>
    <d v="2023-07-14T22:29:11"/>
    <d v="2023-07-15T22:29:11"/>
    <m/>
    <m/>
    <d v="2023-08-04T22:29:11"/>
    <m/>
    <m/>
    <n v="3"/>
    <n v="21"/>
    <n v="18"/>
    <x v="3"/>
    <n v="2"/>
    <d v="2023-09-29T22:29:11"/>
    <n v="2"/>
    <n v="34"/>
    <n v="14"/>
    <m/>
    <m/>
    <m/>
    <m/>
    <m/>
    <m/>
    <m/>
    <m/>
    <m/>
    <m/>
  </r>
  <r>
    <n v="1392"/>
    <s v="1392 | Finance"/>
    <x v="7"/>
    <s v="Finance - Associate"/>
    <s v="Billing Officer"/>
    <s v="Finance-Billing Officer"/>
    <s v="Associate"/>
    <d v="2022-08-19T08:38:11"/>
    <d v="2022-08-22T08:38:11"/>
    <s v="Yes"/>
    <d v="2022-08-29T08:38:11"/>
    <s v="Declined"/>
    <m/>
    <d v="2022-09-03T08:38:11"/>
    <s v="Declined"/>
    <m/>
    <m/>
    <d v="2022-09-01T08:38:11"/>
    <m/>
    <n v="0"/>
    <m/>
    <m/>
    <m/>
    <m/>
    <m/>
    <m/>
    <m/>
    <m/>
    <n v="3"/>
    <n v="10"/>
    <n v="7"/>
    <x v="8"/>
    <n v="3"/>
    <d v="2022-11-30T08:38:11"/>
    <s v=""/>
    <s v=""/>
    <s v=""/>
    <m/>
    <m/>
    <m/>
    <m/>
    <m/>
    <m/>
    <m/>
    <m/>
    <m/>
    <m/>
  </r>
  <r>
    <n v="1335"/>
    <s v="1335 | Finance"/>
    <x v="7"/>
    <s v="Finance - Associate"/>
    <s v="Billing Officer"/>
    <s v="Finance-Billing Officer"/>
    <s v="Associate"/>
    <d v="2023-08-31T16:35:04"/>
    <d v="2023-09-03T16:35:0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305"/>
    <s v="1305 | Finance"/>
    <x v="7"/>
    <s v="Finance - Associate"/>
    <s v="Billing Officer"/>
    <s v="Finance-Billing Officer"/>
    <s v="Associate"/>
    <d v="2022-12-19T04:33:07"/>
    <d v="2022-12-21T04:33:07"/>
    <s v="Yes"/>
    <d v="2023-01-01T04:33:07"/>
    <s v="Failed"/>
    <s v="Didn't pass technical test"/>
    <m/>
    <m/>
    <m/>
    <m/>
    <d v="2023-01-02T04:33:07"/>
    <m/>
    <n v="0"/>
    <m/>
    <m/>
    <m/>
    <m/>
    <s v="Candidate"/>
    <m/>
    <m/>
    <m/>
    <n v="2"/>
    <n v="13"/>
    <n v="11"/>
    <x v="1"/>
    <n v="1"/>
    <d v="2023-04-02T04:33:07"/>
    <s v=""/>
    <s v=""/>
    <s v=""/>
    <m/>
    <m/>
    <m/>
    <m/>
    <m/>
    <m/>
    <m/>
    <m/>
    <m/>
    <m/>
  </r>
  <r>
    <n v="1290"/>
    <s v="1290 | Finance"/>
    <x v="7"/>
    <s v="Finance - Associate"/>
    <s v="Billing Officer"/>
    <s v="Finance-Billing Officer"/>
    <s v="Associate"/>
    <d v="2022-03-24T17:39:51"/>
    <d v="2022-03-25T17:39:51"/>
    <s v="Yes"/>
    <d v="2022-04-01T17:39:51"/>
    <s v="Failed"/>
    <s v="Not a culture fit"/>
    <m/>
    <m/>
    <m/>
    <m/>
    <m/>
    <m/>
    <n v="0"/>
    <m/>
    <m/>
    <m/>
    <m/>
    <s v="Company"/>
    <m/>
    <m/>
    <m/>
    <n v="1"/>
    <n v="8"/>
    <n v="7"/>
    <x v="0"/>
    <s v=""/>
    <s v=""/>
    <s v=""/>
    <s v=""/>
    <s v=""/>
    <m/>
    <m/>
    <m/>
    <m/>
    <m/>
    <m/>
    <m/>
    <m/>
    <m/>
    <m/>
  </r>
  <r>
    <n v="1257"/>
    <s v="1257 | Finance"/>
    <x v="7"/>
    <s v="Finance - Associate"/>
    <s v="Billing Officer"/>
    <s v="Finance-Billing Officer"/>
    <s v="Associate"/>
    <d v="2022-06-27T04:05:26"/>
    <d v="2022-06-28T04:05:26"/>
    <s v="Yes"/>
    <d v="2022-07-07T04:05:26"/>
    <s v="Pending"/>
    <m/>
    <d v="2022-07-12T04:05:26"/>
    <s v="Pending"/>
    <m/>
    <m/>
    <d v="2022-07-10T04:05:26"/>
    <m/>
    <n v="0"/>
    <m/>
    <m/>
    <m/>
    <m/>
    <m/>
    <m/>
    <m/>
    <m/>
    <n v="1"/>
    <n v="10"/>
    <n v="9"/>
    <x v="8"/>
    <n v="3"/>
    <d v="2022-10-08T04:05:26"/>
    <s v=""/>
    <s v=""/>
    <s v=""/>
    <m/>
    <m/>
    <m/>
    <m/>
    <m/>
    <m/>
    <m/>
    <m/>
    <m/>
    <m/>
  </r>
  <r>
    <n v="1255"/>
    <s v="1255 | Finance"/>
    <x v="7"/>
    <s v="Finance - Associate"/>
    <s v="Billing Officer"/>
    <s v="Finance-Billing Officer"/>
    <s v="Associate"/>
    <d v="2022-06-26T04:05:26"/>
    <d v="2022-06-28T04:05:26"/>
    <s v="Yes"/>
    <d v="2022-07-02T04:05:26"/>
    <s v="Failed"/>
    <s v="Salary expectation too high"/>
    <m/>
    <m/>
    <m/>
    <m/>
    <d v="2022-07-06T04:05:26"/>
    <m/>
    <n v="0"/>
    <m/>
    <m/>
    <m/>
    <m/>
    <s v="Company"/>
    <m/>
    <m/>
    <m/>
    <n v="2"/>
    <n v="6"/>
    <n v="4"/>
    <x v="22"/>
    <n v="4"/>
    <d v="2022-10-04T04:05:26"/>
    <s v=""/>
    <s v=""/>
    <s v=""/>
    <m/>
    <m/>
    <m/>
    <m/>
    <m/>
    <m/>
    <m/>
    <m/>
    <m/>
    <m/>
  </r>
  <r>
    <n v="1253"/>
    <s v="1253 | Finance"/>
    <x v="7"/>
    <s v="Finance - Associate"/>
    <s v="Billing Officer"/>
    <s v="Finance-Billing Officer"/>
    <s v="Associate"/>
    <d v="2022-06-24T04:05:26"/>
    <d v="2022-06-27T04:05:26"/>
    <s v="Yes"/>
    <d v="2022-07-19T04:05:26"/>
    <s v="Accepted"/>
    <m/>
    <d v="2022-07-26T04:05:26"/>
    <s v="Accepted"/>
    <d v="2022-07-21T04:05:26"/>
    <d v="2022-07-22T04:05:26"/>
    <d v="2022-07-22T04:05:26"/>
    <d v="2022-07-29T04:05:26"/>
    <n v="1"/>
    <d v="2022-07-31T04:05:26"/>
    <d v="2022-08-03T04:05:26"/>
    <d v="2022-08-05T04:05:26"/>
    <m/>
    <m/>
    <d v="2022-08-15T04:05:26"/>
    <m/>
    <m/>
    <n v="3"/>
    <n v="25"/>
    <n v="22"/>
    <x v="6"/>
    <n v="3"/>
    <d v="2022-10-20T04:05:26"/>
    <n v="2"/>
    <n v="24"/>
    <n v="14"/>
    <m/>
    <m/>
    <m/>
    <m/>
    <m/>
    <m/>
    <m/>
    <m/>
    <m/>
    <m/>
  </r>
  <r>
    <n v="1148"/>
    <s v="1148 | Finance"/>
    <x v="7"/>
    <s v="Finance - Associate"/>
    <s v="Billing Officer"/>
    <s v="Finance-Billing Officer"/>
    <s v="Associate"/>
    <d v="2023-08-03T01:36:53"/>
    <d v="2023-08-06T01:36:53"/>
    <s v="Yes"/>
    <d v="2023-08-17T01:36:53"/>
    <s v="Failed"/>
    <s v="Didn't pass technical test"/>
    <m/>
    <m/>
    <m/>
    <m/>
    <m/>
    <m/>
    <n v="0"/>
    <m/>
    <m/>
    <m/>
    <m/>
    <s v="Company"/>
    <m/>
    <m/>
    <m/>
    <n v="3"/>
    <n v="14"/>
    <n v="11"/>
    <x v="0"/>
    <s v=""/>
    <s v=""/>
    <s v=""/>
    <s v=""/>
    <s v=""/>
    <m/>
    <m/>
    <m/>
    <m/>
    <m/>
    <m/>
    <m/>
    <m/>
    <m/>
    <m/>
  </r>
  <r>
    <n v="1145"/>
    <s v="1145 | Finance"/>
    <x v="7"/>
    <s v="Finance - Associate"/>
    <s v="Billing Officer"/>
    <s v="Finance-Billing Officer"/>
    <s v="Associate"/>
    <d v="2023-08-06T01:36:53"/>
    <d v="2023-08-07T01:36:53"/>
    <s v="Yes"/>
    <d v="2023-08-13T01:36:53"/>
    <s v="Failed"/>
    <s v="Salary expectation too high"/>
    <m/>
    <m/>
    <m/>
    <m/>
    <d v="2023-08-17T01:36:53"/>
    <m/>
    <n v="0"/>
    <m/>
    <m/>
    <m/>
    <m/>
    <s v="Candidate"/>
    <m/>
    <m/>
    <m/>
    <n v="1"/>
    <n v="7"/>
    <n v="6"/>
    <x v="9"/>
    <n v="4"/>
    <d v="2023-11-15T01:36:53"/>
    <s v=""/>
    <s v=""/>
    <s v=""/>
    <m/>
    <m/>
    <m/>
    <m/>
    <m/>
    <m/>
    <m/>
    <m/>
    <m/>
    <m/>
  </r>
  <r>
    <n v="1119"/>
    <s v="1119 | Finance"/>
    <x v="7"/>
    <s v="Finance - Associate"/>
    <s v="Billing Officer"/>
    <s v="Finance-Billing Officer"/>
    <s v="Associate"/>
    <d v="2023-04-03T06:23:43"/>
    <d v="2023-04-06T06:23:4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114"/>
    <s v="1114 | Finance"/>
    <x v="7"/>
    <s v="Finance - Associate"/>
    <s v="Billing Officer"/>
    <s v="Finance-Billing Officer"/>
    <s v="Associate"/>
    <d v="2023-04-05T06:23:43"/>
    <d v="2023-04-06T06:23:4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064"/>
    <s v="1064 | Finance"/>
    <x v="7"/>
    <s v="Finance - Associate"/>
    <s v="Billing Officer"/>
    <s v="Finance-Billing Officer"/>
    <s v="Associate"/>
    <d v="2022-08-09T09:56:30"/>
    <d v="2022-08-12T09:56:30"/>
    <s v="Yes"/>
    <d v="2022-08-16T09:56:30"/>
    <s v="Failed"/>
    <s v="Didn't pass technical test"/>
    <m/>
    <m/>
    <m/>
    <m/>
    <m/>
    <m/>
    <n v="0"/>
    <m/>
    <m/>
    <m/>
    <m/>
    <s v="Company"/>
    <m/>
    <m/>
    <m/>
    <n v="3"/>
    <n v="7"/>
    <n v="4"/>
    <x v="0"/>
    <s v=""/>
    <s v=""/>
    <s v=""/>
    <s v=""/>
    <s v=""/>
    <m/>
    <m/>
    <m/>
    <m/>
    <m/>
    <m/>
    <m/>
    <m/>
    <m/>
    <m/>
  </r>
  <r>
    <n v="1062"/>
    <s v="1062 | Finance"/>
    <x v="7"/>
    <s v="Finance - Associate"/>
    <s v="Billing Officer"/>
    <s v="Finance-Billing Officer"/>
    <s v="Associate"/>
    <d v="2022-08-06T09:56:30"/>
    <d v="2022-08-07T09:56:30"/>
    <s v="Yes"/>
    <d v="2022-08-17T09:56:30"/>
    <s v="Failed"/>
    <s v="Position filled by another"/>
    <m/>
    <m/>
    <m/>
    <m/>
    <d v="2022-08-20T09:56:30"/>
    <m/>
    <n v="0"/>
    <m/>
    <m/>
    <m/>
    <m/>
    <s v="Candidate"/>
    <m/>
    <m/>
    <m/>
    <n v="1"/>
    <n v="11"/>
    <n v="10"/>
    <x v="1"/>
    <n v="3"/>
    <d v="2022-11-18T09:56:30"/>
    <s v=""/>
    <s v=""/>
    <s v=""/>
    <m/>
    <m/>
    <m/>
    <m/>
    <m/>
    <m/>
    <m/>
    <m/>
    <m/>
    <m/>
  </r>
  <r>
    <n v="1036"/>
    <s v="1036 | Finance"/>
    <x v="7"/>
    <s v="Finance - Associate"/>
    <s v="Billing Officer"/>
    <s v="Finance-Billing Officer"/>
    <s v="Associate"/>
    <d v="2023-03-03T19:44:13"/>
    <d v="2023-03-05T19:44:13"/>
    <s v="Yes"/>
    <d v="2023-03-21T19:44:13"/>
    <s v="Failed"/>
    <s v="Other"/>
    <m/>
    <m/>
    <m/>
    <m/>
    <m/>
    <m/>
    <n v="0"/>
    <m/>
    <m/>
    <m/>
    <m/>
    <s v="Candidate"/>
    <m/>
    <m/>
    <m/>
    <n v="2"/>
    <n v="18"/>
    <n v="16"/>
    <x v="0"/>
    <s v=""/>
    <s v=""/>
    <s v=""/>
    <s v=""/>
    <s v=""/>
    <m/>
    <m/>
    <m/>
    <m/>
    <m/>
    <m/>
    <m/>
    <m/>
    <m/>
    <m/>
  </r>
  <r>
    <n v="1031"/>
    <s v="1031 | Finance"/>
    <x v="7"/>
    <s v="Finance - Associate"/>
    <s v="Billing Officer"/>
    <s v="Finance-Billing Officer"/>
    <s v="Associate"/>
    <d v="2023-03-05T19:44:13"/>
    <d v="2023-03-06T19:44:13"/>
    <s v="Yes"/>
    <d v="2023-03-12T19:44:13"/>
    <s v="Declined"/>
    <m/>
    <d v="2023-03-14T19:44:13"/>
    <s v="Declined"/>
    <m/>
    <m/>
    <d v="2023-03-13T19:44:13"/>
    <m/>
    <n v="0"/>
    <m/>
    <m/>
    <m/>
    <m/>
    <m/>
    <m/>
    <m/>
    <m/>
    <n v="1"/>
    <n v="7"/>
    <n v="6"/>
    <x v="10"/>
    <n v="1"/>
    <d v="2023-06-11T19:44:13"/>
    <s v=""/>
    <s v=""/>
    <s v=""/>
    <m/>
    <m/>
    <m/>
    <m/>
    <m/>
    <m/>
    <m/>
    <m/>
    <m/>
    <m/>
  </r>
  <r>
    <n v="1018"/>
    <s v="1018 | Finance"/>
    <x v="7"/>
    <s v="Finance - Associate"/>
    <s v="Billing Officer"/>
    <s v="Finance-Billing Officer"/>
    <s v="Associate"/>
    <d v="2022-02-07T07:54:35"/>
    <d v="2022-02-08T07:54:35"/>
    <s v="Yes"/>
    <d v="2022-02-21T07:54:35"/>
    <s v="Accepted"/>
    <m/>
    <d v="2022-02-23T07:54:35"/>
    <s v="Accepted"/>
    <d v="2022-02-23T07:54:35"/>
    <d v="2022-02-24T07:54:35"/>
    <d v="2022-02-22T07:54:35"/>
    <d v="2022-03-04T07:54:35"/>
    <n v="1"/>
    <d v="2022-03-05T07:54:35"/>
    <d v="2022-03-07T07:54:35"/>
    <d v="2022-03-10T07:54:35"/>
    <m/>
    <m/>
    <d v="2022-03-19T07:54:35"/>
    <m/>
    <m/>
    <n v="1"/>
    <n v="14"/>
    <n v="13"/>
    <x v="16"/>
    <n v="1"/>
    <d v="2022-05-23T07:54:35"/>
    <n v="1"/>
    <n v="25"/>
    <n v="16"/>
    <m/>
    <m/>
    <m/>
    <m/>
    <m/>
    <m/>
    <m/>
    <m/>
    <m/>
    <m/>
  </r>
  <r>
    <n v="1012"/>
    <s v="1012 | Finance"/>
    <x v="7"/>
    <s v="Finance - Associate"/>
    <s v="Billing Officer"/>
    <s v="Finance-Billing Officer"/>
    <s v="Associate"/>
    <d v="2022-02-02T07:54:35"/>
    <d v="2022-02-04T07:54:35"/>
    <s v="Yes"/>
    <d v="2022-02-24T07:54:35"/>
    <s v="Failed"/>
    <s v="Didn't pass technical test"/>
    <m/>
    <m/>
    <m/>
    <m/>
    <d v="2022-02-28T07:54:35"/>
    <m/>
    <n v="0"/>
    <m/>
    <m/>
    <m/>
    <m/>
    <s v="Candidate"/>
    <m/>
    <m/>
    <m/>
    <n v="2"/>
    <n v="22"/>
    <n v="20"/>
    <x v="25"/>
    <n v="4"/>
    <d v="2022-05-29T07:54:35"/>
    <s v=""/>
    <s v=""/>
    <s v=""/>
    <m/>
    <m/>
    <m/>
    <m/>
    <m/>
    <m/>
    <m/>
    <m/>
    <m/>
    <m/>
  </r>
  <r>
    <n v="977"/>
    <s v="977 | Finance"/>
    <x v="7"/>
    <s v="Finance - Associate"/>
    <s v="Billing Officer"/>
    <s v="Finance-Billing Officer"/>
    <s v="Associate"/>
    <d v="2022-07-17T16:46:55"/>
    <d v="2022-07-18T16:46:55"/>
    <s v="Yes"/>
    <d v="2022-08-04T16:46:55"/>
    <s v="Failed"/>
    <s v="Position filled by another"/>
    <m/>
    <m/>
    <m/>
    <m/>
    <m/>
    <m/>
    <n v="0"/>
    <m/>
    <m/>
    <m/>
    <m/>
    <s v="Company"/>
    <m/>
    <m/>
    <m/>
    <n v="1"/>
    <n v="18"/>
    <n v="17"/>
    <x v="0"/>
    <s v=""/>
    <s v=""/>
    <s v=""/>
    <s v=""/>
    <s v=""/>
    <m/>
    <m/>
    <m/>
    <m/>
    <m/>
    <m/>
    <m/>
    <m/>
    <m/>
    <m/>
  </r>
  <r>
    <n v="969"/>
    <s v="969 | Finance"/>
    <x v="7"/>
    <s v="Finance - Associate"/>
    <s v="Billing Officer"/>
    <s v="Finance-Billing Officer"/>
    <s v="Associate"/>
    <d v="2023-07-12T08:10:15"/>
    <d v="2023-07-15T08:10:15"/>
    <s v="Yes"/>
    <d v="2023-08-02T08:10:15"/>
    <s v="Declined"/>
    <m/>
    <d v="2023-08-10T08:10:15"/>
    <s v="Declined"/>
    <m/>
    <m/>
    <d v="2023-08-06T08:10:15"/>
    <m/>
    <n v="0"/>
    <m/>
    <m/>
    <m/>
    <m/>
    <m/>
    <m/>
    <m/>
    <m/>
    <n v="3"/>
    <n v="21"/>
    <n v="18"/>
    <x v="11"/>
    <n v="4"/>
    <d v="2023-11-04T08:10:15"/>
    <s v=""/>
    <s v=""/>
    <s v=""/>
    <m/>
    <m/>
    <m/>
    <m/>
    <m/>
    <m/>
    <m/>
    <m/>
    <m/>
    <m/>
  </r>
  <r>
    <n v="963"/>
    <s v="963 | Finance"/>
    <x v="7"/>
    <s v="Finance - Associate"/>
    <s v="Billing Officer"/>
    <s v="Finance-Billing Officer"/>
    <s v="Associate"/>
    <d v="2023-07-18T08:10:15"/>
    <d v="2023-07-19T08:10:15"/>
    <s v="Yes"/>
    <d v="2023-07-23T08:10:15"/>
    <s v="Failed"/>
    <s v="Didn't pass technical test"/>
    <m/>
    <m/>
    <m/>
    <m/>
    <m/>
    <m/>
    <n v="0"/>
    <m/>
    <m/>
    <m/>
    <m/>
    <s v="Candidate"/>
    <m/>
    <m/>
    <m/>
    <n v="1"/>
    <n v="5"/>
    <n v="4"/>
    <x v="0"/>
    <s v=""/>
    <s v=""/>
    <s v=""/>
    <s v=""/>
    <s v=""/>
    <m/>
    <m/>
    <m/>
    <m/>
    <m/>
    <m/>
    <m/>
    <m/>
    <m/>
    <m/>
  </r>
  <r>
    <n v="898"/>
    <s v="898 | Finance"/>
    <x v="7"/>
    <s v="Finance - Associate"/>
    <s v="Billing Officer"/>
    <s v="Finance-Billing Officer"/>
    <s v="Associate"/>
    <d v="2022-10-10T22:33:20"/>
    <d v="2022-10-11T22:33:20"/>
    <s v="Yes"/>
    <d v="2022-10-19T22:33:20"/>
    <s v="Failed"/>
    <s v="Other"/>
    <m/>
    <m/>
    <m/>
    <m/>
    <d v="2022-10-23T22:33:20"/>
    <m/>
    <n v="0"/>
    <m/>
    <m/>
    <m/>
    <m/>
    <s v="Candidate"/>
    <m/>
    <m/>
    <m/>
    <n v="1"/>
    <n v="9"/>
    <n v="8"/>
    <x v="8"/>
    <n v="4"/>
    <d v="2023-01-21T22:33:20"/>
    <s v=""/>
    <s v=""/>
    <s v=""/>
    <m/>
    <m/>
    <m/>
    <m/>
    <m/>
    <m/>
    <m/>
    <m/>
    <m/>
    <m/>
  </r>
  <r>
    <n v="897"/>
    <s v="897 | Finance"/>
    <x v="7"/>
    <s v="Finance - Associate"/>
    <s v="Billing Officer"/>
    <s v="Finance-Billing Officer"/>
    <s v="Associate"/>
    <d v="2022-10-10T22:33:20"/>
    <d v="2022-10-13T22:33:20"/>
    <s v="Yes"/>
    <d v="2022-10-25T22:33:20"/>
    <s v="Failed"/>
    <s v="Salary expectation too high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895"/>
    <s v="895 | Finance"/>
    <x v="7"/>
    <s v="Finance - Associate"/>
    <s v="Billing Officer"/>
    <s v="Finance-Billing Officer"/>
    <s v="Associate"/>
    <d v="2022-10-12T22:33:20"/>
    <d v="2022-10-14T22:33:20"/>
    <s v="Yes"/>
    <d v="2022-10-27T22:33:20"/>
    <s v="Failed"/>
    <s v="Position filled by another"/>
    <m/>
    <m/>
    <m/>
    <m/>
    <m/>
    <m/>
    <n v="0"/>
    <m/>
    <m/>
    <m/>
    <m/>
    <s v="Candidate"/>
    <m/>
    <m/>
    <m/>
    <n v="2"/>
    <n v="15"/>
    <n v="13"/>
    <x v="0"/>
    <s v=""/>
    <s v=""/>
    <s v=""/>
    <s v=""/>
    <s v=""/>
    <m/>
    <m/>
    <m/>
    <m/>
    <m/>
    <m/>
    <m/>
    <m/>
    <m/>
    <m/>
  </r>
  <r>
    <n v="884"/>
    <s v="884 | Finance"/>
    <x v="7"/>
    <s v="Finance - Associate"/>
    <s v="Billing Officer"/>
    <s v="Finance-Billing Officer"/>
    <s v="Associate"/>
    <d v="2022-09-23T04:47:55"/>
    <d v="2022-09-25T04:47:55"/>
    <s v="Yes"/>
    <d v="2022-10-04T04:47:55"/>
    <s v="Failed"/>
    <s v="Other"/>
    <m/>
    <m/>
    <m/>
    <m/>
    <m/>
    <m/>
    <n v="0"/>
    <m/>
    <m/>
    <m/>
    <m/>
    <s v="Candidate"/>
    <m/>
    <m/>
    <m/>
    <n v="2"/>
    <n v="11"/>
    <n v="9"/>
    <x v="0"/>
    <s v=""/>
    <s v=""/>
    <s v=""/>
    <s v=""/>
    <s v=""/>
    <m/>
    <m/>
    <m/>
    <m/>
    <m/>
    <m/>
    <m/>
    <m/>
    <m/>
    <m/>
  </r>
  <r>
    <n v="881"/>
    <s v="881 | Finance"/>
    <x v="7"/>
    <s v="Finance - Associate"/>
    <s v="Billing Officer"/>
    <s v="Finance-Billing Officer"/>
    <s v="Associate"/>
    <d v="2022-09-20T04:47:55"/>
    <d v="2022-09-24T04:47:55"/>
    <s v="Yes"/>
    <d v="2022-09-28T04:47:55"/>
    <s v="Accepted"/>
    <m/>
    <d v="2022-10-01T04:47:55"/>
    <s v="Accepted"/>
    <d v="2022-09-30T04:47:55"/>
    <d v="2022-10-03T04:47:55"/>
    <d v="2022-09-30T04:47:55"/>
    <d v="2022-10-01T04:47:55"/>
    <n v="1"/>
    <d v="2022-10-05T04:47:55"/>
    <d v="2022-10-08T04:47:55"/>
    <d v="2022-10-09T04:47:55"/>
    <m/>
    <m/>
    <d v="2022-10-26T04:47:55"/>
    <m/>
    <m/>
    <n v="4"/>
    <n v="8"/>
    <n v="4"/>
    <x v="22"/>
    <n v="2"/>
    <d v="2022-12-29T04:47:55"/>
    <n v="4"/>
    <n v="26"/>
    <n v="9"/>
    <m/>
    <m/>
    <m/>
    <m/>
    <m/>
    <m/>
    <m/>
    <m/>
    <m/>
    <m/>
  </r>
  <r>
    <n v="855"/>
    <s v="855 | Finance"/>
    <x v="7"/>
    <s v="Finance - Associate"/>
    <s v="Billing Officer"/>
    <s v="Finance-Billing Officer"/>
    <s v="Associate"/>
    <d v="2023-02-02T00:03:45"/>
    <d v="2023-02-03T00:03:45"/>
    <s v="Yes"/>
    <d v="2023-02-09T00:03:45"/>
    <s v="Accepted"/>
    <m/>
    <d v="2023-02-14T00:03:45"/>
    <s v="Accepted"/>
    <d v="2023-02-11T00:03:45"/>
    <d v="2023-02-12T00:03:45"/>
    <d v="2023-02-10T00:03:45"/>
    <d v="2023-02-12T00:03:45"/>
    <n v="1"/>
    <d v="2023-02-14T00:03:45"/>
    <d v="2023-02-16T00:03:45"/>
    <d v="2023-02-18T00:03:45"/>
    <m/>
    <m/>
    <d v="2023-02-28T00:03:45"/>
    <m/>
    <m/>
    <n v="1"/>
    <n v="7"/>
    <n v="6"/>
    <x v="10"/>
    <n v="1"/>
    <d v="2023-05-11T00:03:45"/>
    <n v="2"/>
    <n v="18"/>
    <n v="8"/>
    <m/>
    <m/>
    <m/>
    <m/>
    <m/>
    <m/>
    <m/>
    <m/>
    <m/>
    <m/>
  </r>
  <r>
    <n v="852"/>
    <s v="852 | Finance"/>
    <x v="7"/>
    <s v="Finance - Associate"/>
    <s v="Billing Officer"/>
    <s v="Finance-Billing Officer"/>
    <s v="Associate"/>
    <d v="2023-02-03T00:03:45"/>
    <d v="2023-02-04T00:03:45"/>
    <s v="Yes"/>
    <d v="2023-02-24T00:03:45"/>
    <s v="Failed"/>
    <s v="Position filled by another"/>
    <m/>
    <m/>
    <m/>
    <m/>
    <m/>
    <m/>
    <n v="0"/>
    <m/>
    <m/>
    <m/>
    <m/>
    <s v="Company"/>
    <m/>
    <m/>
    <m/>
    <n v="1"/>
    <n v="21"/>
    <n v="20"/>
    <x v="0"/>
    <s v=""/>
    <s v=""/>
    <s v=""/>
    <s v=""/>
    <s v=""/>
    <m/>
    <m/>
    <m/>
    <m/>
    <m/>
    <m/>
    <m/>
    <m/>
    <m/>
    <m/>
  </r>
  <r>
    <n v="749"/>
    <s v="749 | Finance"/>
    <x v="7"/>
    <s v="Finance - Associate"/>
    <s v="Billing Officer"/>
    <s v="Finance-Billing Officer"/>
    <s v="Associate"/>
    <d v="2022-11-03T05:17:37"/>
    <d v="2022-11-04T05:17:37"/>
    <s v="Yes"/>
    <d v="2022-11-14T05:17:37"/>
    <s v="Declined"/>
    <m/>
    <d v="2022-11-17T05:17:37"/>
    <s v="Declined"/>
    <m/>
    <m/>
    <d v="2022-11-16T05:17:37"/>
    <m/>
    <n v="0"/>
    <m/>
    <m/>
    <m/>
    <m/>
    <m/>
    <m/>
    <m/>
    <m/>
    <n v="1"/>
    <n v="11"/>
    <n v="10"/>
    <x v="8"/>
    <n v="2"/>
    <d v="2023-02-14T05:17:37"/>
    <s v=""/>
    <s v=""/>
    <s v=""/>
    <m/>
    <m/>
    <m/>
    <m/>
    <m/>
    <m/>
    <m/>
    <m/>
    <m/>
    <m/>
  </r>
  <r>
    <n v="744"/>
    <s v="744 | Finance"/>
    <x v="7"/>
    <s v="Finance - Associate"/>
    <s v="Billing Officer"/>
    <s v="Finance-Billing Officer"/>
    <s v="Associate"/>
    <d v="2022-11-07T05:17:37"/>
    <d v="2022-11-08T05:17:3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10"/>
    <s v="610 | Finance"/>
    <x v="7"/>
    <s v="Finance - Associate"/>
    <s v="Billing Officer"/>
    <s v="Finance-Billing Officer"/>
    <s v="Associate"/>
    <d v="2022-01-07T07:25:27"/>
    <d v="2022-01-10T07:25:27"/>
    <s v="Yes"/>
    <d v="2022-01-26T07:25:27"/>
    <s v="Failed"/>
    <s v="Salary expectation too high"/>
    <m/>
    <m/>
    <m/>
    <m/>
    <d v="2022-01-29T07:25:27"/>
    <m/>
    <n v="0"/>
    <m/>
    <m/>
    <m/>
    <m/>
    <s v="Candidate"/>
    <m/>
    <m/>
    <m/>
    <n v="3"/>
    <n v="19"/>
    <n v="16"/>
    <x v="7"/>
    <n v="3"/>
    <d v="2022-04-29T07:25:27"/>
    <s v=""/>
    <s v=""/>
    <s v=""/>
    <m/>
    <m/>
    <m/>
    <m/>
    <m/>
    <m/>
    <m/>
    <m/>
    <m/>
    <m/>
  </r>
  <r>
    <n v="458"/>
    <s v="458 | Finance"/>
    <x v="7"/>
    <s v="Finance - Associate"/>
    <s v="Billing Officer"/>
    <s v="Finance-Billing Officer"/>
    <s v="Associate"/>
    <d v="2023-02-13T13:42:17"/>
    <d v="2023-02-16T13:42:1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456"/>
    <s v="456 | Finance"/>
    <x v="7"/>
    <s v="Finance - Associate"/>
    <s v="Billing Officer"/>
    <s v="Finance-Billing Officer"/>
    <s v="Associate"/>
    <d v="2023-02-16T13:42:17"/>
    <d v="2023-02-17T13:42:1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399"/>
    <s v="399 | Finance"/>
    <x v="7"/>
    <s v="Finance - Associate"/>
    <s v="Billing Officer"/>
    <s v="Finance-Billing Officer"/>
    <s v="Associate"/>
    <d v="2023-02-15T16:28:40"/>
    <d v="2023-02-19T16:28:40"/>
    <s v="Yes"/>
    <d v="2023-02-24T16:28:40"/>
    <s v="Failed"/>
    <s v="Other"/>
    <m/>
    <m/>
    <m/>
    <m/>
    <d v="2023-02-26T16:28:40"/>
    <m/>
    <n v="0"/>
    <m/>
    <m/>
    <m/>
    <m/>
    <s v="Candidate"/>
    <m/>
    <m/>
    <m/>
    <n v="4"/>
    <n v="9"/>
    <n v="5"/>
    <x v="9"/>
    <n v="2"/>
    <d v="2023-05-27T16:28:40"/>
    <s v=""/>
    <s v=""/>
    <s v=""/>
    <m/>
    <m/>
    <m/>
    <m/>
    <m/>
    <m/>
    <m/>
    <m/>
    <m/>
    <m/>
  </r>
  <r>
    <n v="396"/>
    <s v="396 | Finance"/>
    <x v="7"/>
    <s v="Finance - Associate"/>
    <s v="Collections Officer"/>
    <s v="Finance-Collections Officer"/>
    <s v="Associate"/>
    <d v="2023-02-13T16:28:40"/>
    <d v="2023-02-17T16:28:4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395"/>
    <s v="395 | Finance"/>
    <x v="7"/>
    <s v="Finance - Associate"/>
    <s v="Collections Officer"/>
    <s v="Finance-Collections Officer"/>
    <s v="Associate"/>
    <d v="2023-02-17T16:28:40"/>
    <d v="2023-02-18T16:28:4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86"/>
    <s v="286 | Finance"/>
    <x v="7"/>
    <s v="Finance - Associate"/>
    <s v="Collections Officer"/>
    <s v="Finance-Collections Officer"/>
    <s v="Associate"/>
    <d v="2022-05-22T16:15:48"/>
    <d v="2022-05-24T16:15:48"/>
    <s v="Yes"/>
    <d v="2022-06-09T16:15:48"/>
    <s v="Accepted"/>
    <m/>
    <d v="2022-06-14T16:15:48"/>
    <s v="Accepted"/>
    <d v="2022-06-10T16:15:48"/>
    <d v="2022-06-11T16:15:48"/>
    <d v="2022-06-13T16:15:48"/>
    <d v="2022-06-20T16:15:48"/>
    <n v="1"/>
    <d v="2022-06-22T16:15:48"/>
    <d v="2022-06-25T16:15:48"/>
    <d v="2022-06-28T16:15:48"/>
    <m/>
    <m/>
    <d v="2022-07-17T16:15:48"/>
    <m/>
    <m/>
    <n v="2"/>
    <n v="18"/>
    <n v="16"/>
    <x v="7"/>
    <n v="4"/>
    <d v="2022-09-11T16:15:48"/>
    <n v="2"/>
    <n v="34"/>
    <n v="15"/>
    <m/>
    <m/>
    <m/>
    <m/>
    <m/>
    <m/>
    <m/>
    <m/>
    <m/>
    <m/>
  </r>
  <r>
    <n v="283"/>
    <s v="283 | Finance"/>
    <x v="7"/>
    <s v="Finance - Associate"/>
    <s v="Collections Officer"/>
    <s v="Finance-Collections Officer"/>
    <s v="Associate"/>
    <d v="2022-05-23T16:15:48"/>
    <d v="2022-05-24T16:15:48"/>
    <s v="Yes"/>
    <d v="2022-06-09T16:15:48"/>
    <s v="Failed"/>
    <s v="Other"/>
    <m/>
    <m/>
    <m/>
    <m/>
    <d v="2022-06-10T16:15:48"/>
    <m/>
    <n v="0"/>
    <m/>
    <m/>
    <m/>
    <m/>
    <s v="Company"/>
    <m/>
    <m/>
    <m/>
    <n v="1"/>
    <n v="17"/>
    <n v="16"/>
    <x v="12"/>
    <n v="1"/>
    <d v="2022-09-08T16:15:48"/>
    <s v=""/>
    <s v=""/>
    <s v=""/>
    <m/>
    <m/>
    <m/>
    <m/>
    <m/>
    <m/>
    <m/>
    <m/>
    <m/>
    <m/>
  </r>
  <r>
    <n v="204"/>
    <s v="204 | Finance"/>
    <x v="7"/>
    <s v="Finance - Associate"/>
    <s v="Collections Officer"/>
    <s v="Finance-Collections Officer"/>
    <s v="Associate"/>
    <d v="2022-07-07T08:13:46"/>
    <d v="2022-07-10T08:13:46"/>
    <s v="Yes"/>
    <d v="2022-07-21T08:13:46"/>
    <s v="Failed"/>
    <s v="Not a culture fit"/>
    <m/>
    <m/>
    <m/>
    <m/>
    <m/>
    <m/>
    <n v="0"/>
    <m/>
    <m/>
    <m/>
    <m/>
    <s v="Candidate"/>
    <m/>
    <m/>
    <m/>
    <n v="3"/>
    <n v="14"/>
    <n v="11"/>
    <x v="0"/>
    <s v=""/>
    <s v=""/>
    <s v=""/>
    <s v=""/>
    <s v=""/>
    <m/>
    <m/>
    <m/>
    <m/>
    <m/>
    <m/>
    <m/>
    <m/>
    <m/>
    <m/>
  </r>
  <r>
    <n v="178"/>
    <s v="178 | Finance"/>
    <x v="7"/>
    <s v="Finance - Associate"/>
    <s v="Collections Officer"/>
    <s v="Finance-Collections Officer"/>
    <s v="Associate"/>
    <d v="2023-06-16T08:54:08"/>
    <d v="2023-06-17T08:54:08"/>
    <s v="Yes"/>
    <d v="2023-07-03T08:54:08"/>
    <s v="Failed"/>
    <s v="Didn't pass technical test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106"/>
    <s v="106 | Finance"/>
    <x v="7"/>
    <s v="Finance - Associate"/>
    <s v="Collections Officer"/>
    <s v="Finance-Collections Officer"/>
    <s v="Associate"/>
    <d v="2023-03-29T21:07:16"/>
    <d v="2023-03-30T21:07:16"/>
    <s v="Yes"/>
    <d v="2023-04-16T21:07:16"/>
    <s v="Failed"/>
    <s v="Not a culture fit"/>
    <m/>
    <m/>
    <m/>
    <m/>
    <m/>
    <m/>
    <n v="0"/>
    <m/>
    <m/>
    <m/>
    <m/>
    <s v="Company"/>
    <m/>
    <m/>
    <m/>
    <n v="1"/>
    <n v="18"/>
    <n v="17"/>
    <x v="0"/>
    <s v=""/>
    <s v=""/>
    <s v=""/>
    <s v=""/>
    <s v=""/>
    <m/>
    <m/>
    <m/>
    <m/>
    <m/>
    <m/>
    <m/>
    <m/>
    <m/>
    <m/>
  </r>
  <r>
    <n v="105"/>
    <s v="105 | Finance"/>
    <x v="7"/>
    <s v="Finance - Associate"/>
    <s v="Collections Officer"/>
    <s v="Finance-Collections Officer"/>
    <s v="Associate"/>
    <d v="2023-03-25T21:07:16"/>
    <d v="2023-03-29T21:07:16"/>
    <s v="Yes"/>
    <d v="2023-04-11T21:07:16"/>
    <s v="Declined"/>
    <m/>
    <d v="2023-04-16T21:07:16"/>
    <s v="Declined"/>
    <m/>
    <m/>
    <d v="2023-04-14T21:07:16"/>
    <m/>
    <n v="0"/>
    <m/>
    <m/>
    <m/>
    <m/>
    <m/>
    <m/>
    <m/>
    <m/>
    <n v="4"/>
    <n v="17"/>
    <n v="13"/>
    <x v="15"/>
    <n v="3"/>
    <d v="2023-07-13T21:07:16"/>
    <s v=""/>
    <s v=""/>
    <s v=""/>
    <m/>
    <m/>
    <m/>
    <m/>
    <m/>
    <m/>
    <m/>
    <m/>
    <m/>
    <m/>
  </r>
  <r>
    <n v="101"/>
    <s v="101 | Finance"/>
    <x v="7"/>
    <s v="Finance - Associate"/>
    <s v="Collections Officer"/>
    <s v="Finance-Collections Officer"/>
    <s v="Associate"/>
    <d v="2023-03-29T21:07:16"/>
    <d v="2023-03-31T21:07:16"/>
    <s v="Yes"/>
    <d v="2023-04-18T21:07:16"/>
    <s v="Failed"/>
    <s v="Not a culture fit"/>
    <m/>
    <m/>
    <m/>
    <m/>
    <m/>
    <m/>
    <n v="0"/>
    <m/>
    <m/>
    <m/>
    <m/>
    <s v="Candidate"/>
    <m/>
    <m/>
    <m/>
    <n v="2"/>
    <n v="20"/>
    <n v="18"/>
    <x v="0"/>
    <s v=""/>
    <s v=""/>
    <s v=""/>
    <s v=""/>
    <s v=""/>
    <m/>
    <m/>
    <m/>
    <m/>
    <m/>
    <m/>
    <m/>
    <m/>
    <m/>
    <m/>
  </r>
  <r>
    <n v="100"/>
    <s v="100 | Finance"/>
    <x v="7"/>
    <s v="Finance - Associate"/>
    <s v="Collections Officer"/>
    <s v="Finance-Collections Officer"/>
    <s v="Associate"/>
    <d v="2022-10-03T14:05:41"/>
    <d v="2022-10-07T14:05:4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1"/>
    <s v="91 | Finance"/>
    <x v="7"/>
    <s v="Finance - Associate"/>
    <s v="Collections Officer"/>
    <s v="Finance-Collections Officer"/>
    <s v="Associate"/>
    <d v="2022-10-08T14:05:41"/>
    <d v="2022-10-10T14:05:41"/>
    <s v="Yes"/>
    <d v="2022-10-25T14:05:41"/>
    <s v="Declined"/>
    <m/>
    <d v="2022-10-30T14:05:41"/>
    <s v="Declined"/>
    <m/>
    <m/>
    <d v="2022-10-26T14:05:41"/>
    <m/>
    <n v="0"/>
    <m/>
    <m/>
    <m/>
    <m/>
    <m/>
    <m/>
    <m/>
    <m/>
    <n v="2"/>
    <n v="17"/>
    <n v="15"/>
    <x v="12"/>
    <n v="1"/>
    <d v="2023-01-24T14:05:41"/>
    <s v=""/>
    <s v=""/>
    <s v=""/>
    <m/>
    <m/>
    <m/>
    <m/>
    <m/>
    <m/>
    <m/>
    <m/>
    <m/>
    <m/>
  </r>
  <r>
    <n v="30"/>
    <s v="30 | Finance"/>
    <x v="7"/>
    <s v="Finance - Associate"/>
    <s v="Collections Officer"/>
    <s v="Finance-Collections Officer"/>
    <s v="Associate"/>
    <d v="2022-12-25T10:52:58"/>
    <d v="2022-12-29T10:52:5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"/>
    <s v="23 | Finance"/>
    <x v="7"/>
    <s v="Finance - Associate"/>
    <s v="Collections Officer"/>
    <s v="Finance-Collections Officer"/>
    <s v="Associate"/>
    <d v="2022-12-24T10:52:58"/>
    <d v="2022-12-28T10:52:5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1"/>
    <s v="21 | Finance"/>
    <x v="7"/>
    <s v="Finance - Associate"/>
    <s v="Collections Officer"/>
    <s v="Finance-Collections Officer"/>
    <s v="Associate"/>
    <d v="2022-12-25T10:52:58"/>
    <d v="2022-12-26T10:52:58"/>
    <s v="Yes"/>
    <d v="2023-01-15T10:52:58"/>
    <s v="Accepted"/>
    <m/>
    <d v="2023-01-21T10:52:58"/>
    <s v="Accepted"/>
    <d v="2023-01-17T10:52:58"/>
    <d v="2023-01-18T10:52:58"/>
    <d v="2023-01-18T10:52:58"/>
    <d v="2023-01-23T10:52:58"/>
    <n v="1"/>
    <d v="2023-01-24T10:52:58"/>
    <d v="2023-01-27T10:52:58"/>
    <d v="2023-01-30T10:52:58"/>
    <m/>
    <m/>
    <d v="2023-02-19T10:52:58"/>
    <m/>
    <m/>
    <n v="1"/>
    <n v="21"/>
    <n v="20"/>
    <x v="21"/>
    <n v="3"/>
    <d v="2023-04-18T10:52:58"/>
    <n v="1"/>
    <n v="32"/>
    <n v="12"/>
    <m/>
    <m/>
    <m/>
    <m/>
    <m/>
    <m/>
    <m/>
    <m/>
    <m/>
    <m/>
  </r>
  <r>
    <n v="20"/>
    <s v="20 | Finance"/>
    <x v="7"/>
    <s v="Finance - Associate"/>
    <s v="Collections Officer"/>
    <s v="Finance-Collections Officer"/>
    <s v="Associate"/>
    <d v="2022-03-14T21:37:51"/>
    <d v="2022-03-17T21:37:51"/>
    <s v="Yes"/>
    <d v="2022-04-01T21:37:51"/>
    <s v="Declined"/>
    <m/>
    <d v="2022-04-06T21:37:51"/>
    <s v="Declined"/>
    <m/>
    <m/>
    <d v="2022-04-05T21:37:51"/>
    <m/>
    <n v="0"/>
    <m/>
    <m/>
    <m/>
    <m/>
    <m/>
    <m/>
    <m/>
    <m/>
    <n v="3"/>
    <n v="18"/>
    <n v="15"/>
    <x v="7"/>
    <n v="4"/>
    <d v="2022-07-04T21:37:51"/>
    <s v=""/>
    <s v=""/>
    <s v=""/>
    <m/>
    <m/>
    <m/>
    <m/>
    <m/>
    <m/>
    <m/>
    <m/>
    <m/>
    <m/>
  </r>
  <r>
    <n v="12"/>
    <s v="12 | Finance"/>
    <x v="7"/>
    <s v="Finance - Associate"/>
    <s v="Collections Officer"/>
    <s v="Finance-Collections Officer"/>
    <s v="Associate"/>
    <d v="2022-03-16T21:37:51"/>
    <d v="2022-03-18T21:37:5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439"/>
    <s v="439 | Communication and Advocacy"/>
    <x v="8"/>
    <s v="Communication and Advocacy - Senior Management"/>
    <s v="Senior Manager"/>
    <s v="Communication and Advocacy-Senior Manager"/>
    <s v="Senior Management"/>
    <d v="2022-06-24T07:34:28"/>
    <d v="2022-06-26T07:34:28"/>
    <s v="Yes"/>
    <d v="2022-07-12T07:34:28"/>
    <s v="Failed"/>
    <s v="Didn't pass technical test"/>
    <m/>
    <m/>
    <m/>
    <m/>
    <d v="2022-07-13T07:34:28"/>
    <m/>
    <n v="0"/>
    <m/>
    <m/>
    <m/>
    <m/>
    <s v="Candidate"/>
    <m/>
    <m/>
    <m/>
    <n v="2"/>
    <n v="18"/>
    <n v="16"/>
    <x v="13"/>
    <n v="1"/>
    <d v="2022-10-11T07:34:28"/>
    <s v=""/>
    <s v=""/>
    <s v=""/>
    <m/>
    <m/>
    <m/>
    <m/>
    <m/>
    <m/>
    <m/>
    <m/>
    <m/>
    <m/>
  </r>
  <r>
    <n v="432"/>
    <s v="432 | Communication and Advocacy"/>
    <x v="8"/>
    <s v="Communication and Advocacy - Senior Management"/>
    <s v="Senior Manager"/>
    <s v="Communication and Advocacy-Senior Manager"/>
    <s v="Senior Management"/>
    <d v="2022-06-23T07:34:28"/>
    <d v="2022-06-24T07:34:28"/>
    <s v="Yes"/>
    <d v="2022-07-14T07:34:28"/>
    <s v="Failed"/>
    <s v="Not a culture fit"/>
    <m/>
    <m/>
    <m/>
    <m/>
    <m/>
    <m/>
    <n v="0"/>
    <m/>
    <m/>
    <m/>
    <m/>
    <s v="Company"/>
    <m/>
    <m/>
    <m/>
    <n v="1"/>
    <n v="21"/>
    <n v="20"/>
    <x v="0"/>
    <s v=""/>
    <s v=""/>
    <s v=""/>
    <s v=""/>
    <s v=""/>
    <m/>
    <m/>
    <m/>
    <m/>
    <m/>
    <m/>
    <m/>
    <m/>
    <m/>
    <m/>
  </r>
  <r>
    <n v="365"/>
    <s v="365 | Communication and Advocacy"/>
    <x v="8"/>
    <s v="Communication and Advocacy - Senior Management"/>
    <s v="Senior Manager"/>
    <s v="Communication and Advocacy-Senior Manager"/>
    <s v="Senior Management"/>
    <d v="2022-04-28T18:02:17"/>
    <d v="2022-05-02T18:02:17"/>
    <s v="Yes"/>
    <d v="2022-05-15T18:02:17"/>
    <s v="Declined"/>
    <m/>
    <d v="2022-05-21T18:02:17"/>
    <s v="Declined"/>
    <m/>
    <m/>
    <d v="2022-05-17T18:02:17"/>
    <m/>
    <n v="0"/>
    <m/>
    <m/>
    <m/>
    <m/>
    <m/>
    <m/>
    <m/>
    <m/>
    <n v="4"/>
    <n v="17"/>
    <n v="13"/>
    <x v="13"/>
    <n v="2"/>
    <d v="2022-08-15T18:02:17"/>
    <s v=""/>
    <s v=""/>
    <s v=""/>
    <m/>
    <m/>
    <m/>
    <m/>
    <m/>
    <m/>
    <m/>
    <m/>
    <m/>
    <m/>
  </r>
  <r>
    <n v="364"/>
    <s v="364 | Communication and Advocacy"/>
    <x v="8"/>
    <s v="Communication and Advocacy - Senior Management"/>
    <s v="Senior Manager"/>
    <s v="Communication and Advocacy-Senior Manager"/>
    <s v="Senior Management"/>
    <d v="2022-05-01T18:02:17"/>
    <d v="2022-05-04T18:02:17"/>
    <s v="Yes"/>
    <d v="2022-05-21T18:02:17"/>
    <s v="Accepted"/>
    <m/>
    <d v="2022-05-25T18:02:17"/>
    <s v="Accepted"/>
    <d v="2022-05-23T18:02:17"/>
    <d v="2022-05-27T18:02:17"/>
    <d v="2022-05-22T18:02:17"/>
    <d v="2022-05-24T18:02:17"/>
    <n v="1"/>
    <d v="2022-05-27T18:02:17"/>
    <d v="2022-05-30T18:02:17"/>
    <d v="2022-05-31T18:02:17"/>
    <m/>
    <m/>
    <d v="2022-06-20T18:02:17"/>
    <m/>
    <m/>
    <n v="3"/>
    <n v="20"/>
    <n v="17"/>
    <x v="19"/>
    <n v="1"/>
    <d v="2022-08-20T18:02:17"/>
    <n v="3"/>
    <n v="29"/>
    <n v="9"/>
    <m/>
    <m/>
    <m/>
    <m/>
    <m/>
    <m/>
    <m/>
    <m/>
    <m/>
    <m/>
  </r>
  <r>
    <n v="360"/>
    <s v="360 | Communication and Advocacy"/>
    <x v="8"/>
    <s v="Communication and Advocacy - Senior Management"/>
    <s v="Senior Manager"/>
    <s v="Communication and Advocacy-Senior Manager"/>
    <s v="Senior Management"/>
    <d v="2022-10-08T04:14:17"/>
    <d v="2022-10-09T04:14:17"/>
    <s v="Yes"/>
    <d v="2022-10-18T04:14:17"/>
    <s v="Failed"/>
    <s v="Not a culture fit"/>
    <m/>
    <m/>
    <m/>
    <m/>
    <d v="2022-10-20T04:14:17"/>
    <m/>
    <n v="0"/>
    <m/>
    <m/>
    <m/>
    <m/>
    <s v="Candidate"/>
    <m/>
    <m/>
    <m/>
    <n v="1"/>
    <n v="10"/>
    <n v="9"/>
    <x v="24"/>
    <n v="2"/>
    <d v="2023-01-18T04:14:17"/>
    <s v=""/>
    <s v=""/>
    <s v=""/>
    <m/>
    <m/>
    <m/>
    <m/>
    <m/>
    <m/>
    <m/>
    <m/>
    <m/>
    <m/>
  </r>
  <r>
    <n v="358"/>
    <s v="358 | Communication and Advocacy"/>
    <x v="8"/>
    <s v="Communication and Advocacy - Senior Management"/>
    <s v="Senior Manager"/>
    <s v="Communication and Advocacy-Senior Manager"/>
    <s v="Senior Management"/>
    <d v="2022-10-03T04:14:17"/>
    <d v="2022-10-07T04:14:17"/>
    <s v="Yes"/>
    <d v="2022-10-16T04:14:17"/>
    <s v="Failed"/>
    <s v="Not a culture fit"/>
    <m/>
    <m/>
    <m/>
    <m/>
    <d v="2022-10-20T04:14:17"/>
    <m/>
    <n v="0"/>
    <m/>
    <m/>
    <m/>
    <m/>
    <s v="Candidate"/>
    <m/>
    <m/>
    <m/>
    <n v="4"/>
    <n v="13"/>
    <n v="9"/>
    <x v="14"/>
    <n v="4"/>
    <d v="2023-01-18T04:14:17"/>
    <s v=""/>
    <s v=""/>
    <s v=""/>
    <m/>
    <m/>
    <m/>
    <m/>
    <m/>
    <m/>
    <m/>
    <m/>
    <m/>
    <m/>
  </r>
  <r>
    <n v="354"/>
    <s v="354 | Communication and Advocacy"/>
    <x v="8"/>
    <s v="Communication and Advocacy - Senior Management"/>
    <s v="Senior Manager"/>
    <s v="Communication and Advocacy-Senior Manager"/>
    <s v="Senior Management"/>
    <d v="2022-10-01T04:14:17"/>
    <d v="2022-10-04T04:14:17"/>
    <s v="Yes"/>
    <d v="2022-10-17T04:14:17"/>
    <s v="Declined"/>
    <m/>
    <d v="2022-10-19T04:14:17"/>
    <s v="Declined"/>
    <m/>
    <m/>
    <d v="2022-10-18T04:14:17"/>
    <m/>
    <n v="0"/>
    <m/>
    <m/>
    <m/>
    <m/>
    <m/>
    <m/>
    <m/>
    <m/>
    <n v="3"/>
    <n v="16"/>
    <n v="13"/>
    <x v="14"/>
    <n v="1"/>
    <d v="2023-01-16T04:14:17"/>
    <s v=""/>
    <s v=""/>
    <s v=""/>
    <m/>
    <m/>
    <m/>
    <m/>
    <m/>
    <m/>
    <m/>
    <m/>
    <m/>
    <m/>
  </r>
  <r>
    <n v="326"/>
    <s v="326 | Communication and Advocacy"/>
    <x v="8"/>
    <s v="Communication and Advocacy - Senior Management"/>
    <s v="Senior Manager"/>
    <s v="Communication and Advocacy-Senior Manager"/>
    <s v="Senior Management"/>
    <d v="2022-01-16T22:01:29"/>
    <d v="2022-01-17T22:01:29"/>
    <s v="Yes"/>
    <d v="2022-01-23T22:01:29"/>
    <s v="Declined"/>
    <m/>
    <d v="2022-01-25T22:01:29"/>
    <s v="Declined"/>
    <m/>
    <m/>
    <d v="2022-01-24T22:01:29"/>
    <m/>
    <n v="0"/>
    <m/>
    <m/>
    <m/>
    <m/>
    <m/>
    <m/>
    <m/>
    <m/>
    <n v="1"/>
    <n v="7"/>
    <n v="6"/>
    <x v="10"/>
    <n v="1"/>
    <d v="2022-04-24T22:01:29"/>
    <s v=""/>
    <s v=""/>
    <s v=""/>
    <m/>
    <m/>
    <m/>
    <m/>
    <m/>
    <m/>
    <m/>
    <m/>
    <m/>
    <m/>
  </r>
  <r>
    <n v="324"/>
    <s v="324 | Communication and Advocacy"/>
    <x v="8"/>
    <s v="Communication and Advocacy - Senior Management"/>
    <s v="Senior Manager"/>
    <s v="Communication and Advocacy-Senior Manager"/>
    <s v="Senior Management"/>
    <d v="2022-01-19T22:01:29"/>
    <d v="2022-01-20T22:01:29"/>
    <s v="Yes"/>
    <d v="2022-01-24T22:01:29"/>
    <s v="Accepted"/>
    <m/>
    <d v="2022-01-30T22:01:29"/>
    <s v="Accepted"/>
    <d v="2022-01-25T22:01:29"/>
    <d v="2022-01-29T22:01:29"/>
    <d v="2022-01-26T22:01:29"/>
    <d v="2022-01-31T22:01:29"/>
    <n v="1"/>
    <d v="2022-02-01T22:01:29"/>
    <d v="2022-02-02T22:01:29"/>
    <d v="2022-02-03T22:01:29"/>
    <m/>
    <m/>
    <d v="2022-02-26T22:01:29"/>
    <m/>
    <m/>
    <n v="1"/>
    <n v="5"/>
    <n v="4"/>
    <x v="5"/>
    <n v="2"/>
    <d v="2022-04-26T22:01:29"/>
    <n v="1"/>
    <n v="31"/>
    <n v="8"/>
    <m/>
    <m/>
    <m/>
    <m/>
    <m/>
    <m/>
    <m/>
    <m/>
    <m/>
    <m/>
  </r>
  <r>
    <n v="323"/>
    <s v="323 | Communication and Advocacy"/>
    <x v="8"/>
    <s v="Communication and Advocacy - Senior Management"/>
    <s v="Senior Manager"/>
    <s v="Communication and Advocacy-Senior Manager"/>
    <s v="Senior Management"/>
    <d v="2022-01-15T22:01:29"/>
    <d v="2022-01-17T22:01:29"/>
    <s v="Yes"/>
    <d v="2022-02-02T22:01:29"/>
    <s v="Pending"/>
    <m/>
    <d v="2022-02-05T22:01:29"/>
    <s v="Pending"/>
    <m/>
    <m/>
    <d v="2022-02-03T22:01:29"/>
    <m/>
    <n v="0"/>
    <m/>
    <m/>
    <m/>
    <m/>
    <m/>
    <m/>
    <m/>
    <m/>
    <n v="2"/>
    <n v="18"/>
    <n v="16"/>
    <x v="13"/>
    <n v="1"/>
    <d v="2022-05-04T22:01:29"/>
    <s v=""/>
    <s v=""/>
    <s v=""/>
    <m/>
    <m/>
    <m/>
    <m/>
    <m/>
    <m/>
    <m/>
    <m/>
    <m/>
    <m/>
  </r>
  <r>
    <n v="297"/>
    <s v="297 | Communication and Advocacy"/>
    <x v="8"/>
    <s v="Communication and Advocacy - Senior Management"/>
    <s v="Senior Manager"/>
    <s v="Communication and Advocacy-Senior Manager"/>
    <s v="Senior Management"/>
    <d v="2023-07-27T17:45:37"/>
    <d v="2023-07-30T17:45:37"/>
    <s v="Yes"/>
    <d v="2023-08-11T17:45:37"/>
    <s v="Declined"/>
    <m/>
    <d v="2023-08-16T17:45:37"/>
    <s v="Declined"/>
    <m/>
    <m/>
    <d v="2023-08-14T17:45:37"/>
    <m/>
    <n v="0"/>
    <m/>
    <m/>
    <m/>
    <m/>
    <m/>
    <m/>
    <m/>
    <m/>
    <n v="3"/>
    <n v="15"/>
    <n v="12"/>
    <x v="12"/>
    <n v="3"/>
    <d v="2023-11-12T17:45:37"/>
    <s v=""/>
    <s v=""/>
    <s v=""/>
    <m/>
    <m/>
    <m/>
    <m/>
    <m/>
    <m/>
    <m/>
    <m/>
    <m/>
    <m/>
  </r>
  <r>
    <n v="279"/>
    <s v="279 | Communication and Advocacy"/>
    <x v="8"/>
    <s v="Communication and Advocacy - Senior Management"/>
    <s v="Senior Manager"/>
    <s v="Communication and Advocacy-Senior Manager"/>
    <s v="Senior Management"/>
    <d v="2022-10-10T14:13:05"/>
    <d v="2022-10-14T14:13:05"/>
    <s v="Yes"/>
    <d v="2022-10-26T14:13:05"/>
    <s v="Failed"/>
    <s v="Didn't pass technical test"/>
    <m/>
    <m/>
    <m/>
    <m/>
    <m/>
    <m/>
    <n v="0"/>
    <m/>
    <m/>
    <m/>
    <m/>
    <s v="Candidate"/>
    <m/>
    <m/>
    <m/>
    <n v="4"/>
    <n v="16"/>
    <n v="12"/>
    <x v="0"/>
    <s v=""/>
    <s v=""/>
    <s v=""/>
    <s v=""/>
    <s v=""/>
    <m/>
    <m/>
    <m/>
    <m/>
    <m/>
    <m/>
    <m/>
    <m/>
    <m/>
    <m/>
  </r>
  <r>
    <n v="278"/>
    <s v="278 | Communication and Advocacy"/>
    <x v="8"/>
    <s v="Communication and Advocacy - Senior Management"/>
    <s v="Senior Manager"/>
    <s v="Communication and Advocacy-Senior Manager"/>
    <s v="Senior Management"/>
    <d v="2022-10-11T14:13:05"/>
    <d v="2022-10-12T14:13:05"/>
    <s v="Yes"/>
    <d v="2022-11-02T14:13:05"/>
    <s v="Failed"/>
    <s v="Salary expectation too high"/>
    <m/>
    <m/>
    <m/>
    <m/>
    <d v="2022-11-03T14:13:05"/>
    <m/>
    <n v="0"/>
    <m/>
    <m/>
    <m/>
    <m/>
    <s v="Candidate"/>
    <m/>
    <m/>
    <m/>
    <n v="1"/>
    <n v="22"/>
    <n v="21"/>
    <x v="3"/>
    <n v="1"/>
    <d v="2023-02-01T14:13:05"/>
    <s v=""/>
    <s v=""/>
    <s v=""/>
    <m/>
    <m/>
    <m/>
    <m/>
    <m/>
    <m/>
    <m/>
    <m/>
    <m/>
    <m/>
  </r>
  <r>
    <n v="271"/>
    <s v="271 | Communication and Advocacy"/>
    <x v="8"/>
    <s v="Communication and Advocacy - Senior Management"/>
    <s v="Senior Manager"/>
    <s v="Communication and Advocacy-Senior Manager"/>
    <s v="Senior Management"/>
    <d v="2022-10-12T14:13:05"/>
    <d v="2022-10-15T14:13:05"/>
    <s v="Yes"/>
    <d v="2022-10-27T14:13:05"/>
    <s v="Accepted"/>
    <m/>
    <d v="2022-10-31T14:13:05"/>
    <s v="Accepted"/>
    <d v="2022-10-29T14:13:05"/>
    <d v="2022-11-01T14:13:05"/>
    <d v="2022-10-28T14:13:05"/>
    <d v="2022-11-02T14:13:05"/>
    <n v="1"/>
    <d v="2022-11-05T14:13:05"/>
    <d v="2022-11-06T14:13:05"/>
    <d v="2022-11-07T14:13:05"/>
    <m/>
    <m/>
    <d v="2022-11-24T14:13:05"/>
    <m/>
    <m/>
    <n v="3"/>
    <n v="15"/>
    <n v="12"/>
    <x v="20"/>
    <n v="1"/>
    <d v="2023-01-26T14:13:05"/>
    <n v="3"/>
    <n v="27"/>
    <n v="10"/>
    <m/>
    <m/>
    <m/>
    <m/>
    <m/>
    <m/>
    <m/>
    <m/>
    <m/>
    <m/>
  </r>
  <r>
    <n v="249"/>
    <s v="249 | Communication and Advocacy"/>
    <x v="8"/>
    <s v="Communication and Advocacy - Senior Management"/>
    <s v="Senior Manager"/>
    <s v="Communication and Advocacy-Senior Manager"/>
    <s v="Senior Management"/>
    <d v="2022-04-22T08:21:52"/>
    <d v="2022-04-25T08:21:52"/>
    <s v="Yes"/>
    <d v="2022-05-07T08:21:52"/>
    <s v="Declined"/>
    <m/>
    <d v="2022-05-10T08:21:52"/>
    <s v="Declined"/>
    <m/>
    <m/>
    <d v="2022-05-08T08:21:52"/>
    <m/>
    <n v="0"/>
    <m/>
    <m/>
    <m/>
    <m/>
    <m/>
    <m/>
    <m/>
    <m/>
    <n v="3"/>
    <n v="15"/>
    <n v="12"/>
    <x v="20"/>
    <n v="1"/>
    <d v="2022-08-06T08:21:52"/>
    <s v=""/>
    <s v=""/>
    <s v=""/>
    <m/>
    <m/>
    <m/>
    <m/>
    <m/>
    <m/>
    <m/>
    <m/>
    <m/>
    <m/>
  </r>
  <r>
    <n v="247"/>
    <s v="247 | Communication and Advocacy"/>
    <x v="8"/>
    <s v="Communication and Advocacy - Senior Management"/>
    <s v="Senior Manager"/>
    <s v="Communication and Advocacy-Senior Manager"/>
    <s v="Senior Management"/>
    <d v="2022-04-22T08:21:52"/>
    <d v="2022-04-25T08:21:52"/>
    <s v="Yes"/>
    <d v="2022-05-14T08:21:52"/>
    <s v="Accepted"/>
    <m/>
    <d v="2022-05-18T08:21:52"/>
    <s v="Accepted"/>
    <d v="2022-05-16T08:21:52"/>
    <d v="2022-05-19T08:21:52"/>
    <d v="2022-05-17T08:21:52"/>
    <d v="2022-05-25T08:21:52"/>
    <n v="1"/>
    <d v="2022-05-26T08:21:52"/>
    <d v="2022-05-28T08:21:52"/>
    <d v="2022-05-30T08:21:52"/>
    <m/>
    <m/>
    <d v="2022-06-21T08:21:52"/>
    <m/>
    <m/>
    <n v="3"/>
    <n v="22"/>
    <n v="19"/>
    <x v="11"/>
    <n v="3"/>
    <d v="2022-08-15T08:21:52"/>
    <n v="1"/>
    <n v="35"/>
    <n v="13"/>
    <m/>
    <m/>
    <m/>
    <m/>
    <m/>
    <m/>
    <m/>
    <m/>
    <m/>
    <m/>
  </r>
  <r>
    <n v="242"/>
    <s v="242 | Communication and Advocacy"/>
    <x v="8"/>
    <s v="Communication and Advocacy - Senior Management"/>
    <s v="Senior Manager"/>
    <s v="Communication and Advocacy-Senior Manager"/>
    <s v="Senior Management"/>
    <d v="2022-04-26T08:21:52"/>
    <d v="2022-04-29T08:21:52"/>
    <s v="Yes"/>
    <d v="2022-05-15T08:21:52"/>
    <s v="Failed"/>
    <s v="Salary expectation too high"/>
    <m/>
    <m/>
    <m/>
    <m/>
    <m/>
    <m/>
    <n v="0"/>
    <m/>
    <m/>
    <m/>
    <m/>
    <s v="Candidate"/>
    <m/>
    <m/>
    <m/>
    <n v="3"/>
    <n v="19"/>
    <n v="16"/>
    <x v="0"/>
    <s v=""/>
    <s v=""/>
    <s v=""/>
    <s v=""/>
    <s v=""/>
    <m/>
    <m/>
    <m/>
    <m/>
    <m/>
    <m/>
    <m/>
    <m/>
    <m/>
    <m/>
  </r>
  <r>
    <n v="126"/>
    <s v="126 | Communication and Advocacy"/>
    <x v="8"/>
    <s v="Communication and Advocacy - Senior Management"/>
    <s v="Senior Manager"/>
    <s v="Communication and Advocacy-Senior Manager"/>
    <s v="Senior Management"/>
    <d v="2022-09-21T11:20:41"/>
    <d v="2022-09-23T11:20:41"/>
    <s v="Yes"/>
    <d v="2022-10-14T11:20:41"/>
    <s v="Accepted"/>
    <m/>
    <d v="2022-10-16T11:20:41"/>
    <s v="Accepted"/>
    <d v="2022-10-15T11:20:41"/>
    <d v="2022-10-18T11:20:41"/>
    <d v="2022-10-15T11:20:41"/>
    <d v="2022-10-22T11:20:41"/>
    <n v="1"/>
    <d v="2022-10-26T11:20:41"/>
    <d v="2022-10-29T11:20:41"/>
    <d v="2022-10-30T11:20:41"/>
    <m/>
    <m/>
    <d v="2022-11-14T11:20:41"/>
    <m/>
    <m/>
    <n v="2"/>
    <n v="23"/>
    <n v="21"/>
    <x v="21"/>
    <n v="1"/>
    <d v="2023-01-13T11:20:41"/>
    <n v="4"/>
    <n v="30"/>
    <n v="15"/>
    <m/>
    <m/>
    <m/>
    <m/>
    <m/>
    <m/>
    <m/>
    <m/>
    <m/>
    <m/>
  </r>
  <r>
    <n v="123"/>
    <s v="123 | Communication and Advocacy"/>
    <x v="8"/>
    <s v="Communication and Advocacy - Senior Management"/>
    <s v="Senior Manager"/>
    <s v="Communication and Advocacy-Senior Manager"/>
    <s v="Senior Management"/>
    <d v="2022-09-20T11:20:41"/>
    <d v="2022-09-23T11:20:4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8"/>
    <s v="88 | Communication and Advocacy"/>
    <x v="8"/>
    <s v="Communication and Advocacy - Senior Management"/>
    <s v="Senior Manager"/>
    <s v="Communication and Advocacy-Senior Manager"/>
    <s v="Senior Management"/>
    <d v="2022-06-13T02:13:25"/>
    <d v="2022-06-16T02:13:2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6"/>
    <s v="86 | Communication and Advocacy"/>
    <x v="8"/>
    <s v="Communication and Advocacy - Senior Management"/>
    <s v="Senior Manager"/>
    <s v="Communication and Advocacy-Senior Manager"/>
    <s v="Senior Management"/>
    <d v="2022-06-12T02:13:25"/>
    <d v="2022-06-14T02:13:25"/>
    <s v="Yes"/>
    <d v="2022-06-25T02:13:25"/>
    <s v="Accepted"/>
    <m/>
    <d v="2022-06-30T02:13:25"/>
    <s v="Accepted"/>
    <d v="2022-06-27T02:13:25"/>
    <d v="2022-06-29T02:13:25"/>
    <d v="2022-06-29T02:13:25"/>
    <d v="2022-07-09T02:13:25"/>
    <n v="1"/>
    <d v="2022-07-10T02:13:25"/>
    <d v="2022-07-11T02:13:25"/>
    <d v="2022-07-13T02:13:25"/>
    <m/>
    <m/>
    <d v="2022-08-03T02:13:25"/>
    <m/>
    <m/>
    <n v="2"/>
    <n v="13"/>
    <n v="11"/>
    <x v="14"/>
    <n v="4"/>
    <d v="2022-09-27T02:13:25"/>
    <n v="1"/>
    <n v="35"/>
    <n v="14"/>
    <m/>
    <m/>
    <m/>
    <m/>
    <m/>
    <m/>
    <m/>
    <m/>
    <m/>
    <m/>
  </r>
  <r>
    <n v="43"/>
    <s v="43 | Communication and Advocacy"/>
    <x v="8"/>
    <s v="Communication and Advocacy - Senior Management"/>
    <s v="Senior Manager"/>
    <s v="Communication and Advocacy-Senior Manager"/>
    <s v="Senior Management"/>
    <d v="2022-03-05T21:14:55"/>
    <d v="2022-03-06T21:14:5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1"/>
    <s v="41 | Communication and Advocacy"/>
    <x v="8"/>
    <s v="Communication and Advocacy - Senior Management"/>
    <s v="Senior Manager"/>
    <s v="Communication and Advocacy-Senior Manager"/>
    <s v="Senior Management"/>
    <d v="2022-03-04T21:14:55"/>
    <d v="2022-03-05T21:14:55"/>
    <s v="Yes"/>
    <d v="2022-03-21T21:14:55"/>
    <s v="Failed"/>
    <s v="Didn't pass technical test"/>
    <m/>
    <m/>
    <m/>
    <m/>
    <m/>
    <m/>
    <n v="0"/>
    <m/>
    <m/>
    <m/>
    <m/>
    <s v="Candidate"/>
    <m/>
    <m/>
    <m/>
    <n v="1"/>
    <n v="17"/>
    <n v="16"/>
    <x v="0"/>
    <s v=""/>
    <s v=""/>
    <s v=""/>
    <s v=""/>
    <s v=""/>
    <m/>
    <m/>
    <m/>
    <m/>
    <m/>
    <m/>
    <m/>
    <m/>
    <m/>
    <m/>
  </r>
  <r>
    <n v="2724"/>
    <s v="2724 | Communication and Advocacy"/>
    <x v="8"/>
    <s v="Communication and Advocacy - Senior"/>
    <s v="Extension Officer"/>
    <s v="Communication and Advocacy-Extension Officer"/>
    <s v="Senior"/>
    <d v="2023-05-19T05:58:29"/>
    <d v="2023-05-20T05:58:2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648"/>
    <s v="2648 | Communication and Advocacy"/>
    <x v="8"/>
    <s v="Communication and Advocacy - Senior"/>
    <s v="Extension Officer"/>
    <s v="Communication and Advocacy-Extension Officer"/>
    <s v="Senior"/>
    <d v="2022-01-28T14:06:06"/>
    <d v="2022-01-29T14:06:06"/>
    <s v="Yes"/>
    <d v="2022-02-13T14:06:06"/>
    <s v="Accepted"/>
    <m/>
    <d v="2022-02-18T14:06:06"/>
    <s v="Accepted"/>
    <d v="2022-02-15T14:06:06"/>
    <d v="2022-02-17T14:06:06"/>
    <d v="2022-02-14T14:06:06"/>
    <d v="2022-02-24T14:06:06"/>
    <n v="1"/>
    <d v="2022-02-27T14:06:06"/>
    <d v="2022-02-28T14:06:06"/>
    <d v="2022-03-02T14:06:06"/>
    <m/>
    <m/>
    <d v="2022-03-20T14:06:06"/>
    <m/>
    <m/>
    <n v="1"/>
    <n v="16"/>
    <n v="15"/>
    <x v="14"/>
    <n v="1"/>
    <d v="2022-05-15T14:06:06"/>
    <n v="3"/>
    <n v="34"/>
    <n v="16"/>
    <m/>
    <m/>
    <m/>
    <m/>
    <m/>
    <m/>
    <m/>
    <m/>
    <m/>
    <m/>
  </r>
  <r>
    <n v="2371"/>
    <s v="2371 | Communication and Advocacy"/>
    <x v="8"/>
    <s v="Communication and Advocacy - Senior"/>
    <s v="Extension Officer"/>
    <s v="Communication and Advocacy-Extension Officer"/>
    <s v="Senior"/>
    <d v="2023-04-13T22:01:03"/>
    <d v="2023-04-15T22:01:0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331"/>
    <s v="2331 | Communication and Advocacy"/>
    <x v="8"/>
    <s v="Communication and Advocacy - Senior"/>
    <s v="Extension Officer"/>
    <s v="Communication and Advocacy-Extension Officer"/>
    <s v="Senior"/>
    <d v="2022-05-11T09:15:53"/>
    <d v="2022-05-13T09:15:5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41"/>
    <s v="2141 | Communication and Advocacy"/>
    <x v="8"/>
    <s v="Communication and Advocacy - Senior"/>
    <s v="Extension Officer"/>
    <s v="Communication and Advocacy-Extension Officer"/>
    <s v="Senior"/>
    <d v="2022-07-07T19:56:24"/>
    <d v="2022-07-10T19:56:24"/>
    <s v="Yes"/>
    <d v="2022-07-18T19:56:24"/>
    <s v="Accepted"/>
    <m/>
    <d v="2022-07-23T19:56:24"/>
    <s v="Accepted"/>
    <d v="2022-07-20T19:56:24"/>
    <d v="2022-07-22T19:56:24"/>
    <d v="2022-07-19T19:56:24"/>
    <d v="2022-07-23T19:56:24"/>
    <n v="1"/>
    <d v="2022-07-25T19:56:24"/>
    <d v="2022-07-27T19:56:24"/>
    <d v="2022-07-29T19:56:24"/>
    <m/>
    <m/>
    <d v="2022-08-14T19:56:24"/>
    <m/>
    <m/>
    <n v="3"/>
    <n v="11"/>
    <n v="8"/>
    <x v="24"/>
    <n v="1"/>
    <d v="2022-10-17T19:56:24"/>
    <n v="2"/>
    <n v="26"/>
    <n v="10"/>
    <m/>
    <m/>
    <m/>
    <m/>
    <m/>
    <m/>
    <m/>
    <m/>
    <m/>
    <m/>
  </r>
  <r>
    <n v="2057"/>
    <s v="2057 | Communication and Advocacy"/>
    <x v="8"/>
    <s v="Communication and Advocacy - Senior"/>
    <s v="Extension Officer"/>
    <s v="Communication and Advocacy-Extension Officer"/>
    <s v="Senior"/>
    <d v="2022-01-15T19:56:47"/>
    <d v="2022-01-17T19:56:47"/>
    <s v="Yes"/>
    <d v="2022-01-26T19:56:47"/>
    <s v="Accepted"/>
    <m/>
    <d v="2022-01-30T19:56:47"/>
    <s v="Accepted"/>
    <d v="2022-01-28T19:56:47"/>
    <d v="2022-01-31T19:56:47"/>
    <d v="2022-01-28T19:56:47"/>
    <d v="2022-02-02T19:56:47"/>
    <n v="1"/>
    <d v="2022-02-04T19:56:47"/>
    <d v="2022-02-06T19:56:47"/>
    <d v="2022-02-09T19:56:47"/>
    <m/>
    <m/>
    <d v="2022-02-21T19:56:47"/>
    <m/>
    <m/>
    <n v="2"/>
    <n v="11"/>
    <n v="9"/>
    <x v="8"/>
    <n v="2"/>
    <d v="2022-04-28T19:56:47"/>
    <n v="2"/>
    <n v="24"/>
    <n v="12"/>
    <m/>
    <m/>
    <m/>
    <m/>
    <m/>
    <m/>
    <m/>
    <m/>
    <m/>
    <m/>
  </r>
  <r>
    <n v="1955"/>
    <s v="1955 | Communication and Advocacy"/>
    <x v="8"/>
    <s v="Communication and Advocacy - Senior"/>
    <s v="Extension Officer"/>
    <s v="Communication and Advocacy-Extension Officer"/>
    <s v="Senior"/>
    <d v="2022-09-16T01:01:03"/>
    <d v="2022-09-18T01:01:0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920"/>
    <s v="1920 | Communication and Advocacy"/>
    <x v="8"/>
    <s v="Communication and Advocacy - Senior"/>
    <s v="Extension Officer"/>
    <s v="Communication and Advocacy-Extension Officer"/>
    <s v="Senior"/>
    <d v="2022-05-01T21:24:39"/>
    <d v="2022-05-05T21:24:3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750"/>
    <s v="1750 | Communication and Advocacy"/>
    <x v="8"/>
    <s v="Communication and Advocacy - Senior"/>
    <s v="Extension Officer"/>
    <s v="Communication and Advocacy-Extension Officer"/>
    <s v="Senior"/>
    <d v="2023-01-21T19:09:14"/>
    <d v="2023-01-23T19:09:14"/>
    <s v="Yes"/>
    <d v="2023-02-07T19:09:14"/>
    <s v="Accepted"/>
    <m/>
    <d v="2023-02-10T19:09:14"/>
    <s v="Accepted"/>
    <d v="2023-02-08T19:09:14"/>
    <d v="2023-02-12T19:09:14"/>
    <d v="2023-02-09T19:09:14"/>
    <d v="2023-02-19T19:09:14"/>
    <n v="1"/>
    <d v="2023-02-21T19:09:14"/>
    <d v="2023-02-23T19:09:14"/>
    <d v="2023-02-24T19:09:14"/>
    <m/>
    <m/>
    <d v="2023-03-16T19:09:14"/>
    <m/>
    <m/>
    <n v="2"/>
    <n v="17"/>
    <n v="15"/>
    <x v="13"/>
    <n v="2"/>
    <d v="2023-05-10T19:09:14"/>
    <n v="2"/>
    <n v="35"/>
    <n v="15"/>
    <m/>
    <m/>
    <m/>
    <m/>
    <m/>
    <m/>
    <m/>
    <m/>
    <m/>
    <m/>
  </r>
  <r>
    <n v="1749"/>
    <s v="1749 | Communication and Advocacy"/>
    <x v="8"/>
    <s v="Communication and Advocacy - Senior"/>
    <s v="Extension Officer"/>
    <s v="Communication and Advocacy-Extension Officer"/>
    <s v="Senior"/>
    <d v="2023-01-24T19:09:14"/>
    <d v="2023-01-26T19:09:1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742"/>
    <s v="1742 | Communication and Advocacy"/>
    <x v="8"/>
    <s v="Communication and Advocacy - Senior"/>
    <s v="Extension Officer"/>
    <s v="Communication and Advocacy-Extension Officer"/>
    <s v="Senior"/>
    <d v="2023-01-22T19:09:14"/>
    <d v="2023-01-23T19:09:1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650"/>
    <s v="1650 | Communication and Advocacy"/>
    <x v="8"/>
    <s v="Communication and Advocacy - Senior"/>
    <s v="Extension Officer"/>
    <s v="Communication and Advocacy-Extension Officer"/>
    <s v="Senior"/>
    <d v="2022-12-20T15:52:13"/>
    <d v="2022-12-23T15:52:13"/>
    <s v="Yes"/>
    <d v="2023-01-04T15:52:13"/>
    <s v="Accepted"/>
    <m/>
    <d v="2023-01-09T15:52:13"/>
    <s v="Accepted"/>
    <d v="2023-01-06T15:52:13"/>
    <d v="2023-01-09T15:52:13"/>
    <d v="2023-01-06T15:52:13"/>
    <d v="2023-01-14T15:52:13"/>
    <n v="1"/>
    <d v="2023-01-17T15:52:13"/>
    <d v="2023-01-19T15:52:13"/>
    <d v="2023-01-20T15:52:13"/>
    <m/>
    <m/>
    <d v="2023-02-05T15:52:13"/>
    <m/>
    <m/>
    <n v="3"/>
    <n v="15"/>
    <n v="12"/>
    <x v="14"/>
    <n v="2"/>
    <d v="2023-04-06T15:52:13"/>
    <n v="3"/>
    <n v="30"/>
    <n v="14"/>
    <m/>
    <m/>
    <m/>
    <m/>
    <m/>
    <m/>
    <m/>
    <m/>
    <m/>
    <m/>
  </r>
  <r>
    <n v="1533"/>
    <s v="1533 | Communication and Advocacy"/>
    <x v="8"/>
    <s v="Communication and Advocacy - Senior"/>
    <s v="Extension Officer"/>
    <s v="Communication and Advocacy-Extension Officer"/>
    <s v="Senior"/>
    <d v="2023-05-09T13:06:51"/>
    <d v="2023-05-13T13:06:51"/>
    <s v="Yes"/>
    <d v="2023-05-30T13:06:51"/>
    <s v="Accepted"/>
    <m/>
    <d v="2023-06-06T13:06:51"/>
    <s v="Accepted"/>
    <d v="2023-05-31T13:06:51"/>
    <d v="2023-06-02T13:06:51"/>
    <d v="2023-06-02T13:06:51"/>
    <d v="2023-06-12T13:06:51"/>
    <n v="1"/>
    <d v="2023-06-15T13:06:51"/>
    <d v="2023-06-18T13:06:51"/>
    <d v="2023-06-21T13:06:51"/>
    <m/>
    <m/>
    <d v="2023-07-07T13:06:51"/>
    <m/>
    <m/>
    <n v="4"/>
    <n v="21"/>
    <n v="17"/>
    <x v="21"/>
    <n v="3"/>
    <d v="2023-08-31T13:06:51"/>
    <n v="3"/>
    <n v="35"/>
    <n v="19"/>
    <m/>
    <m/>
    <m/>
    <m/>
    <m/>
    <m/>
    <m/>
    <m/>
    <m/>
    <m/>
  </r>
  <r>
    <n v="1503"/>
    <s v="1503 | Communication and Advocacy"/>
    <x v="8"/>
    <s v="Communication and Advocacy - Senior"/>
    <s v="Extension Officer"/>
    <s v="Communication and Advocacy-Extension Officer"/>
    <s v="Senior"/>
    <d v="2022-07-15T08:18:33"/>
    <d v="2022-07-19T08:18:3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497"/>
    <s v="1497 | Communication and Advocacy"/>
    <x v="8"/>
    <s v="Communication and Advocacy - Senior"/>
    <s v="Extension Officer"/>
    <s v="Communication and Advocacy-Extension Officer"/>
    <s v="Senior"/>
    <d v="2022-05-15T13:40:01"/>
    <d v="2022-05-18T13:40:01"/>
    <s v="Yes"/>
    <d v="2022-05-22T13:40:01"/>
    <s v="Accepted"/>
    <m/>
    <d v="2022-05-27T13:40:01"/>
    <s v="Accepted"/>
    <d v="2022-05-24T13:40:01"/>
    <d v="2022-05-28T13:40:01"/>
    <d v="2022-05-26T13:40:01"/>
    <d v="2022-05-30T13:40:01"/>
    <n v="1"/>
    <d v="2022-06-01T13:40:01"/>
    <d v="2022-06-02T13:40:01"/>
    <d v="2022-06-03T13:40:01"/>
    <m/>
    <m/>
    <d v="2022-06-25T13:40:01"/>
    <m/>
    <m/>
    <n v="3"/>
    <n v="7"/>
    <n v="4"/>
    <x v="9"/>
    <n v="4"/>
    <d v="2022-08-24T13:40:01"/>
    <n v="2"/>
    <n v="30"/>
    <n v="8"/>
    <m/>
    <m/>
    <m/>
    <m/>
    <m/>
    <m/>
    <m/>
    <m/>
    <m/>
    <m/>
  </r>
  <r>
    <n v="1368"/>
    <s v="1368 | Communication and Advocacy"/>
    <x v="8"/>
    <s v="Communication and Advocacy - Senior"/>
    <s v="Extension Officer"/>
    <s v="Communication and Advocacy-Extension Officer"/>
    <s v="Senior"/>
    <d v="2022-10-19T03:55:53"/>
    <d v="2022-10-20T03:55:5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13"/>
    <s v="1213 | Communication and Advocacy"/>
    <x v="8"/>
    <s v="Communication and Advocacy - Senior"/>
    <s v="Extension Officer"/>
    <s v="Communication and Advocacy-Extension Officer"/>
    <s v="Senior"/>
    <d v="2023-07-23T00:06:13"/>
    <d v="2023-07-25T00:06:1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131"/>
    <s v="1131 | Communication and Advocacy"/>
    <x v="8"/>
    <s v="Communication and Advocacy - Senior"/>
    <s v="Extension Officer"/>
    <s v="Communication and Advocacy-Extension Officer"/>
    <s v="Senior"/>
    <d v="2022-03-16T19:06:16"/>
    <d v="2022-03-17T19:06:1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085"/>
    <s v="1085 | Communication and Advocacy"/>
    <x v="8"/>
    <s v="Communication and Advocacy - Senior"/>
    <s v="Extension Officer"/>
    <s v="Communication and Advocacy-Extension Officer"/>
    <s v="Senior"/>
    <d v="2022-11-29T23:25:45"/>
    <d v="2022-12-03T23:25:4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047"/>
    <s v="1047 | Communication and Advocacy"/>
    <x v="8"/>
    <s v="Communication and Advocacy - Senior"/>
    <s v="Extension Officer"/>
    <s v="Communication and Advocacy-Extension Officer"/>
    <s v="Senior"/>
    <d v="2022-11-20T23:03:14"/>
    <d v="2022-11-23T23:03:1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030"/>
    <s v="1030 | Communication and Advocacy"/>
    <x v="8"/>
    <s v="Communication and Advocacy - Senior"/>
    <s v="Extension Officer"/>
    <s v="Communication and Advocacy-Extension Officer"/>
    <s v="Senior"/>
    <d v="2023-01-25T18:59:14"/>
    <d v="2023-01-26T18:59:14"/>
    <s v="Yes"/>
    <d v="2023-02-03T18:59:14"/>
    <s v="Accepted"/>
    <m/>
    <d v="2023-02-10T18:59:14"/>
    <s v="Accepted"/>
    <d v="2023-02-04T18:59:14"/>
    <d v="2023-02-05T18:59:14"/>
    <d v="2023-02-07T18:59:14"/>
    <d v="2023-02-11T18:59:14"/>
    <n v="1"/>
    <d v="2023-02-14T18:59:14"/>
    <d v="2023-02-15T18:59:14"/>
    <d v="2023-02-17T18:59:14"/>
    <m/>
    <m/>
    <d v="2023-03-08T18:59:14"/>
    <m/>
    <m/>
    <n v="1"/>
    <n v="9"/>
    <n v="8"/>
    <x v="8"/>
    <n v="4"/>
    <d v="2023-05-08T18:59:14"/>
    <n v="3"/>
    <n v="29"/>
    <n v="10"/>
    <m/>
    <m/>
    <m/>
    <m/>
    <m/>
    <m/>
    <m/>
    <m/>
    <m/>
    <m/>
  </r>
  <r>
    <n v="938"/>
    <s v="938 | Communication and Advocacy"/>
    <x v="8"/>
    <s v="Communication and Advocacy - Senior"/>
    <s v="Extension Officer"/>
    <s v="Communication and Advocacy-Extension Officer"/>
    <s v="Senior"/>
    <d v="2023-03-16T16:55:04"/>
    <d v="2023-03-18T16:55:04"/>
    <s v="Yes"/>
    <d v="2023-03-22T16:55:04"/>
    <s v="Failed"/>
    <s v="Position filled by another"/>
    <m/>
    <m/>
    <m/>
    <m/>
    <d v="2023-03-25T16:55:04"/>
    <m/>
    <n v="0"/>
    <m/>
    <m/>
    <m/>
    <m/>
    <s v="Company"/>
    <m/>
    <m/>
    <m/>
    <n v="2"/>
    <n v="6"/>
    <n v="4"/>
    <x v="4"/>
    <n v="3"/>
    <d v="2023-06-23T16:55:04"/>
    <s v=""/>
    <s v=""/>
    <s v=""/>
    <m/>
    <m/>
    <m/>
    <m/>
    <m/>
    <m/>
    <m/>
    <m/>
    <m/>
    <m/>
  </r>
  <r>
    <n v="931"/>
    <s v="931 | Communication and Advocacy"/>
    <x v="8"/>
    <s v="Communication and Advocacy - Senior"/>
    <s v="Extension Officer"/>
    <s v="Communication and Advocacy-Extension Officer"/>
    <s v="Senior"/>
    <d v="2023-03-12T16:55:04"/>
    <d v="2023-03-15T16:55:04"/>
    <s v="Yes"/>
    <d v="2023-03-29T16:55:04"/>
    <s v="Declined"/>
    <m/>
    <d v="2023-04-04T16:55:04"/>
    <s v="Declined"/>
    <m/>
    <m/>
    <d v="2023-03-31T16:55:04"/>
    <m/>
    <n v="0"/>
    <m/>
    <m/>
    <m/>
    <m/>
    <m/>
    <m/>
    <m/>
    <m/>
    <n v="3"/>
    <n v="17"/>
    <n v="14"/>
    <x v="13"/>
    <n v="2"/>
    <d v="2023-06-29T16:55:04"/>
    <s v=""/>
    <s v=""/>
    <s v=""/>
    <m/>
    <m/>
    <m/>
    <m/>
    <m/>
    <m/>
    <m/>
    <m/>
    <m/>
    <m/>
  </r>
  <r>
    <n v="849"/>
    <s v="849 | Communication and Advocacy"/>
    <x v="8"/>
    <s v="Communication and Advocacy - Senior"/>
    <s v="Extension Officer"/>
    <s v="Communication and Advocacy-Extension Officer"/>
    <s v="Senior"/>
    <d v="2022-08-06T20:03:55"/>
    <d v="2022-08-07T20:03:55"/>
    <s v="Yes"/>
    <d v="2022-08-21T20:03:55"/>
    <s v="Failed"/>
    <s v="Other"/>
    <m/>
    <m/>
    <m/>
    <m/>
    <m/>
    <m/>
    <n v="0"/>
    <m/>
    <m/>
    <m/>
    <m/>
    <s v="Candidate"/>
    <m/>
    <m/>
    <m/>
    <n v="1"/>
    <n v="15"/>
    <n v="14"/>
    <x v="0"/>
    <s v=""/>
    <s v=""/>
    <s v=""/>
    <s v=""/>
    <s v=""/>
    <m/>
    <m/>
    <m/>
    <m/>
    <m/>
    <m/>
    <m/>
    <m/>
    <m/>
    <m/>
  </r>
  <r>
    <n v="843"/>
    <s v="843 | Communication and Advocacy"/>
    <x v="8"/>
    <s v="Communication and Advocacy - Senior"/>
    <s v="Extension Officer"/>
    <s v="Communication and Advocacy-Extension Officer"/>
    <s v="Senior"/>
    <d v="2022-08-03T20:03:55"/>
    <d v="2022-08-04T20:03:55"/>
    <s v="Yes"/>
    <d v="2022-08-12T20:03:55"/>
    <s v="Failed"/>
    <s v="Other"/>
    <m/>
    <m/>
    <m/>
    <m/>
    <d v="2022-08-15T20:03:55"/>
    <m/>
    <n v="0"/>
    <m/>
    <m/>
    <m/>
    <m/>
    <s v="Company"/>
    <m/>
    <m/>
    <m/>
    <n v="1"/>
    <n v="9"/>
    <n v="8"/>
    <x v="24"/>
    <n v="3"/>
    <d v="2022-11-13T20:03:55"/>
    <s v=""/>
    <s v=""/>
    <s v=""/>
    <m/>
    <m/>
    <m/>
    <m/>
    <m/>
    <m/>
    <m/>
    <m/>
    <m/>
    <m/>
  </r>
  <r>
    <n v="820"/>
    <s v="820 | Communication and Advocacy"/>
    <x v="8"/>
    <s v="Communication and Advocacy - Senior"/>
    <s v="Extension Officer"/>
    <s v="Communication and Advocacy-Extension Officer"/>
    <s v="Senior"/>
    <d v="2022-04-21T21:29:01"/>
    <d v="2022-04-24T21:29:01"/>
    <s v="Yes"/>
    <d v="2022-05-08T21:29:01"/>
    <s v="Failed"/>
    <s v="Not a culture fit"/>
    <m/>
    <m/>
    <m/>
    <m/>
    <m/>
    <m/>
    <n v="0"/>
    <m/>
    <m/>
    <m/>
    <m/>
    <s v="Company"/>
    <m/>
    <m/>
    <m/>
    <n v="3"/>
    <n v="17"/>
    <n v="14"/>
    <x v="0"/>
    <s v=""/>
    <s v=""/>
    <s v=""/>
    <s v=""/>
    <s v=""/>
    <m/>
    <m/>
    <m/>
    <m/>
    <m/>
    <m/>
    <m/>
    <m/>
    <m/>
    <m/>
  </r>
  <r>
    <n v="816"/>
    <s v="816 | Communication and Advocacy"/>
    <x v="8"/>
    <s v="Communication and Advocacy - Senior"/>
    <s v="Extension Officer"/>
    <s v="Communication and Advocacy-Extension Officer"/>
    <s v="Senior"/>
    <d v="2022-04-15T21:29:01"/>
    <d v="2022-04-19T21:29:01"/>
    <s v="Yes"/>
    <d v="2022-05-03T21:29:01"/>
    <s v="Failed"/>
    <s v="Position filled by another"/>
    <m/>
    <m/>
    <m/>
    <m/>
    <d v="2022-05-04T21:29:01"/>
    <m/>
    <n v="0"/>
    <m/>
    <m/>
    <m/>
    <m/>
    <s v="Candidate"/>
    <m/>
    <m/>
    <m/>
    <n v="4"/>
    <n v="18"/>
    <n v="14"/>
    <x v="13"/>
    <n v="1"/>
    <d v="2022-08-02T21:29:01"/>
    <s v=""/>
    <s v=""/>
    <s v=""/>
    <m/>
    <m/>
    <m/>
    <m/>
    <m/>
    <m/>
    <m/>
    <m/>
    <m/>
    <m/>
  </r>
  <r>
    <n v="787"/>
    <s v="787 | Communication and Advocacy"/>
    <x v="8"/>
    <s v="Communication and Advocacy - Senior"/>
    <s v="Extension Officer"/>
    <s v="Communication and Advocacy-Extension Officer"/>
    <s v="Senior"/>
    <d v="2023-01-05T23:55:35"/>
    <d v="2023-01-09T23:55:35"/>
    <s v="Yes"/>
    <d v="2023-01-30T23:55:35"/>
    <s v="Failed"/>
    <s v="Salary expectation too high"/>
    <m/>
    <m/>
    <m/>
    <m/>
    <d v="2023-01-31T23:55:35"/>
    <m/>
    <n v="0"/>
    <m/>
    <m/>
    <m/>
    <m/>
    <s v="Candidate"/>
    <m/>
    <m/>
    <m/>
    <n v="4"/>
    <n v="25"/>
    <n v="21"/>
    <x v="25"/>
    <n v="1"/>
    <d v="2023-05-01T23:55:35"/>
    <s v=""/>
    <s v=""/>
    <s v=""/>
    <m/>
    <m/>
    <m/>
    <m/>
    <m/>
    <m/>
    <m/>
    <m/>
    <m/>
    <m/>
  </r>
  <r>
    <n v="739"/>
    <s v="739 | Communication and Advocacy"/>
    <x v="8"/>
    <s v="Communication and Advocacy - Senior"/>
    <s v="Extension Officer"/>
    <s v="Communication and Advocacy-Extension Officer"/>
    <s v="Senior"/>
    <d v="2023-04-27T15:28:09"/>
    <d v="2023-04-28T15:28:09"/>
    <s v="Yes"/>
    <d v="2023-05-11T15:28:09"/>
    <s v="Failed"/>
    <s v="Other"/>
    <m/>
    <m/>
    <m/>
    <m/>
    <d v="2023-05-14T15:28:09"/>
    <m/>
    <n v="0"/>
    <m/>
    <m/>
    <m/>
    <m/>
    <s v="Candidate"/>
    <m/>
    <m/>
    <m/>
    <n v="1"/>
    <n v="14"/>
    <n v="13"/>
    <x v="14"/>
    <n v="3"/>
    <d v="2023-08-12T15:28:09"/>
    <s v=""/>
    <s v=""/>
    <s v=""/>
    <m/>
    <m/>
    <m/>
    <m/>
    <m/>
    <m/>
    <m/>
    <m/>
    <m/>
    <m/>
  </r>
  <r>
    <n v="734"/>
    <s v="734 | Communication and Advocacy"/>
    <x v="8"/>
    <s v="Communication and Advocacy - Senior"/>
    <s v="Extension Officer"/>
    <s v="Communication and Advocacy-Extension Officer"/>
    <s v="Senior"/>
    <d v="2023-04-25T15:28:09"/>
    <d v="2023-04-27T15:28:09"/>
    <s v="Yes"/>
    <d v="2023-05-04T15:28:09"/>
    <s v="Declined"/>
    <m/>
    <d v="2023-05-11T15:28:09"/>
    <s v="Declined"/>
    <m/>
    <m/>
    <d v="2023-05-07T15:28:09"/>
    <m/>
    <n v="0"/>
    <m/>
    <m/>
    <m/>
    <m/>
    <m/>
    <m/>
    <m/>
    <m/>
    <n v="2"/>
    <n v="9"/>
    <n v="7"/>
    <x v="24"/>
    <n v="3"/>
    <d v="2023-08-05T15:28:09"/>
    <s v=""/>
    <s v=""/>
    <s v=""/>
    <m/>
    <m/>
    <m/>
    <m/>
    <m/>
    <m/>
    <m/>
    <m/>
    <m/>
    <m/>
  </r>
  <r>
    <n v="688"/>
    <s v="688 | Communication and Advocacy"/>
    <x v="8"/>
    <s v="Communication and Advocacy - Senior"/>
    <s v="Extension Officer"/>
    <s v="Communication and Advocacy-Extension Officer"/>
    <s v="Senior"/>
    <d v="2023-06-25T02:46:21"/>
    <d v="2023-06-27T02:46:21"/>
    <s v="Yes"/>
    <d v="2023-07-12T02:46:21"/>
    <s v="Declined"/>
    <m/>
    <d v="2023-07-14T02:46:21"/>
    <s v="Declined"/>
    <m/>
    <m/>
    <d v="2023-07-13T02:46:21"/>
    <m/>
    <n v="0"/>
    <m/>
    <m/>
    <m/>
    <m/>
    <m/>
    <m/>
    <m/>
    <m/>
    <n v="2"/>
    <n v="17"/>
    <n v="15"/>
    <x v="12"/>
    <n v="1"/>
    <d v="2023-10-11T02:46:21"/>
    <s v=""/>
    <s v=""/>
    <s v=""/>
    <m/>
    <m/>
    <m/>
    <m/>
    <m/>
    <m/>
    <m/>
    <m/>
    <m/>
    <m/>
  </r>
  <r>
    <n v="682"/>
    <s v="682 | Communication and Advocacy"/>
    <x v="8"/>
    <s v="Communication and Advocacy - Senior"/>
    <s v="Extension Officer"/>
    <s v="Communication and Advocacy-Extension Officer"/>
    <s v="Senior"/>
    <d v="2023-06-26T02:46:21"/>
    <d v="2023-06-28T02:46:21"/>
    <s v="Yes"/>
    <d v="2023-07-01T02:46:21"/>
    <s v="Failed"/>
    <s v="Not a culture fit"/>
    <m/>
    <m/>
    <m/>
    <m/>
    <m/>
    <m/>
    <n v="0"/>
    <m/>
    <m/>
    <m/>
    <m/>
    <s v="Candidate"/>
    <m/>
    <m/>
    <m/>
    <n v="2"/>
    <n v="5"/>
    <n v="3"/>
    <x v="0"/>
    <s v=""/>
    <s v=""/>
    <s v=""/>
    <s v=""/>
    <s v=""/>
    <m/>
    <m/>
    <m/>
    <m/>
    <m/>
    <m/>
    <m/>
    <m/>
    <m/>
    <m/>
  </r>
  <r>
    <n v="567"/>
    <s v="567 | Communication and Advocacy"/>
    <x v="8"/>
    <s v="Communication and Advocacy - Senior"/>
    <s v="Extension Officer"/>
    <s v="Communication and Advocacy-Extension Officer"/>
    <s v="Senior"/>
    <d v="2022-11-05T23:10:12"/>
    <d v="2022-11-07T23:10:12"/>
    <s v="Yes"/>
    <d v="2022-11-11T23:10:12"/>
    <s v="Failed"/>
    <s v="Didn't pass technical test"/>
    <m/>
    <m/>
    <m/>
    <m/>
    <m/>
    <m/>
    <n v="0"/>
    <m/>
    <m/>
    <m/>
    <m/>
    <s v="Company"/>
    <m/>
    <m/>
    <m/>
    <n v="2"/>
    <n v="6"/>
    <n v="4"/>
    <x v="0"/>
    <s v=""/>
    <s v=""/>
    <s v=""/>
    <s v=""/>
    <s v=""/>
    <m/>
    <m/>
    <m/>
    <m/>
    <m/>
    <m/>
    <m/>
    <m/>
    <m/>
    <m/>
  </r>
  <r>
    <n v="369"/>
    <s v="369 | Communication and Advocacy"/>
    <x v="8"/>
    <s v="Communication and Advocacy - Senior"/>
    <s v="Extension Officer"/>
    <s v="Communication and Advocacy-Extension Officer"/>
    <s v="Senior"/>
    <d v="2022-05-04T18:02:17"/>
    <d v="2022-05-06T18:02:17"/>
    <s v="Yes"/>
    <d v="2022-05-25T18:02:17"/>
    <s v="Failed"/>
    <s v="Other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366"/>
    <s v="366 | Communication and Advocacy"/>
    <x v="8"/>
    <s v="Communication and Advocacy - Senior"/>
    <s v="Extension Officer"/>
    <s v="Communication and Advocacy-Extension Officer"/>
    <s v="Senior"/>
    <d v="2022-05-04T18:02:17"/>
    <d v="2022-05-07T18:02:17"/>
    <s v="Yes"/>
    <d v="2022-05-15T18:02:17"/>
    <s v="Declined"/>
    <m/>
    <d v="2022-05-19T18:02:17"/>
    <s v="Declined"/>
    <m/>
    <m/>
    <d v="2022-05-18T18:02:17"/>
    <m/>
    <n v="0"/>
    <m/>
    <m/>
    <m/>
    <m/>
    <m/>
    <m/>
    <m/>
    <m/>
    <n v="3"/>
    <n v="11"/>
    <n v="8"/>
    <x v="1"/>
    <n v="3"/>
    <d v="2022-08-16T18:02:17"/>
    <s v=""/>
    <s v=""/>
    <s v=""/>
    <m/>
    <m/>
    <m/>
    <m/>
    <m/>
    <m/>
    <m/>
    <m/>
    <m/>
    <m/>
  </r>
  <r>
    <n v="363"/>
    <s v="363 | Communication and Advocacy"/>
    <x v="8"/>
    <s v="Communication and Advocacy - Senior"/>
    <s v="Extension Officer"/>
    <s v="Communication and Advocacy-Extension Officer"/>
    <s v="Senior"/>
    <d v="2022-05-01T18:02:17"/>
    <d v="2022-05-03T18:02:17"/>
    <s v="Yes"/>
    <d v="2022-05-13T18:02:17"/>
    <s v="Declined"/>
    <m/>
    <d v="2022-05-18T18:02:17"/>
    <s v="Declined"/>
    <m/>
    <m/>
    <d v="2022-05-15T18:02:17"/>
    <m/>
    <n v="0"/>
    <m/>
    <m/>
    <m/>
    <m/>
    <m/>
    <m/>
    <m/>
    <m/>
    <n v="2"/>
    <n v="12"/>
    <n v="10"/>
    <x v="1"/>
    <n v="2"/>
    <d v="2022-08-13T18:02:17"/>
    <s v=""/>
    <s v=""/>
    <s v=""/>
    <m/>
    <m/>
    <m/>
    <m/>
    <m/>
    <m/>
    <m/>
    <m/>
    <m/>
    <m/>
  </r>
  <r>
    <n v="357"/>
    <s v="357 | Communication and Advocacy"/>
    <x v="8"/>
    <s v="Communication and Advocacy - Senior"/>
    <s v="Extension Officer"/>
    <s v="Communication and Advocacy-Extension Officer"/>
    <s v="Senior"/>
    <d v="2022-10-05T04:14:17"/>
    <d v="2022-10-08T04:14:17"/>
    <s v="Yes"/>
    <d v="2022-10-20T04:14:17"/>
    <s v="Accepted"/>
    <m/>
    <d v="2022-10-24T04:14:17"/>
    <s v="Accepted"/>
    <d v="2022-10-21T04:14:17"/>
    <d v="2022-10-24T04:14:17"/>
    <d v="2022-10-22T04:14:17"/>
    <d v="2022-10-27T04:14:17"/>
    <n v="1"/>
    <d v="2022-10-30T04:14:17"/>
    <d v="2022-10-31T04:14:17"/>
    <d v="2022-11-02T04:14:17"/>
    <m/>
    <m/>
    <d v="2022-11-13T04:14:17"/>
    <m/>
    <m/>
    <n v="3"/>
    <n v="15"/>
    <n v="12"/>
    <x v="14"/>
    <n v="2"/>
    <d v="2023-01-20T04:14:17"/>
    <n v="3"/>
    <n v="22"/>
    <n v="11"/>
    <m/>
    <m/>
    <m/>
    <m/>
    <m/>
    <m/>
    <m/>
    <m/>
    <m/>
    <m/>
  </r>
  <r>
    <n v="329"/>
    <s v="329 | Communication and Advocacy"/>
    <x v="8"/>
    <s v="Communication and Advocacy - Senior"/>
    <s v="Quality Assurance"/>
    <s v="Communication and Advocacy-Quality Assurance"/>
    <s v="Senior"/>
    <d v="2022-01-16T22:01:29"/>
    <d v="2022-01-18T22:01:29"/>
    <s v="Yes"/>
    <d v="2022-02-06T22:01:29"/>
    <s v="Accepted"/>
    <m/>
    <d v="2022-02-08T22:01:29"/>
    <s v="Accepted"/>
    <d v="2022-02-08T22:01:29"/>
    <d v="2022-02-12T22:01:29"/>
    <d v="2022-02-07T22:01:29"/>
    <d v="2022-02-14T22:01:29"/>
    <n v="1"/>
    <d v="2022-02-17T22:01:29"/>
    <d v="2022-02-20T22:01:29"/>
    <d v="2022-02-23T22:01:29"/>
    <m/>
    <m/>
    <d v="2022-03-05T22:01:29"/>
    <m/>
    <m/>
    <n v="2"/>
    <n v="21"/>
    <n v="19"/>
    <x v="7"/>
    <n v="1"/>
    <d v="2022-05-08T22:01:29"/>
    <n v="3"/>
    <n v="26"/>
    <n v="16"/>
    <m/>
    <m/>
    <m/>
    <m/>
    <m/>
    <m/>
    <m/>
    <m/>
    <m/>
    <m/>
  </r>
  <r>
    <n v="293"/>
    <s v="293 | Communication and Advocacy"/>
    <x v="8"/>
    <s v="Communication and Advocacy - Senior"/>
    <s v="Quality Assurance"/>
    <s v="Communication and Advocacy-Quality Assurance"/>
    <s v="Senior"/>
    <d v="2023-07-27T17:45:37"/>
    <d v="2023-07-30T17:45:37"/>
    <s v="Yes"/>
    <d v="2023-08-05T17:45:37"/>
    <s v="Failed"/>
    <s v="Position filled by another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274"/>
    <s v="274 | Communication and Advocacy"/>
    <x v="8"/>
    <s v="Communication and Advocacy - Senior"/>
    <s v="Quality Assurance"/>
    <s v="Communication and Advocacy-Quality Assurance"/>
    <s v="Senior"/>
    <d v="2022-10-12T14:13:05"/>
    <d v="2022-10-16T14:13:05"/>
    <s v="Yes"/>
    <d v="2022-10-24T14:13:05"/>
    <s v="Failed"/>
    <s v="Salary expectation too high"/>
    <m/>
    <m/>
    <m/>
    <m/>
    <d v="2022-10-26T14:13:05"/>
    <m/>
    <n v="0"/>
    <m/>
    <m/>
    <m/>
    <m/>
    <s v="Company"/>
    <m/>
    <m/>
    <m/>
    <n v="4"/>
    <n v="12"/>
    <n v="8"/>
    <x v="1"/>
    <n v="2"/>
    <d v="2023-01-24T14:13:05"/>
    <s v=""/>
    <s v=""/>
    <s v=""/>
    <m/>
    <m/>
    <m/>
    <m/>
    <m/>
    <m/>
    <m/>
    <m/>
    <m/>
    <m/>
  </r>
  <r>
    <n v="199"/>
    <s v="199 | Communication and Advocacy"/>
    <x v="8"/>
    <s v="Communication and Advocacy - Senior"/>
    <s v="Quality Assurance"/>
    <s v="Communication and Advocacy-Quality Assurance"/>
    <s v="Senior"/>
    <d v="2022-06-11T18:28:45"/>
    <d v="2022-06-13T18:28:45"/>
    <s v="Yes"/>
    <d v="2022-06-25T18:28:45"/>
    <s v="Accepted"/>
    <m/>
    <d v="2022-06-30T18:28:45"/>
    <s v="Accepted"/>
    <d v="2022-06-26T18:28:45"/>
    <d v="2022-06-30T18:28:45"/>
    <d v="2022-06-27T18:28:45"/>
    <d v="2022-07-01T18:28:45"/>
    <n v="1"/>
    <d v="2022-07-04T18:28:45"/>
    <d v="2022-07-07T18:28:45"/>
    <d v="2022-07-09T18:28:45"/>
    <m/>
    <m/>
    <d v="2022-07-31T18:28:45"/>
    <m/>
    <m/>
    <n v="2"/>
    <n v="14"/>
    <n v="12"/>
    <x v="20"/>
    <n v="2"/>
    <d v="2022-09-25T18:28:45"/>
    <n v="3"/>
    <n v="34"/>
    <n v="12"/>
    <m/>
    <m/>
    <m/>
    <m/>
    <m/>
    <m/>
    <m/>
    <m/>
    <m/>
    <m/>
  </r>
  <r>
    <n v="194"/>
    <s v="194 | Communication and Advocacy"/>
    <x v="8"/>
    <s v="Communication and Advocacy - Senior"/>
    <s v="Quality Assurance"/>
    <s v="Communication and Advocacy-Quality Assurance"/>
    <s v="Senior"/>
    <d v="2022-06-10T18:28:45"/>
    <d v="2022-06-13T18:28:45"/>
    <s v="Yes"/>
    <d v="2022-06-21T18:28:45"/>
    <s v="Declined"/>
    <m/>
    <d v="2022-06-29T18:28:45"/>
    <s v="Declined"/>
    <m/>
    <m/>
    <d v="2022-06-25T18:28:45"/>
    <m/>
    <n v="0"/>
    <m/>
    <m/>
    <m/>
    <m/>
    <m/>
    <m/>
    <m/>
    <m/>
    <n v="3"/>
    <n v="11"/>
    <n v="8"/>
    <x v="16"/>
    <n v="4"/>
    <d v="2022-09-23T18:28:45"/>
    <s v=""/>
    <s v=""/>
    <s v=""/>
    <m/>
    <m/>
    <m/>
    <m/>
    <m/>
    <m/>
    <m/>
    <m/>
    <m/>
    <m/>
  </r>
  <r>
    <n v="169"/>
    <s v="169 | Communication and Advocacy"/>
    <x v="8"/>
    <s v="Communication and Advocacy - Senior"/>
    <s v="Quality Assurance"/>
    <s v="Communication and Advocacy-Quality Assurance"/>
    <s v="Senior"/>
    <d v="2022-12-11T15:32:46"/>
    <d v="2022-12-12T15:32:46"/>
    <s v="Yes"/>
    <d v="2022-12-23T15:32:46"/>
    <s v="Failed"/>
    <s v="Salary expectation too high"/>
    <m/>
    <m/>
    <m/>
    <m/>
    <m/>
    <m/>
    <n v="0"/>
    <m/>
    <m/>
    <m/>
    <m/>
    <s v="Candidate"/>
    <m/>
    <m/>
    <m/>
    <n v="1"/>
    <n v="12"/>
    <n v="11"/>
    <x v="0"/>
    <s v=""/>
    <s v=""/>
    <s v=""/>
    <s v=""/>
    <s v=""/>
    <m/>
    <m/>
    <m/>
    <m/>
    <m/>
    <m/>
    <m/>
    <m/>
    <m/>
    <m/>
  </r>
  <r>
    <n v="167"/>
    <s v="167 | Communication and Advocacy"/>
    <x v="8"/>
    <s v="Communication and Advocacy - Senior"/>
    <s v="Quality Assurance"/>
    <s v="Communication and Advocacy-Quality Assurance"/>
    <s v="Senior"/>
    <d v="2022-12-11T15:32:46"/>
    <d v="2022-12-12T15:32:46"/>
    <s v="Yes"/>
    <d v="2022-12-27T15:32:46"/>
    <s v="Accepted"/>
    <m/>
    <d v="2023-01-02T15:32:46"/>
    <s v="Accepted"/>
    <d v="2022-12-28T15:32:46"/>
    <d v="2023-01-01T15:32:46"/>
    <d v="2022-12-29T15:32:46"/>
    <d v="2023-01-03T15:32:46"/>
    <n v="1"/>
    <d v="2023-01-06T15:32:46"/>
    <d v="2023-01-08T15:32:46"/>
    <d v="2023-01-09T15:32:46"/>
    <m/>
    <m/>
    <d v="2023-01-20T15:32:46"/>
    <m/>
    <m/>
    <n v="1"/>
    <n v="16"/>
    <n v="15"/>
    <x v="12"/>
    <n v="2"/>
    <d v="2023-03-29T15:32:46"/>
    <n v="3"/>
    <n v="22"/>
    <n v="11"/>
    <m/>
    <m/>
    <m/>
    <m/>
    <m/>
    <m/>
    <m/>
    <m/>
    <m/>
    <m/>
  </r>
  <r>
    <n v="166"/>
    <s v="166 | Communication and Advocacy"/>
    <x v="8"/>
    <s v="Communication and Advocacy - Senior"/>
    <s v="Quality Assurance"/>
    <s v="Communication and Advocacy-Quality Assurance"/>
    <s v="Senior"/>
    <d v="2022-12-11T15:32:46"/>
    <d v="2022-12-14T15:32:46"/>
    <s v="Yes"/>
    <d v="2022-12-19T15:32:46"/>
    <s v="Declined"/>
    <m/>
    <d v="2022-12-27T15:32:46"/>
    <s v="Declined"/>
    <m/>
    <m/>
    <d v="2022-12-23T15:32:46"/>
    <m/>
    <n v="0"/>
    <m/>
    <m/>
    <m/>
    <m/>
    <m/>
    <m/>
    <m/>
    <m/>
    <n v="3"/>
    <n v="8"/>
    <n v="5"/>
    <x v="24"/>
    <n v="4"/>
    <d v="2023-03-23T15:32:46"/>
    <s v=""/>
    <s v=""/>
    <s v=""/>
    <m/>
    <m/>
    <m/>
    <m/>
    <m/>
    <m/>
    <m/>
    <m/>
    <m/>
    <m/>
  </r>
  <r>
    <n v="163"/>
    <s v="163 | Communication and Advocacy"/>
    <x v="8"/>
    <s v="Communication and Advocacy - Senior"/>
    <s v="Quality Assurance"/>
    <s v="Communication and Advocacy-Quality Assurance"/>
    <s v="Senior"/>
    <d v="2022-12-10T15:32:46"/>
    <d v="2022-12-14T15:32:4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25"/>
    <s v="125 | Communication and Advocacy"/>
    <x v="8"/>
    <s v="Communication and Advocacy - Senior"/>
    <s v="Quality Assurance"/>
    <s v="Communication and Advocacy-Quality Assurance"/>
    <s v="Senior"/>
    <d v="2022-09-23T11:20:41"/>
    <d v="2022-09-26T11:20:4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5"/>
    <s v="85 | Communication and Advocacy"/>
    <x v="8"/>
    <s v="Communication and Advocacy - Senior"/>
    <s v="Quality Assurance"/>
    <s v="Communication and Advocacy-Quality Assurance"/>
    <s v="Senior"/>
    <d v="2022-06-12T02:13:25"/>
    <d v="2022-06-16T02:13:25"/>
    <s v="Yes"/>
    <d v="2022-06-30T02:13:25"/>
    <s v="Declined"/>
    <m/>
    <d v="2022-07-05T02:13:25"/>
    <s v="Declined"/>
    <m/>
    <m/>
    <d v="2022-07-03T02:13:25"/>
    <m/>
    <n v="0"/>
    <m/>
    <m/>
    <m/>
    <m/>
    <m/>
    <m/>
    <m/>
    <m/>
    <n v="4"/>
    <n v="18"/>
    <n v="14"/>
    <x v="19"/>
    <n v="3"/>
    <d v="2022-10-01T02:13:25"/>
    <s v=""/>
    <s v=""/>
    <s v=""/>
    <m/>
    <m/>
    <m/>
    <m/>
    <m/>
    <m/>
    <m/>
    <m/>
    <m/>
    <m/>
  </r>
  <r>
    <n v="84"/>
    <s v="84 | Communication and Advocacy"/>
    <x v="8"/>
    <s v="Communication and Advocacy - Senior"/>
    <s v="Quality Assurance"/>
    <s v="Communication and Advocacy-Quality Assurance"/>
    <s v="Senior"/>
    <d v="2022-06-12T02:13:25"/>
    <d v="2022-06-16T02:13:2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49"/>
    <s v="49 | Communication and Advocacy"/>
    <x v="8"/>
    <s v="Communication and Advocacy - Senior"/>
    <s v="Quality Assurance"/>
    <s v="Communication and Advocacy-Quality Assurance"/>
    <s v="Senior"/>
    <d v="2022-03-04T21:14:55"/>
    <d v="2022-03-07T21:14:55"/>
    <s v="Yes"/>
    <d v="2022-03-26T21:14:55"/>
    <s v="Failed"/>
    <s v="Other"/>
    <m/>
    <m/>
    <m/>
    <m/>
    <m/>
    <m/>
    <n v="0"/>
    <m/>
    <m/>
    <m/>
    <m/>
    <s v="Candidate"/>
    <m/>
    <m/>
    <m/>
    <n v="3"/>
    <n v="22"/>
    <n v="19"/>
    <x v="0"/>
    <s v=""/>
    <s v=""/>
    <s v=""/>
    <s v=""/>
    <s v=""/>
    <m/>
    <m/>
    <m/>
    <m/>
    <m/>
    <m/>
    <m/>
    <m/>
    <m/>
    <m/>
  </r>
  <r>
    <n v="48"/>
    <s v="48 | Communication and Advocacy"/>
    <x v="8"/>
    <s v="Communication and Advocacy - Senior"/>
    <s v="Quality Assurance"/>
    <s v="Communication and Advocacy-Quality Assurance"/>
    <s v="Senior"/>
    <d v="2022-02-28T21:14:55"/>
    <d v="2022-03-04T21:14:55"/>
    <s v="Yes"/>
    <d v="2022-03-13T21:14:55"/>
    <s v="Failed"/>
    <s v="Other"/>
    <m/>
    <m/>
    <m/>
    <m/>
    <d v="2022-03-15T21:14:55"/>
    <m/>
    <n v="0"/>
    <m/>
    <m/>
    <m/>
    <m/>
    <s v="Company"/>
    <m/>
    <m/>
    <m/>
    <n v="4"/>
    <n v="13"/>
    <n v="9"/>
    <x v="16"/>
    <n v="2"/>
    <d v="2022-06-13T21:14:55"/>
    <s v=""/>
    <s v=""/>
    <s v=""/>
    <m/>
    <m/>
    <m/>
    <m/>
    <m/>
    <m/>
    <m/>
    <m/>
    <m/>
    <m/>
  </r>
  <r>
    <n v="42"/>
    <s v="42 | Communication and Advocacy"/>
    <x v="8"/>
    <s v="Communication and Advocacy - Senior"/>
    <s v="Quality Assurance"/>
    <s v="Communication and Advocacy-Quality Assurance"/>
    <s v="Senior"/>
    <d v="2022-03-03T21:14:55"/>
    <d v="2022-03-04T21:14:55"/>
    <s v="Yes"/>
    <d v="2022-03-13T21:14:55"/>
    <s v="Failed"/>
    <s v="Position filled by another"/>
    <m/>
    <m/>
    <m/>
    <m/>
    <d v="2022-03-15T21:14:55"/>
    <m/>
    <n v="0"/>
    <m/>
    <m/>
    <m/>
    <m/>
    <s v="Company"/>
    <m/>
    <m/>
    <m/>
    <n v="1"/>
    <n v="10"/>
    <n v="9"/>
    <x v="24"/>
    <n v="2"/>
    <d v="2022-06-13T21:14:55"/>
    <s v=""/>
    <s v=""/>
    <s v=""/>
    <m/>
    <m/>
    <m/>
    <m/>
    <m/>
    <m/>
    <m/>
    <m/>
    <m/>
    <m/>
  </r>
  <r>
    <n v="2948"/>
    <s v="2948 | Communication and Advocacy"/>
    <x v="8"/>
    <s v="Communication and Advocacy - Manager Level"/>
    <s v="Manager"/>
    <s v="Communication and Advocacy-Manager"/>
    <s v="Manager Level"/>
    <d v="2022-06-13T11:38:00"/>
    <d v="2022-06-15T11:38:00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941"/>
    <s v="2941 | Communication and Advocacy"/>
    <x v="8"/>
    <s v="Communication and Advocacy - Manager Level"/>
    <s v="Manager"/>
    <s v="Communication and Advocacy-Manager"/>
    <s v="Manager Level"/>
    <d v="2022-06-10T11:38:00"/>
    <d v="2022-06-13T11:38:0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336"/>
    <s v="2336 | Communication and Advocacy"/>
    <x v="8"/>
    <s v="Communication and Advocacy - Manager Level"/>
    <s v="Manager"/>
    <s v="Communication and Advocacy-Manager"/>
    <s v="Manager Level"/>
    <d v="2022-05-11T09:15:53"/>
    <d v="2022-05-15T09:15:5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35"/>
    <s v="2335 | Communication and Advocacy"/>
    <x v="8"/>
    <s v="Communication and Advocacy - Manager Level"/>
    <s v="Manager"/>
    <s v="Communication and Advocacy-Manager"/>
    <s v="Manager Level"/>
    <d v="2022-05-10T09:15:53"/>
    <d v="2022-05-13T09:15:5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058"/>
    <s v="2058 | Communication and Advocacy"/>
    <x v="8"/>
    <s v="Communication and Advocacy - Manager Level"/>
    <s v="Manager"/>
    <s v="Communication and Advocacy-Manager"/>
    <s v="Manager Level"/>
    <d v="2022-01-16T19:56:47"/>
    <d v="2022-01-17T19:56:4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56"/>
    <s v="2056 | Communication and Advocacy"/>
    <x v="8"/>
    <s v="Communication and Advocacy - Manager Level"/>
    <s v="Manager"/>
    <s v="Communication and Advocacy-Manager"/>
    <s v="Manager Level"/>
    <d v="2022-01-12T19:56:47"/>
    <d v="2022-01-14T19:56:4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054"/>
    <s v="2054 | Communication and Advocacy"/>
    <x v="8"/>
    <s v="Communication and Advocacy - Manager Level"/>
    <s v="Manager"/>
    <s v="Communication and Advocacy-Manager"/>
    <s v="Manager Level"/>
    <d v="2022-01-15T19:56:47"/>
    <d v="2022-01-16T19:56:47"/>
    <s v="Yes"/>
    <d v="2022-02-04T19:56:47"/>
    <s v="Accepted"/>
    <m/>
    <d v="2022-02-09T19:56:47"/>
    <s v="Accepted"/>
    <d v="2022-02-05T19:56:47"/>
    <d v="2022-02-08T19:56:47"/>
    <d v="2022-02-08T19:56:47"/>
    <d v="2022-02-10T19:56:47"/>
    <n v="1"/>
    <d v="2022-02-14T19:56:47"/>
    <d v="2022-02-15T19:56:47"/>
    <d v="2022-02-18T19:56:47"/>
    <m/>
    <m/>
    <d v="2022-02-26T19:56:47"/>
    <m/>
    <m/>
    <n v="1"/>
    <n v="20"/>
    <n v="19"/>
    <x v="21"/>
    <n v="4"/>
    <d v="2022-05-09T19:56:47"/>
    <n v="4"/>
    <n v="18"/>
    <n v="10"/>
    <m/>
    <m/>
    <m/>
    <m/>
    <m/>
    <m/>
    <m/>
    <m/>
    <m/>
    <m/>
  </r>
  <r>
    <n v="1911"/>
    <s v="1911 | Communication and Advocacy"/>
    <x v="8"/>
    <s v="Communication and Advocacy - Manager Level"/>
    <s v="Manager"/>
    <s v="Communication and Advocacy-Manager"/>
    <s v="Manager Level"/>
    <d v="2022-05-04T21:24:39"/>
    <d v="2022-05-06T21:24:3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745"/>
    <s v="1745 | Communication and Advocacy"/>
    <x v="8"/>
    <s v="Communication and Advocacy - Manager Level"/>
    <s v="Manager"/>
    <s v="Communication and Advocacy-Manager"/>
    <s v="Manager Level"/>
    <d v="2023-01-20T19:09:14"/>
    <d v="2023-01-24T19:09:14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597"/>
    <s v="1597 | Communication and Advocacy"/>
    <x v="8"/>
    <s v="Communication and Advocacy - Manager Level"/>
    <s v="Manager"/>
    <s v="Communication and Advocacy-Manager"/>
    <s v="Manager Level"/>
    <d v="2023-03-06T03:56:27"/>
    <d v="2023-03-09T03:56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579"/>
    <s v="1579 | Communication and Advocacy"/>
    <x v="8"/>
    <s v="Communication and Advocacy - Manager Level"/>
    <s v="Manager"/>
    <s v="Communication and Advocacy-Manager"/>
    <s v="Manager Level"/>
    <d v="2022-09-05T17:35:38"/>
    <d v="2022-09-08T17:35:38"/>
    <s v="Yes"/>
    <d v="2022-09-16T17:35:38"/>
    <s v="Accepted"/>
    <m/>
    <d v="2022-09-19T17:35:38"/>
    <s v="Accepted"/>
    <d v="2022-09-18T17:35:38"/>
    <d v="2022-09-22T17:35:38"/>
    <d v="2022-09-18T17:35:38"/>
    <d v="2022-09-26T17:35:38"/>
    <n v="1"/>
    <d v="2022-09-29T17:35:38"/>
    <d v="2022-10-02T17:35:38"/>
    <d v="2022-10-04T17:35:38"/>
    <m/>
    <m/>
    <d v="2022-10-20T17:35:38"/>
    <m/>
    <m/>
    <n v="3"/>
    <n v="11"/>
    <n v="8"/>
    <x v="8"/>
    <n v="2"/>
    <d v="2022-12-17T17:35:38"/>
    <n v="3"/>
    <n v="32"/>
    <n v="16"/>
    <m/>
    <m/>
    <m/>
    <m/>
    <m/>
    <m/>
    <m/>
    <m/>
    <m/>
    <m/>
  </r>
  <r>
    <n v="1576"/>
    <s v="1576 | Communication and Advocacy"/>
    <x v="8"/>
    <s v="Communication and Advocacy - Manager Level"/>
    <s v="Manager"/>
    <s v="Communication and Advocacy-Manager"/>
    <s v="Manager Level"/>
    <d v="2022-09-01T17:35:38"/>
    <d v="2022-09-03T17:35:38"/>
    <s v="Yes"/>
    <d v="2022-09-24T17:35:38"/>
    <s v="Accepted"/>
    <m/>
    <d v="2022-09-29T17:35:38"/>
    <s v="Accepted"/>
    <d v="2022-09-26T17:35:38"/>
    <d v="2022-09-28T17:35:38"/>
    <d v="2022-09-27T17:35:38"/>
    <d v="2022-09-30T17:35:38"/>
    <n v="1"/>
    <d v="2022-10-02T17:35:38"/>
    <d v="2022-10-03T17:35:38"/>
    <d v="2022-10-06T17:35:38"/>
    <m/>
    <m/>
    <d v="2022-10-24T17:35:38"/>
    <m/>
    <m/>
    <n v="2"/>
    <n v="23"/>
    <n v="21"/>
    <x v="25"/>
    <n v="3"/>
    <d v="2022-12-26T17:35:38"/>
    <n v="2"/>
    <n v="27"/>
    <n v="9"/>
    <m/>
    <m/>
    <m/>
    <m/>
    <m/>
    <m/>
    <m/>
    <m/>
    <m/>
    <m/>
  </r>
  <r>
    <n v="1504"/>
    <s v="1504 | Communication and Advocacy"/>
    <x v="8"/>
    <s v="Communication and Advocacy - Manager Level"/>
    <s v="Manager"/>
    <s v="Communication and Advocacy-Manager"/>
    <s v="Manager Level"/>
    <d v="2022-07-10T08:18:33"/>
    <d v="2022-07-14T08:18:33"/>
    <s v="Yes"/>
    <d v="2022-07-24T08:18:33"/>
    <s v="Accepted"/>
    <m/>
    <d v="2022-07-31T08:18:33"/>
    <s v="Accepted"/>
    <d v="2022-07-26T08:18:33"/>
    <d v="2022-07-28T08:18:33"/>
    <d v="2022-07-28T08:18:33"/>
    <d v="2022-07-30T08:18:33"/>
    <n v="1"/>
    <d v="2022-08-03T08:18:33"/>
    <d v="2022-08-05T08:18:33"/>
    <d v="2022-08-07T08:18:33"/>
    <m/>
    <m/>
    <d v="2022-08-24T08:18:33"/>
    <m/>
    <m/>
    <n v="4"/>
    <n v="14"/>
    <n v="10"/>
    <x v="12"/>
    <n v="4"/>
    <d v="2022-10-26T08:18:33"/>
    <n v="4"/>
    <n v="27"/>
    <n v="10"/>
    <m/>
    <m/>
    <m/>
    <m/>
    <m/>
    <m/>
    <m/>
    <m/>
    <m/>
    <m/>
  </r>
  <r>
    <n v="1494"/>
    <s v="1494 | Communication and Advocacy"/>
    <x v="8"/>
    <s v="Communication and Advocacy - Manager Level"/>
    <s v="Manager"/>
    <s v="Communication and Advocacy-Manager"/>
    <s v="Manager Level"/>
    <d v="2022-05-12T13:40:01"/>
    <d v="2022-05-15T13:40:01"/>
    <s v="Yes"/>
    <d v="2022-05-29T13:40:01"/>
    <s v="Accepted"/>
    <m/>
    <d v="2022-06-04T13:40:01"/>
    <s v="Accepted"/>
    <d v="2022-05-31T13:40:01"/>
    <d v="2022-06-03T13:40:01"/>
    <d v="2022-06-01T13:40:01"/>
    <d v="2022-06-04T13:40:01"/>
    <n v="1"/>
    <d v="2022-06-05T13:40:01"/>
    <d v="2022-06-07T13:40:01"/>
    <d v="2022-06-08T13:40:01"/>
    <m/>
    <m/>
    <d v="2022-06-20T13:40:01"/>
    <m/>
    <m/>
    <n v="3"/>
    <n v="17"/>
    <n v="14"/>
    <x v="15"/>
    <n v="3"/>
    <d v="2022-08-30T13:40:01"/>
    <n v="1"/>
    <n v="19"/>
    <n v="7"/>
    <m/>
    <m/>
    <m/>
    <m/>
    <m/>
    <m/>
    <m/>
    <m/>
    <m/>
    <m/>
  </r>
  <r>
    <n v="1315"/>
    <s v="1315 | Communication and Advocacy"/>
    <x v="8"/>
    <s v="Communication and Advocacy - Manager Level"/>
    <s v="Manager"/>
    <s v="Communication and Advocacy-Manager"/>
    <s v="Manager Level"/>
    <d v="2023-08-10T05:35:37"/>
    <d v="2023-08-13T05:35:3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023"/>
    <s v="1023 | Communication and Advocacy"/>
    <x v="8"/>
    <s v="Communication and Advocacy - Manager Level"/>
    <s v="Manager"/>
    <s v="Communication and Advocacy-Manager"/>
    <s v="Manager Level"/>
    <d v="2023-01-25T18:59:14"/>
    <d v="2023-01-27T18:59:1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841"/>
    <s v="841 | Communication and Advocacy"/>
    <x v="8"/>
    <s v="Communication and Advocacy - Manager Level"/>
    <s v="Manager"/>
    <s v="Communication and Advocacy-Manager"/>
    <s v="Manager Level"/>
    <d v="2022-08-04T20:03:55"/>
    <d v="2022-08-07T20:03:55"/>
    <s v="Yes"/>
    <d v="2022-08-26T20:03:55"/>
    <s v="Declined"/>
    <m/>
    <d v="2022-08-31T20:03:55"/>
    <s v="Declined"/>
    <m/>
    <m/>
    <d v="2022-08-29T20:03:55"/>
    <m/>
    <n v="0"/>
    <m/>
    <m/>
    <m/>
    <m/>
    <m/>
    <m/>
    <m/>
    <m/>
    <n v="3"/>
    <n v="22"/>
    <n v="19"/>
    <x v="11"/>
    <n v="3"/>
    <d v="2022-11-27T20:03:55"/>
    <s v=""/>
    <s v=""/>
    <s v=""/>
    <m/>
    <m/>
    <m/>
    <m/>
    <m/>
    <m/>
    <m/>
    <m/>
    <m/>
    <m/>
  </r>
  <r>
    <n v="789"/>
    <s v="789 | Communication and Advocacy"/>
    <x v="8"/>
    <s v="Communication and Advocacy - Manager Level"/>
    <s v="Manager"/>
    <s v="Communication and Advocacy-Manager"/>
    <s v="Manager Level"/>
    <d v="2023-01-06T23:55:35"/>
    <d v="2023-01-09T23:55:35"/>
    <s v="Yes"/>
    <d v="2023-01-25T23:55:35"/>
    <s v="Declined"/>
    <m/>
    <d v="2023-01-29T23:55:35"/>
    <s v="Declined"/>
    <m/>
    <m/>
    <d v="2023-01-26T23:55:35"/>
    <m/>
    <n v="0"/>
    <m/>
    <m/>
    <m/>
    <m/>
    <m/>
    <m/>
    <m/>
    <m/>
    <n v="3"/>
    <n v="19"/>
    <n v="16"/>
    <x v="15"/>
    <n v="1"/>
    <d v="2023-04-26T23:55:35"/>
    <s v=""/>
    <s v=""/>
    <s v=""/>
    <m/>
    <m/>
    <m/>
    <m/>
    <m/>
    <m/>
    <m/>
    <m/>
    <m/>
    <m/>
  </r>
  <r>
    <n v="738"/>
    <s v="738 | Communication and Advocacy"/>
    <x v="8"/>
    <s v="Communication and Advocacy - Manager Level"/>
    <s v="Manager"/>
    <s v="Communication and Advocacy-Manager"/>
    <s v="Manager Level"/>
    <d v="2023-04-23T15:28:09"/>
    <d v="2023-04-27T15:28:09"/>
    <s v="Yes"/>
    <d v="2023-05-07T15:28:09"/>
    <s v="Failed"/>
    <s v="Didn't pass technical test"/>
    <m/>
    <m/>
    <m/>
    <m/>
    <d v="2023-05-10T15:28:09"/>
    <m/>
    <n v="0"/>
    <m/>
    <m/>
    <m/>
    <m/>
    <s v="Candidate"/>
    <m/>
    <m/>
    <m/>
    <n v="4"/>
    <n v="14"/>
    <n v="10"/>
    <x v="14"/>
    <n v="3"/>
    <d v="2023-08-08T15:28:09"/>
    <s v=""/>
    <s v=""/>
    <s v=""/>
    <m/>
    <m/>
    <m/>
    <m/>
    <m/>
    <m/>
    <m/>
    <m/>
    <m/>
    <m/>
  </r>
  <r>
    <n v="737"/>
    <s v="737 | Communication and Advocacy"/>
    <x v="8"/>
    <s v="Communication and Advocacy - Manager Level"/>
    <s v="Manager"/>
    <s v="Communication and Advocacy-Manager"/>
    <s v="Manager Level"/>
    <d v="2023-04-21T15:28:09"/>
    <d v="2023-04-25T15:28:09"/>
    <s v="Yes"/>
    <d v="2023-05-05T15:28:09"/>
    <s v="Pending"/>
    <m/>
    <d v="2023-05-13T15:28:09"/>
    <s v="Pending"/>
    <m/>
    <m/>
    <d v="2023-05-09T15:28:09"/>
    <m/>
    <n v="0"/>
    <m/>
    <m/>
    <m/>
    <m/>
    <m/>
    <m/>
    <m/>
    <m/>
    <n v="4"/>
    <n v="14"/>
    <n v="10"/>
    <x v="12"/>
    <n v="4"/>
    <d v="2023-08-07T15:28:09"/>
    <s v=""/>
    <s v=""/>
    <s v=""/>
    <m/>
    <m/>
    <m/>
    <m/>
    <m/>
    <m/>
    <m/>
    <m/>
    <m/>
    <m/>
  </r>
  <r>
    <n v="735"/>
    <s v="735 | Communication and Advocacy"/>
    <x v="8"/>
    <s v="Communication and Advocacy - Manager Level"/>
    <s v="Manager"/>
    <s v="Communication and Advocacy-Manager"/>
    <s v="Manager Level"/>
    <d v="2023-04-27T15:28:09"/>
    <d v="2023-04-30T15:28:09"/>
    <s v="Yes"/>
    <d v="2023-05-13T15:28:09"/>
    <s v="Accepted"/>
    <m/>
    <d v="2023-05-20T15:28:09"/>
    <s v="Accepted"/>
    <d v="2023-05-14T15:28:09"/>
    <d v="2023-05-15T15:28:09"/>
    <d v="2023-05-17T15:28:09"/>
    <d v="2023-05-24T15:28:09"/>
    <n v="1"/>
    <d v="2023-05-26T15:28:09"/>
    <d v="2023-05-28T15:28:09"/>
    <d v="2023-05-29T15:28:09"/>
    <m/>
    <m/>
    <d v="2023-06-07T15:28:09"/>
    <m/>
    <m/>
    <n v="3"/>
    <n v="16"/>
    <n v="13"/>
    <x v="15"/>
    <n v="4"/>
    <d v="2023-08-15T15:28:09"/>
    <n v="2"/>
    <n v="21"/>
    <n v="12"/>
    <m/>
    <m/>
    <m/>
    <m/>
    <m/>
    <m/>
    <m/>
    <m/>
    <m/>
    <m/>
  </r>
  <r>
    <n v="689"/>
    <s v="689 | Communication and Advocacy"/>
    <x v="8"/>
    <s v="Communication and Advocacy - Manager Level"/>
    <s v="Manager"/>
    <s v="Communication and Advocacy-Manager"/>
    <s v="Manager Level"/>
    <d v="2023-06-26T02:46:21"/>
    <d v="2023-06-28T02:46:21"/>
    <s v="Yes"/>
    <d v="2023-07-06T02:46:21"/>
    <s v="Failed"/>
    <s v="Position filled by another"/>
    <m/>
    <m/>
    <m/>
    <m/>
    <m/>
    <m/>
    <n v="0"/>
    <m/>
    <m/>
    <m/>
    <m/>
    <s v="Candidate"/>
    <m/>
    <m/>
    <m/>
    <n v="2"/>
    <n v="10"/>
    <n v="8"/>
    <x v="0"/>
    <s v=""/>
    <s v=""/>
    <s v=""/>
    <s v=""/>
    <s v=""/>
    <m/>
    <m/>
    <m/>
    <m/>
    <m/>
    <m/>
    <m/>
    <m/>
    <m/>
    <m/>
  </r>
  <r>
    <n v="687"/>
    <s v="687 | Communication and Advocacy"/>
    <x v="8"/>
    <s v="Communication and Advocacy - Manager Level"/>
    <s v="Manager"/>
    <s v="Communication and Advocacy-Manager"/>
    <s v="Manager Level"/>
    <d v="2023-06-22T02:46:21"/>
    <d v="2023-06-23T02:46:21"/>
    <s v="Yes"/>
    <d v="2023-07-15T02:46:21"/>
    <s v="Accepted"/>
    <m/>
    <d v="2023-07-21T02:46:21"/>
    <s v="Accepted"/>
    <d v="2023-07-16T02:46:21"/>
    <d v="2023-07-20T02:46:21"/>
    <d v="2023-07-19T02:46:21"/>
    <d v="2023-07-26T02:46:21"/>
    <n v="1"/>
    <d v="2023-07-29T02:46:21"/>
    <d v="2023-07-31T02:46:21"/>
    <d v="2023-08-03T02:46:21"/>
    <m/>
    <m/>
    <d v="2023-08-17T02:46:21"/>
    <m/>
    <m/>
    <n v="1"/>
    <n v="23"/>
    <n v="22"/>
    <x v="18"/>
    <n v="4"/>
    <d v="2023-10-17T02:46:21"/>
    <n v="3"/>
    <n v="29"/>
    <n v="15"/>
    <m/>
    <m/>
    <m/>
    <m/>
    <m/>
    <m/>
    <m/>
    <m/>
    <m/>
    <m/>
  </r>
  <r>
    <n v="685"/>
    <s v="685 | Communication and Advocacy"/>
    <x v="8"/>
    <s v="Communication and Advocacy - Manager Level"/>
    <s v="Manager"/>
    <s v="Communication and Advocacy-Manager"/>
    <s v="Manager Level"/>
    <d v="2023-06-24T02:46:21"/>
    <d v="2023-06-26T02:46:21"/>
    <s v="Yes"/>
    <d v="2023-07-15T02:46:21"/>
    <s v="Failed"/>
    <s v="Not a culture fit"/>
    <m/>
    <m/>
    <m/>
    <m/>
    <d v="2023-07-18T02:46:21"/>
    <m/>
    <n v="0"/>
    <m/>
    <m/>
    <m/>
    <m/>
    <s v="Candidate"/>
    <m/>
    <m/>
    <m/>
    <n v="2"/>
    <n v="21"/>
    <n v="19"/>
    <x v="21"/>
    <n v="3"/>
    <d v="2023-10-16T02:46:21"/>
    <s v=""/>
    <s v=""/>
    <s v=""/>
    <m/>
    <m/>
    <m/>
    <m/>
    <m/>
    <m/>
    <m/>
    <m/>
    <m/>
    <m/>
  </r>
  <r>
    <n v="570"/>
    <s v="570 | Communication and Advocacy"/>
    <x v="8"/>
    <s v="Communication and Advocacy - Manager Level"/>
    <s v="Manager"/>
    <s v="Communication and Advocacy-Manager"/>
    <s v="Manager Level"/>
    <d v="2022-11-03T23:10:12"/>
    <d v="2022-11-05T23:10:12"/>
    <s v="Yes"/>
    <d v="2022-11-23T23:10:12"/>
    <s v="Failed"/>
    <s v="Salary expectation too high"/>
    <m/>
    <m/>
    <m/>
    <m/>
    <d v="2022-11-27T23:10:12"/>
    <m/>
    <n v="0"/>
    <m/>
    <m/>
    <m/>
    <m/>
    <s v="Company"/>
    <m/>
    <m/>
    <m/>
    <n v="2"/>
    <n v="20"/>
    <n v="18"/>
    <x v="21"/>
    <n v="4"/>
    <d v="2023-02-25T23:10:12"/>
    <s v=""/>
    <s v=""/>
    <s v=""/>
    <m/>
    <m/>
    <m/>
    <m/>
    <m/>
    <m/>
    <m/>
    <m/>
    <m/>
    <m/>
  </r>
  <r>
    <n v="566"/>
    <s v="566 | Communication and Advocacy"/>
    <x v="8"/>
    <s v="Communication and Advocacy - Manager Level"/>
    <s v="Manager"/>
    <s v="Communication and Advocacy-Manager"/>
    <s v="Manager Level"/>
    <d v="2022-11-02T23:10:12"/>
    <d v="2022-11-03T23:10:12"/>
    <s v="Yes"/>
    <d v="2022-11-24T23:10:12"/>
    <s v="Declined"/>
    <m/>
    <d v="2022-11-28T23:10:12"/>
    <s v="Declined"/>
    <m/>
    <m/>
    <d v="2022-11-25T23:10:12"/>
    <m/>
    <n v="0"/>
    <m/>
    <m/>
    <m/>
    <m/>
    <m/>
    <m/>
    <m/>
    <m/>
    <n v="1"/>
    <n v="22"/>
    <n v="21"/>
    <x v="3"/>
    <n v="1"/>
    <d v="2023-02-23T23:10:12"/>
    <s v=""/>
    <s v=""/>
    <s v=""/>
    <m/>
    <m/>
    <m/>
    <m/>
    <m/>
    <m/>
    <m/>
    <m/>
    <m/>
    <m/>
  </r>
  <r>
    <n v="563"/>
    <s v="563 | Communication and Advocacy"/>
    <x v="8"/>
    <s v="Communication and Advocacy - Manager Level"/>
    <s v="Manager"/>
    <s v="Communication and Advocacy-Manager"/>
    <s v="Manager Level"/>
    <d v="2022-11-02T23:10:12"/>
    <d v="2022-11-03T23:10:12"/>
    <s v="Yes"/>
    <d v="2022-11-16T23:10:12"/>
    <s v="Failed"/>
    <s v="Position filled by another"/>
    <m/>
    <m/>
    <m/>
    <m/>
    <m/>
    <m/>
    <n v="0"/>
    <m/>
    <m/>
    <m/>
    <m/>
    <s v="Company"/>
    <m/>
    <m/>
    <m/>
    <n v="1"/>
    <n v="14"/>
    <n v="13"/>
    <x v="0"/>
    <s v=""/>
    <s v=""/>
    <s v=""/>
    <s v=""/>
    <s v=""/>
    <m/>
    <m/>
    <m/>
    <m/>
    <m/>
    <m/>
    <m/>
    <m/>
    <m/>
    <m/>
  </r>
  <r>
    <n v="437"/>
    <s v="437 | Communication and Advocacy"/>
    <x v="8"/>
    <s v="Communication and Advocacy - Manager Level"/>
    <s v="Manager"/>
    <s v="Communication and Advocacy-Manager"/>
    <s v="Manager Level"/>
    <d v="2022-06-22T07:34:28"/>
    <d v="2022-06-24T07:34:28"/>
    <s v="Yes"/>
    <d v="2022-07-02T07:34:28"/>
    <s v="Pending"/>
    <m/>
    <d v="2022-07-08T07:34:28"/>
    <s v="Pending"/>
    <m/>
    <m/>
    <d v="2022-07-06T07:34:28"/>
    <m/>
    <n v="0"/>
    <m/>
    <m/>
    <m/>
    <m/>
    <m/>
    <m/>
    <m/>
    <m/>
    <n v="2"/>
    <n v="10"/>
    <n v="8"/>
    <x v="1"/>
    <n v="4"/>
    <d v="2022-10-04T07:34:28"/>
    <s v=""/>
    <s v=""/>
    <s v=""/>
    <m/>
    <m/>
    <m/>
    <m/>
    <m/>
    <m/>
    <m/>
    <m/>
    <m/>
    <m/>
  </r>
  <r>
    <n v="434"/>
    <s v="434 | Communication and Advocacy"/>
    <x v="8"/>
    <s v="Communication and Advocacy - Manager Level"/>
    <s v="Manager"/>
    <s v="Communication and Advocacy-Manager"/>
    <s v="Manager Level"/>
    <d v="2022-06-23T07:34:28"/>
    <d v="2022-06-26T07:34:28"/>
    <s v="Yes"/>
    <d v="2022-07-10T07:34:28"/>
    <s v="Failed"/>
    <s v="Not a culture fit"/>
    <m/>
    <m/>
    <m/>
    <m/>
    <d v="2022-07-14T07:34:28"/>
    <m/>
    <n v="0"/>
    <m/>
    <m/>
    <m/>
    <m/>
    <s v="Company"/>
    <m/>
    <m/>
    <m/>
    <n v="3"/>
    <n v="17"/>
    <n v="14"/>
    <x v="19"/>
    <n v="4"/>
    <d v="2022-10-12T07:34:28"/>
    <s v=""/>
    <s v=""/>
    <s v=""/>
    <m/>
    <m/>
    <m/>
    <m/>
    <m/>
    <m/>
    <m/>
    <m/>
    <m/>
    <m/>
  </r>
  <r>
    <n v="353"/>
    <s v="353 | Communication and Advocacy"/>
    <x v="8"/>
    <s v="Communication and Advocacy - Manager Level"/>
    <s v="Manager"/>
    <s v="Communication and Advocacy-Manager"/>
    <s v="Manager Level"/>
    <d v="2022-10-02T04:14:17"/>
    <d v="2022-10-05T04:14:17"/>
    <s v="Yes"/>
    <d v="2022-10-24T04:14:17"/>
    <s v="Failed"/>
    <s v="Other"/>
    <m/>
    <m/>
    <m/>
    <m/>
    <m/>
    <m/>
    <n v="0"/>
    <m/>
    <m/>
    <m/>
    <m/>
    <s v="Candidate"/>
    <m/>
    <m/>
    <m/>
    <n v="3"/>
    <n v="22"/>
    <n v="19"/>
    <x v="0"/>
    <s v=""/>
    <s v=""/>
    <s v=""/>
    <s v=""/>
    <s v=""/>
    <m/>
    <m/>
    <m/>
    <m/>
    <m/>
    <m/>
    <m/>
    <m/>
    <m/>
    <m/>
  </r>
  <r>
    <n v="352"/>
    <s v="352 | Communication and Advocacy"/>
    <x v="8"/>
    <s v="Communication and Advocacy - Manager Level"/>
    <s v="Manager"/>
    <s v="Communication and Advocacy-Manager"/>
    <s v="Manager Level"/>
    <d v="2022-10-08T04:14:17"/>
    <d v="2022-10-09T04:14:17"/>
    <s v="Yes"/>
    <d v="2022-10-15T04:14:17"/>
    <s v="Declined"/>
    <m/>
    <d v="2022-10-22T04:14:17"/>
    <s v="Declined"/>
    <m/>
    <m/>
    <d v="2022-10-18T04:14:17"/>
    <m/>
    <n v="0"/>
    <m/>
    <m/>
    <m/>
    <m/>
    <m/>
    <m/>
    <m/>
    <m/>
    <n v="1"/>
    <n v="7"/>
    <n v="6"/>
    <x v="22"/>
    <n v="3"/>
    <d v="2023-01-16T04:14:17"/>
    <s v=""/>
    <s v=""/>
    <s v=""/>
    <m/>
    <m/>
    <m/>
    <m/>
    <m/>
    <m/>
    <m/>
    <m/>
    <m/>
    <m/>
  </r>
  <r>
    <n v="327"/>
    <s v="327 | Communication and Advocacy"/>
    <x v="8"/>
    <s v="Communication and Advocacy - Manager Level"/>
    <s v="Manager"/>
    <s v="Communication and Advocacy-Manager"/>
    <s v="Manager Level"/>
    <d v="2022-01-17T22:01:29"/>
    <d v="2022-01-19T22:01:29"/>
    <s v="Yes"/>
    <d v="2022-01-26T22:01:29"/>
    <s v="Declined"/>
    <m/>
    <d v="2022-01-29T22:01:29"/>
    <s v="Declined"/>
    <m/>
    <m/>
    <d v="2022-01-27T22:01:29"/>
    <m/>
    <n v="0"/>
    <m/>
    <m/>
    <m/>
    <m/>
    <m/>
    <m/>
    <m/>
    <m/>
    <n v="2"/>
    <n v="9"/>
    <n v="7"/>
    <x v="22"/>
    <n v="1"/>
    <d v="2022-04-27T22:01:29"/>
    <s v=""/>
    <s v=""/>
    <s v=""/>
    <m/>
    <m/>
    <m/>
    <m/>
    <m/>
    <m/>
    <m/>
    <m/>
    <m/>
    <m/>
  </r>
  <r>
    <n v="298"/>
    <s v="298 | Communication and Advocacy"/>
    <x v="8"/>
    <s v="Communication and Advocacy - Manager Level"/>
    <s v="Manager"/>
    <s v="Communication and Advocacy-Manager"/>
    <s v="Manager Level"/>
    <d v="2023-07-25T17:45:37"/>
    <d v="2023-07-26T17:45:37"/>
    <s v="Yes"/>
    <d v="2023-08-14T17:45:37"/>
    <s v="Accepted"/>
    <m/>
    <d v="2023-08-19T17:45:37"/>
    <s v="Accepted"/>
    <d v="2023-08-16T17:45:37"/>
    <d v="2023-08-20T17:45:37"/>
    <d v="2023-08-18T17:45:37"/>
    <d v="2023-08-21T17:45:37"/>
    <n v="1"/>
    <d v="2023-08-23T17:45:37"/>
    <d v="2023-08-25T17:45:37"/>
    <d v="2023-08-26T17:45:37"/>
    <m/>
    <m/>
    <d v="2023-09-14T17:45:37"/>
    <m/>
    <m/>
    <n v="1"/>
    <n v="20"/>
    <n v="19"/>
    <x v="21"/>
    <n v="4"/>
    <d v="2023-11-16T17:45:37"/>
    <n v="2"/>
    <n v="27"/>
    <n v="8"/>
    <m/>
    <m/>
    <m/>
    <m/>
    <m/>
    <m/>
    <m/>
    <m/>
    <m/>
    <m/>
  </r>
  <r>
    <n v="280"/>
    <s v="280 | Communication and Advocacy"/>
    <x v="8"/>
    <s v="Communication and Advocacy - Manager Level"/>
    <s v="Manager"/>
    <s v="Communication and Advocacy-Manager"/>
    <s v="Manager Level"/>
    <d v="2022-10-12T14:13:05"/>
    <d v="2022-10-16T14:13:05"/>
    <s v="Yes"/>
    <d v="2022-10-22T14:13:05"/>
    <s v="Accepted"/>
    <m/>
    <d v="2022-10-24T14:13:05"/>
    <s v="Accepted"/>
    <d v="2022-10-23T14:13:05"/>
    <d v="2022-10-27T14:13:05"/>
    <d v="2022-10-23T14:13:05"/>
    <d v="2022-11-01T14:13:05"/>
    <n v="1"/>
    <d v="2022-11-04T14:13:05"/>
    <d v="2022-11-07T14:13:05"/>
    <d v="2022-11-08T14:13:05"/>
    <m/>
    <m/>
    <d v="2022-11-19T14:13:05"/>
    <m/>
    <m/>
    <n v="4"/>
    <n v="10"/>
    <n v="6"/>
    <x v="9"/>
    <n v="1"/>
    <d v="2023-01-21T14:13:05"/>
    <n v="3"/>
    <n v="27"/>
    <n v="16"/>
    <m/>
    <m/>
    <m/>
    <m/>
    <m/>
    <m/>
    <m/>
    <m/>
    <m/>
    <m/>
  </r>
  <r>
    <n v="272"/>
    <s v="272 | Communication and Advocacy"/>
    <x v="8"/>
    <s v="Communication and Advocacy - Manager Level"/>
    <s v="Manager"/>
    <s v="Communication and Advocacy-Manager"/>
    <s v="Manager Level"/>
    <d v="2022-10-14T14:13:05"/>
    <d v="2022-10-15T14:13:05"/>
    <s v="Yes"/>
    <d v="2022-10-28T14:13:05"/>
    <s v="Declined"/>
    <m/>
    <d v="2022-11-04T14:13:05"/>
    <s v="Declined"/>
    <m/>
    <m/>
    <d v="2022-10-31T14:13:05"/>
    <m/>
    <n v="0"/>
    <m/>
    <m/>
    <m/>
    <m/>
    <m/>
    <m/>
    <m/>
    <m/>
    <n v="1"/>
    <n v="14"/>
    <n v="13"/>
    <x v="14"/>
    <n v="3"/>
    <d v="2023-01-29T14:13:05"/>
    <s v=""/>
    <s v=""/>
    <s v=""/>
    <m/>
    <m/>
    <m/>
    <m/>
    <m/>
    <m/>
    <m/>
    <m/>
    <m/>
    <m/>
  </r>
  <r>
    <n v="244"/>
    <s v="244 | Communication and Advocacy"/>
    <x v="8"/>
    <s v="Communication and Advocacy - Manager Level"/>
    <s v="Manager"/>
    <s v="Communication and Advocacy-Manager"/>
    <s v="Manager Level"/>
    <d v="2022-04-25T08:21:52"/>
    <d v="2022-04-26T08:21:52"/>
    <s v="Yes"/>
    <d v="2022-05-12T08:21:52"/>
    <s v="Failed"/>
    <s v="Not a culture fit"/>
    <m/>
    <m/>
    <m/>
    <m/>
    <m/>
    <m/>
    <n v="0"/>
    <m/>
    <m/>
    <m/>
    <m/>
    <s v="Company"/>
    <m/>
    <m/>
    <m/>
    <n v="1"/>
    <n v="17"/>
    <n v="16"/>
    <x v="0"/>
    <s v=""/>
    <s v=""/>
    <s v=""/>
    <s v=""/>
    <s v=""/>
    <m/>
    <m/>
    <m/>
    <m/>
    <m/>
    <m/>
    <m/>
    <m/>
    <m/>
    <m/>
  </r>
  <r>
    <n v="241"/>
    <s v="241 | Communication and Advocacy"/>
    <x v="8"/>
    <s v="Communication and Advocacy - Manager Level"/>
    <s v="Manager"/>
    <s v="Communication and Advocacy-Manager"/>
    <s v="Manager Level"/>
    <d v="2022-04-25T08:21:52"/>
    <d v="2022-04-27T08:21:52"/>
    <s v="Yes"/>
    <d v="2022-05-03T08:21:52"/>
    <s v="Failed"/>
    <s v="Salary expectation too high"/>
    <m/>
    <m/>
    <m/>
    <m/>
    <m/>
    <m/>
    <n v="0"/>
    <m/>
    <m/>
    <m/>
    <m/>
    <s v="Company"/>
    <m/>
    <m/>
    <m/>
    <n v="2"/>
    <n v="8"/>
    <n v="6"/>
    <x v="0"/>
    <s v=""/>
    <s v=""/>
    <s v=""/>
    <s v=""/>
    <s v=""/>
    <m/>
    <m/>
    <m/>
    <m/>
    <m/>
    <m/>
    <m/>
    <m/>
    <m/>
    <m/>
  </r>
  <r>
    <n v="197"/>
    <s v="197 | Communication and Advocacy"/>
    <x v="8"/>
    <s v="Communication and Advocacy - Manager Level"/>
    <s v="Manager"/>
    <s v="Communication and Advocacy-Manager"/>
    <s v="Manager Level"/>
    <d v="2022-06-15T18:28:45"/>
    <d v="2022-06-18T18:28:45"/>
    <s v="Yes"/>
    <d v="2022-06-21T18:28:45"/>
    <s v="Accepted"/>
    <m/>
    <d v="2022-06-27T18:28:45"/>
    <s v="Accepted"/>
    <d v="2022-06-23T18:28:45"/>
    <d v="2022-06-27T18:28:45"/>
    <d v="2022-06-25T18:28:45"/>
    <d v="2022-06-26T18:28:45"/>
    <n v="1"/>
    <d v="2022-06-27T18:28:45"/>
    <d v="2022-06-28T18:28:45"/>
    <d v="2022-06-30T18:28:45"/>
    <m/>
    <m/>
    <d v="2022-07-13T18:28:45"/>
    <m/>
    <m/>
    <n v="3"/>
    <n v="6"/>
    <n v="3"/>
    <x v="22"/>
    <n v="4"/>
    <d v="2022-09-23T18:28:45"/>
    <n v="1"/>
    <n v="18"/>
    <n v="5"/>
    <m/>
    <m/>
    <m/>
    <m/>
    <m/>
    <m/>
    <m/>
    <m/>
    <m/>
    <m/>
  </r>
  <r>
    <n v="192"/>
    <s v="192 | Communication and Advocacy"/>
    <x v="8"/>
    <s v="Communication and Advocacy - Manager Level"/>
    <s v="Manager"/>
    <s v="Communication and Advocacy-Manager"/>
    <s v="Manager Level"/>
    <d v="2022-06-15T18:28:45"/>
    <d v="2022-06-18T18:28:45"/>
    <s v="Yes"/>
    <d v="2022-06-27T18:28:45"/>
    <s v="Accepted"/>
    <m/>
    <d v="2022-07-02T18:28:45"/>
    <s v="Accepted"/>
    <d v="2022-06-28T18:28:45"/>
    <d v="2022-07-01T18:28:45"/>
    <d v="2022-06-30T18:28:45"/>
    <d v="2022-07-09T18:28:45"/>
    <n v="1"/>
    <d v="2022-07-11T18:28:45"/>
    <d v="2022-07-13T18:28:45"/>
    <d v="2022-07-16T18:28:45"/>
    <m/>
    <m/>
    <d v="2022-07-31T18:28:45"/>
    <m/>
    <m/>
    <n v="3"/>
    <n v="12"/>
    <n v="9"/>
    <x v="16"/>
    <n v="3"/>
    <d v="2022-09-28T18:28:45"/>
    <n v="2"/>
    <n v="31"/>
    <n v="16"/>
    <m/>
    <m/>
    <m/>
    <m/>
    <m/>
    <m/>
    <m/>
    <m/>
    <m/>
    <m/>
  </r>
  <r>
    <n v="168"/>
    <s v="168 | Communication and Advocacy"/>
    <x v="8"/>
    <s v="Communication and Advocacy - Manager Level"/>
    <s v="Manager"/>
    <s v="Communication and Advocacy-Manager"/>
    <s v="Manager Level"/>
    <d v="2022-12-12T15:32:46"/>
    <d v="2022-12-14T15:32:46"/>
    <s v="Yes"/>
    <d v="2022-12-26T15:32:46"/>
    <s v="Failed"/>
    <s v="Position filled by another"/>
    <m/>
    <m/>
    <m/>
    <m/>
    <d v="2022-12-27T15:32:46"/>
    <m/>
    <n v="0"/>
    <m/>
    <m/>
    <m/>
    <m/>
    <s v="Candidate"/>
    <m/>
    <m/>
    <m/>
    <n v="2"/>
    <n v="14"/>
    <n v="12"/>
    <x v="16"/>
    <n v="1"/>
    <d v="2023-03-27T15:32:46"/>
    <s v=""/>
    <s v=""/>
    <s v=""/>
    <m/>
    <m/>
    <m/>
    <m/>
    <m/>
    <m/>
    <m/>
    <m/>
    <m/>
    <m/>
  </r>
  <r>
    <n v="124"/>
    <s v="124 | Communication and Advocacy"/>
    <x v="8"/>
    <s v="Communication and Advocacy - Manager Level"/>
    <s v="Manager"/>
    <s v="Communication and Advocacy-Manager"/>
    <s v="Manager Level"/>
    <d v="2022-09-25T11:20:41"/>
    <d v="2022-09-27T11:20:41"/>
    <s v="Yes"/>
    <d v="2022-10-04T11:20:41"/>
    <s v="Accepted"/>
    <m/>
    <d v="2022-10-10T11:20:41"/>
    <s v="Accepted"/>
    <d v="2022-10-06T11:20:41"/>
    <d v="2022-10-09T11:20:41"/>
    <d v="2022-10-07T11:20:41"/>
    <d v="2022-10-12T11:20:41"/>
    <n v="1"/>
    <d v="2022-10-15T11:20:41"/>
    <d v="2022-10-17T11:20:41"/>
    <d v="2022-10-19T11:20:41"/>
    <m/>
    <m/>
    <d v="2022-11-09T11:20:41"/>
    <m/>
    <m/>
    <n v="2"/>
    <n v="9"/>
    <n v="7"/>
    <x v="24"/>
    <n v="3"/>
    <d v="2023-01-05T11:20:41"/>
    <n v="3"/>
    <n v="33"/>
    <n v="12"/>
    <m/>
    <m/>
    <m/>
    <m/>
    <m/>
    <m/>
    <m/>
    <m/>
    <m/>
    <m/>
  </r>
  <r>
    <n v="50"/>
    <s v="50 | Communication and Advocacy"/>
    <x v="8"/>
    <s v="Communication and Advocacy - Manager Level"/>
    <s v="Manager"/>
    <s v="Communication and Advocacy-Manager"/>
    <s v="Manager Level"/>
    <d v="2022-03-05T21:14:55"/>
    <d v="2022-03-07T21:14:5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44"/>
    <s v="44 | Communication and Advocacy"/>
    <x v="8"/>
    <s v="Communication and Advocacy - Manager Level"/>
    <s v="Manager"/>
    <s v="Communication and Advocacy-Manager"/>
    <s v="Manager Level"/>
    <d v="2022-03-04T21:14:55"/>
    <d v="2022-03-05T21:14:55"/>
    <s v="Yes"/>
    <d v="2022-03-17T21:14:55"/>
    <s v="Failed"/>
    <s v="Didn't pass technical test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355"/>
    <s v="355 | Communication and Advocacy"/>
    <x v="8"/>
    <s v="Communication and Advocacy - Junior"/>
    <s v="Analyst"/>
    <s v="Communication and Advocacy-Analyst"/>
    <s v="Junior"/>
    <d v="2022-10-01T04:14:17"/>
    <d v="2022-10-04T04:14:17"/>
    <s v="Yes"/>
    <d v="2022-10-16T04:14:17"/>
    <s v="Failed"/>
    <s v="Other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330"/>
    <s v="330 | Communication and Advocacy"/>
    <x v="8"/>
    <s v="Communication and Advocacy - Junior"/>
    <s v="Analyst"/>
    <s v="Communication and Advocacy-Analyst"/>
    <s v="Junior"/>
    <d v="2022-01-12T22:01:29"/>
    <d v="2022-01-15T22:01:29"/>
    <s v="Yes"/>
    <d v="2022-01-29T22:01:29"/>
    <s v="Failed"/>
    <s v="Salary expectation too high"/>
    <m/>
    <m/>
    <m/>
    <m/>
    <d v="2022-02-01T22:01:29"/>
    <m/>
    <n v="0"/>
    <m/>
    <m/>
    <m/>
    <m/>
    <s v="Company"/>
    <m/>
    <m/>
    <m/>
    <n v="3"/>
    <n v="17"/>
    <n v="14"/>
    <x v="15"/>
    <n v="3"/>
    <d v="2022-05-02T22:01:29"/>
    <s v=""/>
    <s v=""/>
    <s v=""/>
    <m/>
    <m/>
    <m/>
    <m/>
    <m/>
    <m/>
    <m/>
    <m/>
    <m/>
    <m/>
  </r>
  <r>
    <n v="296"/>
    <s v="296 | Communication and Advocacy"/>
    <x v="8"/>
    <s v="Communication and Advocacy - Junior"/>
    <s v="Analyst"/>
    <s v="Communication and Advocacy-Analyst"/>
    <s v="Junior"/>
    <d v="2023-07-23T17:45:37"/>
    <d v="2023-07-26T17:45:37"/>
    <s v="Yes"/>
    <d v="2023-08-12T17:45:37"/>
    <s v="Failed"/>
    <s v="Position filled by another"/>
    <m/>
    <m/>
    <m/>
    <m/>
    <m/>
    <m/>
    <n v="0"/>
    <m/>
    <m/>
    <m/>
    <m/>
    <s v="Company"/>
    <m/>
    <m/>
    <m/>
    <n v="3"/>
    <n v="20"/>
    <n v="17"/>
    <x v="0"/>
    <s v=""/>
    <s v=""/>
    <s v=""/>
    <s v=""/>
    <s v=""/>
    <m/>
    <m/>
    <m/>
    <m/>
    <m/>
    <m/>
    <m/>
    <m/>
    <m/>
    <m/>
  </r>
  <r>
    <n v="277"/>
    <s v="277 | Communication and Advocacy"/>
    <x v="8"/>
    <s v="Communication and Advocacy - Junior"/>
    <s v="Analyst"/>
    <s v="Communication and Advocacy-Analyst"/>
    <s v="Junior"/>
    <d v="2022-10-11T14:13:05"/>
    <d v="2022-10-13T14:13:05"/>
    <s v="Yes"/>
    <d v="2022-11-01T14:13:05"/>
    <s v="Failed"/>
    <s v="Position filled by another"/>
    <m/>
    <m/>
    <m/>
    <m/>
    <d v="2022-11-05T14:13:05"/>
    <m/>
    <n v="0"/>
    <m/>
    <m/>
    <m/>
    <m/>
    <s v="Company"/>
    <m/>
    <m/>
    <m/>
    <n v="2"/>
    <n v="21"/>
    <n v="19"/>
    <x v="11"/>
    <n v="4"/>
    <d v="2023-02-03T14:13:05"/>
    <s v=""/>
    <s v=""/>
    <s v=""/>
    <m/>
    <m/>
    <m/>
    <m/>
    <m/>
    <m/>
    <m/>
    <m/>
    <m/>
    <m/>
  </r>
  <r>
    <n v="273"/>
    <s v="273 | Communication and Advocacy"/>
    <x v="8"/>
    <s v="Communication and Advocacy - Junior"/>
    <s v="Analyst"/>
    <s v="Communication and Advocacy-Analyst"/>
    <s v="Junior"/>
    <d v="2022-10-14T14:13:05"/>
    <d v="2022-10-16T14:13:05"/>
    <s v="Yes"/>
    <d v="2022-11-01T14:13:05"/>
    <s v="Pending"/>
    <m/>
    <d v="2022-11-05T14:13:05"/>
    <s v="Pending"/>
    <m/>
    <m/>
    <d v="2022-11-02T14:13:05"/>
    <m/>
    <n v="0"/>
    <m/>
    <m/>
    <m/>
    <m/>
    <m/>
    <m/>
    <m/>
    <m/>
    <n v="2"/>
    <n v="18"/>
    <n v="16"/>
    <x v="13"/>
    <n v="1"/>
    <d v="2023-01-31T14:13:05"/>
    <s v=""/>
    <s v=""/>
    <s v=""/>
    <m/>
    <m/>
    <m/>
    <m/>
    <m/>
    <m/>
    <m/>
    <m/>
    <m/>
    <m/>
  </r>
  <r>
    <n v="196"/>
    <s v="196 | Communication and Advocacy"/>
    <x v="8"/>
    <s v="Communication and Advocacy - Junior"/>
    <s v="Analyst"/>
    <s v="Communication and Advocacy-Analyst"/>
    <s v="Junior"/>
    <d v="2022-06-10T18:28:45"/>
    <d v="2022-06-14T18:28:45"/>
    <s v="Yes"/>
    <d v="2022-07-01T18:28:45"/>
    <s v="Declined"/>
    <m/>
    <d v="2022-07-07T18:28:45"/>
    <s v="Declined"/>
    <m/>
    <m/>
    <d v="2022-07-04T18:28:45"/>
    <m/>
    <n v="0"/>
    <m/>
    <m/>
    <m/>
    <m/>
    <m/>
    <m/>
    <m/>
    <m/>
    <n v="4"/>
    <n v="21"/>
    <n v="17"/>
    <x v="21"/>
    <n v="3"/>
    <d v="2022-10-02T18:28:45"/>
    <s v=""/>
    <s v=""/>
    <s v=""/>
    <m/>
    <m/>
    <m/>
    <m/>
    <m/>
    <m/>
    <m/>
    <m/>
    <m/>
    <m/>
  </r>
  <r>
    <n v="170"/>
    <s v="170 | Communication and Advocacy"/>
    <x v="8"/>
    <s v="Communication and Advocacy - Junior"/>
    <s v="Analyst"/>
    <s v="Communication and Advocacy-Analyst"/>
    <s v="Junior"/>
    <d v="2022-12-06T15:32:46"/>
    <d v="2022-12-10T15:32:46"/>
    <s v="Yes"/>
    <d v="2022-12-20T15:32:46"/>
    <s v="Declined"/>
    <m/>
    <d v="2022-12-24T15:32:46"/>
    <s v="Declined"/>
    <m/>
    <m/>
    <d v="2022-12-22T15:32:46"/>
    <m/>
    <n v="0"/>
    <m/>
    <m/>
    <m/>
    <m/>
    <m/>
    <m/>
    <m/>
    <m/>
    <n v="4"/>
    <n v="14"/>
    <n v="10"/>
    <x v="20"/>
    <n v="2"/>
    <d v="2023-03-22T15:32:46"/>
    <s v=""/>
    <s v=""/>
    <s v=""/>
    <m/>
    <m/>
    <m/>
    <m/>
    <m/>
    <m/>
    <m/>
    <m/>
    <m/>
    <m/>
  </r>
  <r>
    <n v="165"/>
    <s v="165 | Communication and Advocacy"/>
    <x v="8"/>
    <s v="Communication and Advocacy - Junior"/>
    <s v="Analyst"/>
    <s v="Communication and Advocacy-Analyst"/>
    <s v="Junior"/>
    <d v="2022-12-07T15:32:46"/>
    <d v="2022-12-11T15:32:46"/>
    <s v="Yes"/>
    <d v="2022-12-27T15:32:46"/>
    <s v="Failed"/>
    <s v="Salary expectation too high"/>
    <m/>
    <m/>
    <m/>
    <m/>
    <m/>
    <m/>
    <n v="0"/>
    <m/>
    <m/>
    <m/>
    <m/>
    <s v="Company"/>
    <m/>
    <m/>
    <m/>
    <n v="4"/>
    <n v="20"/>
    <n v="16"/>
    <x v="0"/>
    <s v=""/>
    <s v=""/>
    <s v=""/>
    <s v=""/>
    <s v=""/>
    <m/>
    <m/>
    <m/>
    <m/>
    <m/>
    <m/>
    <m/>
    <m/>
    <m/>
    <m/>
  </r>
  <r>
    <n v="130"/>
    <s v="130 | Communication and Advocacy"/>
    <x v="8"/>
    <s v="Communication and Advocacy - Junior"/>
    <s v="Analyst"/>
    <s v="Communication and Advocacy-Analyst"/>
    <s v="Junior"/>
    <d v="2022-09-24T11:20:41"/>
    <d v="2022-09-28T11:20:41"/>
    <s v="Yes"/>
    <d v="2022-10-03T11:20:41"/>
    <s v="Failed"/>
    <s v="Didn't pass technical test"/>
    <m/>
    <m/>
    <m/>
    <m/>
    <m/>
    <m/>
    <n v="0"/>
    <m/>
    <m/>
    <m/>
    <m/>
    <s v="Candidate"/>
    <m/>
    <m/>
    <m/>
    <n v="4"/>
    <n v="9"/>
    <n v="5"/>
    <x v="0"/>
    <s v=""/>
    <s v=""/>
    <s v=""/>
    <s v=""/>
    <s v=""/>
    <m/>
    <m/>
    <m/>
    <m/>
    <m/>
    <m/>
    <m/>
    <m/>
    <m/>
    <m/>
  </r>
  <r>
    <n v="129"/>
    <s v="129 | Communication and Advocacy"/>
    <x v="8"/>
    <s v="Communication and Advocacy - Junior"/>
    <s v="Analyst"/>
    <s v="Communication and Advocacy-Analyst"/>
    <s v="Junior"/>
    <d v="2022-09-25T11:20:41"/>
    <d v="2022-09-26T11:20:41"/>
    <s v="Yes"/>
    <d v="2022-10-09T11:20:41"/>
    <s v="Accepted"/>
    <m/>
    <d v="2022-10-14T11:20:41"/>
    <s v="Accepted"/>
    <d v="2022-10-10T11:20:41"/>
    <d v="2022-10-12T11:20:41"/>
    <d v="2022-10-13T11:20:41"/>
    <d v="2022-10-20T11:20:41"/>
    <n v="1"/>
    <d v="2022-10-23T11:20:41"/>
    <d v="2022-10-26T11:20:41"/>
    <d v="2022-10-29T11:20:41"/>
    <m/>
    <m/>
    <d v="2022-11-08T11:20:41"/>
    <m/>
    <m/>
    <n v="1"/>
    <n v="14"/>
    <n v="13"/>
    <x v="12"/>
    <n v="4"/>
    <d v="2023-01-11T11:20:41"/>
    <n v="3"/>
    <n v="26"/>
    <n v="16"/>
    <m/>
    <m/>
    <m/>
    <m/>
    <m/>
    <m/>
    <m/>
    <m/>
    <m/>
    <m/>
  </r>
  <r>
    <n v="128"/>
    <s v="128 | Communication and Advocacy"/>
    <x v="8"/>
    <s v="Communication and Advocacy - Junior"/>
    <s v="Analyst"/>
    <s v="Communication and Advocacy-Analyst"/>
    <s v="Junior"/>
    <d v="2022-09-23T11:20:41"/>
    <d v="2022-09-25T11:20:41"/>
    <s v="Yes"/>
    <d v="2022-10-16T11:20:41"/>
    <s v="Pending"/>
    <m/>
    <d v="2022-10-22T11:20:41"/>
    <s v="Pending"/>
    <m/>
    <m/>
    <d v="2022-10-18T11:20:41"/>
    <m/>
    <n v="0"/>
    <m/>
    <m/>
    <m/>
    <m/>
    <m/>
    <m/>
    <m/>
    <m/>
    <n v="2"/>
    <n v="23"/>
    <n v="21"/>
    <x v="11"/>
    <n v="2"/>
    <d v="2023-01-16T11:20:41"/>
    <s v=""/>
    <s v=""/>
    <s v=""/>
    <m/>
    <m/>
    <m/>
    <m/>
    <m/>
    <m/>
    <m/>
    <m/>
    <m/>
    <m/>
  </r>
  <r>
    <n v="127"/>
    <s v="127 | Communication and Advocacy"/>
    <x v="8"/>
    <s v="Communication and Advocacy - Junior"/>
    <s v="Analyst"/>
    <s v="Communication and Advocacy-Analyst"/>
    <s v="Junior"/>
    <d v="2022-09-22T11:20:41"/>
    <d v="2022-09-23T11:20:41"/>
    <s v="Yes"/>
    <d v="2022-10-08T11:20:41"/>
    <s v="Failed"/>
    <s v="Other"/>
    <m/>
    <m/>
    <m/>
    <m/>
    <d v="2022-10-10T11:20:41"/>
    <m/>
    <n v="0"/>
    <m/>
    <m/>
    <m/>
    <m/>
    <s v="Company"/>
    <m/>
    <m/>
    <m/>
    <n v="1"/>
    <n v="16"/>
    <n v="15"/>
    <x v="12"/>
    <n v="2"/>
    <d v="2023-01-08T11:20:41"/>
    <s v=""/>
    <s v=""/>
    <s v=""/>
    <m/>
    <m/>
    <m/>
    <m/>
    <m/>
    <m/>
    <m/>
    <m/>
    <m/>
    <m/>
  </r>
  <r>
    <n v="122"/>
    <s v="122 | Communication and Advocacy"/>
    <x v="8"/>
    <s v="Communication and Advocacy - Junior"/>
    <s v="Analyst"/>
    <s v="Communication and Advocacy-Analyst"/>
    <s v="Junior"/>
    <d v="2022-09-24T11:20:41"/>
    <d v="2022-09-26T11:20:41"/>
    <s v="Yes"/>
    <d v="2022-10-02T11:20:41"/>
    <s v="Accepted"/>
    <m/>
    <d v="2022-10-09T11:20:41"/>
    <s v="Accepted"/>
    <d v="2022-10-04T11:20:41"/>
    <d v="2022-10-08T11:20:41"/>
    <d v="2022-10-05T11:20:41"/>
    <d v="2022-10-12T11:20:41"/>
    <n v="1"/>
    <d v="2022-10-15T11:20:41"/>
    <d v="2022-10-18T11:20:41"/>
    <d v="2022-10-19T11:20:41"/>
    <m/>
    <m/>
    <d v="2022-11-08T11:20:41"/>
    <m/>
    <m/>
    <n v="2"/>
    <n v="8"/>
    <n v="6"/>
    <x v="9"/>
    <n v="3"/>
    <d v="2023-01-03T11:20:41"/>
    <n v="3"/>
    <n v="34"/>
    <n v="14"/>
    <m/>
    <m/>
    <m/>
    <m/>
    <m/>
    <m/>
    <m/>
    <m/>
    <m/>
    <m/>
  </r>
  <r>
    <n v="90"/>
    <s v="90 | Communication and Advocacy"/>
    <x v="8"/>
    <s v="Communication and Advocacy - Junior"/>
    <s v="Analyst"/>
    <s v="Communication and Advocacy-Analyst"/>
    <s v="Junior"/>
    <d v="2022-06-13T02:13:25"/>
    <d v="2022-06-16T02:13:2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7"/>
    <s v="87 | Communication and Advocacy"/>
    <x v="8"/>
    <s v="Communication and Advocacy - Junior"/>
    <s v="Analyst"/>
    <s v="Communication and Advocacy-Analyst"/>
    <s v="Junior"/>
    <d v="2022-06-14T02:13:25"/>
    <d v="2022-06-15T02:13:25"/>
    <s v="Yes"/>
    <d v="2022-07-02T02:13:25"/>
    <s v="Accepted"/>
    <m/>
    <d v="2022-07-05T02:13:25"/>
    <s v="Accepted"/>
    <d v="2022-07-04T02:13:25"/>
    <d v="2022-07-05T02:13:25"/>
    <d v="2022-07-04T02:13:25"/>
    <d v="2022-07-13T02:13:25"/>
    <n v="1"/>
    <d v="2022-07-14T02:13:25"/>
    <d v="2022-07-17T02:13:25"/>
    <d v="2022-07-20T02:13:25"/>
    <m/>
    <m/>
    <d v="2022-07-27T02:13:25"/>
    <m/>
    <m/>
    <n v="1"/>
    <n v="18"/>
    <n v="17"/>
    <x v="15"/>
    <n v="2"/>
    <d v="2022-10-02T02:13:25"/>
    <n v="1"/>
    <n v="23"/>
    <n v="16"/>
    <m/>
    <m/>
    <m/>
    <m/>
    <m/>
    <m/>
    <m/>
    <m/>
    <m/>
    <m/>
  </r>
  <r>
    <n v="81"/>
    <s v="81 | Communication and Advocacy"/>
    <x v="8"/>
    <s v="Communication and Advocacy - Junior"/>
    <s v="Analyst"/>
    <s v="Communication and Advocacy-Analyst"/>
    <s v="Junior"/>
    <d v="2022-06-15T02:13:25"/>
    <d v="2022-06-16T02:13:2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47"/>
    <s v="47 | Communication and Advocacy"/>
    <x v="8"/>
    <s v="Communication and Advocacy - Junior"/>
    <s v="Analyst"/>
    <s v="Communication and Advocacy-Analyst"/>
    <s v="Junior"/>
    <d v="2022-03-01T21:14:55"/>
    <d v="2022-03-05T21:14:5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508"/>
    <s v="508 | Capacity Building"/>
    <x v="9"/>
    <s v="Capacity Building - Senior Management"/>
    <s v="Senior Manager"/>
    <s v="Capacity Building-Senior Manager"/>
    <s v="Senior Management"/>
    <d v="2022-07-02T02:29:24"/>
    <d v="2022-07-03T02:29:24"/>
    <s v="Yes"/>
    <d v="2022-07-12T02:29:24"/>
    <s v="Pending"/>
    <m/>
    <d v="2022-07-17T02:29:24"/>
    <s v="Pending"/>
    <m/>
    <m/>
    <d v="2022-07-13T02:29:24"/>
    <m/>
    <n v="0"/>
    <m/>
    <m/>
    <m/>
    <m/>
    <m/>
    <m/>
    <m/>
    <m/>
    <n v="1"/>
    <n v="10"/>
    <n v="9"/>
    <x v="9"/>
    <n v="1"/>
    <d v="2022-10-11T02:29:24"/>
    <s v=""/>
    <s v=""/>
    <s v=""/>
    <m/>
    <m/>
    <m/>
    <m/>
    <m/>
    <m/>
    <m/>
    <m/>
    <m/>
    <m/>
  </r>
  <r>
    <n v="506"/>
    <s v="506 | Capacity Building"/>
    <x v="9"/>
    <s v="Capacity Building - Senior Management"/>
    <s v="Senior Manager"/>
    <s v="Capacity Building-Senior Manager"/>
    <s v="Senior Management"/>
    <d v="2022-06-30T02:29:24"/>
    <d v="2022-07-03T02:29:24"/>
    <s v="Yes"/>
    <d v="2022-07-20T02:29:24"/>
    <s v="Failed"/>
    <s v="Didn't pass technical test"/>
    <m/>
    <m/>
    <m/>
    <m/>
    <d v="2022-07-24T02:29:24"/>
    <m/>
    <n v="0"/>
    <m/>
    <m/>
    <m/>
    <m/>
    <s v="Company"/>
    <m/>
    <m/>
    <m/>
    <n v="3"/>
    <n v="20"/>
    <n v="17"/>
    <x v="21"/>
    <n v="4"/>
    <d v="2022-10-22T02:29:24"/>
    <s v=""/>
    <s v=""/>
    <s v=""/>
    <m/>
    <m/>
    <m/>
    <m/>
    <m/>
    <m/>
    <m/>
    <m/>
    <m/>
    <m/>
  </r>
  <r>
    <n v="503"/>
    <s v="503 | Capacity Building"/>
    <x v="9"/>
    <s v="Capacity Building - Senior Management"/>
    <s v="Senior Manager"/>
    <s v="Capacity Building-Senior Manager"/>
    <s v="Senior Management"/>
    <d v="2022-07-03T02:29:24"/>
    <d v="2022-07-06T02:29:24"/>
    <s v="Yes"/>
    <d v="2022-07-14T02:29:24"/>
    <s v="Declined"/>
    <m/>
    <d v="2022-07-20T02:29:24"/>
    <s v="Declined"/>
    <m/>
    <m/>
    <d v="2022-07-17T02:29:24"/>
    <m/>
    <n v="0"/>
    <m/>
    <m/>
    <m/>
    <m/>
    <m/>
    <m/>
    <m/>
    <m/>
    <n v="3"/>
    <n v="11"/>
    <n v="8"/>
    <x v="1"/>
    <n v="3"/>
    <d v="2022-10-15T02:29:24"/>
    <s v=""/>
    <s v=""/>
    <s v=""/>
    <m/>
    <m/>
    <m/>
    <m/>
    <m/>
    <m/>
    <m/>
    <m/>
    <m/>
    <m/>
  </r>
  <r>
    <n v="502"/>
    <s v="502 | Capacity Building"/>
    <x v="9"/>
    <s v="Capacity Building - Senior Management"/>
    <s v="Senior Manager"/>
    <s v="Capacity Building-Senior Manager"/>
    <s v="Senior Management"/>
    <d v="2022-06-30T02:29:24"/>
    <d v="2022-07-02T02:29:24"/>
    <s v="Yes"/>
    <d v="2022-07-21T02:29:24"/>
    <s v="Accepted"/>
    <m/>
    <d v="2022-07-25T02:29:24"/>
    <s v="Accepted"/>
    <d v="2022-07-23T02:29:24"/>
    <d v="2022-07-27T02:29:24"/>
    <d v="2022-07-22T02:29:24"/>
    <d v="2022-07-26T02:29:24"/>
    <n v="1"/>
    <d v="2022-07-30T02:29:24"/>
    <d v="2022-07-31T02:29:24"/>
    <d v="2022-08-03T02:29:24"/>
    <m/>
    <m/>
    <d v="2022-08-23T02:29:24"/>
    <m/>
    <m/>
    <n v="2"/>
    <n v="21"/>
    <n v="19"/>
    <x v="7"/>
    <n v="1"/>
    <d v="2022-10-20T02:29:24"/>
    <n v="4"/>
    <n v="32"/>
    <n v="12"/>
    <m/>
    <m/>
    <m/>
    <m/>
    <m/>
    <m/>
    <m/>
    <m/>
    <m/>
    <m/>
  </r>
  <r>
    <n v="416"/>
    <s v="416 | Capacity Building"/>
    <x v="9"/>
    <s v="Capacity Building - Senior Management"/>
    <s v="Senior Manager"/>
    <s v="Capacity Building-Senior Manager"/>
    <s v="Senior Management"/>
    <d v="2023-06-17T15:18:23"/>
    <d v="2023-06-21T15:18:23"/>
    <s v="Yes"/>
    <d v="2023-06-24T15:18:23"/>
    <s v="Failed"/>
    <s v="Other"/>
    <m/>
    <m/>
    <m/>
    <m/>
    <d v="2023-06-25T15:18:23"/>
    <m/>
    <n v="0"/>
    <m/>
    <m/>
    <m/>
    <m/>
    <s v="Company"/>
    <m/>
    <m/>
    <m/>
    <n v="4"/>
    <n v="7"/>
    <n v="3"/>
    <x v="10"/>
    <n v="1"/>
    <d v="2023-09-23T15:18:23"/>
    <s v=""/>
    <s v=""/>
    <s v=""/>
    <m/>
    <m/>
    <m/>
    <m/>
    <m/>
    <m/>
    <m/>
    <m/>
    <m/>
    <m/>
  </r>
  <r>
    <n v="413"/>
    <s v="413 | Capacity Building"/>
    <x v="9"/>
    <s v="Capacity Building - Senior Management"/>
    <s v="Senior Manager"/>
    <s v="Capacity Building-Senior Manager"/>
    <s v="Senior Management"/>
    <d v="2023-06-18T15:18:23"/>
    <d v="2023-06-21T15:18:23"/>
    <s v="Yes"/>
    <d v="2023-06-25T15:18:23"/>
    <s v="Failed"/>
    <s v="Other"/>
    <m/>
    <m/>
    <m/>
    <m/>
    <m/>
    <m/>
    <n v="0"/>
    <m/>
    <m/>
    <m/>
    <m/>
    <s v="Candidate"/>
    <m/>
    <m/>
    <m/>
    <n v="3"/>
    <n v="7"/>
    <n v="4"/>
    <x v="0"/>
    <s v=""/>
    <s v=""/>
    <s v=""/>
    <s v=""/>
    <s v=""/>
    <m/>
    <m/>
    <m/>
    <m/>
    <m/>
    <m/>
    <m/>
    <m/>
    <m/>
    <m/>
  </r>
  <r>
    <n v="412"/>
    <s v="412 | Capacity Building"/>
    <x v="9"/>
    <s v="Capacity Building - Senior Management"/>
    <s v="Senior Manager"/>
    <s v="Capacity Building-Senior Manager"/>
    <s v="Senior Management"/>
    <d v="2023-06-18T15:18:23"/>
    <d v="2023-06-19T15:18:23"/>
    <s v="Yes"/>
    <d v="2023-07-06T15:18:23"/>
    <s v="Failed"/>
    <s v="Didn't pass technical test"/>
    <m/>
    <m/>
    <m/>
    <m/>
    <m/>
    <m/>
    <n v="0"/>
    <m/>
    <m/>
    <m/>
    <m/>
    <s v="Company"/>
    <m/>
    <m/>
    <m/>
    <n v="1"/>
    <n v="18"/>
    <n v="17"/>
    <x v="0"/>
    <s v=""/>
    <s v=""/>
    <s v=""/>
    <s v=""/>
    <s v=""/>
    <m/>
    <m/>
    <m/>
    <m/>
    <m/>
    <m/>
    <m/>
    <m/>
    <m/>
    <m/>
  </r>
  <r>
    <n v="265"/>
    <s v="265 | Capacity Building"/>
    <x v="9"/>
    <s v="Capacity Building - Senior Management"/>
    <s v="Senior Manager"/>
    <s v="Capacity Building-Senior Manager"/>
    <s v="Senior Management"/>
    <d v="2022-07-25T06:46:55"/>
    <d v="2022-07-26T06:46:55"/>
    <s v="Yes"/>
    <d v="2022-08-04T06:46:55"/>
    <s v="Declined"/>
    <m/>
    <d v="2022-08-06T06:46:55"/>
    <s v="Declined"/>
    <m/>
    <m/>
    <d v="2022-08-05T06:46:55"/>
    <m/>
    <n v="0"/>
    <m/>
    <m/>
    <m/>
    <m/>
    <m/>
    <m/>
    <m/>
    <m/>
    <n v="1"/>
    <n v="10"/>
    <n v="9"/>
    <x v="9"/>
    <n v="1"/>
    <d v="2022-11-03T06:46:55"/>
    <s v=""/>
    <s v=""/>
    <s v=""/>
    <m/>
    <m/>
    <m/>
    <m/>
    <m/>
    <m/>
    <m/>
    <m/>
    <m/>
    <m/>
  </r>
  <r>
    <n v="264"/>
    <s v="264 | Capacity Building"/>
    <x v="9"/>
    <s v="Capacity Building - Senior Management"/>
    <s v="Senior Manager"/>
    <s v="Capacity Building-Senior Manager"/>
    <s v="Senior Management"/>
    <d v="2022-07-21T06:46:55"/>
    <d v="2022-07-25T06:46:55"/>
    <s v="Yes"/>
    <d v="2022-08-11T06:46:55"/>
    <s v="Declined"/>
    <m/>
    <d v="2022-08-16T06:46:55"/>
    <s v="Declined"/>
    <m/>
    <m/>
    <d v="2022-08-12T06:46:55"/>
    <m/>
    <n v="0"/>
    <m/>
    <m/>
    <m/>
    <m/>
    <m/>
    <m/>
    <m/>
    <m/>
    <n v="4"/>
    <n v="21"/>
    <n v="17"/>
    <x v="7"/>
    <n v="1"/>
    <d v="2022-11-10T06:46:55"/>
    <s v=""/>
    <s v=""/>
    <s v=""/>
    <m/>
    <m/>
    <m/>
    <m/>
    <m/>
    <m/>
    <m/>
    <m/>
    <m/>
    <m/>
  </r>
  <r>
    <n v="258"/>
    <s v="258 | Capacity Building"/>
    <x v="9"/>
    <s v="Capacity Building - Senior Management"/>
    <s v="Senior Manager"/>
    <s v="Capacity Building-Senior Manager"/>
    <s v="Senior Management"/>
    <d v="2022-05-24T15:11:28"/>
    <d v="2022-05-28T15:11:2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6"/>
    <s v="236 | Capacity Building"/>
    <x v="9"/>
    <s v="Capacity Building - Senior Management"/>
    <s v="Senior Manager"/>
    <s v="Capacity Building-Senior Manager"/>
    <s v="Senior Management"/>
    <d v="2022-02-07T19:27:47"/>
    <d v="2022-02-08T19:27:47"/>
    <s v="Yes"/>
    <d v="2022-02-22T19:27:47"/>
    <s v="Accepted"/>
    <m/>
    <d v="2022-02-26T19:27:47"/>
    <s v="Accepted"/>
    <d v="2022-02-23T19:27:47"/>
    <d v="2022-02-24T19:27:47"/>
    <d v="2022-02-25T19:27:47"/>
    <d v="2022-02-26T19:27:47"/>
    <n v="1"/>
    <d v="2022-02-27T19:27:47"/>
    <d v="2022-03-02T19:27:47"/>
    <d v="2022-03-05T19:27:47"/>
    <m/>
    <m/>
    <d v="2022-03-25T19:27:47"/>
    <m/>
    <m/>
    <n v="1"/>
    <n v="15"/>
    <n v="14"/>
    <x v="12"/>
    <n v="3"/>
    <d v="2022-05-26T19:27:47"/>
    <n v="1"/>
    <n v="28"/>
    <n v="8"/>
    <m/>
    <m/>
    <m/>
    <m/>
    <m/>
    <m/>
    <m/>
    <m/>
    <m/>
    <m/>
  </r>
  <r>
    <n v="235"/>
    <s v="235 | Capacity Building"/>
    <x v="9"/>
    <s v="Capacity Building - Senior Management"/>
    <s v="Senior Manager"/>
    <s v="Capacity Building-Senior Manager"/>
    <s v="Senior Management"/>
    <d v="2022-02-05T19:27:47"/>
    <d v="2022-02-09T19:27:47"/>
    <s v="Yes"/>
    <d v="2022-02-25T19:27:47"/>
    <s v="Pending"/>
    <m/>
    <d v="2022-03-02T19:27:47"/>
    <s v="Pending"/>
    <m/>
    <m/>
    <d v="2022-02-28T19:27:47"/>
    <m/>
    <n v="0"/>
    <m/>
    <m/>
    <m/>
    <m/>
    <m/>
    <m/>
    <m/>
    <m/>
    <n v="4"/>
    <n v="20"/>
    <n v="16"/>
    <x v="3"/>
    <n v="3"/>
    <d v="2022-05-29T19:27:47"/>
    <s v=""/>
    <s v=""/>
    <s v=""/>
    <m/>
    <m/>
    <m/>
    <m/>
    <m/>
    <m/>
    <m/>
    <m/>
    <m/>
    <m/>
  </r>
  <r>
    <n v="233"/>
    <s v="233 | Capacity Building"/>
    <x v="9"/>
    <s v="Capacity Building - Senior Management"/>
    <s v="Senior Manager"/>
    <s v="Capacity Building-Senior Manager"/>
    <s v="Senior Management"/>
    <d v="2022-02-06T19:27:47"/>
    <d v="2022-02-08T19:27:47"/>
    <s v="Yes"/>
    <d v="2022-02-25T19:27:47"/>
    <s v="Pending"/>
    <m/>
    <d v="2022-02-27T19:27:47"/>
    <s v="Pending"/>
    <m/>
    <m/>
    <d v="2022-02-26T19:27:47"/>
    <m/>
    <n v="0"/>
    <m/>
    <m/>
    <m/>
    <m/>
    <m/>
    <m/>
    <m/>
    <m/>
    <n v="2"/>
    <n v="19"/>
    <n v="17"/>
    <x v="15"/>
    <n v="1"/>
    <d v="2022-05-27T19:27:47"/>
    <s v=""/>
    <s v=""/>
    <s v=""/>
    <m/>
    <m/>
    <m/>
    <m/>
    <m/>
    <m/>
    <m/>
    <m/>
    <m/>
    <m/>
  </r>
  <r>
    <n v="160"/>
    <s v="160 | Capacity Building"/>
    <x v="9"/>
    <s v="Capacity Building - Senior Management"/>
    <s v="Senior Manager"/>
    <s v="Capacity Building-Senior Manager"/>
    <s v="Senior Management"/>
    <d v="2023-01-08T15:27:51"/>
    <d v="2023-01-11T15:27:51"/>
    <s v="Yes"/>
    <d v="2023-01-23T15:27:51"/>
    <s v="Failed"/>
    <s v="Other"/>
    <m/>
    <m/>
    <m/>
    <m/>
    <d v="2023-01-27T15:27:51"/>
    <m/>
    <n v="0"/>
    <m/>
    <m/>
    <m/>
    <m/>
    <s v="Company"/>
    <m/>
    <m/>
    <m/>
    <n v="3"/>
    <n v="15"/>
    <n v="12"/>
    <x v="13"/>
    <n v="4"/>
    <d v="2023-04-27T15:27:51"/>
    <s v=""/>
    <s v=""/>
    <s v=""/>
    <m/>
    <m/>
    <m/>
    <m/>
    <m/>
    <m/>
    <m/>
    <m/>
    <m/>
    <m/>
  </r>
  <r>
    <n v="157"/>
    <s v="157 | Capacity Building"/>
    <x v="9"/>
    <s v="Capacity Building - Senior Management"/>
    <s v="Senior Manager"/>
    <s v="Capacity Building-Senior Manager"/>
    <s v="Senior Management"/>
    <d v="2023-01-03T15:27:51"/>
    <d v="2023-01-06T15:27:51"/>
    <s v="Yes"/>
    <d v="2023-01-17T15:27:51"/>
    <s v="Failed"/>
    <s v="Position filled by another"/>
    <m/>
    <m/>
    <m/>
    <m/>
    <d v="2023-01-20T15:27:51"/>
    <m/>
    <n v="0"/>
    <m/>
    <m/>
    <m/>
    <m/>
    <s v="Candidate"/>
    <m/>
    <m/>
    <m/>
    <n v="3"/>
    <n v="14"/>
    <n v="11"/>
    <x v="14"/>
    <n v="3"/>
    <d v="2023-04-20T15:27:51"/>
    <s v=""/>
    <s v=""/>
    <s v=""/>
    <m/>
    <m/>
    <m/>
    <m/>
    <m/>
    <m/>
    <m/>
    <m/>
    <m/>
    <m/>
  </r>
  <r>
    <n v="144"/>
    <s v="144 | Capacity Building"/>
    <x v="9"/>
    <s v="Capacity Building - Senior Management"/>
    <s v="Senior Manager"/>
    <s v="Capacity Building-Senior Manager"/>
    <s v="Senior Management"/>
    <d v="2022-03-09T23:34:26"/>
    <d v="2022-03-10T23:34:26"/>
    <s v="Yes"/>
    <d v="2022-03-21T23:34:26"/>
    <s v="Accepted"/>
    <m/>
    <d v="2022-03-25T23:34:26"/>
    <s v="Accepted"/>
    <d v="2022-03-23T23:34:26"/>
    <d v="2022-03-26T23:34:26"/>
    <d v="2022-03-22T23:34:26"/>
    <d v="2022-03-29T23:34:26"/>
    <n v="1"/>
    <d v="2022-04-01T23:34:26"/>
    <d v="2022-04-02T23:34:26"/>
    <d v="2022-04-03T23:34:26"/>
    <m/>
    <m/>
    <d v="2022-04-19T23:34:26"/>
    <m/>
    <m/>
    <n v="1"/>
    <n v="12"/>
    <n v="11"/>
    <x v="8"/>
    <n v="1"/>
    <d v="2022-06-20T23:34:26"/>
    <n v="3"/>
    <n v="28"/>
    <n v="12"/>
    <m/>
    <m/>
    <m/>
    <m/>
    <m/>
    <m/>
    <m/>
    <m/>
    <m/>
    <m/>
  </r>
  <r>
    <n v="119"/>
    <s v="119 | Capacity Building"/>
    <x v="9"/>
    <s v="Capacity Building - Senior Management"/>
    <s v="Senior Manager"/>
    <s v="Capacity Building-Senior Manager"/>
    <s v="Senior Management"/>
    <d v="2022-06-27T04:45:15"/>
    <d v="2022-06-29T04:45:15"/>
    <s v="Yes"/>
    <d v="2022-07-20T04:45:15"/>
    <s v="Accepted"/>
    <m/>
    <d v="2022-07-24T04:45:15"/>
    <s v="Accepted"/>
    <d v="2022-07-22T04:45:15"/>
    <d v="2022-07-24T04:45:15"/>
    <d v="2022-07-22T04:45:15"/>
    <d v="2022-07-29T04:45:15"/>
    <n v="1"/>
    <d v="2022-07-31T04:45:15"/>
    <d v="2022-08-01T04:45:15"/>
    <d v="2022-08-02T04:45:15"/>
    <m/>
    <m/>
    <d v="2022-08-13T04:45:15"/>
    <m/>
    <m/>
    <n v="2"/>
    <n v="23"/>
    <n v="21"/>
    <x v="11"/>
    <n v="2"/>
    <d v="2022-10-20T04:45:15"/>
    <n v="2"/>
    <n v="22"/>
    <n v="11"/>
    <m/>
    <m/>
    <m/>
    <m/>
    <m/>
    <m/>
    <m/>
    <m/>
    <m/>
    <m/>
  </r>
  <r>
    <n v="113"/>
    <s v="113 | Capacity Building"/>
    <x v="9"/>
    <s v="Capacity Building - Senior Management"/>
    <s v="Senior Manager"/>
    <s v="Capacity Building-Senior Manager"/>
    <s v="Senior Management"/>
    <d v="2022-06-26T04:45:15"/>
    <d v="2022-06-30T04:45:15"/>
    <s v="Yes"/>
    <d v="2022-07-19T04:45:15"/>
    <s v="Declined"/>
    <m/>
    <d v="2022-07-24T04:45:15"/>
    <s v="Declined"/>
    <m/>
    <m/>
    <d v="2022-07-20T04:45:15"/>
    <m/>
    <n v="0"/>
    <m/>
    <m/>
    <m/>
    <m/>
    <m/>
    <m/>
    <m/>
    <m/>
    <n v="4"/>
    <n v="23"/>
    <n v="19"/>
    <x v="21"/>
    <n v="1"/>
    <d v="2022-10-18T04:45:15"/>
    <s v=""/>
    <s v=""/>
    <s v=""/>
    <m/>
    <m/>
    <m/>
    <m/>
    <m/>
    <m/>
    <m/>
    <m/>
    <m/>
    <m/>
  </r>
  <r>
    <n v="53"/>
    <s v="53 | Capacity Building"/>
    <x v="9"/>
    <s v="Capacity Building - Senior Management"/>
    <s v="Senior Manager"/>
    <s v="Capacity Building-Senior Manager"/>
    <s v="Senior Management"/>
    <d v="2022-07-28T00:18:39"/>
    <d v="2022-07-30T00:18:39"/>
    <s v="Yes"/>
    <d v="2022-08-06T00:18:39"/>
    <s v="Failed"/>
    <s v="Salary expectation too high"/>
    <m/>
    <m/>
    <m/>
    <m/>
    <m/>
    <m/>
    <n v="0"/>
    <m/>
    <m/>
    <m/>
    <m/>
    <s v="Company"/>
    <m/>
    <m/>
    <m/>
    <n v="2"/>
    <n v="9"/>
    <n v="7"/>
    <x v="0"/>
    <s v=""/>
    <s v=""/>
    <s v=""/>
    <s v=""/>
    <s v=""/>
    <m/>
    <m/>
    <m/>
    <m/>
    <m/>
    <m/>
    <m/>
    <m/>
    <m/>
    <m/>
  </r>
  <r>
    <n v="3000"/>
    <s v="3000 | Capacity Building"/>
    <x v="9"/>
    <s v="Capacity Building - Senior"/>
    <s v="Extension Officer"/>
    <s v="Capacity Building-Extension Officer"/>
    <s v="Senior"/>
    <d v="2023-03-04T00:56:51"/>
    <d v="2023-03-07T00:56:5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925"/>
    <s v="2925 | Capacity Building"/>
    <x v="9"/>
    <s v="Capacity Building - Senior"/>
    <s v="Extension Officer"/>
    <s v="Capacity Building-Extension Officer"/>
    <s v="Senior"/>
    <d v="2023-09-04T09:16:50"/>
    <d v="2023-09-08T09:16:50"/>
    <s v="Yes"/>
    <d v="2023-09-19T09:16:50"/>
    <s v="Accepted"/>
    <m/>
    <d v="2023-09-23T09:16:50"/>
    <s v="Accepted"/>
    <d v="2023-09-21T09:16:50"/>
    <d v="2023-09-22T09:16:50"/>
    <d v="2023-09-21T09:16:50"/>
    <d v="2023-09-30T09:16:50"/>
    <n v="1"/>
    <d v="2023-10-01T09:16:50"/>
    <d v="2023-10-02T09:16:50"/>
    <d v="2023-10-04T09:16:50"/>
    <m/>
    <m/>
    <d v="2023-10-15T09:16:50"/>
    <m/>
    <m/>
    <n v="4"/>
    <n v="15"/>
    <n v="11"/>
    <x v="14"/>
    <n v="2"/>
    <d v="2023-12-20T09:16:50"/>
    <n v="1"/>
    <n v="24"/>
    <n v="13"/>
    <m/>
    <m/>
    <m/>
    <m/>
    <m/>
    <m/>
    <m/>
    <m/>
    <m/>
    <m/>
  </r>
  <r>
    <n v="2915"/>
    <s v="2915 | Capacity Building"/>
    <x v="9"/>
    <s v="Capacity Building - Senior"/>
    <s v="Extension Officer"/>
    <s v="Capacity Building-Extension Officer"/>
    <s v="Senior"/>
    <d v="2022-02-06T19:04:45"/>
    <d v="2022-02-08T19:04:45"/>
    <s v="Yes"/>
    <d v="2022-02-22T19:04:45"/>
    <s v="Accepted"/>
    <m/>
    <d v="2022-03-02T19:04:45"/>
    <s v="Accepted"/>
    <d v="2022-02-24T19:04:45"/>
    <d v="2022-02-26T19:04:45"/>
    <d v="2022-02-26T19:04:45"/>
    <d v="2022-03-08T19:04:45"/>
    <n v="1"/>
    <d v="2022-03-09T19:04:45"/>
    <d v="2022-03-10T19:04:45"/>
    <d v="2022-03-11T19:04:45"/>
    <m/>
    <m/>
    <d v="2022-03-22T19:04:45"/>
    <m/>
    <m/>
    <n v="2"/>
    <n v="16"/>
    <n v="14"/>
    <x v="15"/>
    <n v="4"/>
    <d v="2022-05-27T19:04:45"/>
    <n v="1"/>
    <n v="24"/>
    <n v="13"/>
    <m/>
    <m/>
    <m/>
    <m/>
    <m/>
    <m/>
    <m/>
    <m/>
    <m/>
    <m/>
  </r>
  <r>
    <n v="2825"/>
    <s v="2825 | Capacity Building"/>
    <x v="9"/>
    <s v="Capacity Building - Senior"/>
    <s v="Extension Officer"/>
    <s v="Capacity Building-Extension Officer"/>
    <s v="Senior"/>
    <d v="2022-01-06T01:20:30"/>
    <d v="2022-01-09T01:20:30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703"/>
    <s v="2703 | Capacity Building"/>
    <x v="9"/>
    <s v="Capacity Building - Senior"/>
    <s v="Extension Officer"/>
    <s v="Capacity Building-Extension Officer"/>
    <s v="Senior"/>
    <d v="2022-09-25T11:53:56"/>
    <d v="2022-09-28T11:53:56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636"/>
    <s v="2636 | Capacity Building"/>
    <x v="9"/>
    <s v="Capacity Building - Senior"/>
    <s v="Extension Officer"/>
    <s v="Capacity Building-Extension Officer"/>
    <s v="Senior"/>
    <d v="2022-01-23T04:43:28"/>
    <d v="2022-01-24T04:43:2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580"/>
    <s v="2580 | Capacity Building"/>
    <x v="9"/>
    <s v="Capacity Building - Senior"/>
    <s v="Extension Officer"/>
    <s v="Capacity Building-Extension Officer"/>
    <s v="Senior"/>
    <d v="2022-03-21T17:14:32"/>
    <d v="2022-03-24T17:14:32"/>
    <s v="Yes"/>
    <d v="2022-03-28T17:14:32"/>
    <s v="Accepted"/>
    <m/>
    <d v="2022-04-04T17:14:32"/>
    <s v="Accepted"/>
    <d v="2022-03-29T17:14:32"/>
    <d v="2022-04-02T17:14:32"/>
    <d v="2022-04-01T17:14:32"/>
    <d v="2022-04-09T17:14:32"/>
    <n v="1"/>
    <d v="2022-04-11T17:14:32"/>
    <d v="2022-04-13T17:14:32"/>
    <d v="2022-04-15T17:14:32"/>
    <m/>
    <m/>
    <d v="2022-04-26T17:14:32"/>
    <m/>
    <m/>
    <n v="3"/>
    <n v="7"/>
    <n v="4"/>
    <x v="9"/>
    <n v="4"/>
    <d v="2022-06-30T17:14:32"/>
    <n v="2"/>
    <n v="25"/>
    <n v="14"/>
    <m/>
    <m/>
    <m/>
    <m/>
    <m/>
    <m/>
    <m/>
    <m/>
    <m/>
    <m/>
  </r>
  <r>
    <n v="2140"/>
    <s v="2140 | Capacity Building"/>
    <x v="9"/>
    <s v="Capacity Building - Senior"/>
    <s v="Extension Officer"/>
    <s v="Capacity Building-Extension Officer"/>
    <s v="Senior"/>
    <d v="2022-08-01T12:23:45"/>
    <d v="2022-08-03T12:23:4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107"/>
    <s v="2107 | Capacity Building"/>
    <x v="9"/>
    <s v="Capacity Building - Senior"/>
    <s v="Extension Officer"/>
    <s v="Capacity Building-Extension Officer"/>
    <s v="Senior"/>
    <d v="2022-05-03T00:32:09"/>
    <d v="2022-05-07T00:32:09"/>
    <s v="Yes"/>
    <d v="2022-05-21T00:32:09"/>
    <s v="Accepted"/>
    <m/>
    <d v="2022-05-28T00:32:09"/>
    <s v="Accepted"/>
    <d v="2022-05-22T00:32:09"/>
    <d v="2022-05-26T00:32:09"/>
    <d v="2022-05-24T00:32:09"/>
    <d v="2022-06-02T00:32:09"/>
    <n v="1"/>
    <d v="2022-06-06T00:32:09"/>
    <d v="2022-06-07T00:32:09"/>
    <d v="2022-06-09T00:32:09"/>
    <m/>
    <m/>
    <d v="2022-06-25T00:32:09"/>
    <m/>
    <m/>
    <n v="4"/>
    <n v="18"/>
    <n v="14"/>
    <x v="19"/>
    <n v="3"/>
    <d v="2022-08-22T00:32:09"/>
    <n v="4"/>
    <n v="32"/>
    <n v="16"/>
    <m/>
    <m/>
    <m/>
    <m/>
    <m/>
    <m/>
    <m/>
    <m/>
    <m/>
    <m/>
  </r>
  <r>
    <n v="2100"/>
    <s v="2100 | Capacity Building"/>
    <x v="9"/>
    <s v="Capacity Building - Senior"/>
    <s v="Extension Officer"/>
    <s v="Capacity Building-Extension Officer"/>
    <s v="Senior"/>
    <d v="2022-10-26T23:41:59"/>
    <d v="2022-10-27T23:41:5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714"/>
    <s v="1714 | Capacity Building"/>
    <x v="9"/>
    <s v="Capacity Building - Senior"/>
    <s v="Extension Officer"/>
    <s v="Capacity Building-Extension Officer"/>
    <s v="Senior"/>
    <d v="2022-01-02T01:51:52"/>
    <d v="2022-01-05T01:51:5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693"/>
    <s v="1693 | Capacity Building"/>
    <x v="9"/>
    <s v="Capacity Building - Senior"/>
    <s v="Extension Officer"/>
    <s v="Capacity Building-Extension Officer"/>
    <s v="Senior"/>
    <d v="2023-02-23T18:21:09"/>
    <d v="2023-02-27T18:21:0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552"/>
    <s v="1552 | Capacity Building"/>
    <x v="9"/>
    <s v="Capacity Building - Senior"/>
    <s v="Extension Officer"/>
    <s v="Capacity Building-Extension Officer"/>
    <s v="Senior"/>
    <d v="2022-12-07T14:20:00"/>
    <d v="2022-12-08T14:20:0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00"/>
    <s v="1200 | Capacity Building"/>
    <x v="9"/>
    <s v="Capacity Building - Senior"/>
    <s v="Extension Officer"/>
    <s v="Capacity Building-Extension Officer"/>
    <s v="Senior"/>
    <d v="2022-07-24T23:11:03"/>
    <d v="2022-07-28T23:11:0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78"/>
    <s v="1178 | Capacity Building"/>
    <x v="9"/>
    <s v="Capacity Building - Senior"/>
    <s v="Extension Officer"/>
    <s v="Capacity Building-Extension Officer"/>
    <s v="Senior"/>
    <d v="2023-05-17T01:00:09"/>
    <d v="2023-05-19T01:00:09"/>
    <s v="Yes"/>
    <d v="2023-06-02T01:00:09"/>
    <s v="Accepted"/>
    <m/>
    <d v="2023-06-09T01:00:09"/>
    <s v="Accepted"/>
    <d v="2023-06-03T01:00:09"/>
    <d v="2023-06-04T01:00:09"/>
    <d v="2023-06-05T01:00:09"/>
    <d v="2023-06-09T01:00:09"/>
    <n v="1"/>
    <d v="2023-06-10T01:00:09"/>
    <d v="2023-06-12T01:00:09"/>
    <d v="2023-06-13T01:00:09"/>
    <m/>
    <m/>
    <d v="2023-06-22T01:00:09"/>
    <m/>
    <m/>
    <n v="2"/>
    <n v="16"/>
    <n v="14"/>
    <x v="13"/>
    <n v="3"/>
    <d v="2023-09-03T01:00:09"/>
    <n v="1"/>
    <n v="17"/>
    <n v="8"/>
    <m/>
    <m/>
    <m/>
    <m/>
    <m/>
    <m/>
    <m/>
    <m/>
    <m/>
    <m/>
  </r>
  <r>
    <n v="1103"/>
    <s v="1103 | Capacity Building"/>
    <x v="9"/>
    <s v="Capacity Building - Senior"/>
    <s v="Extension Officer"/>
    <s v="Capacity Building-Extension Officer"/>
    <s v="Senior"/>
    <d v="2022-04-25T22:53:34"/>
    <d v="2022-04-27T22:53:34"/>
    <s v="Yes"/>
    <d v="2022-05-02T22:53:34"/>
    <s v="Accepted"/>
    <m/>
    <d v="2022-05-05T22:53:34"/>
    <s v="Accepted"/>
    <d v="2022-05-04T22:53:34"/>
    <d v="2022-05-06T22:53:34"/>
    <d v="2022-05-04T22:53:34"/>
    <d v="2022-05-12T22:53:34"/>
    <n v="1"/>
    <d v="2022-05-14T22:53:34"/>
    <d v="2022-05-17T22:53:34"/>
    <d v="2022-05-19T22:53:34"/>
    <m/>
    <m/>
    <d v="2022-05-31T22:53:34"/>
    <m/>
    <m/>
    <n v="2"/>
    <n v="7"/>
    <n v="5"/>
    <x v="4"/>
    <n v="2"/>
    <d v="2022-08-02T22:53:34"/>
    <n v="2"/>
    <n v="27"/>
    <n v="15"/>
    <m/>
    <m/>
    <m/>
    <m/>
    <m/>
    <m/>
    <m/>
    <m/>
    <m/>
    <m/>
  </r>
  <r>
    <n v="1074"/>
    <s v="1074 | Capacity Building"/>
    <x v="9"/>
    <s v="Capacity Building - Senior"/>
    <s v="Extension Officer"/>
    <s v="Capacity Building-Extension Officer"/>
    <s v="Senior"/>
    <d v="2022-02-09T23:46:40"/>
    <d v="2022-02-13T23:46:4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23"/>
    <s v="923 | Capacity Building"/>
    <x v="9"/>
    <s v="Capacity Building - Senior"/>
    <s v="Extension Officer"/>
    <s v="Capacity Building-Extension Officer"/>
    <s v="Senior"/>
    <d v="2023-05-29T11:51:22"/>
    <d v="2023-06-01T11:51:22"/>
    <s v="Yes"/>
    <d v="2023-06-20T11:51:22"/>
    <s v="Failed"/>
    <s v="Not a culture fit"/>
    <m/>
    <m/>
    <m/>
    <m/>
    <d v="2023-06-22T11:51:22"/>
    <m/>
    <n v="0"/>
    <m/>
    <m/>
    <m/>
    <m/>
    <s v="Company"/>
    <m/>
    <m/>
    <m/>
    <n v="3"/>
    <n v="22"/>
    <n v="19"/>
    <x v="21"/>
    <n v="2"/>
    <d v="2023-09-20T11:51:22"/>
    <s v=""/>
    <s v=""/>
    <s v=""/>
    <m/>
    <m/>
    <m/>
    <m/>
    <m/>
    <m/>
    <m/>
    <m/>
    <m/>
    <m/>
  </r>
  <r>
    <n v="922"/>
    <s v="922 | Capacity Building"/>
    <x v="9"/>
    <s v="Capacity Building - Senior"/>
    <s v="Extension Officer"/>
    <s v="Capacity Building-Extension Officer"/>
    <s v="Senior"/>
    <d v="2023-05-25T11:51:22"/>
    <d v="2023-05-29T11:51:22"/>
    <s v="Yes"/>
    <d v="2023-06-09T11:51:22"/>
    <s v="Pending"/>
    <m/>
    <d v="2023-06-14T11:51:22"/>
    <s v="Pending"/>
    <m/>
    <m/>
    <d v="2023-06-11T11:51:22"/>
    <m/>
    <n v="0"/>
    <m/>
    <m/>
    <m/>
    <m/>
    <m/>
    <m/>
    <m/>
    <m/>
    <n v="4"/>
    <n v="15"/>
    <n v="11"/>
    <x v="14"/>
    <n v="2"/>
    <d v="2023-09-09T11:51:22"/>
    <s v=""/>
    <s v=""/>
    <s v=""/>
    <m/>
    <m/>
    <m/>
    <m/>
    <m/>
    <m/>
    <m/>
    <m/>
    <m/>
    <m/>
  </r>
  <r>
    <n v="921"/>
    <s v="921 | Capacity Building"/>
    <x v="9"/>
    <s v="Capacity Building - Senior"/>
    <s v="Extension Officer"/>
    <s v="Capacity Building-Extension Officer"/>
    <s v="Senior"/>
    <d v="2023-05-24T11:51:22"/>
    <d v="2023-05-28T11:51:22"/>
    <s v="Yes"/>
    <d v="2023-06-12T11:51:22"/>
    <s v="Accepted"/>
    <m/>
    <d v="2023-06-18T11:51:22"/>
    <s v="Accepted"/>
    <d v="2023-06-13T11:51:22"/>
    <d v="2023-06-15T11:51:22"/>
    <d v="2023-06-16T11:51:22"/>
    <d v="2023-06-23T11:51:22"/>
    <n v="1"/>
    <d v="2023-06-24T11:51:22"/>
    <d v="2023-06-26T11:51:22"/>
    <d v="2023-06-29T11:51:22"/>
    <m/>
    <m/>
    <d v="2023-07-10T11:51:22"/>
    <m/>
    <m/>
    <n v="4"/>
    <n v="19"/>
    <n v="15"/>
    <x v="3"/>
    <n v="4"/>
    <d v="2023-09-14T11:51:22"/>
    <n v="1"/>
    <n v="24"/>
    <n v="13"/>
    <m/>
    <m/>
    <m/>
    <m/>
    <m/>
    <m/>
    <m/>
    <m/>
    <m/>
    <m/>
  </r>
  <r>
    <n v="808"/>
    <s v="808 | Capacity Building"/>
    <x v="9"/>
    <s v="Capacity Building - Senior"/>
    <s v="Extension Officer"/>
    <s v="Capacity Building-Extension Officer"/>
    <s v="Senior"/>
    <d v="2023-01-11T21:41:28"/>
    <d v="2023-01-15T21:41:28"/>
    <s v="Yes"/>
    <d v="2023-01-22T21:41:28"/>
    <s v="Declined"/>
    <m/>
    <d v="2023-01-26T21:41:28"/>
    <s v="Declined"/>
    <m/>
    <m/>
    <d v="2023-01-25T21:41:28"/>
    <m/>
    <n v="0"/>
    <m/>
    <m/>
    <m/>
    <m/>
    <m/>
    <m/>
    <m/>
    <m/>
    <n v="4"/>
    <n v="11"/>
    <n v="7"/>
    <x v="1"/>
    <n v="3"/>
    <d v="2023-04-25T21:41:28"/>
    <s v=""/>
    <s v=""/>
    <s v=""/>
    <m/>
    <m/>
    <m/>
    <m/>
    <m/>
    <m/>
    <m/>
    <m/>
    <m/>
    <m/>
  </r>
  <r>
    <n v="803"/>
    <s v="803 | Capacity Building"/>
    <x v="9"/>
    <s v="Capacity Building - Senior"/>
    <s v="Extension Officer"/>
    <s v="Capacity Building-Extension Officer"/>
    <s v="Senior"/>
    <d v="2023-01-11T21:41:28"/>
    <d v="2023-01-12T21:41:28"/>
    <s v="Yes"/>
    <d v="2023-01-26T21:41:28"/>
    <s v="Failed"/>
    <s v="Salary expectation too high"/>
    <m/>
    <m/>
    <m/>
    <m/>
    <d v="2023-01-28T21:41:28"/>
    <m/>
    <n v="0"/>
    <m/>
    <m/>
    <m/>
    <m/>
    <s v="Company"/>
    <m/>
    <m/>
    <m/>
    <n v="1"/>
    <n v="15"/>
    <n v="14"/>
    <x v="14"/>
    <n v="2"/>
    <d v="2023-04-28T21:41:28"/>
    <s v=""/>
    <s v=""/>
    <s v=""/>
    <m/>
    <m/>
    <m/>
    <m/>
    <m/>
    <m/>
    <m/>
    <m/>
    <m/>
    <m/>
  </r>
  <r>
    <n v="802"/>
    <s v="802 | Capacity Building"/>
    <x v="9"/>
    <s v="Capacity Building - Senior"/>
    <s v="Extension Officer"/>
    <s v="Capacity Building-Extension Officer"/>
    <s v="Senior"/>
    <d v="2023-01-11T21:41:28"/>
    <d v="2023-01-15T21:41:28"/>
    <s v="Yes"/>
    <d v="2023-01-20T21:41:28"/>
    <s v="Accepted"/>
    <m/>
    <d v="2023-01-24T21:41:28"/>
    <s v="Accepted"/>
    <d v="2023-01-21T21:41:28"/>
    <d v="2023-01-25T21:41:28"/>
    <d v="2023-01-23T21:41:28"/>
    <d v="2023-01-26T21:41:28"/>
    <n v="1"/>
    <d v="2023-01-27T21:41:28"/>
    <d v="2023-01-28T21:41:28"/>
    <d v="2023-01-29T21:41:28"/>
    <m/>
    <m/>
    <d v="2023-02-13T21:41:28"/>
    <m/>
    <m/>
    <n v="4"/>
    <n v="9"/>
    <n v="5"/>
    <x v="24"/>
    <n v="3"/>
    <d v="2023-04-23T21:41:28"/>
    <n v="1"/>
    <n v="21"/>
    <n v="6"/>
    <m/>
    <m/>
    <m/>
    <m/>
    <m/>
    <m/>
    <m/>
    <m/>
    <m/>
    <m/>
  </r>
  <r>
    <n v="771"/>
    <s v="771 | Capacity Building"/>
    <x v="9"/>
    <s v="Capacity Building - Senior"/>
    <s v="Extension Officer"/>
    <s v="Capacity Building-Extension Officer"/>
    <s v="Senior"/>
    <d v="2023-03-20T09:31:46"/>
    <d v="2023-03-22T09:31:46"/>
    <s v="Yes"/>
    <d v="2023-04-08T09:31:46"/>
    <s v="Failed"/>
    <s v="Not a culture fit"/>
    <m/>
    <m/>
    <m/>
    <m/>
    <m/>
    <m/>
    <n v="0"/>
    <m/>
    <m/>
    <m/>
    <m/>
    <s v="Candidate"/>
    <m/>
    <m/>
    <m/>
    <n v="2"/>
    <n v="19"/>
    <n v="17"/>
    <x v="0"/>
    <s v=""/>
    <s v=""/>
    <s v=""/>
    <s v=""/>
    <s v=""/>
    <m/>
    <m/>
    <m/>
    <m/>
    <m/>
    <m/>
    <m/>
    <m/>
    <m/>
    <m/>
  </r>
  <r>
    <n v="666"/>
    <s v="666 | Capacity Building"/>
    <x v="9"/>
    <s v="Capacity Building - Senior"/>
    <s v="Quality Assurance"/>
    <s v="Capacity Building-Quality Assurance"/>
    <s v="Senior"/>
    <d v="2022-01-11T04:53:52"/>
    <d v="2022-01-14T04:53:52"/>
    <s v="Yes"/>
    <d v="2022-01-30T04:53:52"/>
    <s v="Pending"/>
    <m/>
    <d v="2022-02-03T04:53:52"/>
    <s v="Pending"/>
    <m/>
    <m/>
    <d v="2022-01-31T04:53:52"/>
    <m/>
    <n v="0"/>
    <m/>
    <m/>
    <m/>
    <m/>
    <m/>
    <m/>
    <m/>
    <m/>
    <n v="3"/>
    <n v="19"/>
    <n v="16"/>
    <x v="15"/>
    <n v="1"/>
    <d v="2022-05-01T04:53:52"/>
    <s v=""/>
    <s v=""/>
    <s v=""/>
    <m/>
    <m/>
    <m/>
    <m/>
    <m/>
    <m/>
    <m/>
    <m/>
    <m/>
    <m/>
  </r>
  <r>
    <n v="665"/>
    <s v="665 | Capacity Building"/>
    <x v="9"/>
    <s v="Capacity Building - Senior"/>
    <s v="Quality Assurance"/>
    <s v="Capacity Building-Quality Assurance"/>
    <s v="Senior"/>
    <d v="2022-01-09T04:53:52"/>
    <d v="2022-01-11T04:53:52"/>
    <s v="Yes"/>
    <d v="2022-01-20T04:53:52"/>
    <s v="Declined"/>
    <m/>
    <d v="2022-01-24T04:53:52"/>
    <s v="Declined"/>
    <m/>
    <m/>
    <d v="2022-01-22T04:53:52"/>
    <m/>
    <n v="0"/>
    <m/>
    <m/>
    <m/>
    <m/>
    <m/>
    <m/>
    <m/>
    <m/>
    <n v="2"/>
    <n v="11"/>
    <n v="9"/>
    <x v="8"/>
    <n v="2"/>
    <d v="2022-04-22T04:53:52"/>
    <s v=""/>
    <s v=""/>
    <s v=""/>
    <m/>
    <m/>
    <m/>
    <m/>
    <m/>
    <m/>
    <m/>
    <m/>
    <m/>
    <m/>
  </r>
  <r>
    <n v="625"/>
    <s v="625 | Capacity Building"/>
    <x v="9"/>
    <s v="Capacity Building - Senior"/>
    <s v="Quality Assurance"/>
    <s v="Capacity Building-Quality Assurance"/>
    <s v="Senior"/>
    <d v="2023-03-09T19:53:06"/>
    <d v="2023-03-12T19:53:06"/>
    <s v="Yes"/>
    <d v="2023-03-28T19:53:06"/>
    <s v="Declined"/>
    <m/>
    <d v="2023-04-02T19:53:06"/>
    <s v="Declined"/>
    <m/>
    <m/>
    <d v="2023-03-31T19:53:06"/>
    <m/>
    <n v="0"/>
    <m/>
    <m/>
    <m/>
    <m/>
    <m/>
    <m/>
    <m/>
    <m/>
    <n v="3"/>
    <n v="19"/>
    <n v="16"/>
    <x v="7"/>
    <n v="3"/>
    <d v="2023-06-29T19:53:06"/>
    <s v=""/>
    <s v=""/>
    <s v=""/>
    <m/>
    <m/>
    <m/>
    <m/>
    <m/>
    <m/>
    <m/>
    <m/>
    <m/>
    <m/>
  </r>
  <r>
    <n v="624"/>
    <s v="624 | Capacity Building"/>
    <x v="9"/>
    <s v="Capacity Building - Senior"/>
    <s v="Quality Assurance"/>
    <s v="Capacity Building-Quality Assurance"/>
    <s v="Senior"/>
    <d v="2023-03-07T19:53:06"/>
    <d v="2023-03-09T19:53:06"/>
    <s v="Yes"/>
    <d v="2023-03-23T19:53:06"/>
    <s v="Accepted"/>
    <m/>
    <d v="2023-03-31T19:53:06"/>
    <s v="Accepted"/>
    <d v="2023-03-25T19:53:06"/>
    <d v="2023-03-28T19:53:06"/>
    <d v="2023-03-27T19:53:06"/>
    <d v="2023-03-30T19:53:06"/>
    <n v="1"/>
    <d v="2023-04-03T19:53:06"/>
    <d v="2023-04-04T19:53:06"/>
    <d v="2023-04-05T19:53:06"/>
    <m/>
    <m/>
    <d v="2023-04-23T19:53:06"/>
    <m/>
    <m/>
    <n v="2"/>
    <n v="16"/>
    <n v="14"/>
    <x v="15"/>
    <n v="4"/>
    <d v="2023-06-25T19:53:06"/>
    <n v="4"/>
    <n v="27"/>
    <n v="9"/>
    <m/>
    <m/>
    <m/>
    <m/>
    <m/>
    <m/>
    <m/>
    <m/>
    <m/>
    <m/>
  </r>
  <r>
    <n v="540"/>
    <s v="540 | Capacity Building"/>
    <x v="9"/>
    <s v="Capacity Building - Senior"/>
    <s v="Quality Assurance"/>
    <s v="Capacity Building-Quality Assurance"/>
    <s v="Senior"/>
    <d v="2022-01-15T06:30:30"/>
    <d v="2022-01-16T06:30:3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536"/>
    <s v="536 | Capacity Building"/>
    <x v="9"/>
    <s v="Capacity Building - Senior"/>
    <s v="Quality Assurance"/>
    <s v="Capacity Building-Quality Assurance"/>
    <s v="Senior"/>
    <d v="2022-01-13T06:30:30"/>
    <d v="2022-01-16T06:30:30"/>
    <s v="Yes"/>
    <d v="2022-01-25T06:30:30"/>
    <s v="Pending"/>
    <m/>
    <d v="2022-01-31T06:30:30"/>
    <s v="Pending"/>
    <m/>
    <m/>
    <d v="2022-01-29T06:30:30"/>
    <m/>
    <n v="0"/>
    <m/>
    <m/>
    <m/>
    <m/>
    <m/>
    <m/>
    <m/>
    <m/>
    <n v="3"/>
    <n v="12"/>
    <n v="9"/>
    <x v="20"/>
    <n v="4"/>
    <d v="2022-04-29T06:30:30"/>
    <s v=""/>
    <s v=""/>
    <s v=""/>
    <m/>
    <m/>
    <m/>
    <m/>
    <m/>
    <m/>
    <m/>
    <m/>
    <m/>
    <m/>
  </r>
  <r>
    <n v="533"/>
    <s v="533 | Capacity Building"/>
    <x v="9"/>
    <s v="Capacity Building - Senior"/>
    <s v="Quality Assurance"/>
    <s v="Capacity Building-Quality Assurance"/>
    <s v="Senior"/>
    <d v="2022-01-13T06:30:30"/>
    <d v="2022-01-14T06:30:30"/>
    <s v="Yes"/>
    <d v="2022-02-01T06:30:30"/>
    <s v="Accepted"/>
    <m/>
    <d v="2022-02-06T06:30:30"/>
    <s v="Accepted"/>
    <d v="2022-02-03T06:30:30"/>
    <d v="2022-02-06T06:30:30"/>
    <d v="2022-02-03T06:30:30"/>
    <d v="2022-02-10T06:30:30"/>
    <n v="1"/>
    <d v="2022-02-14T06:30:30"/>
    <d v="2022-02-17T06:30:30"/>
    <d v="2022-02-20T06:30:30"/>
    <m/>
    <m/>
    <d v="2022-03-11T06:30:30"/>
    <m/>
    <m/>
    <n v="1"/>
    <n v="19"/>
    <n v="18"/>
    <x v="19"/>
    <n v="2"/>
    <d v="2022-05-04T06:30:30"/>
    <n v="4"/>
    <n v="36"/>
    <n v="17"/>
    <m/>
    <m/>
    <m/>
    <m/>
    <m/>
    <m/>
    <m/>
    <m/>
    <m/>
    <m/>
  </r>
  <r>
    <n v="501"/>
    <s v="501 | Capacity Building"/>
    <x v="9"/>
    <s v="Capacity Building - Senior"/>
    <s v="Quality Assurance"/>
    <s v="Capacity Building-Quality Assurance"/>
    <s v="Senior"/>
    <d v="2022-07-04T02:29:24"/>
    <d v="2022-07-05T02:29:24"/>
    <s v="Yes"/>
    <d v="2022-07-16T02:29:24"/>
    <s v="Failed"/>
    <s v="Salary expectation too high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429"/>
    <s v="429 | Capacity Building"/>
    <x v="9"/>
    <s v="Capacity Building - Senior"/>
    <s v="Quality Assurance"/>
    <s v="Capacity Building-Quality Assurance"/>
    <s v="Senior"/>
    <d v="2023-02-25T13:03:58"/>
    <d v="2023-03-01T13:03:58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422"/>
    <s v="422 | Capacity Building"/>
    <x v="9"/>
    <s v="Capacity Building - Senior"/>
    <s v="Quality Assurance"/>
    <s v="Capacity Building-Quality Assurance"/>
    <s v="Senior"/>
    <d v="2023-02-27T13:03:58"/>
    <d v="2023-02-28T13:03:58"/>
    <s v="Yes"/>
    <d v="2023-03-05T13:03:58"/>
    <s v="Declined"/>
    <m/>
    <d v="2023-03-13T13:03:58"/>
    <s v="Declined"/>
    <m/>
    <m/>
    <d v="2023-03-09T13:03:58"/>
    <m/>
    <n v="0"/>
    <m/>
    <m/>
    <m/>
    <m/>
    <m/>
    <m/>
    <m/>
    <m/>
    <n v="1"/>
    <n v="6"/>
    <n v="5"/>
    <x v="22"/>
    <n v="4"/>
    <d v="2023-06-07T13:03:58"/>
    <s v=""/>
    <s v=""/>
    <s v=""/>
    <m/>
    <m/>
    <m/>
    <m/>
    <m/>
    <m/>
    <m/>
    <m/>
    <m/>
    <m/>
  </r>
  <r>
    <n v="411"/>
    <s v="411 | Capacity Building"/>
    <x v="9"/>
    <s v="Capacity Building - Senior"/>
    <s v="Quality Assurance"/>
    <s v="Capacity Building-Quality Assurance"/>
    <s v="Senior"/>
    <d v="2023-06-15T15:18:23"/>
    <d v="2023-06-17T15:18:2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9"/>
    <s v="269 | Capacity Building"/>
    <x v="9"/>
    <s v="Capacity Building - Senior"/>
    <s v="Quality Assurance"/>
    <s v="Capacity Building-Quality Assurance"/>
    <s v="Senior"/>
    <d v="2022-07-26T06:46:55"/>
    <d v="2022-07-27T06:46:55"/>
    <s v="Yes"/>
    <d v="2022-08-06T06:46:55"/>
    <s v="Accepted"/>
    <m/>
    <d v="2022-08-12T06:46:55"/>
    <s v="Accepted"/>
    <d v="2022-08-08T06:46:55"/>
    <d v="2022-08-10T06:46:55"/>
    <d v="2022-08-09T06:46:55"/>
    <d v="2022-08-17T06:46:55"/>
    <n v="1"/>
    <d v="2022-08-21T06:46:55"/>
    <d v="2022-08-22T06:46:55"/>
    <d v="2022-08-23T06:46:55"/>
    <m/>
    <m/>
    <d v="2022-09-14T06:46:55"/>
    <m/>
    <m/>
    <n v="1"/>
    <n v="11"/>
    <n v="10"/>
    <x v="1"/>
    <n v="3"/>
    <d v="2022-11-07T06:46:55"/>
    <n v="4"/>
    <n v="36"/>
    <n v="14"/>
    <m/>
    <m/>
    <m/>
    <m/>
    <m/>
    <m/>
    <m/>
    <m/>
    <m/>
    <m/>
  </r>
  <r>
    <n v="266"/>
    <s v="266 | Capacity Building"/>
    <x v="9"/>
    <s v="Capacity Building - Senior"/>
    <s v="Quality Assurance"/>
    <s v="Capacity Building-Quality Assurance"/>
    <s v="Senior"/>
    <d v="2022-07-21T06:46:55"/>
    <d v="2022-07-24T06:46:55"/>
    <s v="Yes"/>
    <d v="2022-08-06T06:46:55"/>
    <s v="Declined"/>
    <m/>
    <d v="2022-08-12T06:46:55"/>
    <s v="Declined"/>
    <m/>
    <m/>
    <d v="2022-08-08T06:46:55"/>
    <m/>
    <n v="0"/>
    <m/>
    <m/>
    <m/>
    <m/>
    <m/>
    <m/>
    <m/>
    <m/>
    <n v="3"/>
    <n v="16"/>
    <n v="13"/>
    <x v="12"/>
    <n v="2"/>
    <d v="2022-11-06T06:46:55"/>
    <s v=""/>
    <s v=""/>
    <s v=""/>
    <m/>
    <m/>
    <m/>
    <m/>
    <m/>
    <m/>
    <m/>
    <m/>
    <m/>
    <m/>
  </r>
  <r>
    <n v="256"/>
    <s v="256 | Capacity Building"/>
    <x v="9"/>
    <s v="Capacity Building - Senior"/>
    <s v="Quality Assurance"/>
    <s v="Capacity Building-Quality Assurance"/>
    <s v="Senior"/>
    <d v="2022-05-24T15:11:28"/>
    <d v="2022-05-27T15:11:28"/>
    <s v="Yes"/>
    <d v="2022-06-12T15:11:28"/>
    <s v="Accepted"/>
    <m/>
    <d v="2022-06-19T15:11:28"/>
    <s v="Accepted"/>
    <d v="2022-06-13T15:11:28"/>
    <d v="2022-06-15T15:11:28"/>
    <d v="2022-06-16T15:11:28"/>
    <d v="2022-06-20T15:11:28"/>
    <n v="1"/>
    <d v="2022-06-22T15:11:28"/>
    <d v="2022-06-23T15:11:28"/>
    <d v="2022-06-25T15:11:28"/>
    <m/>
    <m/>
    <d v="2022-07-04T15:11:28"/>
    <m/>
    <m/>
    <n v="3"/>
    <n v="19"/>
    <n v="16"/>
    <x v="3"/>
    <n v="4"/>
    <d v="2022-09-14T15:11:28"/>
    <n v="2"/>
    <n v="18"/>
    <n v="9"/>
    <m/>
    <m/>
    <m/>
    <m/>
    <m/>
    <m/>
    <m/>
    <m/>
    <m/>
    <m/>
  </r>
  <r>
    <n v="254"/>
    <s v="254 | Capacity Building"/>
    <x v="9"/>
    <s v="Capacity Building - Senior"/>
    <s v="Quality Assurance"/>
    <s v="Capacity Building-Quality Assurance"/>
    <s v="Senior"/>
    <d v="2022-05-25T15:11:28"/>
    <d v="2022-05-29T15:11:28"/>
    <s v="Yes"/>
    <d v="2022-06-06T15:11:28"/>
    <s v="Failed"/>
    <s v="Not a culture fit"/>
    <m/>
    <m/>
    <m/>
    <m/>
    <m/>
    <m/>
    <n v="0"/>
    <m/>
    <m/>
    <m/>
    <m/>
    <s v="Candidate"/>
    <m/>
    <m/>
    <m/>
    <n v="4"/>
    <n v="12"/>
    <n v="8"/>
    <x v="0"/>
    <s v=""/>
    <s v=""/>
    <s v=""/>
    <s v=""/>
    <s v=""/>
    <m/>
    <m/>
    <m/>
    <m/>
    <m/>
    <m/>
    <m/>
    <m/>
    <m/>
    <m/>
  </r>
  <r>
    <n v="251"/>
    <s v="251 | Capacity Building"/>
    <x v="9"/>
    <s v="Capacity Building - Senior"/>
    <s v="Quality Assurance"/>
    <s v="Capacity Building-Quality Assurance"/>
    <s v="Senior"/>
    <d v="2022-05-27T15:11:28"/>
    <d v="2022-05-30T15:11:28"/>
    <s v="Yes"/>
    <d v="2022-06-14T15:11:28"/>
    <s v="Failed"/>
    <s v="Position filled by another"/>
    <m/>
    <m/>
    <m/>
    <m/>
    <d v="2022-06-15T15:11:28"/>
    <m/>
    <n v="0"/>
    <m/>
    <m/>
    <m/>
    <m/>
    <s v="Company"/>
    <m/>
    <m/>
    <m/>
    <n v="3"/>
    <n v="18"/>
    <n v="15"/>
    <x v="13"/>
    <n v="1"/>
    <d v="2022-09-13T15:11:28"/>
    <s v=""/>
    <s v=""/>
    <s v=""/>
    <m/>
    <m/>
    <m/>
    <m/>
    <m/>
    <m/>
    <m/>
    <m/>
    <m/>
    <m/>
  </r>
  <r>
    <n v="231"/>
    <s v="231 | Capacity Building"/>
    <x v="9"/>
    <s v="Capacity Building - Senior"/>
    <s v="Quality Assurance"/>
    <s v="Capacity Building-Quality Assurance"/>
    <s v="Senior"/>
    <d v="2022-02-03T19:27:47"/>
    <d v="2022-02-07T19:27:47"/>
    <s v="Yes"/>
    <d v="2022-02-12T19:27:47"/>
    <s v="Failed"/>
    <s v="Position filled by another"/>
    <m/>
    <m/>
    <m/>
    <m/>
    <d v="2022-02-16T19:27:47"/>
    <m/>
    <n v="0"/>
    <m/>
    <m/>
    <m/>
    <m/>
    <s v="Company"/>
    <m/>
    <m/>
    <m/>
    <n v="4"/>
    <n v="9"/>
    <n v="5"/>
    <x v="8"/>
    <n v="4"/>
    <d v="2022-05-17T19:27:47"/>
    <s v=""/>
    <s v=""/>
    <s v=""/>
    <m/>
    <m/>
    <m/>
    <m/>
    <m/>
    <m/>
    <m/>
    <m/>
    <m/>
    <m/>
  </r>
  <r>
    <n v="224"/>
    <s v="224 | Capacity Building"/>
    <x v="9"/>
    <s v="Capacity Building - Senior"/>
    <s v="Quality Assurance"/>
    <s v="Capacity Building-Quality Assurance"/>
    <s v="Senior"/>
    <d v="2022-06-29T10:44:44"/>
    <d v="2022-07-01T10:44:44"/>
    <s v="Yes"/>
    <d v="2022-07-12T10:44:44"/>
    <s v="Failed"/>
    <s v="Position filled by another"/>
    <m/>
    <m/>
    <m/>
    <m/>
    <m/>
    <m/>
    <n v="0"/>
    <m/>
    <m/>
    <m/>
    <m/>
    <s v="Candidate"/>
    <m/>
    <m/>
    <m/>
    <n v="2"/>
    <n v="13"/>
    <n v="11"/>
    <x v="0"/>
    <s v=""/>
    <s v=""/>
    <s v=""/>
    <s v=""/>
    <s v=""/>
    <m/>
    <m/>
    <m/>
    <m/>
    <m/>
    <m/>
    <m/>
    <m/>
    <m/>
    <m/>
  </r>
  <r>
    <n v="223"/>
    <s v="223 | Capacity Building"/>
    <x v="9"/>
    <s v="Capacity Building - Senior"/>
    <s v="Quality Assurance"/>
    <s v="Capacity Building-Quality Assurance"/>
    <s v="Senior"/>
    <d v="2022-06-28T10:44:44"/>
    <d v="2022-06-30T10:44:44"/>
    <s v="Yes"/>
    <d v="2022-07-08T10:44:44"/>
    <s v="Failed"/>
    <s v="Position filled by another"/>
    <m/>
    <m/>
    <m/>
    <m/>
    <d v="2022-07-11T10:44:44"/>
    <m/>
    <n v="0"/>
    <m/>
    <m/>
    <m/>
    <m/>
    <s v="Company"/>
    <m/>
    <m/>
    <m/>
    <n v="2"/>
    <n v="10"/>
    <n v="8"/>
    <x v="8"/>
    <n v="3"/>
    <d v="2022-10-09T10:44:44"/>
    <s v=""/>
    <s v=""/>
    <s v=""/>
    <m/>
    <m/>
    <m/>
    <m/>
    <m/>
    <m/>
    <m/>
    <m/>
    <m/>
    <m/>
  </r>
  <r>
    <n v="158"/>
    <s v="158 | Capacity Building"/>
    <x v="9"/>
    <s v="Capacity Building - Senior"/>
    <s v="Quality Assurance"/>
    <s v="Capacity Building-Quality Assurance"/>
    <s v="Senior"/>
    <d v="2023-01-05T15:27:51"/>
    <d v="2023-01-06T15:27:51"/>
    <s v="Yes"/>
    <d v="2023-01-16T15:27:51"/>
    <s v="Failed"/>
    <s v="Salary expectation too high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153"/>
    <s v="153 | Capacity Building"/>
    <x v="9"/>
    <s v="Capacity Building - Senior"/>
    <s v="Quality Assurance"/>
    <s v="Capacity Building-Quality Assurance"/>
    <s v="Senior"/>
    <d v="2023-01-04T15:27:51"/>
    <d v="2023-01-08T15:27:5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42"/>
    <s v="142 | Capacity Building"/>
    <x v="9"/>
    <s v="Capacity Building - Senior"/>
    <s v="Auditor"/>
    <s v="Capacity Building-Auditor"/>
    <s v="Senior"/>
    <d v="2022-03-08T23:34:26"/>
    <d v="2022-03-12T23:34:26"/>
    <s v="Yes"/>
    <d v="2022-03-26T23:34:26"/>
    <s v="Pending"/>
    <m/>
    <d v="2022-03-31T23:34:26"/>
    <s v="Pending"/>
    <m/>
    <m/>
    <d v="2022-03-30T23:34:26"/>
    <m/>
    <n v="0"/>
    <m/>
    <m/>
    <m/>
    <m/>
    <m/>
    <m/>
    <m/>
    <m/>
    <n v="4"/>
    <n v="18"/>
    <n v="14"/>
    <x v="7"/>
    <n v="4"/>
    <d v="2022-06-28T23:34:26"/>
    <s v=""/>
    <s v=""/>
    <s v=""/>
    <m/>
    <m/>
    <m/>
    <m/>
    <m/>
    <m/>
    <m/>
    <m/>
    <m/>
    <m/>
  </r>
  <r>
    <n v="115"/>
    <s v="115 | Capacity Building"/>
    <x v="9"/>
    <s v="Capacity Building - Senior"/>
    <s v="Auditor"/>
    <s v="Capacity Building-Auditor"/>
    <s v="Senior"/>
    <d v="2022-06-26T04:45:15"/>
    <d v="2022-06-29T04:45:15"/>
    <s v="Yes"/>
    <d v="2022-07-18T04:45:15"/>
    <s v="Failed"/>
    <s v="Didn't pass technical test"/>
    <m/>
    <m/>
    <m/>
    <m/>
    <m/>
    <m/>
    <n v="0"/>
    <m/>
    <m/>
    <m/>
    <m/>
    <s v="Candidate"/>
    <m/>
    <m/>
    <m/>
    <n v="3"/>
    <n v="22"/>
    <n v="19"/>
    <x v="0"/>
    <s v=""/>
    <s v=""/>
    <s v=""/>
    <s v=""/>
    <s v=""/>
    <m/>
    <m/>
    <m/>
    <m/>
    <m/>
    <m/>
    <m/>
    <m/>
    <m/>
    <m/>
  </r>
  <r>
    <n v="112"/>
    <s v="112 | Capacity Building"/>
    <x v="9"/>
    <s v="Capacity Building - Senior"/>
    <s v="Auditor"/>
    <s v="Capacity Building-Auditor"/>
    <s v="Senior"/>
    <d v="2022-07-01T04:45:15"/>
    <d v="2022-07-02T04:45:15"/>
    <s v="Yes"/>
    <d v="2022-07-10T04:45:15"/>
    <s v="Accepted"/>
    <m/>
    <d v="2022-07-16T04:45:15"/>
    <s v="Accepted"/>
    <d v="2022-07-11T04:45:15"/>
    <d v="2022-07-15T04:45:15"/>
    <d v="2022-07-12T04:45:15"/>
    <d v="2022-07-13T04:45:15"/>
    <n v="1"/>
    <d v="2022-07-15T04:45:15"/>
    <d v="2022-07-16T04:45:15"/>
    <d v="2022-07-19T04:45:15"/>
    <m/>
    <m/>
    <d v="2022-08-09T04:45:15"/>
    <m/>
    <m/>
    <n v="1"/>
    <n v="9"/>
    <n v="8"/>
    <x v="9"/>
    <n v="2"/>
    <d v="2022-10-10T04:45:15"/>
    <n v="2"/>
    <n v="28"/>
    <n v="7"/>
    <m/>
    <m/>
    <m/>
    <m/>
    <m/>
    <m/>
    <m/>
    <m/>
    <m/>
    <m/>
  </r>
  <r>
    <n v="60"/>
    <s v="60 | Capacity Building"/>
    <x v="9"/>
    <s v="Capacity Building - Senior"/>
    <s v="Auditor"/>
    <s v="Capacity Building-Auditor"/>
    <s v="Senior"/>
    <d v="2022-07-31T00:18:39"/>
    <d v="2022-08-03T00:18:3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59"/>
    <s v="59 | Capacity Building"/>
    <x v="9"/>
    <s v="Capacity Building - Senior"/>
    <s v="Auditor"/>
    <s v="Capacity Building-Auditor"/>
    <s v="Senior"/>
    <d v="2022-07-29T00:18:39"/>
    <d v="2022-07-30T00:18:39"/>
    <s v="Yes"/>
    <d v="2022-08-17T00:18:39"/>
    <s v="Failed"/>
    <s v="Other"/>
    <m/>
    <m/>
    <m/>
    <m/>
    <d v="2022-08-20T00:18:39"/>
    <m/>
    <n v="0"/>
    <m/>
    <m/>
    <m/>
    <m/>
    <s v="Candidate"/>
    <m/>
    <m/>
    <m/>
    <n v="1"/>
    <n v="19"/>
    <n v="18"/>
    <x v="7"/>
    <n v="3"/>
    <d v="2022-11-18T00:18:39"/>
    <s v=""/>
    <s v=""/>
    <s v=""/>
    <m/>
    <m/>
    <m/>
    <m/>
    <m/>
    <m/>
    <m/>
    <m/>
    <m/>
    <m/>
  </r>
  <r>
    <n v="51"/>
    <s v="51 | Capacity Building"/>
    <x v="9"/>
    <s v="Capacity Building - Senior"/>
    <s v="Auditor"/>
    <s v="Capacity Building-Auditor"/>
    <s v="Senior"/>
    <d v="2022-07-29T00:18:39"/>
    <d v="2022-07-31T00:18:3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952"/>
    <s v="2952 | Capacity Building"/>
    <x v="9"/>
    <s v="Capacity Building - Manager Level"/>
    <s v="Manager"/>
    <s v="Capacity Building-Manager"/>
    <s v="Manager Level"/>
    <d v="2023-03-31T15:39:13"/>
    <d v="2023-04-01T15:39:13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934"/>
    <s v="2934 | Capacity Building"/>
    <x v="9"/>
    <s v="Capacity Building - Manager Level"/>
    <s v="Manager"/>
    <s v="Capacity Building-Manager"/>
    <s v="Manager Level"/>
    <d v="2023-02-10T13:12:09"/>
    <d v="2023-02-11T13:12:0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805"/>
    <s v="2805 | Capacity Building"/>
    <x v="9"/>
    <s v="Capacity Building - Manager Level"/>
    <s v="Manager"/>
    <s v="Capacity Building-Manager"/>
    <s v="Manager Level"/>
    <d v="2023-06-03T18:40:56"/>
    <d v="2023-06-05T18:40:56"/>
    <s v="Yes"/>
    <d v="2023-06-23T18:40:56"/>
    <s v="Accepted"/>
    <m/>
    <d v="2023-06-27T18:40:56"/>
    <s v="Accepted"/>
    <d v="2023-06-24T18:40:56"/>
    <d v="2023-06-27T18:40:56"/>
    <d v="2023-06-24T18:40:56"/>
    <d v="2023-07-04T18:40:56"/>
    <n v="1"/>
    <d v="2023-07-08T18:40:56"/>
    <d v="2023-07-11T18:40:56"/>
    <d v="2023-07-14T18:40:56"/>
    <m/>
    <m/>
    <d v="2023-08-04T18:40:56"/>
    <m/>
    <m/>
    <n v="2"/>
    <n v="20"/>
    <n v="18"/>
    <x v="19"/>
    <n v="1"/>
    <d v="2023-09-22T18:40:56"/>
    <n v="4"/>
    <n v="41"/>
    <n v="20"/>
    <m/>
    <m/>
    <m/>
    <m/>
    <m/>
    <m/>
    <m/>
    <m/>
    <m/>
    <m/>
  </r>
  <r>
    <n v="2798"/>
    <s v="2798 | Capacity Building"/>
    <x v="9"/>
    <s v="Capacity Building - Manager Level"/>
    <s v="Manager"/>
    <s v="Capacity Building-Manager"/>
    <s v="Manager Level"/>
    <d v="2023-06-25T20:01:36"/>
    <d v="2023-06-28T20:01:36"/>
    <s v="Yes"/>
    <d v="2023-07-04T20:01:36"/>
    <s v="Accepted"/>
    <m/>
    <d v="2023-07-07T20:01:36"/>
    <s v="Accepted"/>
    <d v="2023-07-05T20:01:36"/>
    <d v="2023-07-09T20:01:36"/>
    <d v="2023-07-05T20:01:36"/>
    <d v="2023-07-11T20:01:36"/>
    <n v="1"/>
    <d v="2023-07-14T20:01:36"/>
    <d v="2023-07-15T20:01:36"/>
    <d v="2023-07-18T20:01:36"/>
    <m/>
    <m/>
    <d v="2023-08-05T20:01:36"/>
    <m/>
    <m/>
    <n v="3"/>
    <n v="9"/>
    <n v="6"/>
    <x v="22"/>
    <n v="1"/>
    <d v="2023-10-03T20:01:36"/>
    <n v="3"/>
    <n v="31"/>
    <n v="13"/>
    <m/>
    <m/>
    <m/>
    <m/>
    <m/>
    <m/>
    <m/>
    <m/>
    <m/>
    <m/>
  </r>
  <r>
    <n v="2766"/>
    <s v="2766 | Capacity Building"/>
    <x v="9"/>
    <s v="Capacity Building - Manager Level"/>
    <s v="Manager"/>
    <s v="Capacity Building-Manager"/>
    <s v="Manager Level"/>
    <d v="2022-09-03T07:14:27"/>
    <d v="2022-09-04T07:14:27"/>
    <s v="Yes"/>
    <d v="2022-09-15T07:14:27"/>
    <s v="Accepted"/>
    <m/>
    <d v="2022-09-23T07:14:27"/>
    <s v="Accepted"/>
    <d v="2022-09-16T07:14:27"/>
    <d v="2022-09-19T07:14:27"/>
    <d v="2022-09-19T07:14:27"/>
    <d v="2022-09-21T07:14:27"/>
    <n v="1"/>
    <d v="2022-09-25T07:14:27"/>
    <d v="2022-09-27T07:14:27"/>
    <d v="2022-09-29T07:14:27"/>
    <m/>
    <m/>
    <d v="2022-10-10T07:14:27"/>
    <m/>
    <m/>
    <n v="1"/>
    <n v="12"/>
    <n v="11"/>
    <x v="20"/>
    <n v="4"/>
    <d v="2022-12-18T07:14:27"/>
    <n v="4"/>
    <n v="21"/>
    <n v="10"/>
    <m/>
    <m/>
    <m/>
    <m/>
    <m/>
    <m/>
    <m/>
    <m/>
    <m/>
    <m/>
  </r>
  <r>
    <n v="2705"/>
    <s v="2705 | Capacity Building"/>
    <x v="9"/>
    <s v="Capacity Building - Manager Level"/>
    <s v="Manager"/>
    <s v="Capacity Building-Manager"/>
    <s v="Manager Level"/>
    <d v="2022-09-26T11:53:56"/>
    <d v="2022-09-27T11:53:5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615"/>
    <s v="2615 | Capacity Building"/>
    <x v="9"/>
    <s v="Capacity Building - Manager Level"/>
    <s v="Manager"/>
    <s v="Capacity Building-Manager"/>
    <s v="Manager Level"/>
    <d v="2023-01-05T09:06:31"/>
    <d v="2023-01-07T09:06:3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11"/>
    <s v="2611 | Capacity Building"/>
    <x v="9"/>
    <s v="Capacity Building - Manager Level"/>
    <s v="Manager"/>
    <s v="Capacity Building-Manager"/>
    <s v="Manager Level"/>
    <d v="2023-01-07T09:06:31"/>
    <d v="2023-01-09T09:06:3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575"/>
    <s v="2575 | Capacity Building"/>
    <x v="9"/>
    <s v="Capacity Building - Manager Level"/>
    <s v="Manager"/>
    <s v="Capacity Building-Manager"/>
    <s v="Manager Level"/>
    <d v="2022-03-21T17:14:32"/>
    <d v="2022-03-24T17:14:32"/>
    <s v="Yes"/>
    <d v="2022-03-30T17:14:32"/>
    <s v="Accepted"/>
    <m/>
    <d v="2022-04-05T17:14:32"/>
    <s v="Accepted"/>
    <d v="2022-03-31T17:14:32"/>
    <d v="2022-04-04T17:14:32"/>
    <d v="2022-04-03T17:14:32"/>
    <d v="2022-04-04T17:14:32"/>
    <n v="1"/>
    <d v="2022-04-08T17:14:32"/>
    <d v="2022-04-10T17:14:32"/>
    <d v="2022-04-11T17:14:32"/>
    <m/>
    <m/>
    <d v="2022-04-22T17:14:32"/>
    <m/>
    <m/>
    <n v="3"/>
    <n v="9"/>
    <n v="6"/>
    <x v="8"/>
    <n v="4"/>
    <d v="2022-07-02T17:14:32"/>
    <n v="4"/>
    <n v="19"/>
    <n v="8"/>
    <m/>
    <m/>
    <m/>
    <m/>
    <m/>
    <m/>
    <m/>
    <m/>
    <m/>
    <m/>
  </r>
  <r>
    <n v="2523"/>
    <s v="2523 | Capacity Building"/>
    <x v="9"/>
    <s v="Capacity Building - Manager Level"/>
    <s v="Manager"/>
    <s v="Capacity Building-Manager"/>
    <s v="Manager Level"/>
    <d v="2023-04-12T18:41:30"/>
    <d v="2023-04-14T18:41:30"/>
    <s v="Yes"/>
    <d v="2023-05-01T18:41:30"/>
    <s v="Accepted"/>
    <m/>
    <d v="2023-05-08T18:41:30"/>
    <s v="Accepted"/>
    <d v="2023-05-02T18:41:30"/>
    <d v="2023-05-03T18:41:30"/>
    <d v="2023-05-04T18:41:30"/>
    <d v="2023-05-07T18:41:30"/>
    <n v="1"/>
    <d v="2023-05-11T18:41:30"/>
    <d v="2023-05-12T18:41:30"/>
    <d v="2023-05-14T18:41:30"/>
    <m/>
    <m/>
    <d v="2023-05-23T18:41:30"/>
    <m/>
    <m/>
    <n v="2"/>
    <n v="19"/>
    <n v="17"/>
    <x v="7"/>
    <n v="3"/>
    <d v="2023-08-02T18:41:30"/>
    <n v="4"/>
    <n v="19"/>
    <n v="10"/>
    <m/>
    <m/>
    <m/>
    <m/>
    <m/>
    <m/>
    <m/>
    <m/>
    <m/>
    <m/>
  </r>
  <r>
    <n v="2134"/>
    <s v="2134 | Capacity Building"/>
    <x v="9"/>
    <s v="Capacity Building - Manager Level"/>
    <s v="Manager"/>
    <s v="Capacity Building-Manager"/>
    <s v="Manager Level"/>
    <d v="2022-08-03T12:23:45"/>
    <d v="2022-08-07T12:23:4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102"/>
    <s v="2102 | Capacity Building"/>
    <x v="9"/>
    <s v="Capacity Building - Manager Level"/>
    <s v="Manager"/>
    <s v="Capacity Building-Manager"/>
    <s v="Manager Level"/>
    <d v="2022-05-05T00:32:09"/>
    <d v="2022-05-09T00:32:0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039"/>
    <s v="2039 | Capacity Building"/>
    <x v="9"/>
    <s v="Capacity Building - Manager Level"/>
    <s v="Manager"/>
    <s v="Capacity Building-Manager"/>
    <s v="Manager Level"/>
    <d v="2022-03-25T20:40:01"/>
    <d v="2022-03-29T20:40:0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718"/>
    <s v="1718 | Capacity Building"/>
    <x v="9"/>
    <s v="Capacity Building - Manager Level"/>
    <s v="Manager"/>
    <s v="Capacity Building-Manager"/>
    <s v="Manager Level"/>
    <d v="2021-12-31T01:51:52"/>
    <d v="2022-01-03T01:51:5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716"/>
    <s v="1716 | Capacity Building"/>
    <x v="9"/>
    <s v="Capacity Building - Manager Level"/>
    <s v="Manager"/>
    <s v="Capacity Building-Manager"/>
    <s v="Manager Level"/>
    <d v="2022-01-02T01:51:52"/>
    <d v="2022-01-05T01:51:5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713"/>
    <s v="1713 | Capacity Building"/>
    <x v="9"/>
    <s v="Capacity Building - Manager Level"/>
    <s v="Manager"/>
    <s v="Capacity Building-Manager"/>
    <s v="Manager Level"/>
    <d v="2022-01-02T01:51:52"/>
    <d v="2022-01-05T01:51:52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461"/>
    <s v="1461 | Capacity Building"/>
    <x v="9"/>
    <s v="Capacity Building - Manager Level"/>
    <s v="Manager"/>
    <s v="Capacity Building-Manager"/>
    <s v="Manager Level"/>
    <d v="2023-03-20T03:24:12"/>
    <d v="2023-03-21T03:24:12"/>
    <s v="Yes"/>
    <d v="2023-04-08T03:24:12"/>
    <s v="Accepted"/>
    <m/>
    <d v="2023-04-12T03:24:12"/>
    <s v="Accepted"/>
    <d v="2023-04-09T03:24:12"/>
    <d v="2023-04-13T03:24:12"/>
    <d v="2023-04-09T03:24:12"/>
    <d v="2023-04-14T03:24:12"/>
    <n v="1"/>
    <d v="2023-04-18T03:24:12"/>
    <d v="2023-04-19T03:24:12"/>
    <d v="2023-04-21T03:24:12"/>
    <m/>
    <m/>
    <d v="2023-05-07T03:24:12"/>
    <m/>
    <m/>
    <n v="1"/>
    <n v="19"/>
    <n v="18"/>
    <x v="15"/>
    <n v="1"/>
    <d v="2023-07-08T03:24:12"/>
    <n v="4"/>
    <n v="28"/>
    <n v="12"/>
    <m/>
    <m/>
    <m/>
    <m/>
    <m/>
    <m/>
    <m/>
    <m/>
    <m/>
    <m/>
  </r>
  <r>
    <n v="1246"/>
    <s v="1246 | Capacity Building"/>
    <x v="9"/>
    <s v="Capacity Building - Manager Level"/>
    <s v="Manager"/>
    <s v="Capacity Building-Manager"/>
    <s v="Manager Level"/>
    <d v="2022-06-24T20:09:31"/>
    <d v="2022-06-26T20:09:31"/>
    <s v="Yes"/>
    <d v="2022-07-04T20:09:31"/>
    <s v="Accepted"/>
    <m/>
    <d v="2022-07-08T20:09:31"/>
    <s v="Accepted"/>
    <d v="2022-07-06T20:09:31"/>
    <d v="2022-07-10T20:09:31"/>
    <d v="2022-07-06T20:09:31"/>
    <d v="2022-07-07T20:09:31"/>
    <n v="1"/>
    <d v="2022-07-09T20:09:31"/>
    <d v="2022-07-12T20:09:31"/>
    <d v="2022-07-15T20:09:31"/>
    <m/>
    <m/>
    <d v="2022-07-28T20:09:31"/>
    <m/>
    <m/>
    <n v="2"/>
    <n v="10"/>
    <n v="8"/>
    <x v="24"/>
    <n v="2"/>
    <d v="2022-10-04T20:09:31"/>
    <n v="2"/>
    <n v="22"/>
    <n v="9"/>
    <m/>
    <m/>
    <m/>
    <m/>
    <m/>
    <m/>
    <m/>
    <m/>
    <m/>
    <m/>
  </r>
  <r>
    <n v="1241"/>
    <s v="1241 | Capacity Building"/>
    <x v="9"/>
    <s v="Capacity Building - Manager Level"/>
    <s v="Manager"/>
    <s v="Capacity Building-Manager"/>
    <s v="Manager Level"/>
    <d v="2022-06-22T20:09:31"/>
    <d v="2022-06-25T20:09:3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102"/>
    <s v="1102 | Capacity Building"/>
    <x v="9"/>
    <s v="Capacity Building - Manager Level"/>
    <s v="Manager"/>
    <s v="Capacity Building-Manager"/>
    <s v="Manager Level"/>
    <d v="2022-04-28T22:53:34"/>
    <d v="2022-04-29T22:53:3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079"/>
    <s v="1079 | Capacity Building"/>
    <x v="9"/>
    <s v="Capacity Building - Manager Level"/>
    <s v="Manager"/>
    <s v="Capacity Building-Manager"/>
    <s v="Manager Level"/>
    <d v="2022-02-10T23:46:40"/>
    <d v="2022-02-11T23:46:4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928"/>
    <s v="928 | Capacity Building"/>
    <x v="9"/>
    <s v="Capacity Building - Manager Level"/>
    <s v="Manager"/>
    <s v="Capacity Building-Manager"/>
    <s v="Manager Level"/>
    <d v="2023-05-28T11:51:22"/>
    <d v="2023-06-01T11:51:2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24"/>
    <s v="924 | Capacity Building"/>
    <x v="9"/>
    <s v="Capacity Building - Manager Level"/>
    <s v="Manager"/>
    <s v="Capacity Building-Manager"/>
    <s v="Manager Level"/>
    <d v="2023-05-29T11:51:22"/>
    <d v="2023-06-01T11:51:22"/>
    <s v="Yes"/>
    <d v="2023-06-06T11:51:22"/>
    <s v="Failed"/>
    <s v="Salary expectation too high"/>
    <m/>
    <m/>
    <m/>
    <m/>
    <d v="2023-06-09T11:51:22"/>
    <m/>
    <n v="0"/>
    <m/>
    <m/>
    <m/>
    <m/>
    <s v="Company"/>
    <m/>
    <m/>
    <m/>
    <n v="3"/>
    <n v="8"/>
    <n v="5"/>
    <x v="9"/>
    <n v="3"/>
    <d v="2023-09-07T11:51:22"/>
    <s v=""/>
    <s v=""/>
    <s v=""/>
    <m/>
    <m/>
    <m/>
    <m/>
    <m/>
    <m/>
    <m/>
    <m/>
    <m/>
    <m/>
  </r>
  <r>
    <n v="806"/>
    <s v="806 | Capacity Building"/>
    <x v="9"/>
    <s v="Capacity Building - Manager Level"/>
    <s v="Manager"/>
    <s v="Capacity Building-Manager"/>
    <s v="Manager Level"/>
    <d v="2023-01-14T21:41:28"/>
    <d v="2023-01-17T21:41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04"/>
    <s v="804 | Capacity Building"/>
    <x v="9"/>
    <s v="Capacity Building - Manager Level"/>
    <s v="Manager"/>
    <s v="Capacity Building-Manager"/>
    <s v="Manager Level"/>
    <d v="2023-01-10T21:41:28"/>
    <d v="2023-01-14T21:41:28"/>
    <s v="Yes"/>
    <d v="2023-02-02T21:41:28"/>
    <s v="Failed"/>
    <s v="Position filled by another"/>
    <m/>
    <m/>
    <m/>
    <m/>
    <d v="2023-02-03T21:41:28"/>
    <m/>
    <n v="0"/>
    <m/>
    <m/>
    <m/>
    <m/>
    <s v="Candidate"/>
    <m/>
    <m/>
    <m/>
    <n v="4"/>
    <n v="23"/>
    <n v="19"/>
    <x v="21"/>
    <n v="1"/>
    <d v="2023-05-04T21:41:28"/>
    <s v=""/>
    <s v=""/>
    <s v=""/>
    <m/>
    <m/>
    <m/>
    <m/>
    <m/>
    <m/>
    <m/>
    <m/>
    <m/>
    <m/>
  </r>
  <r>
    <n v="775"/>
    <s v="775 | Capacity Building"/>
    <x v="9"/>
    <s v="Capacity Building - Manager Level"/>
    <s v="Manager"/>
    <s v="Capacity Building-Manager"/>
    <s v="Manager Level"/>
    <d v="2023-03-25T09:31:46"/>
    <d v="2023-03-26T09:31:46"/>
    <s v="Yes"/>
    <d v="2023-04-05T09:31:46"/>
    <s v="Failed"/>
    <s v="Didn't pass technical test"/>
    <m/>
    <m/>
    <m/>
    <m/>
    <d v="2023-04-08T09:31:46"/>
    <m/>
    <n v="0"/>
    <m/>
    <m/>
    <m/>
    <m/>
    <s v="Candidate"/>
    <m/>
    <m/>
    <m/>
    <n v="1"/>
    <n v="11"/>
    <n v="10"/>
    <x v="1"/>
    <n v="3"/>
    <d v="2023-07-07T09:31:46"/>
    <s v=""/>
    <s v=""/>
    <s v=""/>
    <m/>
    <m/>
    <m/>
    <m/>
    <m/>
    <m/>
    <m/>
    <m/>
    <m/>
    <m/>
  </r>
  <r>
    <n v="772"/>
    <s v="772 | Capacity Building"/>
    <x v="9"/>
    <s v="Capacity Building - Manager Level"/>
    <s v="Manager"/>
    <s v="Capacity Building-Manager"/>
    <s v="Manager Level"/>
    <d v="2023-03-21T09:31:46"/>
    <d v="2023-03-24T09:31:46"/>
    <s v="Yes"/>
    <d v="2023-03-29T09:31:46"/>
    <s v="Failed"/>
    <s v="Not a culture fit"/>
    <m/>
    <m/>
    <m/>
    <m/>
    <d v="2023-03-30T09:31:46"/>
    <m/>
    <n v="0"/>
    <m/>
    <m/>
    <m/>
    <m/>
    <s v="Company"/>
    <m/>
    <m/>
    <m/>
    <n v="3"/>
    <n v="8"/>
    <n v="5"/>
    <x v="4"/>
    <n v="1"/>
    <d v="2023-06-28T09:31:46"/>
    <s v=""/>
    <s v=""/>
    <s v=""/>
    <m/>
    <m/>
    <m/>
    <m/>
    <m/>
    <m/>
    <m/>
    <m/>
    <m/>
    <m/>
  </r>
  <r>
    <n v="669"/>
    <s v="669 | Capacity Building"/>
    <x v="9"/>
    <s v="Capacity Building - Manager Level"/>
    <s v="Manager"/>
    <s v="Capacity Building-Manager"/>
    <s v="Manager Level"/>
    <d v="2022-01-09T04:53:52"/>
    <d v="2022-01-13T04:53:5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630"/>
    <s v="630 | Capacity Building"/>
    <x v="9"/>
    <s v="Capacity Building - Manager Level"/>
    <s v="Manager"/>
    <s v="Capacity Building-Manager"/>
    <s v="Manager Level"/>
    <d v="2023-03-09T19:53:06"/>
    <d v="2023-03-13T19:53:06"/>
    <s v="Yes"/>
    <d v="2023-03-27T19:53:06"/>
    <s v="Declined"/>
    <m/>
    <d v="2023-04-03T19:53:06"/>
    <s v="Declined"/>
    <m/>
    <m/>
    <d v="2023-03-31T19:53:06"/>
    <m/>
    <n v="0"/>
    <m/>
    <m/>
    <m/>
    <m/>
    <m/>
    <m/>
    <m/>
    <m/>
    <n v="4"/>
    <n v="18"/>
    <n v="14"/>
    <x v="7"/>
    <n v="4"/>
    <d v="2023-06-29T19:53:06"/>
    <s v=""/>
    <s v=""/>
    <s v=""/>
    <m/>
    <m/>
    <m/>
    <m/>
    <m/>
    <m/>
    <m/>
    <m/>
    <m/>
    <m/>
  </r>
  <r>
    <n v="629"/>
    <s v="629 | Capacity Building"/>
    <x v="9"/>
    <s v="Capacity Building - Manager Level"/>
    <s v="Manager"/>
    <s v="Capacity Building-Manager"/>
    <s v="Manager Level"/>
    <d v="2023-03-08T19:53:06"/>
    <d v="2023-03-09T19:53:06"/>
    <s v="Yes"/>
    <d v="2023-04-02T19:53:06"/>
    <s v="Failed"/>
    <s v="Not a culture fit"/>
    <m/>
    <m/>
    <m/>
    <m/>
    <d v="2023-04-04T19:53:06"/>
    <m/>
    <n v="0"/>
    <m/>
    <m/>
    <m/>
    <m/>
    <s v="Candidate"/>
    <m/>
    <m/>
    <m/>
    <n v="1"/>
    <n v="25"/>
    <n v="24"/>
    <x v="18"/>
    <n v="2"/>
    <d v="2023-07-03T19:53:06"/>
    <s v=""/>
    <s v=""/>
    <s v=""/>
    <m/>
    <m/>
    <m/>
    <m/>
    <m/>
    <m/>
    <m/>
    <m/>
    <m/>
    <m/>
  </r>
  <r>
    <n v="623"/>
    <s v="623 | Capacity Building"/>
    <x v="9"/>
    <s v="Capacity Building - Manager Level"/>
    <s v="Manager"/>
    <s v="Capacity Building-Manager"/>
    <s v="Manager Level"/>
    <d v="2023-03-06T19:53:06"/>
    <d v="2023-03-09T19:53:06"/>
    <s v="Yes"/>
    <d v="2023-03-22T19:53:06"/>
    <s v="Declined"/>
    <m/>
    <d v="2023-03-27T19:53:06"/>
    <s v="Declined"/>
    <m/>
    <m/>
    <d v="2023-03-24T19:53:06"/>
    <m/>
    <n v="0"/>
    <m/>
    <m/>
    <m/>
    <m/>
    <m/>
    <m/>
    <m/>
    <m/>
    <n v="3"/>
    <n v="16"/>
    <n v="13"/>
    <x v="12"/>
    <n v="2"/>
    <d v="2023-06-22T19:53:06"/>
    <s v=""/>
    <s v=""/>
    <s v=""/>
    <m/>
    <m/>
    <m/>
    <m/>
    <m/>
    <m/>
    <m/>
    <m/>
    <m/>
    <m/>
  </r>
  <r>
    <n v="622"/>
    <s v="622 | Capacity Building"/>
    <x v="9"/>
    <s v="Capacity Building - Manager Level"/>
    <s v="Manager"/>
    <s v="Capacity Building-Manager"/>
    <s v="Manager Level"/>
    <d v="2023-03-07T19:53:06"/>
    <d v="2023-03-11T19:53:06"/>
    <s v="Yes"/>
    <d v="2023-03-19T19:53:06"/>
    <s v="Declined"/>
    <m/>
    <d v="2023-03-24T19:53:06"/>
    <s v="Declined"/>
    <m/>
    <m/>
    <d v="2023-03-23T19:53:06"/>
    <m/>
    <n v="0"/>
    <m/>
    <m/>
    <m/>
    <m/>
    <m/>
    <m/>
    <m/>
    <m/>
    <n v="4"/>
    <n v="12"/>
    <n v="8"/>
    <x v="20"/>
    <n v="4"/>
    <d v="2023-06-21T19:53:06"/>
    <s v=""/>
    <s v=""/>
    <s v=""/>
    <m/>
    <m/>
    <m/>
    <m/>
    <m/>
    <m/>
    <m/>
    <m/>
    <m/>
    <m/>
  </r>
  <r>
    <n v="428"/>
    <s v="428 | Capacity Building"/>
    <x v="9"/>
    <s v="Capacity Building - Manager Level"/>
    <s v="Manager"/>
    <s v="Capacity Building-Manager"/>
    <s v="Manager Level"/>
    <d v="2023-02-26T13:03:58"/>
    <d v="2023-02-28T13:03:58"/>
    <s v="Yes"/>
    <d v="2023-03-13T13:03:58"/>
    <s v="Failed"/>
    <s v="Salary expectation too high"/>
    <m/>
    <m/>
    <m/>
    <m/>
    <m/>
    <m/>
    <n v="0"/>
    <m/>
    <m/>
    <m/>
    <m/>
    <s v="Candidate"/>
    <m/>
    <m/>
    <m/>
    <n v="2"/>
    <n v="15"/>
    <n v="13"/>
    <x v="0"/>
    <s v=""/>
    <s v=""/>
    <s v=""/>
    <s v=""/>
    <s v=""/>
    <m/>
    <m/>
    <m/>
    <m/>
    <m/>
    <m/>
    <m/>
    <m/>
    <m/>
    <m/>
  </r>
  <r>
    <n v="423"/>
    <s v="423 | Capacity Building"/>
    <x v="9"/>
    <s v="Capacity Building - Manager Level"/>
    <s v="Manager"/>
    <s v="Capacity Building-Manager"/>
    <s v="Manager Level"/>
    <d v="2023-02-22T13:03:58"/>
    <d v="2023-02-25T13:03:58"/>
    <s v="Yes"/>
    <d v="2023-03-13T13:03:58"/>
    <s v="Accepted"/>
    <m/>
    <d v="2023-03-21T13:03:58"/>
    <s v="Accepted"/>
    <d v="2023-03-14T13:03:58"/>
    <d v="2023-03-17T13:03:58"/>
    <d v="2023-03-17T13:03:58"/>
    <d v="2023-03-20T13:03:58"/>
    <n v="1"/>
    <d v="2023-03-23T13:03:58"/>
    <d v="2023-03-24T13:03:58"/>
    <d v="2023-03-25T13:03:58"/>
    <m/>
    <m/>
    <d v="2023-04-05T13:03:58"/>
    <m/>
    <m/>
    <n v="3"/>
    <n v="19"/>
    <n v="16"/>
    <x v="3"/>
    <n v="4"/>
    <d v="2023-06-15T13:03:58"/>
    <n v="3"/>
    <n v="19"/>
    <n v="8"/>
    <m/>
    <m/>
    <m/>
    <m/>
    <m/>
    <m/>
    <m/>
    <m/>
    <m/>
    <m/>
  </r>
  <r>
    <n v="421"/>
    <s v="421 | Capacity Building"/>
    <x v="9"/>
    <s v="Capacity Building - Manager Level"/>
    <s v="Manager"/>
    <s v="Capacity Building-Manager"/>
    <s v="Manager Level"/>
    <d v="2023-02-25T13:03:58"/>
    <d v="2023-02-28T13:03:58"/>
    <s v="Yes"/>
    <d v="2023-03-12T13:03:58"/>
    <s v="Accepted"/>
    <m/>
    <d v="2023-03-16T13:03:58"/>
    <s v="Accepted"/>
    <d v="2023-03-13T13:03:58"/>
    <d v="2023-03-16T13:03:58"/>
    <d v="2023-03-14T13:03:58"/>
    <d v="2023-03-20T13:03:58"/>
    <n v="1"/>
    <d v="2023-03-22T13:03:58"/>
    <d v="2023-03-24T13:03:58"/>
    <d v="2023-03-26T13:03:58"/>
    <m/>
    <m/>
    <d v="2023-04-08T13:03:58"/>
    <m/>
    <m/>
    <n v="3"/>
    <n v="15"/>
    <n v="12"/>
    <x v="14"/>
    <n v="2"/>
    <d v="2023-06-12T13:03:58"/>
    <n v="2"/>
    <n v="25"/>
    <n v="12"/>
    <m/>
    <m/>
    <m/>
    <m/>
    <m/>
    <m/>
    <m/>
    <m/>
    <m/>
    <m/>
  </r>
  <r>
    <n v="267"/>
    <s v="267 | Capacity Building"/>
    <x v="9"/>
    <s v="Capacity Building - Manager Level"/>
    <s v="Manager"/>
    <s v="Capacity Building-Manager"/>
    <s v="Manager Level"/>
    <d v="2022-07-24T06:46:55"/>
    <d v="2022-07-25T06:46:55"/>
    <s v="Yes"/>
    <d v="2022-08-02T06:46:55"/>
    <s v="Failed"/>
    <s v="Salary expectation too high"/>
    <m/>
    <m/>
    <m/>
    <m/>
    <d v="2022-08-06T06:46:55"/>
    <m/>
    <n v="0"/>
    <m/>
    <m/>
    <m/>
    <m/>
    <s v="Company"/>
    <m/>
    <m/>
    <m/>
    <n v="1"/>
    <n v="9"/>
    <n v="8"/>
    <x v="8"/>
    <n v="4"/>
    <d v="2022-11-04T06:46:55"/>
    <s v=""/>
    <s v=""/>
    <s v=""/>
    <m/>
    <m/>
    <m/>
    <m/>
    <m/>
    <m/>
    <m/>
    <m/>
    <m/>
    <m/>
  </r>
  <r>
    <n v="263"/>
    <s v="263 | Capacity Building"/>
    <x v="9"/>
    <s v="Capacity Building - Manager Level"/>
    <s v="Manager"/>
    <s v="Capacity Building-Manager"/>
    <s v="Manager Level"/>
    <d v="2022-07-19T06:46:55"/>
    <d v="2022-07-22T06:46:55"/>
    <s v="Yes"/>
    <d v="2022-08-12T06:46:55"/>
    <s v="Declined"/>
    <m/>
    <d v="2022-08-18T06:46:55"/>
    <s v="Declined"/>
    <m/>
    <m/>
    <d v="2022-08-15T06:46:55"/>
    <m/>
    <n v="0"/>
    <m/>
    <m/>
    <m/>
    <m/>
    <m/>
    <m/>
    <m/>
    <m/>
    <n v="3"/>
    <n v="24"/>
    <n v="21"/>
    <x v="18"/>
    <n v="3"/>
    <d v="2022-11-13T06:46:55"/>
    <s v=""/>
    <s v=""/>
    <s v=""/>
    <m/>
    <m/>
    <m/>
    <m/>
    <m/>
    <m/>
    <m/>
    <m/>
    <m/>
    <m/>
  </r>
  <r>
    <n v="261"/>
    <s v="261 | Capacity Building"/>
    <x v="9"/>
    <s v="Capacity Building - Manager Level"/>
    <s v="Manager"/>
    <s v="Capacity Building-Manager"/>
    <s v="Manager Level"/>
    <d v="2022-07-25T06:46:55"/>
    <d v="2022-07-27T06:46:5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0"/>
    <s v="260 | Capacity Building"/>
    <x v="9"/>
    <s v="Capacity Building - Manager Level"/>
    <s v="Manager"/>
    <s v="Capacity Building-Manager"/>
    <s v="Manager Level"/>
    <d v="2022-05-23T15:11:28"/>
    <d v="2022-05-27T15:11:28"/>
    <s v="Yes"/>
    <d v="2022-06-16T15:11:28"/>
    <s v="Declined"/>
    <m/>
    <d v="2022-06-21T15:11:28"/>
    <s v="Declined"/>
    <m/>
    <m/>
    <d v="2022-06-18T15:11:28"/>
    <m/>
    <n v="0"/>
    <m/>
    <m/>
    <m/>
    <m/>
    <m/>
    <m/>
    <m/>
    <m/>
    <n v="4"/>
    <n v="24"/>
    <n v="20"/>
    <x v="25"/>
    <n v="2"/>
    <d v="2022-09-16T15:11:28"/>
    <s v=""/>
    <s v=""/>
    <s v=""/>
    <m/>
    <m/>
    <m/>
    <m/>
    <m/>
    <m/>
    <m/>
    <m/>
    <m/>
    <m/>
  </r>
  <r>
    <n v="240"/>
    <s v="240 | Capacity Building"/>
    <x v="9"/>
    <s v="Capacity Building - Manager Level"/>
    <s v="Manager"/>
    <s v="Capacity Building-Manager"/>
    <s v="Manager Level"/>
    <d v="2022-02-03T19:27:47"/>
    <d v="2022-02-05T19:27:47"/>
    <s v="Yes"/>
    <d v="2022-02-24T19:27:47"/>
    <s v="Pending"/>
    <m/>
    <d v="2022-03-01T19:27:47"/>
    <s v="Pending"/>
    <m/>
    <m/>
    <d v="2022-02-25T19:27:47"/>
    <m/>
    <n v="0"/>
    <m/>
    <m/>
    <m/>
    <m/>
    <m/>
    <m/>
    <m/>
    <m/>
    <n v="2"/>
    <n v="21"/>
    <n v="19"/>
    <x v="7"/>
    <n v="1"/>
    <d v="2022-05-26T19:27:47"/>
    <s v=""/>
    <s v=""/>
    <s v=""/>
    <m/>
    <m/>
    <m/>
    <m/>
    <m/>
    <m/>
    <m/>
    <m/>
    <m/>
    <m/>
  </r>
  <r>
    <n v="232"/>
    <s v="232 | Capacity Building"/>
    <x v="9"/>
    <s v="Capacity Building - Manager Level"/>
    <s v="Manager"/>
    <s v="Capacity Building-Manager"/>
    <s v="Manager Level"/>
    <d v="2022-02-06T19:27:47"/>
    <d v="2022-02-09T19:27:47"/>
    <s v="Yes"/>
    <d v="2022-02-24T19:27:47"/>
    <s v="Failed"/>
    <s v="Position filled by another"/>
    <m/>
    <m/>
    <m/>
    <m/>
    <d v="2022-02-25T19:27:47"/>
    <m/>
    <n v="0"/>
    <m/>
    <m/>
    <m/>
    <m/>
    <s v="Company"/>
    <m/>
    <m/>
    <m/>
    <n v="3"/>
    <n v="18"/>
    <n v="15"/>
    <x v="13"/>
    <n v="1"/>
    <d v="2022-05-26T19:27:47"/>
    <s v=""/>
    <s v=""/>
    <s v=""/>
    <m/>
    <m/>
    <m/>
    <m/>
    <m/>
    <m/>
    <m/>
    <m/>
    <m/>
    <m/>
  </r>
  <r>
    <n v="225"/>
    <s v="225 | Capacity Building"/>
    <x v="9"/>
    <s v="Capacity Building - Manager Level"/>
    <s v="Manager"/>
    <s v="Capacity Building-Manager"/>
    <s v="Manager Level"/>
    <d v="2022-06-29T10:44:44"/>
    <d v="2022-06-30T10:44:44"/>
    <s v="Yes"/>
    <d v="2022-07-19T10:44:44"/>
    <s v="Failed"/>
    <s v="Not a culture fit"/>
    <m/>
    <m/>
    <m/>
    <m/>
    <m/>
    <m/>
    <n v="0"/>
    <m/>
    <m/>
    <m/>
    <m/>
    <s v="Candidate"/>
    <m/>
    <m/>
    <m/>
    <n v="1"/>
    <n v="20"/>
    <n v="19"/>
    <x v="0"/>
    <s v=""/>
    <s v=""/>
    <s v=""/>
    <s v=""/>
    <s v=""/>
    <m/>
    <m/>
    <m/>
    <m/>
    <m/>
    <m/>
    <m/>
    <m/>
    <m/>
    <m/>
  </r>
  <r>
    <n v="221"/>
    <s v="221 | Capacity Building"/>
    <x v="9"/>
    <s v="Capacity Building - Manager Level"/>
    <s v="Manager"/>
    <s v="Capacity Building-Manager"/>
    <s v="Manager Level"/>
    <d v="2022-06-26T10:44:44"/>
    <d v="2022-06-28T10:44:44"/>
    <s v="Yes"/>
    <d v="2022-07-09T10:44:44"/>
    <s v="Failed"/>
    <s v="Didn't pass technical test"/>
    <m/>
    <m/>
    <m/>
    <m/>
    <d v="2022-07-11T10:44:44"/>
    <m/>
    <n v="0"/>
    <m/>
    <m/>
    <m/>
    <m/>
    <s v="Candidate"/>
    <m/>
    <m/>
    <m/>
    <n v="2"/>
    <n v="13"/>
    <n v="11"/>
    <x v="16"/>
    <n v="2"/>
    <d v="2022-10-09T10:44:44"/>
    <s v=""/>
    <s v=""/>
    <s v=""/>
    <m/>
    <m/>
    <m/>
    <m/>
    <m/>
    <m/>
    <m/>
    <m/>
    <m/>
    <m/>
  </r>
  <r>
    <n v="152"/>
    <s v="152 | Capacity Building"/>
    <x v="9"/>
    <s v="Capacity Building - Manager Level"/>
    <s v="Manager"/>
    <s v="Capacity Building-Manager"/>
    <s v="Manager Level"/>
    <d v="2023-01-02T15:27:51"/>
    <d v="2023-01-06T15:27:51"/>
    <s v="Yes"/>
    <d v="2023-01-25T15:27:51"/>
    <s v="Pending"/>
    <m/>
    <d v="2023-01-28T15:27:51"/>
    <s v="Pending"/>
    <m/>
    <m/>
    <d v="2023-01-27T15:27:51"/>
    <m/>
    <n v="0"/>
    <m/>
    <m/>
    <m/>
    <m/>
    <m/>
    <m/>
    <m/>
    <m/>
    <n v="4"/>
    <n v="23"/>
    <n v="19"/>
    <x v="11"/>
    <n v="2"/>
    <d v="2023-04-27T15:27:51"/>
    <s v=""/>
    <s v=""/>
    <s v=""/>
    <m/>
    <m/>
    <m/>
    <m/>
    <m/>
    <m/>
    <m/>
    <m/>
    <m/>
    <m/>
  </r>
  <r>
    <n v="120"/>
    <s v="120 | Capacity Building"/>
    <x v="9"/>
    <s v="Capacity Building - Manager Level"/>
    <s v="Manager"/>
    <s v="Capacity Building-Manager"/>
    <s v="Manager Level"/>
    <d v="2022-06-27T04:45:15"/>
    <d v="2022-07-01T04:45:1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17"/>
    <s v="117 | Capacity Building"/>
    <x v="9"/>
    <s v="Capacity Building - Manager Level"/>
    <s v="Manager"/>
    <s v="Capacity Building-Manager"/>
    <s v="Manager Level"/>
    <d v="2022-06-25T04:45:15"/>
    <d v="2022-06-28T04:45:15"/>
    <s v="Yes"/>
    <d v="2022-07-13T04:45:15"/>
    <s v="Accepted"/>
    <m/>
    <d v="2022-07-17T04:45:15"/>
    <s v="Accepted"/>
    <d v="2022-07-15T04:45:15"/>
    <d v="2022-07-17T04:45:15"/>
    <d v="2022-07-16T04:45:15"/>
    <d v="2022-07-17T04:45:15"/>
    <n v="1"/>
    <d v="2022-07-21T04:45:15"/>
    <d v="2022-07-23T04:45:15"/>
    <d v="2022-07-26T04:45:15"/>
    <m/>
    <m/>
    <d v="2022-08-11T04:45:15"/>
    <m/>
    <m/>
    <n v="3"/>
    <n v="18"/>
    <n v="15"/>
    <x v="19"/>
    <n v="3"/>
    <d v="2022-10-14T04:45:15"/>
    <n v="4"/>
    <n v="26"/>
    <n v="10"/>
    <m/>
    <m/>
    <m/>
    <m/>
    <m/>
    <m/>
    <m/>
    <m/>
    <m/>
    <m/>
  </r>
  <r>
    <n v="57"/>
    <s v="57 | Capacity Building"/>
    <x v="9"/>
    <s v="Capacity Building - Manager Level"/>
    <s v="Manager"/>
    <s v="Capacity Building-Manager"/>
    <s v="Manager Level"/>
    <d v="2022-07-30T00:18:39"/>
    <d v="2022-08-03T00:18:39"/>
    <s v="Yes"/>
    <d v="2022-08-19T00:18:39"/>
    <s v="Accepted"/>
    <m/>
    <d v="2022-08-25T00:18:39"/>
    <s v="Accepted"/>
    <d v="2022-08-20T00:18:39"/>
    <d v="2022-08-21T00:18:39"/>
    <d v="2022-08-22T00:18:39"/>
    <d v="2022-08-27T00:18:39"/>
    <n v="1"/>
    <d v="2022-08-28T00:18:39"/>
    <d v="2022-08-30T00:18:39"/>
    <d v="2022-09-02T00:18:39"/>
    <m/>
    <m/>
    <d v="2022-09-20T00:18:39"/>
    <m/>
    <m/>
    <n v="4"/>
    <n v="20"/>
    <n v="16"/>
    <x v="3"/>
    <n v="3"/>
    <d v="2022-11-20T00:18:39"/>
    <n v="1"/>
    <n v="29"/>
    <n v="11"/>
    <m/>
    <m/>
    <m/>
    <m/>
    <m/>
    <m/>
    <m/>
    <m/>
    <m/>
    <m/>
  </r>
  <r>
    <n v="2999"/>
    <s v="2999 | Capacity Building"/>
    <x v="9"/>
    <s v="Capacity Building - Junior"/>
    <s v="Training Associate"/>
    <s v="Capacity Building-Training Associate"/>
    <s v="Junior"/>
    <d v="2023-03-04T00:56:51"/>
    <d v="2023-03-05T00:56:51"/>
    <s v="Yes"/>
    <d v="2023-03-12T00:56:51"/>
    <s v="Accepted"/>
    <m/>
    <d v="2023-03-15T00:56:51"/>
    <s v="Accepted"/>
    <d v="2023-03-13T00:56:51"/>
    <d v="2023-03-15T00:56:51"/>
    <d v="2023-03-13T00:56:51"/>
    <d v="2023-03-22T00:56:51"/>
    <n v="1"/>
    <d v="2023-03-26T00:56:51"/>
    <d v="2023-03-29T00:56:51"/>
    <d v="2023-04-01T00:56:51"/>
    <m/>
    <m/>
    <d v="2023-04-22T00:56:51"/>
    <m/>
    <m/>
    <n v="1"/>
    <n v="8"/>
    <n v="7"/>
    <x v="4"/>
    <n v="1"/>
    <d v="2023-06-11T00:56:51"/>
    <n v="4"/>
    <n v="40"/>
    <n v="19"/>
    <m/>
    <m/>
    <m/>
    <m/>
    <m/>
    <m/>
    <m/>
    <m/>
    <m/>
    <m/>
  </r>
  <r>
    <n v="2953"/>
    <s v="2953 | Capacity Building"/>
    <x v="9"/>
    <s v="Capacity Building - Junior"/>
    <s v="Training Associate"/>
    <s v="Capacity Building-Training Associate"/>
    <s v="Junior"/>
    <d v="2023-04-02T15:39:13"/>
    <d v="2023-04-04T15:39:1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911"/>
    <s v="2911 | Capacity Building"/>
    <x v="9"/>
    <s v="Capacity Building - Junior"/>
    <s v="Training Associate"/>
    <s v="Capacity Building-Training Associate"/>
    <s v="Junior"/>
    <d v="2022-02-09T19:04:45"/>
    <d v="2022-02-11T19:04:45"/>
    <s v="Yes"/>
    <d v="2022-02-22T19:04:45"/>
    <s v="Accepted"/>
    <m/>
    <d v="2022-02-26T19:04:45"/>
    <s v="Accepted"/>
    <d v="2022-02-23T19:04:45"/>
    <d v="2022-02-27T19:04:45"/>
    <d v="2022-02-24T19:04:45"/>
    <d v="2022-03-02T19:04:45"/>
    <n v="1"/>
    <d v="2022-03-03T19:04:45"/>
    <d v="2022-03-05T19:04:45"/>
    <d v="2022-03-08T19:04:45"/>
    <m/>
    <m/>
    <d v="2022-03-27T19:04:45"/>
    <m/>
    <m/>
    <n v="2"/>
    <n v="13"/>
    <n v="11"/>
    <x v="16"/>
    <n v="2"/>
    <d v="2022-05-25T19:04:45"/>
    <n v="1"/>
    <n v="31"/>
    <n v="12"/>
    <m/>
    <m/>
    <m/>
    <m/>
    <m/>
    <m/>
    <m/>
    <m/>
    <m/>
    <m/>
  </r>
  <r>
    <n v="2797"/>
    <s v="2797 | Capacity Building"/>
    <x v="9"/>
    <s v="Capacity Building - Junior"/>
    <s v="Training Associate"/>
    <s v="Capacity Building-Training Associate"/>
    <s v="Junior"/>
    <d v="2023-06-23T20:01:36"/>
    <d v="2023-06-27T20:01:36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741"/>
    <s v="2741 | Capacity Building"/>
    <x v="9"/>
    <s v="Capacity Building - Junior"/>
    <s v="Training Associate"/>
    <s v="Capacity Building-Training Associate"/>
    <s v="Junior"/>
    <d v="2022-04-16T13:27:53"/>
    <d v="2022-04-18T13:27:5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707"/>
    <s v="2707 | Capacity Building"/>
    <x v="9"/>
    <s v="Capacity Building - Junior"/>
    <s v="Training Associate"/>
    <s v="Capacity Building-Training Associate"/>
    <s v="Junior"/>
    <d v="2022-09-25T11:53:56"/>
    <d v="2022-09-27T11:53:56"/>
    <s v="Yes"/>
    <d v="2022-10-13T11:53:56"/>
    <s v="Accepted"/>
    <m/>
    <d v="2022-10-17T11:53:56"/>
    <s v="Accepted"/>
    <d v="2022-10-15T11:53:56"/>
    <d v="2022-10-18T11:53:56"/>
    <d v="2022-10-14T11:53:56"/>
    <d v="2022-10-15T11:53:56"/>
    <n v="1"/>
    <d v="2022-10-17T11:53:56"/>
    <d v="2022-10-20T11:53:56"/>
    <d v="2022-10-23T11:53:56"/>
    <m/>
    <m/>
    <d v="2022-11-09T11:53:56"/>
    <m/>
    <m/>
    <n v="2"/>
    <n v="18"/>
    <n v="16"/>
    <x v="13"/>
    <n v="1"/>
    <d v="2023-01-12T11:53:56"/>
    <n v="2"/>
    <n v="26"/>
    <n v="9"/>
    <m/>
    <m/>
    <m/>
    <m/>
    <m/>
    <m/>
    <m/>
    <m/>
    <m/>
    <m/>
  </r>
  <r>
    <n v="2701"/>
    <s v="2701 | Capacity Building"/>
    <x v="9"/>
    <s v="Capacity Building - Junior"/>
    <s v="Training Associate"/>
    <s v="Capacity Building-Training Associate"/>
    <s v="Junior"/>
    <d v="2022-09-28T11:53:56"/>
    <d v="2022-09-29T11:53:56"/>
    <s v="Yes"/>
    <d v="2022-10-07T11:53:56"/>
    <s v="Accepted"/>
    <m/>
    <d v="2022-10-12T11:53:56"/>
    <s v="Accepted"/>
    <d v="2022-10-08T11:53:56"/>
    <d v="2022-10-12T11:53:56"/>
    <d v="2022-10-10T11:53:56"/>
    <d v="2022-10-13T11:53:56"/>
    <n v="1"/>
    <d v="2022-10-15T11:53:56"/>
    <d v="2022-10-16T11:53:56"/>
    <d v="2022-10-19T11:53:56"/>
    <m/>
    <m/>
    <d v="2022-11-03T11:53:56"/>
    <m/>
    <m/>
    <n v="1"/>
    <n v="9"/>
    <n v="8"/>
    <x v="24"/>
    <n v="3"/>
    <d v="2023-01-08T11:53:56"/>
    <n v="2"/>
    <n v="24"/>
    <n v="9"/>
    <m/>
    <m/>
    <m/>
    <m/>
    <m/>
    <m/>
    <m/>
    <m/>
    <m/>
    <m/>
  </r>
  <r>
    <n v="2640"/>
    <s v="2640 | Capacity Building"/>
    <x v="9"/>
    <s v="Capacity Building - Junior"/>
    <s v="Training Associate"/>
    <s v="Capacity Building-Training Associate"/>
    <s v="Junior"/>
    <d v="2022-01-20T04:43:28"/>
    <d v="2022-01-23T04:43:28"/>
    <s v="Yes"/>
    <d v="2022-02-08T04:43:28"/>
    <s v="Accepted"/>
    <m/>
    <d v="2022-02-15T04:43:28"/>
    <s v="Accepted"/>
    <d v="2022-02-09T04:43:28"/>
    <d v="2022-02-13T04:43:28"/>
    <d v="2022-02-11T04:43:28"/>
    <d v="2022-02-21T04:43:28"/>
    <n v="1"/>
    <d v="2022-02-22T04:43:28"/>
    <d v="2022-02-23T04:43:28"/>
    <d v="2022-02-24T04:43:28"/>
    <m/>
    <m/>
    <d v="2022-03-08T04:43:28"/>
    <m/>
    <m/>
    <n v="3"/>
    <n v="19"/>
    <n v="16"/>
    <x v="7"/>
    <n v="3"/>
    <d v="2022-05-12T04:43:28"/>
    <n v="1"/>
    <n v="25"/>
    <n v="13"/>
    <m/>
    <m/>
    <m/>
    <m/>
    <m/>
    <m/>
    <m/>
    <m/>
    <m/>
    <m/>
  </r>
  <r>
    <n v="2638"/>
    <s v="2638 | Capacity Building"/>
    <x v="9"/>
    <s v="Capacity Building - Junior"/>
    <s v="Training Associate"/>
    <s v="Capacity Building-Training Associate"/>
    <s v="Junior"/>
    <d v="2022-01-23T04:43:28"/>
    <d v="2022-01-26T04:43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627"/>
    <s v="2627 | Capacity Building"/>
    <x v="9"/>
    <s v="Capacity Building - Junior"/>
    <s v="Training Associate"/>
    <s v="Capacity Building-Training Associate"/>
    <s v="Junior"/>
    <d v="2023-06-21T16:02:26"/>
    <d v="2023-06-22T16:02:2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595"/>
    <s v="2595 | Capacity Building"/>
    <x v="9"/>
    <s v="Capacity Building - Junior"/>
    <s v="Training Associate"/>
    <s v="Capacity Building-Training Associate"/>
    <s v="Junior"/>
    <d v="2023-01-19T09:40:31"/>
    <d v="2023-01-20T09:40:3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578"/>
    <s v="2578 | Capacity Building"/>
    <x v="9"/>
    <s v="Capacity Building - Junior"/>
    <s v="Training Associate"/>
    <s v="Capacity Building-Training Associate"/>
    <s v="Junior"/>
    <d v="2022-03-22T17:14:32"/>
    <d v="2022-03-24T17:14:32"/>
    <s v="Yes"/>
    <d v="2022-04-09T17:14:32"/>
    <s v="Accepted"/>
    <m/>
    <d v="2022-04-13T17:14:32"/>
    <s v="Accepted"/>
    <d v="2022-04-10T17:14:32"/>
    <d v="2022-04-11T17:14:32"/>
    <d v="2022-04-10T17:14:32"/>
    <d v="2022-04-13T17:14:32"/>
    <n v="1"/>
    <d v="2022-04-16T17:14:32"/>
    <d v="2022-04-19T17:14:32"/>
    <d v="2022-04-20T17:14:32"/>
    <m/>
    <m/>
    <d v="2022-05-03T17:14:32"/>
    <m/>
    <m/>
    <n v="2"/>
    <n v="18"/>
    <n v="16"/>
    <x v="13"/>
    <n v="1"/>
    <d v="2022-07-09T17:14:32"/>
    <n v="3"/>
    <n v="23"/>
    <n v="10"/>
    <m/>
    <m/>
    <m/>
    <m/>
    <m/>
    <m/>
    <m/>
    <m/>
    <m/>
    <m/>
  </r>
  <r>
    <n v="2425"/>
    <s v="2425 | Capacity Building"/>
    <x v="9"/>
    <s v="Capacity Building - Junior"/>
    <s v="Training Associate"/>
    <s v="Capacity Building-Training Associate"/>
    <s v="Junior"/>
    <d v="2022-09-28T06:07:20"/>
    <d v="2022-10-01T06:07:20"/>
    <s v="Yes"/>
    <d v="2022-10-19T06:07:20"/>
    <s v="Accepted"/>
    <m/>
    <d v="2022-10-22T06:07:20"/>
    <s v="Accepted"/>
    <d v="2022-10-21T06:07:20"/>
    <d v="2022-10-25T06:07:20"/>
    <d v="2022-10-21T06:07:20"/>
    <d v="2022-10-30T06:07:20"/>
    <n v="1"/>
    <d v="2022-11-01T06:07:20"/>
    <d v="2022-11-03T06:07:20"/>
    <d v="2022-11-05T06:07:20"/>
    <m/>
    <m/>
    <d v="2022-11-16T06:07:20"/>
    <m/>
    <m/>
    <n v="3"/>
    <n v="21"/>
    <n v="18"/>
    <x v="3"/>
    <n v="2"/>
    <d v="2023-01-19T06:07:20"/>
    <n v="2"/>
    <n v="26"/>
    <n v="15"/>
    <m/>
    <m/>
    <m/>
    <m/>
    <m/>
    <m/>
    <m/>
    <m/>
    <m/>
    <m/>
  </r>
  <r>
    <n v="2395"/>
    <s v="2395 | Capacity Building"/>
    <x v="9"/>
    <s v="Capacity Building - Junior"/>
    <s v="Training Associate"/>
    <s v="Capacity Building-Training Associate"/>
    <s v="Junior"/>
    <d v="2023-07-18T17:32:55"/>
    <d v="2023-07-21T17:32:55"/>
    <s v="Yes"/>
    <d v="2023-07-29T17:32:55"/>
    <s v="Accepted"/>
    <m/>
    <d v="2023-08-03T17:32:55"/>
    <s v="Accepted"/>
    <d v="2023-07-31T17:32:55"/>
    <d v="2023-08-02T17:32:55"/>
    <d v="2023-08-02T17:32:55"/>
    <d v="2023-08-08T17:32:55"/>
    <n v="1"/>
    <d v="2023-08-10T17:32:55"/>
    <d v="2023-08-12T17:32:55"/>
    <d v="2023-08-13T17:32:55"/>
    <m/>
    <m/>
    <d v="2023-08-23T17:32:55"/>
    <m/>
    <m/>
    <n v="3"/>
    <n v="11"/>
    <n v="8"/>
    <x v="16"/>
    <n v="4"/>
    <d v="2023-10-31T17:32:55"/>
    <n v="2"/>
    <n v="21"/>
    <n v="11"/>
    <m/>
    <m/>
    <m/>
    <m/>
    <m/>
    <m/>
    <m/>
    <m/>
    <m/>
    <m/>
  </r>
  <r>
    <n v="2038"/>
    <s v="2038 | Capacity Building"/>
    <x v="9"/>
    <s v="Capacity Building - Junior"/>
    <s v="Training Associate"/>
    <s v="Capacity Building-Training Associate"/>
    <s v="Junior"/>
    <d v="2022-03-26T20:40:01"/>
    <d v="2022-03-27T20:40:01"/>
    <s v="Yes"/>
    <d v="2022-04-19T20:40:01"/>
    <s v="Accepted"/>
    <m/>
    <d v="2022-04-24T20:40:01"/>
    <s v="Accepted"/>
    <d v="2022-04-20T20:40:01"/>
    <d v="2022-04-22T20:40:01"/>
    <d v="2022-04-21T20:40:01"/>
    <d v="2022-04-30T20:40:01"/>
    <n v="1"/>
    <d v="2022-05-01T20:40:01"/>
    <d v="2022-05-03T20:40:01"/>
    <d v="2022-05-05T20:40:01"/>
    <m/>
    <m/>
    <d v="2022-05-22T20:40:01"/>
    <m/>
    <m/>
    <n v="1"/>
    <n v="24"/>
    <n v="23"/>
    <x v="25"/>
    <n v="2"/>
    <d v="2022-07-20T20:40:01"/>
    <n v="1"/>
    <n v="31"/>
    <n v="14"/>
    <m/>
    <m/>
    <m/>
    <m/>
    <m/>
    <m/>
    <m/>
    <m/>
    <m/>
    <m/>
  </r>
  <r>
    <n v="1871"/>
    <s v="1871 | Capacity Building"/>
    <x v="9"/>
    <s v="Capacity Building - Junior"/>
    <s v="Training Associate"/>
    <s v="Capacity Building-Training Associate"/>
    <s v="Junior"/>
    <d v="2022-01-17T17:35:29"/>
    <d v="2022-01-19T17:35:29"/>
    <s v="Yes"/>
    <d v="2022-02-04T17:35:29"/>
    <s v="Accepted"/>
    <m/>
    <d v="2022-02-06T17:35:29"/>
    <s v="Accepted"/>
    <d v="2022-02-06T17:35:29"/>
    <d v="2022-02-07T17:35:29"/>
    <d v="2022-02-05T17:35:29"/>
    <d v="2022-02-07T17:35:29"/>
    <n v="1"/>
    <d v="2022-02-10T17:35:29"/>
    <d v="2022-02-12T17:35:29"/>
    <d v="2022-02-13T17:35:29"/>
    <m/>
    <m/>
    <d v="2022-03-04T17:35:29"/>
    <m/>
    <m/>
    <n v="2"/>
    <n v="18"/>
    <n v="16"/>
    <x v="13"/>
    <n v="1"/>
    <d v="2022-05-06T17:35:29"/>
    <n v="3"/>
    <n v="27"/>
    <n v="8"/>
    <m/>
    <m/>
    <m/>
    <m/>
    <m/>
    <m/>
    <m/>
    <m/>
    <m/>
    <m/>
  </r>
  <r>
    <n v="1487"/>
    <s v="1487 | Capacity Building"/>
    <x v="9"/>
    <s v="Capacity Building - Junior"/>
    <s v="Training Associate"/>
    <s v="Capacity Building-Training Associate"/>
    <s v="Junior"/>
    <d v="2023-07-08T13:00:43"/>
    <d v="2023-07-10T13:00:4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247"/>
    <s v="1247 | Capacity Building"/>
    <x v="9"/>
    <s v="Capacity Building - Junior"/>
    <s v="Training Associate"/>
    <s v="Capacity Building-Training Associate"/>
    <s v="Junior"/>
    <d v="2022-06-23T20:09:31"/>
    <d v="2022-06-27T20:09:31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244"/>
    <s v="1244 | Capacity Building"/>
    <x v="9"/>
    <s v="Capacity Building - Junior"/>
    <s v="Training Associate"/>
    <s v="Capacity Building-Training Associate"/>
    <s v="Junior"/>
    <d v="2022-06-25T20:09:31"/>
    <d v="2022-06-28T20:09:3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238"/>
    <s v="1238 | Capacity Building"/>
    <x v="9"/>
    <s v="Capacity Building - Junior"/>
    <s v="Training Associate"/>
    <s v="Capacity Building-Training Associate"/>
    <s v="Junior"/>
    <d v="2023-02-26T17:29:35"/>
    <d v="2023-02-27T17:29:35"/>
    <s v="Yes"/>
    <d v="2023-03-13T17:29:35"/>
    <s v="Accepted"/>
    <m/>
    <d v="2023-03-17T17:29:35"/>
    <s v="Accepted"/>
    <d v="2023-03-15T17:29:35"/>
    <d v="2023-03-16T17:29:35"/>
    <d v="2023-03-14T17:29:35"/>
    <d v="2023-03-17T17:29:35"/>
    <n v="1"/>
    <d v="2023-03-21T17:29:35"/>
    <d v="2023-03-24T17:29:35"/>
    <d v="2023-03-27T17:29:35"/>
    <m/>
    <m/>
    <d v="2023-04-09T17:29:35"/>
    <m/>
    <m/>
    <n v="1"/>
    <n v="15"/>
    <n v="14"/>
    <x v="20"/>
    <n v="1"/>
    <d v="2023-06-12T17:29:35"/>
    <n v="4"/>
    <n v="26"/>
    <n v="13"/>
    <m/>
    <m/>
    <m/>
    <m/>
    <m/>
    <m/>
    <m/>
    <m/>
    <m/>
    <m/>
  </r>
  <r>
    <n v="1226"/>
    <s v="1226 | Capacity Building"/>
    <x v="9"/>
    <s v="Capacity Building - Junior"/>
    <s v="Training Associate"/>
    <s v="Capacity Building-Training Associate"/>
    <s v="Junior"/>
    <d v="2022-06-25T03:24:32"/>
    <d v="2022-06-27T03:24:32"/>
    <s v="Yes"/>
    <d v="2022-07-11T03:24:32"/>
    <s v="Accepted"/>
    <m/>
    <d v="2022-07-16T03:24:32"/>
    <s v="Accepted"/>
    <d v="2022-07-12T03:24:32"/>
    <d v="2022-07-16T03:24:32"/>
    <d v="2022-07-13T03:24:32"/>
    <d v="2022-07-23T03:24:32"/>
    <n v="1"/>
    <d v="2022-07-26T03:24:32"/>
    <d v="2022-07-27T03:24:32"/>
    <d v="2022-07-30T03:24:32"/>
    <m/>
    <m/>
    <d v="2022-08-19T03:24:32"/>
    <m/>
    <m/>
    <n v="2"/>
    <n v="16"/>
    <n v="14"/>
    <x v="12"/>
    <n v="2"/>
    <d v="2022-10-11T03:24:32"/>
    <n v="3"/>
    <n v="37"/>
    <n v="17"/>
    <m/>
    <m/>
    <m/>
    <m/>
    <m/>
    <m/>
    <m/>
    <m/>
    <m/>
    <m/>
  </r>
  <r>
    <n v="1174"/>
    <s v="1174 | Capacity Building"/>
    <x v="9"/>
    <s v="Capacity Building - Junior"/>
    <s v="Training Associate"/>
    <s v="Capacity Building-Training Associate"/>
    <s v="Junior"/>
    <d v="2023-05-12T01:00:09"/>
    <d v="2023-05-15T01:00:09"/>
    <s v="Yes"/>
    <d v="2023-06-06T01:00:09"/>
    <s v="Accepted"/>
    <m/>
    <d v="2023-06-11T01:00:09"/>
    <s v="Accepted"/>
    <d v="2023-06-08T01:00:09"/>
    <d v="2023-06-12T01:00:09"/>
    <d v="2023-06-08T01:00:09"/>
    <d v="2023-06-13T01:00:09"/>
    <n v="1"/>
    <d v="2023-06-15T01:00:09"/>
    <d v="2023-06-17T01:00:09"/>
    <d v="2023-06-19T01:00:09"/>
    <m/>
    <m/>
    <d v="2023-07-10T01:00:09"/>
    <m/>
    <m/>
    <n v="3"/>
    <n v="25"/>
    <n v="22"/>
    <x v="18"/>
    <n v="2"/>
    <d v="2023-09-06T01:00:09"/>
    <n v="2"/>
    <n v="32"/>
    <n v="11"/>
    <m/>
    <m/>
    <m/>
    <m/>
    <m/>
    <m/>
    <m/>
    <m/>
    <m/>
    <m/>
  </r>
  <r>
    <n v="1107"/>
    <s v="1107 | Capacity Building"/>
    <x v="9"/>
    <s v="Capacity Building - Junior"/>
    <s v="Training Associate"/>
    <s v="Capacity Building-Training Associate"/>
    <s v="Junior"/>
    <d v="2022-04-25T22:53:34"/>
    <d v="2022-04-26T22:53:34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072"/>
    <s v="1072 | Capacity Building"/>
    <x v="9"/>
    <s v="Capacity Building - Junior"/>
    <s v="Training Associate"/>
    <s v="Capacity Building-Training Associate"/>
    <s v="Junior"/>
    <d v="2022-02-11T23:46:40"/>
    <d v="2022-02-12T23:46:4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810"/>
    <s v="810 | Capacity Building"/>
    <x v="9"/>
    <s v="Capacity Building - Junior"/>
    <s v="Training Associate"/>
    <s v="Capacity Building-Training Associate"/>
    <s v="Junior"/>
    <d v="2023-01-14T21:41:28"/>
    <d v="2023-01-15T21:41:28"/>
    <s v="Yes"/>
    <d v="2023-01-26T21:41:28"/>
    <s v="Failed"/>
    <s v="Didn't pass technical test"/>
    <m/>
    <m/>
    <m/>
    <m/>
    <m/>
    <m/>
    <n v="0"/>
    <m/>
    <m/>
    <m/>
    <m/>
    <s v="Company"/>
    <m/>
    <m/>
    <m/>
    <n v="1"/>
    <n v="12"/>
    <n v="11"/>
    <x v="0"/>
    <s v=""/>
    <s v=""/>
    <s v=""/>
    <s v=""/>
    <s v=""/>
    <m/>
    <m/>
    <m/>
    <m/>
    <m/>
    <m/>
    <m/>
    <m/>
    <m/>
    <m/>
  </r>
  <r>
    <n v="779"/>
    <s v="779 | Capacity Building"/>
    <x v="9"/>
    <s v="Capacity Building - Junior"/>
    <s v="Training Associate"/>
    <s v="Capacity Building-Training Associate"/>
    <s v="Junior"/>
    <d v="2023-03-19T09:31:46"/>
    <d v="2023-03-23T09:31:46"/>
    <s v="Yes"/>
    <d v="2023-04-13T09:31:46"/>
    <s v="Pending"/>
    <m/>
    <d v="2023-04-18T09:31:46"/>
    <s v="Pending"/>
    <m/>
    <m/>
    <d v="2023-04-15T09:31:46"/>
    <m/>
    <n v="0"/>
    <m/>
    <m/>
    <m/>
    <m/>
    <m/>
    <m/>
    <m/>
    <m/>
    <n v="4"/>
    <n v="25"/>
    <n v="21"/>
    <x v="18"/>
    <n v="2"/>
    <d v="2023-07-14T09:31:46"/>
    <s v=""/>
    <s v=""/>
    <s v=""/>
    <m/>
    <m/>
    <m/>
    <m/>
    <m/>
    <m/>
    <m/>
    <m/>
    <m/>
    <m/>
  </r>
  <r>
    <n v="773"/>
    <s v="773 | Capacity Building"/>
    <x v="9"/>
    <s v="Capacity Building - Junior"/>
    <s v="Training Associate"/>
    <s v="Capacity Building-Training Associate"/>
    <s v="Junior"/>
    <d v="2023-03-25T09:31:46"/>
    <d v="2023-03-26T09:31:46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664"/>
    <s v="664 | Capacity Building"/>
    <x v="9"/>
    <s v="Capacity Building - Junior"/>
    <s v="Training Associate"/>
    <s v="Capacity Building-Training Associate"/>
    <s v="Junior"/>
    <d v="2022-01-12T04:53:52"/>
    <d v="2022-01-14T04:53:52"/>
    <s v="Yes"/>
    <d v="2022-01-29T04:53:52"/>
    <s v="Failed"/>
    <s v="Position filled by another"/>
    <m/>
    <m/>
    <m/>
    <m/>
    <d v="2022-02-02T04:53:52"/>
    <m/>
    <n v="0"/>
    <m/>
    <m/>
    <m/>
    <m/>
    <s v="Candidate"/>
    <m/>
    <m/>
    <m/>
    <n v="2"/>
    <n v="17"/>
    <n v="15"/>
    <x v="19"/>
    <n v="4"/>
    <d v="2022-05-03T04:53:52"/>
    <s v=""/>
    <s v=""/>
    <s v=""/>
    <m/>
    <m/>
    <m/>
    <m/>
    <m/>
    <m/>
    <m/>
    <m/>
    <m/>
    <m/>
  </r>
  <r>
    <n v="661"/>
    <s v="661 | Capacity Building"/>
    <x v="9"/>
    <s v="Capacity Building - Junior"/>
    <s v="Training Associate"/>
    <s v="Capacity Building-Training Associate"/>
    <s v="Junior"/>
    <d v="2022-01-09T04:53:52"/>
    <d v="2022-01-11T04:53:52"/>
    <s v="Yes"/>
    <d v="2022-01-19T04:53:52"/>
    <s v="Failed"/>
    <s v="Didn't pass technical test"/>
    <m/>
    <m/>
    <m/>
    <m/>
    <d v="2022-01-23T04:53:52"/>
    <m/>
    <n v="0"/>
    <m/>
    <m/>
    <m/>
    <m/>
    <s v="Company"/>
    <m/>
    <m/>
    <m/>
    <n v="2"/>
    <n v="10"/>
    <n v="8"/>
    <x v="1"/>
    <n v="4"/>
    <d v="2022-04-23T04:53:52"/>
    <s v=""/>
    <s v=""/>
    <s v=""/>
    <m/>
    <m/>
    <m/>
    <m/>
    <m/>
    <m/>
    <m/>
    <m/>
    <m/>
    <m/>
  </r>
  <r>
    <n v="626"/>
    <s v="626 | Capacity Building"/>
    <x v="9"/>
    <s v="Capacity Building - Junior"/>
    <s v="Training Associate"/>
    <s v="Capacity Building-Training Associate"/>
    <s v="Junior"/>
    <d v="2023-03-10T19:53:06"/>
    <d v="2023-03-11T19:53:06"/>
    <s v="Yes"/>
    <d v="2023-03-30T19:53:06"/>
    <s v="Failed"/>
    <s v="Didn't pass technical test"/>
    <m/>
    <m/>
    <m/>
    <m/>
    <m/>
    <m/>
    <n v="0"/>
    <m/>
    <m/>
    <m/>
    <m/>
    <s v="Company"/>
    <m/>
    <m/>
    <m/>
    <n v="1"/>
    <n v="20"/>
    <n v="19"/>
    <x v="0"/>
    <s v=""/>
    <s v=""/>
    <s v=""/>
    <s v=""/>
    <s v=""/>
    <m/>
    <m/>
    <m/>
    <m/>
    <m/>
    <m/>
    <m/>
    <m/>
    <m/>
    <m/>
  </r>
  <r>
    <n v="539"/>
    <s v="539 | Capacity Building"/>
    <x v="9"/>
    <s v="Capacity Building - Junior"/>
    <s v="Training Associate"/>
    <s v="Capacity Building-Training Associate"/>
    <s v="Junior"/>
    <d v="2022-01-09T06:30:30"/>
    <d v="2022-01-13T06:30:3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532"/>
    <s v="532 | Capacity Building"/>
    <x v="9"/>
    <s v="Capacity Building - Junior"/>
    <s v="Training Associate"/>
    <s v="Capacity Building-Training Associate"/>
    <s v="Junior"/>
    <d v="2022-01-11T06:30:30"/>
    <d v="2022-01-13T06:30:30"/>
    <s v="Yes"/>
    <d v="2022-01-30T06:30:30"/>
    <s v="Failed"/>
    <s v="Position filled by another"/>
    <m/>
    <m/>
    <m/>
    <m/>
    <m/>
    <m/>
    <n v="0"/>
    <m/>
    <m/>
    <m/>
    <m/>
    <s v="Company"/>
    <m/>
    <m/>
    <m/>
    <n v="2"/>
    <n v="19"/>
    <n v="17"/>
    <x v="0"/>
    <s v=""/>
    <s v=""/>
    <s v=""/>
    <s v=""/>
    <s v=""/>
    <m/>
    <m/>
    <m/>
    <m/>
    <m/>
    <m/>
    <m/>
    <m/>
    <m/>
    <m/>
  </r>
  <r>
    <n v="509"/>
    <s v="509 | Capacity Building"/>
    <x v="9"/>
    <s v="Capacity Building - Junior"/>
    <s v="Training Associate"/>
    <s v="Capacity Building-Training Associate"/>
    <s v="Junior"/>
    <d v="2022-07-02T02:29:24"/>
    <d v="2022-07-05T02:29:24"/>
    <s v="Yes"/>
    <d v="2022-07-13T02:29:24"/>
    <s v="Accepted"/>
    <m/>
    <d v="2022-07-17T02:29:24"/>
    <s v="Accepted"/>
    <d v="2022-07-15T02:29:24"/>
    <d v="2022-07-16T02:29:24"/>
    <d v="2022-07-15T02:29:24"/>
    <d v="2022-07-22T02:29:24"/>
    <n v="1"/>
    <d v="2022-07-25T02:29:24"/>
    <d v="2022-07-26T02:29:24"/>
    <d v="2022-07-27T02:29:24"/>
    <m/>
    <m/>
    <d v="2022-08-10T02:29:24"/>
    <m/>
    <m/>
    <n v="3"/>
    <n v="11"/>
    <n v="8"/>
    <x v="8"/>
    <n v="2"/>
    <d v="2022-10-13T02:29:24"/>
    <n v="3"/>
    <n v="26"/>
    <n v="12"/>
    <m/>
    <m/>
    <m/>
    <m/>
    <m/>
    <m/>
    <m/>
    <m/>
    <m/>
    <m/>
  </r>
  <r>
    <n v="507"/>
    <s v="507 | Capacity Building"/>
    <x v="9"/>
    <s v="Capacity Building - Junior"/>
    <s v="Training Associate"/>
    <s v="Capacity Building-Training Associate"/>
    <s v="Junior"/>
    <d v="2022-06-29T02:29:24"/>
    <d v="2022-07-02T02:29:2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505"/>
    <s v="505 | Capacity Building"/>
    <x v="9"/>
    <s v="Capacity Building - Junior"/>
    <s v="Training Associate"/>
    <s v="Capacity Building-Training Associate"/>
    <s v="Junior"/>
    <d v="2022-07-03T02:29:24"/>
    <d v="2022-07-05T02:29:24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504"/>
    <s v="504 | Capacity Building"/>
    <x v="9"/>
    <s v="Capacity Building - Junior"/>
    <s v="Training Associate"/>
    <s v="Capacity Building-Training Associate"/>
    <s v="Junior"/>
    <d v="2022-07-01T02:29:24"/>
    <d v="2022-07-05T02:29:24"/>
    <s v="Yes"/>
    <d v="2022-07-14T02:29:24"/>
    <s v="Failed"/>
    <s v="Didn't pass technical test"/>
    <m/>
    <m/>
    <m/>
    <m/>
    <d v="2022-07-17T02:29:24"/>
    <m/>
    <n v="0"/>
    <m/>
    <m/>
    <m/>
    <m/>
    <s v="Company"/>
    <m/>
    <m/>
    <m/>
    <n v="4"/>
    <n v="13"/>
    <n v="9"/>
    <x v="20"/>
    <n v="3"/>
    <d v="2022-10-15T02:29:24"/>
    <s v=""/>
    <s v=""/>
    <s v=""/>
    <m/>
    <m/>
    <m/>
    <m/>
    <m/>
    <m/>
    <m/>
    <m/>
    <m/>
    <m/>
  </r>
  <r>
    <n v="427"/>
    <s v="427 | Capacity Building"/>
    <x v="9"/>
    <s v="Capacity Building - Junior"/>
    <s v="Training Associate"/>
    <s v="Capacity Building-Training Associate"/>
    <s v="Junior"/>
    <d v="2023-02-26T13:03:58"/>
    <d v="2023-02-28T13:03:58"/>
    <s v="Yes"/>
    <d v="2023-03-14T13:03:58"/>
    <s v="Failed"/>
    <s v="Position filled by another"/>
    <m/>
    <m/>
    <m/>
    <m/>
    <d v="2023-03-18T13:03:58"/>
    <m/>
    <n v="0"/>
    <m/>
    <m/>
    <m/>
    <m/>
    <s v="Candidate"/>
    <m/>
    <m/>
    <m/>
    <n v="2"/>
    <n v="16"/>
    <n v="14"/>
    <x v="15"/>
    <n v="4"/>
    <d v="2023-06-16T13:03:58"/>
    <s v=""/>
    <s v=""/>
    <s v=""/>
    <m/>
    <m/>
    <m/>
    <m/>
    <m/>
    <m/>
    <m/>
    <m/>
    <m/>
    <m/>
  </r>
  <r>
    <n v="415"/>
    <s v="415 | Capacity Building"/>
    <x v="9"/>
    <s v="Capacity Building - Junior"/>
    <s v="Training Associate"/>
    <s v="Capacity Building-Training Associate"/>
    <s v="Junior"/>
    <d v="2023-06-16T15:18:23"/>
    <d v="2023-06-19T15:18:23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55"/>
    <s v="255 | Capacity Building"/>
    <x v="9"/>
    <s v="Capacity Building - Junior"/>
    <s v="Training Associate"/>
    <s v="Capacity Building-Training Associate"/>
    <s v="Junior"/>
    <d v="2022-05-29T15:11:28"/>
    <d v="2022-05-30T15:11:2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52"/>
    <s v="252 | Capacity Building"/>
    <x v="9"/>
    <s v="Capacity Building - Junior"/>
    <s v="Training Associate"/>
    <s v="Capacity Building-Training Associate"/>
    <s v="Junior"/>
    <d v="2022-05-22T15:11:28"/>
    <d v="2022-05-26T15:11:28"/>
    <s v="Yes"/>
    <d v="2022-06-14T15:11:28"/>
    <s v="Failed"/>
    <s v="Not a culture fit"/>
    <m/>
    <m/>
    <m/>
    <m/>
    <d v="2022-06-16T15:11:28"/>
    <m/>
    <n v="0"/>
    <m/>
    <m/>
    <m/>
    <m/>
    <s v="Company"/>
    <m/>
    <m/>
    <m/>
    <n v="4"/>
    <n v="23"/>
    <n v="19"/>
    <x v="11"/>
    <n v="2"/>
    <d v="2022-09-14T15:11:28"/>
    <s v=""/>
    <s v=""/>
    <s v=""/>
    <m/>
    <m/>
    <m/>
    <m/>
    <m/>
    <m/>
    <m/>
    <m/>
    <m/>
    <m/>
  </r>
  <r>
    <n v="230"/>
    <s v="230 | Capacity Building"/>
    <x v="9"/>
    <s v="Capacity Building - Junior"/>
    <s v="Training Associate"/>
    <s v="Capacity Building-Training Associate"/>
    <s v="Junior"/>
    <d v="2022-06-27T10:44:44"/>
    <d v="2022-07-01T10:44:44"/>
    <s v="Yes"/>
    <d v="2022-07-17T10:44:44"/>
    <s v="Declined"/>
    <m/>
    <d v="2022-07-23T10:44:44"/>
    <s v="Declined"/>
    <m/>
    <m/>
    <d v="2022-07-19T10:44:44"/>
    <m/>
    <n v="0"/>
    <m/>
    <m/>
    <m/>
    <m/>
    <m/>
    <m/>
    <m/>
    <m/>
    <n v="4"/>
    <n v="20"/>
    <n v="16"/>
    <x v="7"/>
    <n v="2"/>
    <d v="2022-10-17T10:44:44"/>
    <s v=""/>
    <s v=""/>
    <s v=""/>
    <m/>
    <m/>
    <m/>
    <m/>
    <m/>
    <m/>
    <m/>
    <m/>
    <m/>
    <m/>
  </r>
  <r>
    <n v="228"/>
    <s v="228 | Capacity Building"/>
    <x v="9"/>
    <s v="Capacity Building - Junior"/>
    <s v="Training Associate"/>
    <s v="Capacity Building-Training Associate"/>
    <s v="Junior"/>
    <d v="2022-06-27T10:44:44"/>
    <d v="2022-06-30T10:44:44"/>
    <s v="Yes"/>
    <d v="2022-07-17T10:44:44"/>
    <s v="Failed"/>
    <s v="Didn't pass technical test"/>
    <m/>
    <m/>
    <m/>
    <m/>
    <m/>
    <m/>
    <n v="0"/>
    <m/>
    <m/>
    <m/>
    <m/>
    <s v="Candidate"/>
    <m/>
    <m/>
    <m/>
    <n v="3"/>
    <n v="20"/>
    <n v="17"/>
    <x v="0"/>
    <s v=""/>
    <s v=""/>
    <s v=""/>
    <s v=""/>
    <s v=""/>
    <m/>
    <m/>
    <m/>
    <m/>
    <m/>
    <m/>
    <m/>
    <m/>
    <m/>
    <m/>
  </r>
  <r>
    <n v="226"/>
    <s v="226 | Capacity Building"/>
    <x v="9"/>
    <s v="Capacity Building - Junior"/>
    <s v="Analyst"/>
    <s v="Capacity Building-Analyst"/>
    <s v="Junior"/>
    <d v="2022-06-25T10:44:44"/>
    <d v="2022-06-27T10:44:44"/>
    <s v="Yes"/>
    <d v="2022-07-11T10:44:44"/>
    <s v="Failed"/>
    <s v="Salary expectation too high"/>
    <m/>
    <m/>
    <m/>
    <m/>
    <d v="2022-07-14T10:44:44"/>
    <m/>
    <n v="0"/>
    <m/>
    <m/>
    <m/>
    <m/>
    <s v="Candidate"/>
    <m/>
    <m/>
    <m/>
    <n v="2"/>
    <n v="16"/>
    <n v="14"/>
    <x v="13"/>
    <n v="3"/>
    <d v="2022-10-12T10:44:44"/>
    <s v=""/>
    <s v=""/>
    <s v=""/>
    <m/>
    <m/>
    <m/>
    <m/>
    <m/>
    <m/>
    <m/>
    <m/>
    <m/>
    <m/>
  </r>
  <r>
    <n v="154"/>
    <s v="154 | Capacity Building"/>
    <x v="9"/>
    <s v="Capacity Building - Junior"/>
    <s v="Analyst"/>
    <s v="Capacity Building-Analyst"/>
    <s v="Junior"/>
    <d v="2023-01-08T15:27:51"/>
    <d v="2023-01-11T15:27:51"/>
    <s v="Yes"/>
    <d v="2023-01-28T15:27:51"/>
    <s v="Pending"/>
    <m/>
    <d v="2023-01-31T15:27:51"/>
    <s v="Pending"/>
    <m/>
    <m/>
    <d v="2023-01-30T15:27:51"/>
    <m/>
    <n v="0"/>
    <m/>
    <m/>
    <m/>
    <m/>
    <m/>
    <m/>
    <m/>
    <m/>
    <n v="3"/>
    <n v="20"/>
    <n v="17"/>
    <x v="7"/>
    <n v="2"/>
    <d v="2023-04-30T15:27:51"/>
    <s v=""/>
    <s v=""/>
    <s v=""/>
    <m/>
    <m/>
    <m/>
    <m/>
    <m/>
    <m/>
    <m/>
    <m/>
    <m/>
    <m/>
  </r>
  <r>
    <n v="151"/>
    <s v="151 | Capacity Building"/>
    <x v="9"/>
    <s v="Capacity Building - Junior"/>
    <s v="Analyst"/>
    <s v="Capacity Building-Analyst"/>
    <s v="Junior"/>
    <d v="2023-01-04T15:27:51"/>
    <d v="2023-01-08T15:27:51"/>
    <s v="Yes"/>
    <d v="2023-01-27T15:27:51"/>
    <s v="Accepted"/>
    <m/>
    <d v="2023-02-01T15:27:51"/>
    <s v="Accepted"/>
    <d v="2023-01-28T15:27:51"/>
    <d v="2023-01-31T15:27:51"/>
    <d v="2023-01-30T15:27:51"/>
    <d v="2023-02-06T15:27:51"/>
    <n v="1"/>
    <d v="2023-02-10T15:27:51"/>
    <d v="2023-02-13T15:27:51"/>
    <d v="2023-02-15T15:27:51"/>
    <m/>
    <m/>
    <d v="2023-02-26T15:27:51"/>
    <m/>
    <m/>
    <n v="4"/>
    <n v="23"/>
    <n v="19"/>
    <x v="25"/>
    <n v="3"/>
    <d v="2023-04-30T15:27:51"/>
    <n v="4"/>
    <n v="27"/>
    <n v="16"/>
    <m/>
    <m/>
    <m/>
    <m/>
    <m/>
    <m/>
    <m/>
    <m/>
    <m/>
    <m/>
  </r>
  <r>
    <n v="150"/>
    <s v="150 | Capacity Building"/>
    <x v="9"/>
    <s v="Capacity Building - Junior"/>
    <s v="Analyst"/>
    <s v="Capacity Building-Analyst"/>
    <s v="Junior"/>
    <d v="2022-03-07T23:34:26"/>
    <d v="2022-03-10T23:34:26"/>
    <s v="Yes"/>
    <d v="2022-03-31T23:34:26"/>
    <s v="Declined"/>
    <m/>
    <d v="2022-04-04T23:34:26"/>
    <s v="Declined"/>
    <m/>
    <m/>
    <d v="2022-04-01T23:34:26"/>
    <m/>
    <n v="0"/>
    <m/>
    <m/>
    <m/>
    <m/>
    <m/>
    <m/>
    <m/>
    <m/>
    <n v="3"/>
    <n v="24"/>
    <n v="21"/>
    <x v="11"/>
    <n v="1"/>
    <d v="2022-06-30T23:34:26"/>
    <s v=""/>
    <s v=""/>
    <s v=""/>
    <m/>
    <m/>
    <m/>
    <m/>
    <m/>
    <m/>
    <m/>
    <m/>
    <m/>
    <m/>
  </r>
  <r>
    <n v="145"/>
    <s v="145 | Capacity Building"/>
    <x v="9"/>
    <s v="Capacity Building - Junior"/>
    <s v="Analyst"/>
    <s v="Capacity Building-Analyst"/>
    <s v="Junior"/>
    <d v="2022-03-11T23:34:26"/>
    <d v="2022-03-13T23:34:26"/>
    <s v="Yes"/>
    <d v="2022-04-01T23:34:26"/>
    <s v="Accepted"/>
    <m/>
    <d v="2022-04-06T23:34:26"/>
    <s v="Accepted"/>
    <d v="2022-04-03T23:34:26"/>
    <d v="2022-04-05T23:34:26"/>
    <d v="2022-04-02T23:34:26"/>
    <d v="2022-04-06T23:34:26"/>
    <n v="1"/>
    <d v="2022-04-07T23:34:26"/>
    <d v="2022-04-08T23:34:26"/>
    <d v="2022-04-10T23:34:26"/>
    <m/>
    <m/>
    <d v="2022-04-22T23:34:26"/>
    <m/>
    <m/>
    <n v="2"/>
    <n v="21"/>
    <n v="19"/>
    <x v="7"/>
    <n v="1"/>
    <d v="2022-07-01T23:34:26"/>
    <n v="1"/>
    <n v="20"/>
    <n v="8"/>
    <m/>
    <m/>
    <m/>
    <m/>
    <m/>
    <m/>
    <m/>
    <m/>
    <m/>
    <m/>
  </r>
  <r>
    <n v="141"/>
    <s v="141 | Capacity Building"/>
    <x v="9"/>
    <s v="Capacity Building - Junior"/>
    <s v="Analyst"/>
    <s v="Capacity Building-Analyst"/>
    <s v="Junior"/>
    <d v="2022-03-09T23:34:26"/>
    <d v="2022-03-10T23:34:26"/>
    <s v="Yes"/>
    <d v="2022-03-30T23:34:26"/>
    <s v="Accepted"/>
    <m/>
    <d v="2022-04-07T23:34:26"/>
    <s v="Accepted"/>
    <d v="2022-03-31T23:34:26"/>
    <d v="2022-04-04T23:34:26"/>
    <d v="2022-04-03T23:34:26"/>
    <d v="2022-04-09T23:34:26"/>
    <n v="1"/>
    <d v="2022-04-10T23:34:26"/>
    <d v="2022-04-11T23:34:26"/>
    <d v="2022-04-12T23:34:26"/>
    <m/>
    <m/>
    <d v="2022-05-04T23:34:26"/>
    <m/>
    <m/>
    <n v="1"/>
    <n v="21"/>
    <n v="20"/>
    <x v="11"/>
    <n v="4"/>
    <d v="2022-07-02T23:34:26"/>
    <n v="1"/>
    <n v="31"/>
    <n v="9"/>
    <m/>
    <m/>
    <m/>
    <m/>
    <m/>
    <m/>
    <m/>
    <m/>
    <m/>
    <m/>
  </r>
  <r>
    <n v="114"/>
    <s v="114 | Capacity Building"/>
    <x v="9"/>
    <s v="Capacity Building - Junior"/>
    <s v="Analyst"/>
    <s v="Capacity Building-Analyst"/>
    <s v="Junior"/>
    <d v="2022-06-26T04:45:15"/>
    <d v="2022-06-28T04:45:15"/>
    <s v="Yes"/>
    <d v="2022-07-07T04:45:15"/>
    <s v="Accepted"/>
    <m/>
    <d v="2022-07-10T04:45:15"/>
    <s v="Accepted"/>
    <d v="2022-07-08T04:45:15"/>
    <d v="2022-07-12T04:45:15"/>
    <d v="2022-07-08T04:45:15"/>
    <d v="2022-07-11T04:45:15"/>
    <n v="1"/>
    <d v="2022-07-12T04:45:15"/>
    <d v="2022-07-13T04:45:15"/>
    <d v="2022-07-15T04:45:15"/>
    <m/>
    <m/>
    <d v="2022-08-04T04:45:15"/>
    <m/>
    <m/>
    <n v="2"/>
    <n v="11"/>
    <n v="9"/>
    <x v="24"/>
    <n v="1"/>
    <d v="2022-10-06T04:45:15"/>
    <n v="1"/>
    <n v="27"/>
    <n v="7"/>
    <m/>
    <m/>
    <m/>
    <m/>
    <m/>
    <m/>
    <m/>
    <m/>
    <m/>
    <m/>
  </r>
  <r>
    <n v="58"/>
    <s v="58 | Capacity Building"/>
    <x v="9"/>
    <s v="Capacity Building - Junior"/>
    <s v="Analyst"/>
    <s v="Capacity Building-Analyst"/>
    <s v="Junior"/>
    <d v="2022-07-31T00:18:39"/>
    <d v="2022-08-01T00:18:39"/>
    <s v="Yes"/>
    <d v="2022-08-22T00:18:39"/>
    <s v="Failed"/>
    <s v="Not a culture fit"/>
    <m/>
    <m/>
    <m/>
    <m/>
    <m/>
    <m/>
    <n v="0"/>
    <m/>
    <m/>
    <m/>
    <m/>
    <s v="Company"/>
    <m/>
    <m/>
    <m/>
    <n v="1"/>
    <n v="22"/>
    <n v="21"/>
    <x v="0"/>
    <s v=""/>
    <s v=""/>
    <s v=""/>
    <s v=""/>
    <s v=""/>
    <m/>
    <m/>
    <m/>
    <m/>
    <m/>
    <m/>
    <m/>
    <m/>
    <m/>
    <m/>
  </r>
  <r>
    <n v="55"/>
    <s v="55 | Capacity Building"/>
    <x v="9"/>
    <s v="Capacity Building - Junior"/>
    <s v="Analyst"/>
    <s v="Capacity Building-Analyst"/>
    <s v="Junior"/>
    <d v="2022-07-27T00:18:39"/>
    <d v="2022-07-29T00:18:39"/>
    <s v="Yes"/>
    <d v="2022-08-11T00:18:39"/>
    <s v="Accepted"/>
    <m/>
    <d v="2022-08-15T00:18:39"/>
    <s v="Accepted"/>
    <d v="2022-08-13T00:18:39"/>
    <d v="2022-08-16T00:18:39"/>
    <d v="2022-08-13T00:18:39"/>
    <d v="2022-08-14T00:18:39"/>
    <n v="1"/>
    <d v="2022-08-17T00:18:39"/>
    <d v="2022-08-19T00:18:39"/>
    <d v="2022-08-20T00:18:39"/>
    <m/>
    <m/>
    <d v="2022-09-12T00:18:39"/>
    <m/>
    <m/>
    <n v="2"/>
    <n v="15"/>
    <n v="13"/>
    <x v="14"/>
    <n v="2"/>
    <d v="2022-11-11T00:18:39"/>
    <n v="3"/>
    <n v="30"/>
    <n v="7"/>
    <m/>
    <m/>
    <m/>
    <m/>
    <m/>
    <m/>
    <m/>
    <m/>
    <m/>
    <m/>
  </r>
  <r>
    <n v="2992"/>
    <s v="2992 | Capacity Building"/>
    <x v="9"/>
    <s v="Capacity Building - Executive"/>
    <s v="Associate Director"/>
    <s v="Capacity Building-Associate Director"/>
    <s v="Executive"/>
    <d v="2023-03-02T00:56:51"/>
    <d v="2023-03-05T00:56:51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768"/>
    <s v="2768 | Capacity Building"/>
    <x v="9"/>
    <s v="Capacity Building - Executive"/>
    <s v="Associate Director"/>
    <s v="Capacity Building-Associate Director"/>
    <s v="Executive"/>
    <d v="2022-09-01T07:14:27"/>
    <d v="2022-09-05T07:14:2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633"/>
    <s v="2633 | Capacity Building"/>
    <x v="9"/>
    <s v="Capacity Building - Executive"/>
    <s v="Associate Director"/>
    <s v="Capacity Building-Associate Director"/>
    <s v="Executive"/>
    <d v="2022-01-20T04:43:28"/>
    <d v="2022-01-23T04:43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576"/>
    <s v="2576 | Capacity Building"/>
    <x v="9"/>
    <s v="Capacity Building - Executive"/>
    <s v="Associate Director"/>
    <s v="Capacity Building-Associate Director"/>
    <s v="Executive"/>
    <d v="2022-03-17T17:14:32"/>
    <d v="2022-03-21T17:14:32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29"/>
    <s v="2529 | Capacity Building"/>
    <x v="9"/>
    <s v="Capacity Building - Executive"/>
    <s v="Associate Director"/>
    <s v="Capacity Building-Associate Director"/>
    <s v="Executive"/>
    <d v="2023-04-11T18:41:30"/>
    <d v="2023-04-12T18:41:3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092"/>
    <s v="2092 | Capacity Building"/>
    <x v="9"/>
    <s v="Capacity Building - Executive"/>
    <s v="Associate Director"/>
    <s v="Capacity Building-Associate Director"/>
    <s v="Executive"/>
    <d v="2022-10-23T23:41:59"/>
    <d v="2022-10-24T23:41:59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939"/>
    <s v="1939 | Capacity Building"/>
    <x v="9"/>
    <s v="Capacity Building - Executive"/>
    <s v="Associate Director"/>
    <s v="Capacity Building-Associate Director"/>
    <s v="Executive"/>
    <d v="2023-09-10T07:20:47"/>
    <d v="2023-09-13T07:20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192"/>
    <s v="1192 | Capacity Building"/>
    <x v="9"/>
    <s v="Capacity Building - Executive"/>
    <s v="Associate Director"/>
    <s v="Capacity Building-Associate Director"/>
    <s v="Executive"/>
    <d v="2022-07-23T23:11:03"/>
    <d v="2022-07-27T23:11:0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929"/>
    <s v="929 | Capacity Building"/>
    <x v="9"/>
    <s v="Capacity Building - Executive"/>
    <s v="Associate Director"/>
    <s v="Capacity Building-Associate Director"/>
    <s v="Executive"/>
    <d v="2023-05-25T11:51:22"/>
    <d v="2023-05-29T11:51:22"/>
    <s v="Yes"/>
    <d v="2023-06-10T11:51:22"/>
    <s v="Failed"/>
    <s v="Didn't pass technical test"/>
    <m/>
    <m/>
    <m/>
    <m/>
    <d v="2023-06-13T11:51:22"/>
    <m/>
    <n v="0"/>
    <m/>
    <m/>
    <m/>
    <m/>
    <s v="Company"/>
    <m/>
    <m/>
    <m/>
    <n v="4"/>
    <n v="16"/>
    <n v="12"/>
    <x v="13"/>
    <n v="3"/>
    <d v="2023-09-11T11:51:22"/>
    <s v=""/>
    <s v=""/>
    <s v=""/>
    <m/>
    <m/>
    <m/>
    <m/>
    <m/>
    <m/>
    <m/>
    <m/>
    <m/>
    <m/>
  </r>
  <r>
    <n v="927"/>
    <s v="927 | Capacity Building"/>
    <x v="9"/>
    <s v="Capacity Building - Executive"/>
    <s v="Principal Officer"/>
    <s v="Capacity Building-Principal Officer"/>
    <s v="Executive"/>
    <d v="2023-05-30T11:51:22"/>
    <d v="2023-06-01T11:51:22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809"/>
    <s v="809 | Capacity Building"/>
    <x v="9"/>
    <s v="Capacity Building - Executive"/>
    <s v="Principal Officer"/>
    <s v="Capacity Building-Principal Officer"/>
    <s v="Executive"/>
    <d v="2023-01-11T21:41:28"/>
    <d v="2023-01-13T21:41:28"/>
    <s v="Yes"/>
    <d v="2023-01-27T21:41:28"/>
    <s v="Failed"/>
    <s v="Salary expectation too high"/>
    <m/>
    <m/>
    <m/>
    <m/>
    <m/>
    <m/>
    <n v="0"/>
    <m/>
    <m/>
    <m/>
    <m/>
    <s v="Company"/>
    <m/>
    <m/>
    <m/>
    <n v="2"/>
    <n v="16"/>
    <n v="14"/>
    <x v="0"/>
    <s v=""/>
    <s v=""/>
    <s v=""/>
    <s v=""/>
    <s v=""/>
    <m/>
    <m/>
    <m/>
    <m/>
    <m/>
    <m/>
    <m/>
    <m/>
    <m/>
    <m/>
  </r>
  <r>
    <n v="805"/>
    <s v="805 | Capacity Building"/>
    <x v="9"/>
    <s v="Capacity Building - Executive"/>
    <s v="Principal Officer"/>
    <s v="Capacity Building-Principal Officer"/>
    <s v="Executive"/>
    <d v="2023-01-14T21:41:28"/>
    <d v="2023-01-17T21:41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801"/>
    <s v="801 | Capacity Building"/>
    <x v="9"/>
    <s v="Capacity Building - Executive"/>
    <s v="Principal Officer"/>
    <s v="Capacity Building-Principal Officer"/>
    <s v="Executive"/>
    <d v="2023-01-14T21:41:28"/>
    <d v="2023-01-16T21:41:28"/>
    <s v="Yes"/>
    <d v="2023-01-26T21:41:28"/>
    <s v="Declined"/>
    <m/>
    <d v="2023-02-01T21:41:28"/>
    <s v="Declined"/>
    <m/>
    <m/>
    <d v="2023-01-29T21:41:28"/>
    <m/>
    <n v="0"/>
    <m/>
    <m/>
    <m/>
    <m/>
    <m/>
    <m/>
    <m/>
    <m/>
    <n v="2"/>
    <n v="12"/>
    <n v="10"/>
    <x v="16"/>
    <n v="3"/>
    <d v="2023-04-29T21:41:28"/>
    <s v=""/>
    <s v=""/>
    <s v=""/>
    <m/>
    <m/>
    <m/>
    <m/>
    <m/>
    <m/>
    <m/>
    <m/>
    <m/>
    <m/>
  </r>
  <r>
    <n v="777"/>
    <s v="777 | Capacity Building"/>
    <x v="9"/>
    <s v="Capacity Building - Executive"/>
    <s v="Principal Officer"/>
    <s v="Capacity Building-Principal Officer"/>
    <s v="Executive"/>
    <d v="2023-03-21T09:31:46"/>
    <d v="2023-03-25T09:31:46"/>
    <s v="Yes"/>
    <d v="2023-04-04T09:31:46"/>
    <s v="Accepted"/>
    <m/>
    <d v="2023-04-11T09:31:46"/>
    <s v="Accepted"/>
    <d v="2023-04-05T09:31:46"/>
    <d v="2023-04-07T09:31:46"/>
    <d v="2023-04-07T09:31:46"/>
    <d v="2023-04-12T09:31:46"/>
    <n v="1"/>
    <d v="2023-04-15T09:31:46"/>
    <d v="2023-04-17T09:31:46"/>
    <d v="2023-04-18T09:31:46"/>
    <m/>
    <m/>
    <d v="2023-05-10T09:31:46"/>
    <m/>
    <m/>
    <n v="4"/>
    <n v="14"/>
    <n v="10"/>
    <x v="14"/>
    <n v="3"/>
    <d v="2023-07-06T09:31:46"/>
    <n v="3"/>
    <n v="33"/>
    <n v="11"/>
    <m/>
    <m/>
    <m/>
    <m/>
    <m/>
    <m/>
    <m/>
    <m/>
    <m/>
    <m/>
  </r>
  <r>
    <n v="776"/>
    <s v="776 | Capacity Building"/>
    <x v="9"/>
    <s v="Capacity Building - Executive"/>
    <s v="Principal Officer"/>
    <s v="Capacity Building-Principal Officer"/>
    <s v="Executive"/>
    <d v="2023-03-19T09:31:46"/>
    <d v="2023-03-22T09:31:46"/>
    <s v="Yes"/>
    <d v="2023-04-11T09:31:46"/>
    <s v="Declined"/>
    <m/>
    <d v="2023-04-14T09:31:46"/>
    <s v="Declined"/>
    <m/>
    <m/>
    <d v="2023-04-12T09:31:46"/>
    <m/>
    <n v="0"/>
    <m/>
    <m/>
    <m/>
    <m/>
    <m/>
    <m/>
    <m/>
    <m/>
    <n v="3"/>
    <n v="23"/>
    <n v="20"/>
    <x v="21"/>
    <n v="1"/>
    <d v="2023-07-11T09:31:46"/>
    <s v=""/>
    <s v=""/>
    <s v=""/>
    <m/>
    <m/>
    <m/>
    <m/>
    <m/>
    <m/>
    <m/>
    <m/>
    <m/>
    <m/>
  </r>
  <r>
    <n v="670"/>
    <s v="670 | Capacity Building"/>
    <x v="9"/>
    <s v="Capacity Building - Executive"/>
    <s v="Principal Officer"/>
    <s v="Capacity Building-Principal Officer"/>
    <s v="Executive"/>
    <d v="2022-01-09T04:53:52"/>
    <d v="2022-01-11T04:53:52"/>
    <s v="Yes"/>
    <d v="2022-01-30T04:53:52"/>
    <s v="Failed"/>
    <s v="Didn't pass technical test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663"/>
    <s v="663 | Capacity Building"/>
    <x v="9"/>
    <s v="Capacity Building - Executive"/>
    <s v="Principal Officer"/>
    <s v="Capacity Building-Principal Officer"/>
    <s v="Executive"/>
    <d v="2022-01-07T04:53:52"/>
    <d v="2022-01-10T04:53:52"/>
    <s v="Yes"/>
    <d v="2022-01-28T04:53:52"/>
    <s v="Failed"/>
    <s v="Not a culture fit"/>
    <m/>
    <m/>
    <m/>
    <m/>
    <m/>
    <m/>
    <n v="0"/>
    <m/>
    <m/>
    <m/>
    <m/>
    <s v="Company"/>
    <m/>
    <m/>
    <m/>
    <n v="3"/>
    <n v="21"/>
    <n v="18"/>
    <x v="0"/>
    <s v=""/>
    <s v=""/>
    <s v=""/>
    <s v=""/>
    <s v=""/>
    <m/>
    <m/>
    <m/>
    <m/>
    <m/>
    <m/>
    <m/>
    <m/>
    <m/>
    <m/>
  </r>
  <r>
    <n v="662"/>
    <s v="662 | Capacity Building"/>
    <x v="9"/>
    <s v="Capacity Building - Executive"/>
    <s v="Principal Officer"/>
    <s v="Capacity Building-Principal Officer"/>
    <s v="Executive"/>
    <d v="2022-01-05T04:53:52"/>
    <d v="2022-01-09T04:53:52"/>
    <s v="Yes"/>
    <d v="2022-01-21T04:53:52"/>
    <s v="Accepted"/>
    <m/>
    <d v="2022-01-26T04:53:52"/>
    <s v="Accepted"/>
    <d v="2022-01-23T04:53:52"/>
    <d v="2022-01-26T04:53:52"/>
    <d v="2022-01-25T04:53:52"/>
    <d v="2022-01-26T04:53:52"/>
    <n v="1"/>
    <d v="2022-01-28T04:53:52"/>
    <d v="2022-01-29T04:53:52"/>
    <d v="2022-01-30T04:53:52"/>
    <m/>
    <m/>
    <d v="2022-02-13T04:53:52"/>
    <m/>
    <m/>
    <n v="4"/>
    <n v="16"/>
    <n v="12"/>
    <x v="15"/>
    <n v="4"/>
    <d v="2022-04-25T04:53:52"/>
    <n v="2"/>
    <n v="19"/>
    <n v="5"/>
    <m/>
    <m/>
    <m/>
    <m/>
    <m/>
    <m/>
    <m/>
    <m/>
    <m/>
    <m/>
  </r>
  <r>
    <n v="628"/>
    <s v="628 | Capacity Building"/>
    <x v="9"/>
    <s v="Capacity Building - Executive"/>
    <s v="Principal Officer"/>
    <s v="Capacity Building-Principal Officer"/>
    <s v="Executive"/>
    <d v="2023-03-09T19:53:06"/>
    <d v="2023-03-13T19:53:06"/>
    <s v="Yes"/>
    <d v="2023-03-21T19:53:06"/>
    <s v="Failed"/>
    <s v="Other"/>
    <m/>
    <m/>
    <m/>
    <m/>
    <d v="2023-03-24T19:53:06"/>
    <m/>
    <n v="0"/>
    <m/>
    <m/>
    <m/>
    <m/>
    <s v="Company"/>
    <m/>
    <m/>
    <m/>
    <n v="4"/>
    <n v="12"/>
    <n v="8"/>
    <x v="16"/>
    <n v="3"/>
    <d v="2023-06-22T19:53:06"/>
    <s v=""/>
    <s v=""/>
    <s v=""/>
    <m/>
    <m/>
    <m/>
    <m/>
    <m/>
    <m/>
    <m/>
    <m/>
    <m/>
    <m/>
  </r>
  <r>
    <n v="538"/>
    <s v="538 | Capacity Building"/>
    <x v="9"/>
    <s v="Capacity Building - Executive"/>
    <s v="Principal Officer"/>
    <s v="Capacity Building-Principal Officer"/>
    <s v="Executive"/>
    <d v="2022-01-09T06:30:30"/>
    <d v="2022-01-13T06:30:30"/>
    <s v="Yes"/>
    <d v="2022-01-23T06:30:30"/>
    <s v="Failed"/>
    <s v="Not a culture fit"/>
    <m/>
    <m/>
    <m/>
    <m/>
    <d v="2022-01-26T06:30:30"/>
    <m/>
    <n v="0"/>
    <m/>
    <m/>
    <m/>
    <m/>
    <s v="Company"/>
    <m/>
    <m/>
    <m/>
    <n v="4"/>
    <n v="14"/>
    <n v="10"/>
    <x v="14"/>
    <n v="3"/>
    <d v="2022-04-26T06:30:30"/>
    <s v=""/>
    <s v=""/>
    <s v=""/>
    <m/>
    <m/>
    <m/>
    <m/>
    <m/>
    <m/>
    <m/>
    <m/>
    <m/>
    <m/>
  </r>
  <r>
    <n v="537"/>
    <s v="537 | Capacity Building"/>
    <x v="9"/>
    <s v="Capacity Building - Executive"/>
    <s v="Principal Officer"/>
    <s v="Capacity Building-Principal Officer"/>
    <s v="Executive"/>
    <d v="2022-01-12T06:30:30"/>
    <d v="2022-01-15T06:30:30"/>
    <s v="Yes"/>
    <d v="2022-01-21T06:30:30"/>
    <s v="Failed"/>
    <s v="Not a culture fit"/>
    <m/>
    <m/>
    <m/>
    <m/>
    <d v="2022-01-24T06:30:30"/>
    <m/>
    <n v="0"/>
    <m/>
    <m/>
    <m/>
    <m/>
    <s v="Candidate"/>
    <m/>
    <m/>
    <m/>
    <n v="3"/>
    <n v="9"/>
    <n v="6"/>
    <x v="24"/>
    <n v="3"/>
    <d v="2022-04-24T06:30:30"/>
    <s v=""/>
    <s v=""/>
    <s v=""/>
    <m/>
    <m/>
    <m/>
    <m/>
    <m/>
    <m/>
    <m/>
    <m/>
    <m/>
    <m/>
  </r>
  <r>
    <n v="426"/>
    <s v="426 | Capacity Building"/>
    <x v="9"/>
    <s v="Capacity Building - Executive"/>
    <s v="Principal Officer"/>
    <s v="Capacity Building-Principal Officer"/>
    <s v="Executive"/>
    <d v="2023-02-26T13:03:58"/>
    <d v="2023-02-27T13:03:58"/>
    <s v="Yes"/>
    <d v="2023-03-06T13:03:58"/>
    <s v="Declined"/>
    <m/>
    <d v="2023-03-09T13:03:58"/>
    <s v="Declined"/>
    <m/>
    <m/>
    <d v="2023-03-07T13:03:58"/>
    <m/>
    <n v="0"/>
    <m/>
    <m/>
    <m/>
    <m/>
    <m/>
    <m/>
    <m/>
    <m/>
    <n v="1"/>
    <n v="8"/>
    <n v="7"/>
    <x v="4"/>
    <n v="1"/>
    <d v="2023-06-05T13:03:58"/>
    <s v=""/>
    <s v=""/>
    <s v=""/>
    <m/>
    <m/>
    <m/>
    <m/>
    <m/>
    <m/>
    <m/>
    <m/>
    <m/>
    <m/>
  </r>
  <r>
    <n v="424"/>
    <s v="424 | Capacity Building"/>
    <x v="9"/>
    <s v="Capacity Building - Executive"/>
    <s v="Principal Officer"/>
    <s v="Capacity Building-Principal Officer"/>
    <s v="Executive"/>
    <d v="2023-02-24T13:03:58"/>
    <d v="2023-02-27T13:03:5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420"/>
    <s v="420 | Capacity Building"/>
    <x v="9"/>
    <s v="Capacity Building - Executive"/>
    <s v="Principal Officer"/>
    <s v="Capacity Building-Principal Officer"/>
    <s v="Executive"/>
    <d v="2023-06-18T15:18:23"/>
    <d v="2023-06-20T15:18:23"/>
    <s v="Yes"/>
    <d v="2023-06-29T15:18:23"/>
    <s v="Declined"/>
    <m/>
    <d v="2023-07-07T15:18:23"/>
    <s v="Declined"/>
    <m/>
    <m/>
    <d v="2023-07-03T15:18:23"/>
    <m/>
    <n v="0"/>
    <m/>
    <m/>
    <m/>
    <m/>
    <m/>
    <m/>
    <m/>
    <m/>
    <n v="2"/>
    <n v="11"/>
    <n v="9"/>
    <x v="16"/>
    <n v="4"/>
    <d v="2023-10-01T15:18:23"/>
    <s v=""/>
    <s v=""/>
    <s v=""/>
    <m/>
    <m/>
    <m/>
    <m/>
    <m/>
    <m/>
    <m/>
    <m/>
    <m/>
    <m/>
  </r>
  <r>
    <n v="417"/>
    <s v="417 | Capacity Building"/>
    <x v="9"/>
    <s v="Capacity Building - Executive"/>
    <s v="Principal Officer"/>
    <s v="Capacity Building-Principal Officer"/>
    <s v="Executive"/>
    <d v="2023-06-17T15:18:23"/>
    <d v="2023-06-21T15:18:23"/>
    <s v="Yes"/>
    <d v="2023-07-04T15:18:23"/>
    <s v="Declined"/>
    <m/>
    <d v="2023-07-09T15:18:23"/>
    <s v="Declined"/>
    <m/>
    <m/>
    <d v="2023-07-05T15:18:23"/>
    <m/>
    <n v="0"/>
    <m/>
    <m/>
    <m/>
    <m/>
    <m/>
    <m/>
    <m/>
    <m/>
    <n v="4"/>
    <n v="17"/>
    <n v="13"/>
    <x v="12"/>
    <n v="1"/>
    <d v="2023-10-03T15:18:23"/>
    <s v=""/>
    <s v=""/>
    <s v=""/>
    <m/>
    <m/>
    <m/>
    <m/>
    <m/>
    <m/>
    <m/>
    <m/>
    <m/>
    <m/>
  </r>
  <r>
    <n v="414"/>
    <s v="414 | Capacity Building"/>
    <x v="9"/>
    <s v="Capacity Building - Executive"/>
    <s v="Principal Officer"/>
    <s v="Capacity Building-Principal Officer"/>
    <s v="Executive"/>
    <d v="2023-06-17T15:18:23"/>
    <d v="2023-06-21T15:18:2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68"/>
    <s v="268 | Capacity Building"/>
    <x v="9"/>
    <s v="Capacity Building - Executive"/>
    <s v="Principal Officer"/>
    <s v="Capacity Building-Principal Officer"/>
    <s v="Executive"/>
    <d v="2022-07-25T06:46:55"/>
    <d v="2022-07-27T06:46:55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62"/>
    <s v="262 | Capacity Building"/>
    <x v="9"/>
    <s v="Capacity Building - Executive"/>
    <s v="Principal Officer"/>
    <s v="Capacity Building-Principal Officer"/>
    <s v="Executive"/>
    <d v="2022-07-21T06:46:55"/>
    <d v="2022-07-22T06:46:55"/>
    <s v="Yes"/>
    <d v="2022-07-31T06:46:55"/>
    <s v="Failed"/>
    <s v="Not a culture fit"/>
    <m/>
    <m/>
    <m/>
    <m/>
    <d v="2022-08-02T06:46:55"/>
    <m/>
    <n v="0"/>
    <m/>
    <m/>
    <m/>
    <m/>
    <s v="Company"/>
    <m/>
    <m/>
    <m/>
    <n v="1"/>
    <n v="10"/>
    <n v="9"/>
    <x v="24"/>
    <n v="2"/>
    <d v="2022-10-31T06:46:55"/>
    <s v=""/>
    <s v=""/>
    <s v=""/>
    <m/>
    <m/>
    <m/>
    <m/>
    <m/>
    <m/>
    <m/>
    <m/>
    <m/>
    <m/>
  </r>
  <r>
    <n v="257"/>
    <s v="257 | Capacity Building"/>
    <x v="9"/>
    <s v="Capacity Building - Executive"/>
    <s v="Principal Officer"/>
    <s v="Capacity Building-Principal Officer"/>
    <s v="Executive"/>
    <d v="2022-05-24T15:11:28"/>
    <d v="2022-05-27T15:11:28"/>
    <s v="Yes"/>
    <d v="2022-06-16T15:11:28"/>
    <s v="Failed"/>
    <s v="Position filled by another"/>
    <m/>
    <m/>
    <m/>
    <m/>
    <d v="2022-06-20T15:11:28"/>
    <m/>
    <n v="0"/>
    <m/>
    <m/>
    <m/>
    <m/>
    <s v="Candidate"/>
    <m/>
    <m/>
    <m/>
    <n v="3"/>
    <n v="23"/>
    <n v="20"/>
    <x v="18"/>
    <n v="4"/>
    <d v="2022-09-18T15:11:28"/>
    <s v=""/>
    <s v=""/>
    <s v=""/>
    <m/>
    <m/>
    <m/>
    <m/>
    <m/>
    <m/>
    <m/>
    <m/>
    <m/>
    <m/>
  </r>
  <r>
    <n v="239"/>
    <s v="239 | Capacity Building"/>
    <x v="9"/>
    <s v="Capacity Building - Executive"/>
    <s v="Principal Officer"/>
    <s v="Capacity Building-Principal Officer"/>
    <s v="Executive"/>
    <d v="2022-02-02T19:27:47"/>
    <d v="2022-02-06T19:27:47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37"/>
    <s v="237 | Capacity Building"/>
    <x v="9"/>
    <s v="Capacity Building - Executive"/>
    <s v="Principal Officer"/>
    <s v="Capacity Building-Principal Officer"/>
    <s v="Executive"/>
    <d v="2022-02-04T19:27:47"/>
    <d v="2022-02-07T19:27:47"/>
    <s v="Yes"/>
    <d v="2022-02-23T19:27:47"/>
    <s v="Accepted"/>
    <m/>
    <d v="2022-02-27T19:27:47"/>
    <s v="Accepted"/>
    <d v="2022-02-25T19:27:47"/>
    <d v="2022-02-28T19:27:47"/>
    <d v="2022-02-25T19:27:47"/>
    <d v="2022-02-26T19:27:47"/>
    <n v="1"/>
    <d v="2022-02-28T19:27:47"/>
    <d v="2022-03-02T19:27:47"/>
    <d v="2022-03-05T19:27:47"/>
    <m/>
    <m/>
    <d v="2022-03-24T19:27:47"/>
    <m/>
    <m/>
    <n v="3"/>
    <n v="19"/>
    <n v="16"/>
    <x v="19"/>
    <n v="2"/>
    <d v="2022-05-26T19:27:47"/>
    <n v="2"/>
    <n v="27"/>
    <n v="8"/>
    <m/>
    <m/>
    <m/>
    <m/>
    <m/>
    <m/>
    <m/>
    <m/>
    <m/>
    <m/>
  </r>
  <r>
    <n v="229"/>
    <s v="229 | Capacity Building"/>
    <x v="9"/>
    <s v="Capacity Building - Executive"/>
    <s v="Principal Officer"/>
    <s v="Capacity Building-Principal Officer"/>
    <s v="Executive"/>
    <d v="2022-06-26T10:44:44"/>
    <d v="2022-06-29T10:44:44"/>
    <s v="Yes"/>
    <d v="2022-07-03T10:44:44"/>
    <s v="Failed"/>
    <s v="Didn't pass technical test"/>
    <m/>
    <m/>
    <m/>
    <m/>
    <m/>
    <m/>
    <n v="0"/>
    <m/>
    <m/>
    <m/>
    <m/>
    <s v="Company"/>
    <m/>
    <m/>
    <m/>
    <n v="3"/>
    <n v="7"/>
    <n v="4"/>
    <x v="0"/>
    <s v=""/>
    <s v=""/>
    <s v=""/>
    <s v=""/>
    <s v=""/>
    <m/>
    <m/>
    <m/>
    <m/>
    <m/>
    <m/>
    <m/>
    <m/>
    <m/>
    <m/>
  </r>
  <r>
    <n v="222"/>
    <s v="222 | Capacity Building"/>
    <x v="9"/>
    <s v="Capacity Building - Executive"/>
    <s v="Principal Officer"/>
    <s v="Capacity Building-Principal Officer"/>
    <s v="Executive"/>
    <d v="2022-06-27T10:44:44"/>
    <d v="2022-06-30T10:44:44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59"/>
    <s v="159 | Capacity Building"/>
    <x v="9"/>
    <s v="Capacity Building - Executive"/>
    <s v="Principal Officer"/>
    <s v="Capacity Building-Principal Officer"/>
    <s v="Executive"/>
    <d v="2023-01-08T15:27:51"/>
    <d v="2023-01-09T15:27:51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56"/>
    <s v="156 | Capacity Building"/>
    <x v="9"/>
    <s v="Capacity Building - Executive"/>
    <s v="Principal Officer"/>
    <s v="Capacity Building-Principal Officer"/>
    <s v="Executive"/>
    <d v="2023-01-05T15:27:51"/>
    <d v="2023-01-06T15:27:51"/>
    <s v="Yes"/>
    <d v="2023-01-25T15:27:51"/>
    <s v="Accepted"/>
    <m/>
    <d v="2023-01-30T15:27:51"/>
    <s v="Accepted"/>
    <d v="2023-01-26T15:27:51"/>
    <d v="2023-01-29T15:27:51"/>
    <d v="2023-01-28T15:27:51"/>
    <d v="2023-01-30T15:27:51"/>
    <n v="1"/>
    <d v="2023-02-01T15:27:51"/>
    <d v="2023-02-04T15:27:51"/>
    <d v="2023-02-05T15:27:51"/>
    <m/>
    <m/>
    <d v="2023-02-24T15:27:51"/>
    <m/>
    <m/>
    <n v="1"/>
    <n v="20"/>
    <n v="19"/>
    <x v="3"/>
    <n v="3"/>
    <d v="2023-04-28T15:27:51"/>
    <n v="2"/>
    <n v="27"/>
    <n v="8"/>
    <m/>
    <m/>
    <m/>
    <m/>
    <m/>
    <m/>
    <m/>
    <m/>
    <m/>
    <m/>
  </r>
  <r>
    <n v="155"/>
    <s v="155 | Capacity Building"/>
    <x v="9"/>
    <s v="Capacity Building - Executive"/>
    <s v="Principal Officer"/>
    <s v="Capacity Building-Principal Officer"/>
    <s v="Executive"/>
    <d v="2023-01-09T15:27:51"/>
    <d v="2023-01-11T15:27:51"/>
    <s v="Yes"/>
    <d v="2023-01-20T15:27:51"/>
    <s v="Declined"/>
    <m/>
    <d v="2023-01-25T15:27:51"/>
    <s v="Declined"/>
    <m/>
    <m/>
    <d v="2023-01-24T15:27:51"/>
    <m/>
    <n v="0"/>
    <m/>
    <m/>
    <m/>
    <m/>
    <m/>
    <m/>
    <m/>
    <m/>
    <n v="2"/>
    <n v="11"/>
    <n v="9"/>
    <x v="16"/>
    <n v="4"/>
    <d v="2023-04-24T15:27:51"/>
    <s v=""/>
    <s v=""/>
    <s v=""/>
    <m/>
    <m/>
    <m/>
    <m/>
    <m/>
    <m/>
    <m/>
    <m/>
    <m/>
    <m/>
  </r>
  <r>
    <n v="149"/>
    <s v="149 | Capacity Building"/>
    <x v="9"/>
    <s v="Capacity Building - Executive"/>
    <s v="Principal Officer"/>
    <s v="Capacity Building-Principal Officer"/>
    <s v="Executive"/>
    <d v="2022-03-11T23:34:26"/>
    <d v="2022-03-13T23:34:26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148"/>
    <s v="148 | Capacity Building"/>
    <x v="9"/>
    <s v="Capacity Building - Executive"/>
    <s v="Principal Officer"/>
    <s v="Capacity Building-Principal Officer"/>
    <s v="Executive"/>
    <d v="2022-03-10T23:34:26"/>
    <d v="2022-03-12T23:34:26"/>
    <s v="Yes"/>
    <d v="2022-03-29T23:34:26"/>
    <s v="Declined"/>
    <m/>
    <d v="2022-04-06T23:34:26"/>
    <s v="Declined"/>
    <m/>
    <m/>
    <d v="2022-04-02T23:34:26"/>
    <m/>
    <n v="0"/>
    <m/>
    <m/>
    <m/>
    <m/>
    <m/>
    <m/>
    <m/>
    <m/>
    <n v="2"/>
    <n v="19"/>
    <n v="17"/>
    <x v="3"/>
    <n v="4"/>
    <d v="2022-07-01T23:34:26"/>
    <s v=""/>
    <s v=""/>
    <s v=""/>
    <m/>
    <m/>
    <m/>
    <m/>
    <m/>
    <m/>
    <m/>
    <m/>
    <m/>
    <m/>
  </r>
  <r>
    <n v="146"/>
    <s v="146 | Capacity Building"/>
    <x v="9"/>
    <s v="Capacity Building - Executive"/>
    <s v="Principal Officer"/>
    <s v="Capacity Building-Principal Officer"/>
    <s v="Executive"/>
    <d v="2022-03-08T23:34:26"/>
    <d v="2022-03-11T23:34:26"/>
    <s v="Yes"/>
    <d v="2022-03-30T23:34:26"/>
    <s v="Declined"/>
    <m/>
    <d v="2022-04-03T23:34:26"/>
    <s v="Declined"/>
    <m/>
    <m/>
    <d v="2022-03-31T23:34:26"/>
    <m/>
    <n v="0"/>
    <m/>
    <m/>
    <m/>
    <m/>
    <m/>
    <m/>
    <m/>
    <m/>
    <n v="3"/>
    <n v="22"/>
    <n v="19"/>
    <x v="3"/>
    <n v="1"/>
    <d v="2022-06-29T23:34:26"/>
    <s v=""/>
    <s v=""/>
    <s v=""/>
    <m/>
    <m/>
    <m/>
    <m/>
    <m/>
    <m/>
    <m/>
    <m/>
    <m/>
    <m/>
  </r>
  <r>
    <n v="111"/>
    <s v="111 | Capacity Building"/>
    <x v="9"/>
    <s v="Capacity Building - Executive"/>
    <s v="Principal Officer"/>
    <s v="Capacity Building-Principal Officer"/>
    <s v="Executive"/>
    <d v="2022-06-29T04:45:15"/>
    <d v="2022-06-30T04:45:15"/>
    <s v="Yes"/>
    <d v="2022-07-10T04:45:15"/>
    <s v="Failed"/>
    <s v="Didn't pass technical test"/>
    <m/>
    <m/>
    <m/>
    <m/>
    <m/>
    <m/>
    <n v="0"/>
    <m/>
    <m/>
    <m/>
    <m/>
    <s v="Company"/>
    <m/>
    <m/>
    <m/>
    <n v="1"/>
    <n v="11"/>
    <n v="10"/>
    <x v="0"/>
    <s v=""/>
    <s v=""/>
    <s v=""/>
    <s v=""/>
    <s v=""/>
    <m/>
    <m/>
    <m/>
    <m/>
    <m/>
    <m/>
    <m/>
    <m/>
    <m/>
    <m/>
  </r>
  <r>
    <n v="52"/>
    <s v="52 | Capacity Building"/>
    <x v="9"/>
    <s v="Capacity Building - Executive"/>
    <s v="Director"/>
    <s v="Capacity Building-Director"/>
    <s v="Executive"/>
    <d v="2022-07-28T00:18:39"/>
    <d v="2022-07-29T00:18:39"/>
    <s v="Yes"/>
    <d v="2022-08-08T00:18:39"/>
    <s v="Accepted"/>
    <m/>
    <d v="2022-08-16T00:18:39"/>
    <s v="Accepted"/>
    <d v="2022-08-10T00:18:39"/>
    <d v="2022-08-13T00:18:39"/>
    <d v="2022-08-12T00:18:39"/>
    <d v="2022-08-20T00:18:39"/>
    <n v="1"/>
    <d v="2022-08-24T00:18:39"/>
    <d v="2022-08-25T00:18:39"/>
    <d v="2022-08-26T00:18:39"/>
    <m/>
    <m/>
    <d v="2022-09-10T00:18:39"/>
    <m/>
    <m/>
    <n v="1"/>
    <n v="11"/>
    <n v="10"/>
    <x v="16"/>
    <n v="4"/>
    <d v="2022-11-10T00:18:39"/>
    <n v="4"/>
    <n v="29"/>
    <n v="14"/>
    <m/>
    <m/>
    <m/>
    <m/>
    <m/>
    <m/>
    <m/>
    <m/>
    <m/>
    <m/>
  </r>
  <r>
    <n v="2997"/>
    <s v="2997 | Capacity Building"/>
    <x v="9"/>
    <s v="Capacity Building - Associate"/>
    <s v="Director"/>
    <s v="Capacity Building-Director"/>
    <s v="Associate"/>
    <d v="2023-03-04T00:56:51"/>
    <d v="2023-03-06T00:56:51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930"/>
    <s v="2930 | Capacity Building"/>
    <x v="9"/>
    <s v="Capacity Building - Associate"/>
    <s v="Director"/>
    <s v="Capacity Building-Director"/>
    <s v="Associate"/>
    <d v="2023-09-11T09:16:50"/>
    <d v="2023-09-12T09:16:50"/>
    <s v="Yes"/>
    <d v="2023-09-25T09:16:50"/>
    <s v="Accepted"/>
    <m/>
    <d v="2023-09-29T09:16:50"/>
    <s v="Accepted"/>
    <d v="2023-09-26T09:16:50"/>
    <d v="2023-09-27T09:16:50"/>
    <d v="2023-09-27T09:16:50"/>
    <d v="2023-10-01T09:16:50"/>
    <n v="1"/>
    <d v="2023-10-03T09:16:50"/>
    <d v="2023-10-06T09:16:50"/>
    <d v="2023-10-09T09:16:50"/>
    <m/>
    <m/>
    <d v="2023-10-28T09:16:50"/>
    <m/>
    <m/>
    <n v="1"/>
    <n v="14"/>
    <n v="13"/>
    <x v="20"/>
    <n v="2"/>
    <d v="2023-12-26T09:16:50"/>
    <n v="2"/>
    <n v="31"/>
    <n v="12"/>
    <m/>
    <m/>
    <m/>
    <m/>
    <m/>
    <m/>
    <m/>
    <m/>
    <m/>
    <m/>
  </r>
  <r>
    <n v="2919"/>
    <s v="2919 | Capacity Building"/>
    <x v="9"/>
    <s v="Capacity Building - Associate"/>
    <s v="Director"/>
    <s v="Capacity Building-Director"/>
    <s v="Associate"/>
    <d v="2022-02-06T19:04:45"/>
    <d v="2022-02-09T19:04:4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824"/>
    <s v="2824 | Capacity Building"/>
    <x v="9"/>
    <s v="Capacity Building - Associate"/>
    <s v="Director"/>
    <s v="Capacity Building-Director"/>
    <s v="Associate"/>
    <d v="2022-01-04T01:20:30"/>
    <d v="2022-01-07T01:20:30"/>
    <s v="Yes"/>
    <d v="2022-01-16T01:20:30"/>
    <s v="Accepted"/>
    <m/>
    <d v="2022-01-21T01:20:30"/>
    <s v="Accepted"/>
    <d v="2022-01-17T01:20:30"/>
    <d v="2022-01-21T01:20:30"/>
    <d v="2022-01-19T01:20:30"/>
    <d v="2022-01-24T01:20:30"/>
    <n v="1"/>
    <d v="2022-01-28T01:20:30"/>
    <d v="2022-01-31T01:20:30"/>
    <d v="2022-02-01T01:20:30"/>
    <m/>
    <m/>
    <d v="2022-02-21T01:20:30"/>
    <m/>
    <m/>
    <n v="3"/>
    <n v="12"/>
    <n v="9"/>
    <x v="16"/>
    <n v="3"/>
    <d v="2022-04-19T01:20:30"/>
    <n v="4"/>
    <n v="33"/>
    <n v="13"/>
    <m/>
    <m/>
    <m/>
    <m/>
    <m/>
    <m/>
    <m/>
    <m/>
    <m/>
    <m/>
  </r>
  <r>
    <n v="2770"/>
    <s v="2770 | Capacity Building"/>
    <x v="9"/>
    <s v="Capacity Building - Associate"/>
    <s v="Director"/>
    <s v="Capacity Building-Director"/>
    <s v="Associate"/>
    <d v="2022-09-04T07:14:27"/>
    <d v="2022-09-07T07:14:2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628"/>
    <s v="2628 | Capacity Building"/>
    <x v="9"/>
    <s v="Capacity Building - Associate"/>
    <s v="Director"/>
    <s v="Capacity Building-Director"/>
    <s v="Associate"/>
    <d v="2023-06-22T16:02:26"/>
    <d v="2023-06-23T16:02:26"/>
    <s v="Yes"/>
    <d v="2023-07-04T16:02:26"/>
    <s v="Accepted"/>
    <m/>
    <d v="2023-07-07T16:02:26"/>
    <s v="Accepted"/>
    <d v="2023-07-06T16:02:26"/>
    <d v="2023-07-08T16:02:26"/>
    <d v="2023-07-06T16:02:26"/>
    <d v="2023-07-09T16:02:26"/>
    <n v="1"/>
    <d v="2023-07-12T16:02:26"/>
    <d v="2023-07-13T16:02:26"/>
    <d v="2023-07-14T16:02:26"/>
    <m/>
    <m/>
    <d v="2023-07-23T16:02:26"/>
    <m/>
    <m/>
    <n v="1"/>
    <n v="12"/>
    <n v="11"/>
    <x v="1"/>
    <n v="2"/>
    <d v="2023-10-04T16:02:26"/>
    <n v="3"/>
    <n v="17"/>
    <n v="8"/>
    <m/>
    <m/>
    <m/>
    <m/>
    <m/>
    <m/>
    <m/>
    <m/>
    <m/>
    <m/>
  </r>
  <r>
    <n v="2530"/>
    <s v="2530 | Capacity Building"/>
    <x v="9"/>
    <s v="Capacity Building - Associate"/>
    <s v="Director"/>
    <s v="Capacity Building-Director"/>
    <s v="Associate"/>
    <d v="2023-04-10T18:41:30"/>
    <d v="2023-04-12T18:41:30"/>
    <s v="Yes"/>
    <d v="2023-04-27T18:41:30"/>
    <s v="Accepted"/>
    <m/>
    <d v="2023-05-01T18:41:30"/>
    <s v="Accepted"/>
    <d v="2023-04-29T18:41:30"/>
    <d v="2023-05-01T18:41:30"/>
    <d v="2023-04-30T18:41:30"/>
    <d v="2023-05-10T18:41:30"/>
    <n v="1"/>
    <d v="2023-05-13T18:41:30"/>
    <d v="2023-05-14T18:41:30"/>
    <d v="2023-05-16T18:41:30"/>
    <m/>
    <m/>
    <d v="2023-06-02T18:41:30"/>
    <m/>
    <m/>
    <n v="2"/>
    <n v="17"/>
    <n v="15"/>
    <x v="15"/>
    <n v="3"/>
    <d v="2023-07-29T18:41:30"/>
    <n v="3"/>
    <n v="33"/>
    <n v="16"/>
    <m/>
    <m/>
    <m/>
    <m/>
    <m/>
    <m/>
    <m/>
    <m/>
    <m/>
    <m/>
  </r>
  <r>
    <n v="2528"/>
    <s v="2528 | Capacity Building"/>
    <x v="9"/>
    <s v="Capacity Building - Associate"/>
    <s v="Director"/>
    <s v="Capacity Building-Director"/>
    <s v="Associate"/>
    <d v="2023-04-10T18:41:30"/>
    <d v="2023-04-14T18:41:30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430"/>
    <s v="2430 | Capacity Building"/>
    <x v="9"/>
    <s v="Capacity Building - Associate"/>
    <s v="Director"/>
    <s v="Capacity Building-Director"/>
    <s v="Associate"/>
    <d v="2022-10-02T06:07:20"/>
    <d v="2022-10-04T06:07:20"/>
    <s v="Yes"/>
    <d v="2022-10-13T06:07:20"/>
    <s v="Accepted"/>
    <m/>
    <d v="2022-10-18T06:07:20"/>
    <s v="Accepted"/>
    <d v="2022-10-14T06:07:20"/>
    <d v="2022-10-17T06:07:20"/>
    <d v="2022-10-17T06:07:20"/>
    <d v="2022-10-26T06:07:20"/>
    <n v="1"/>
    <d v="2022-10-28T06:07:20"/>
    <d v="2022-10-31T06:07:20"/>
    <d v="2022-11-03T06:07:20"/>
    <m/>
    <m/>
    <d v="2022-11-17T06:07:20"/>
    <m/>
    <m/>
    <n v="2"/>
    <n v="11"/>
    <n v="9"/>
    <x v="16"/>
    <n v="4"/>
    <d v="2023-01-15T06:07:20"/>
    <n v="2"/>
    <n v="31"/>
    <n v="17"/>
    <m/>
    <m/>
    <m/>
    <m/>
    <m/>
    <m/>
    <m/>
    <m/>
    <m/>
    <m/>
  </r>
  <r>
    <n v="2427"/>
    <s v="2427 | Capacity Building"/>
    <x v="9"/>
    <s v="Capacity Building - Associate"/>
    <s v="Director"/>
    <s v="Capacity Building-Director"/>
    <s v="Associate"/>
    <d v="2022-10-05T06:07:20"/>
    <d v="2022-10-06T06:07:20"/>
    <s v="Yes"/>
    <d v="2022-10-11T06:07:20"/>
    <s v="Accepted"/>
    <m/>
    <d v="2022-10-17T06:07:20"/>
    <s v="Accepted"/>
    <d v="2022-10-13T06:07:20"/>
    <d v="2022-10-14T06:07:20"/>
    <d v="2022-10-15T06:07:20"/>
    <d v="2022-10-16T06:07:20"/>
    <n v="1"/>
    <d v="2022-10-19T06:07:20"/>
    <d v="2022-10-22T06:07:20"/>
    <d v="2022-10-25T06:07:20"/>
    <m/>
    <m/>
    <d v="2022-11-09T06:07:20"/>
    <m/>
    <m/>
    <n v="1"/>
    <n v="6"/>
    <n v="5"/>
    <x v="22"/>
    <n v="4"/>
    <d v="2023-01-13T06:07:20"/>
    <n v="3"/>
    <n v="25"/>
    <n v="10"/>
    <m/>
    <m/>
    <m/>
    <m/>
    <m/>
    <m/>
    <m/>
    <m/>
    <m/>
    <m/>
  </r>
  <r>
    <n v="2137"/>
    <s v="2137 | Capacity Building"/>
    <x v="9"/>
    <s v="Capacity Building - Associate"/>
    <s v="Director"/>
    <s v="Capacity Building-Director"/>
    <s v="Associate"/>
    <d v="2022-08-01T12:23:45"/>
    <d v="2022-08-02T12:23:45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2103"/>
    <s v="2103 | Capacity Building"/>
    <x v="9"/>
    <s v="Capacity Building - Associate"/>
    <s v="Director"/>
    <s v="Capacity Building-Director"/>
    <s v="Associate"/>
    <d v="2022-05-03T00:32:09"/>
    <d v="2022-05-06T00:32:09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099"/>
    <s v="2099 | Capacity Building"/>
    <x v="9"/>
    <s v="Capacity Building - Associate"/>
    <s v="Extension Officer"/>
    <s v="Capacity Building-Extension Officer"/>
    <s v="Associate"/>
    <d v="2022-10-23T23:41:59"/>
    <d v="2022-10-25T23:41:59"/>
    <s v="Yes"/>
    <d v="2022-11-03T23:41:59"/>
    <s v="Accepted"/>
    <m/>
    <d v="2022-11-06T23:41:59"/>
    <s v="Accepted"/>
    <d v="2022-11-04T23:41:59"/>
    <d v="2022-11-05T23:41:59"/>
    <d v="2022-11-04T23:41:59"/>
    <d v="2022-11-07T23:41:59"/>
    <n v="1"/>
    <d v="2022-11-11T23:41:59"/>
    <d v="2022-11-14T23:41:59"/>
    <d v="2022-11-16T23:41:59"/>
    <m/>
    <m/>
    <d v="2022-11-24T23:41:59"/>
    <m/>
    <m/>
    <n v="2"/>
    <n v="11"/>
    <n v="9"/>
    <x v="24"/>
    <n v="1"/>
    <d v="2023-02-02T23:41:59"/>
    <n v="4"/>
    <n v="20"/>
    <n v="12"/>
    <m/>
    <m/>
    <m/>
    <m/>
    <m/>
    <m/>
    <m/>
    <m/>
    <m/>
    <m/>
  </r>
  <r>
    <n v="2097"/>
    <s v="2097 | Capacity Building"/>
    <x v="9"/>
    <s v="Capacity Building - Associate"/>
    <s v="Extension Officer"/>
    <s v="Capacity Building-Extension Officer"/>
    <s v="Associate"/>
    <d v="2022-10-27T23:41:59"/>
    <d v="2022-10-29T23:41:5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034"/>
    <s v="2034 | Capacity Building"/>
    <x v="9"/>
    <s v="Capacity Building - Associate"/>
    <s v="Extension Officer"/>
    <s v="Capacity Building-Extension Officer"/>
    <s v="Associate"/>
    <d v="2022-03-28T20:40:01"/>
    <d v="2022-03-29T20:40:01"/>
    <s v="Yes"/>
    <d v="2022-04-11T20:40:01"/>
    <s v="Accepted"/>
    <m/>
    <d v="2022-04-16T20:40:01"/>
    <s v="Accepted"/>
    <d v="2022-04-12T20:40:01"/>
    <d v="2022-04-16T20:40:01"/>
    <d v="2022-04-12T20:40:01"/>
    <d v="2022-04-14T20:40:01"/>
    <n v="1"/>
    <d v="2022-04-18T20:40:01"/>
    <d v="2022-04-21T20:40:01"/>
    <d v="2022-04-22T20:40:01"/>
    <m/>
    <m/>
    <d v="2022-05-13T20:40:01"/>
    <m/>
    <m/>
    <n v="1"/>
    <n v="14"/>
    <n v="13"/>
    <x v="16"/>
    <n v="1"/>
    <d v="2022-07-11T20:40:01"/>
    <n v="4"/>
    <n v="31"/>
    <n v="10"/>
    <m/>
    <m/>
    <m/>
    <m/>
    <m/>
    <m/>
    <m/>
    <m/>
    <m/>
    <m/>
  </r>
  <r>
    <n v="1931"/>
    <s v="1931 | Capacity Building"/>
    <x v="9"/>
    <s v="Capacity Building - Associate"/>
    <s v="Extension Officer"/>
    <s v="Capacity Building-Extension Officer"/>
    <s v="Associate"/>
    <d v="2023-09-09T07:20:47"/>
    <d v="2023-09-11T07:20:47"/>
    <s v="Yes"/>
    <d v="2023-09-21T07:20:47"/>
    <s v="Accepted"/>
    <m/>
    <d v="2023-09-26T07:20:47"/>
    <s v="Accepted"/>
    <d v="2023-09-23T07:20:47"/>
    <d v="2023-09-24T07:20:47"/>
    <d v="2023-09-23T07:20:47"/>
    <d v="2023-10-02T07:20:47"/>
    <n v="1"/>
    <d v="2023-10-04T07:20:47"/>
    <d v="2023-10-05T07:20:47"/>
    <d v="2023-10-06T07:20:47"/>
    <m/>
    <m/>
    <d v="2023-10-25T07:20:47"/>
    <m/>
    <m/>
    <n v="2"/>
    <n v="12"/>
    <n v="10"/>
    <x v="1"/>
    <n v="2"/>
    <d v="2023-12-22T07:20:47"/>
    <n v="2"/>
    <n v="32"/>
    <n v="13"/>
    <m/>
    <m/>
    <m/>
    <m/>
    <m/>
    <m/>
    <m/>
    <m/>
    <m/>
    <m/>
  </r>
  <r>
    <n v="1691"/>
    <s v="1691 | Capacity Building"/>
    <x v="9"/>
    <s v="Capacity Building - Associate"/>
    <s v="Extension Officer"/>
    <s v="Capacity Building-Extension Officer"/>
    <s v="Associate"/>
    <d v="2023-02-22T18:21:09"/>
    <d v="2023-02-26T18:21:09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1556"/>
    <s v="1556 | Capacity Building"/>
    <x v="9"/>
    <s v="Capacity Building - Associate"/>
    <s v="Extension Officer"/>
    <s v="Capacity Building-Extension Officer"/>
    <s v="Associate"/>
    <d v="2022-12-08T14:20:00"/>
    <d v="2022-12-09T14:20:00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1233"/>
    <s v="1233 | Capacity Building"/>
    <x v="9"/>
    <s v="Capacity Building - Associate"/>
    <s v="Extension Officer"/>
    <s v="Capacity Building-Extension Officer"/>
    <s v="Associate"/>
    <d v="2023-02-22T17:29:35"/>
    <d v="2023-02-25T17:29:35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1230"/>
    <s v="1230 | Capacity Building"/>
    <x v="9"/>
    <s v="Capacity Building - Associate"/>
    <s v="Extension Officer"/>
    <s v="Capacity Building-Extension Officer"/>
    <s v="Associate"/>
    <d v="2022-06-20T03:24:32"/>
    <d v="2022-06-23T03:24:32"/>
    <s v="Yes"/>
    <d v="2022-07-04T03:24:32"/>
    <s v="Accepted"/>
    <m/>
    <d v="2022-07-11T03:24:32"/>
    <s v="Accepted"/>
    <d v="2022-07-05T03:24:32"/>
    <d v="2022-07-06T03:24:32"/>
    <d v="2022-07-07T03:24:32"/>
    <d v="2022-07-13T03:24:32"/>
    <n v="1"/>
    <d v="2022-07-14T03:24:32"/>
    <d v="2022-07-17T03:24:32"/>
    <d v="2022-07-20T03:24:32"/>
    <m/>
    <m/>
    <d v="2022-08-09T03:24:32"/>
    <m/>
    <m/>
    <n v="3"/>
    <n v="14"/>
    <n v="11"/>
    <x v="14"/>
    <n v="3"/>
    <d v="2022-10-05T03:24:32"/>
    <n v="1"/>
    <n v="33"/>
    <n v="13"/>
    <m/>
    <m/>
    <m/>
    <m/>
    <m/>
    <m/>
    <m/>
    <m/>
    <m/>
    <m/>
  </r>
  <r>
    <n v="1206"/>
    <s v="1206 | Capacity Building"/>
    <x v="9"/>
    <s v="Capacity Building - Associate"/>
    <s v="Extension Officer"/>
    <s v="Capacity Building-Extension Officer"/>
    <s v="Associate"/>
    <d v="2022-07-21T04:55:35"/>
    <d v="2022-07-22T04:55:35"/>
    <s v="Yes"/>
    <d v="2022-08-13T04:55:35"/>
    <s v="Accepted"/>
    <m/>
    <d v="2022-08-18T04:55:35"/>
    <s v="Accepted"/>
    <d v="2022-08-14T04:55:35"/>
    <d v="2022-08-17T04:55:35"/>
    <d v="2022-08-17T04:55:35"/>
    <d v="2022-08-20T04:55:35"/>
    <n v="1"/>
    <d v="2022-08-22T04:55:35"/>
    <d v="2022-08-24T04:55:35"/>
    <d v="2022-08-26T04:55:35"/>
    <m/>
    <m/>
    <d v="2022-09-04T04:55:35"/>
    <m/>
    <m/>
    <n v="1"/>
    <n v="23"/>
    <n v="22"/>
    <x v="18"/>
    <n v="4"/>
    <d v="2022-11-15T04:55:35"/>
    <n v="2"/>
    <n v="18"/>
    <n v="9"/>
    <m/>
    <m/>
    <m/>
    <m/>
    <m/>
    <m/>
    <m/>
    <m/>
    <m/>
    <m/>
  </r>
  <r>
    <n v="1193"/>
    <s v="1193 | Capacity Building"/>
    <x v="9"/>
    <s v="Capacity Building - Associate"/>
    <s v="Extension Officer"/>
    <s v="Capacity Building-Extension Officer"/>
    <s v="Associate"/>
    <d v="2022-07-26T23:11:03"/>
    <d v="2022-07-27T23:11:03"/>
    <s v="Yes"/>
    <d v="2022-08-06T23:11:03"/>
    <s v="Accepted"/>
    <m/>
    <d v="2022-08-12T23:11:03"/>
    <s v="Accepted"/>
    <d v="2022-08-07T23:11:03"/>
    <d v="2022-08-09T23:11:03"/>
    <d v="2022-08-10T23:11:03"/>
    <d v="2022-08-17T23:11:03"/>
    <n v="1"/>
    <d v="2022-08-21T23:11:03"/>
    <d v="2022-08-23T23:11:03"/>
    <d v="2022-08-26T23:11:03"/>
    <m/>
    <m/>
    <d v="2022-09-10T23:11:03"/>
    <m/>
    <m/>
    <n v="1"/>
    <n v="11"/>
    <n v="10"/>
    <x v="16"/>
    <n v="4"/>
    <d v="2022-11-08T23:11:03"/>
    <n v="4"/>
    <n v="31"/>
    <n v="16"/>
    <m/>
    <m/>
    <m/>
    <m/>
    <m/>
    <m/>
    <m/>
    <m/>
    <m/>
    <m/>
  </r>
  <r>
    <n v="1175"/>
    <s v="1175 | Capacity Building"/>
    <x v="9"/>
    <s v="Capacity Building - Associate"/>
    <s v="Extension Officer"/>
    <s v="Capacity Building-Extension Officer"/>
    <s v="Associate"/>
    <d v="2023-05-15T01:00:09"/>
    <d v="2023-05-18T01:00:09"/>
    <s v="Yes"/>
    <d v="2023-05-26T01:00:09"/>
    <s v="Accepted"/>
    <m/>
    <d v="2023-06-01T01:00:09"/>
    <s v="Accepted"/>
    <d v="2023-05-28T01:00:09"/>
    <d v="2023-05-31T01:00:09"/>
    <d v="2023-05-28T01:00:09"/>
    <d v="2023-06-03T01:00:09"/>
    <n v="1"/>
    <d v="2023-06-05T01:00:09"/>
    <d v="2023-06-07T01:00:09"/>
    <d v="2023-06-10T01:00:09"/>
    <m/>
    <m/>
    <d v="2023-06-17T01:00:09"/>
    <m/>
    <m/>
    <n v="3"/>
    <n v="11"/>
    <n v="8"/>
    <x v="8"/>
    <n v="2"/>
    <d v="2023-08-26T01:00:09"/>
    <n v="2"/>
    <n v="20"/>
    <n v="13"/>
    <m/>
    <m/>
    <m/>
    <m/>
    <m/>
    <m/>
    <m/>
    <m/>
    <m/>
    <m/>
  </r>
  <r>
    <n v="1172"/>
    <s v="1172 | Capacity Building"/>
    <x v="9"/>
    <s v="Capacity Building - Associate"/>
    <s v="Extension Officer"/>
    <s v="Capacity Building-Extension Officer"/>
    <s v="Associate"/>
    <d v="2023-05-14T01:00:09"/>
    <d v="2023-05-16T01:00:09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925"/>
    <s v="925 | Capacity Building"/>
    <x v="9"/>
    <s v="Capacity Building - Associate"/>
    <s v="Extension Officer"/>
    <s v="Capacity Building-Extension Officer"/>
    <s v="Associate"/>
    <d v="2023-05-28T11:51:22"/>
    <d v="2023-06-01T11:51:22"/>
    <s v="Yes"/>
    <d v="2023-06-15T11:51:22"/>
    <s v="Failed"/>
    <s v="Other"/>
    <m/>
    <m/>
    <m/>
    <m/>
    <d v="2023-06-16T11:51:22"/>
    <m/>
    <n v="0"/>
    <m/>
    <m/>
    <m/>
    <m/>
    <s v="Company"/>
    <m/>
    <m/>
    <m/>
    <n v="4"/>
    <n v="18"/>
    <n v="14"/>
    <x v="13"/>
    <n v="1"/>
    <d v="2023-09-14T11:51:22"/>
    <s v=""/>
    <s v=""/>
    <s v=""/>
    <m/>
    <m/>
    <m/>
    <m/>
    <m/>
    <m/>
    <m/>
    <m/>
    <m/>
    <m/>
  </r>
  <r>
    <n v="807"/>
    <s v="807 | Capacity Building"/>
    <x v="9"/>
    <s v="Capacity Building - Associate"/>
    <s v="Extension Officer"/>
    <s v="Capacity Building-Extension Officer"/>
    <s v="Associate"/>
    <d v="2023-01-13T21:41:28"/>
    <d v="2023-01-14T21:41:28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780"/>
    <s v="780 | Capacity Building"/>
    <x v="9"/>
    <s v="Capacity Building - Associate"/>
    <s v="Extension Officer"/>
    <s v="Capacity Building-Extension Officer"/>
    <s v="Associate"/>
    <d v="2023-03-22T09:31:46"/>
    <d v="2023-03-24T09:31:46"/>
    <s v="Yes"/>
    <d v="2023-04-01T09:31:46"/>
    <s v="Failed"/>
    <s v="Didn't pass technical test"/>
    <m/>
    <m/>
    <m/>
    <m/>
    <d v="2023-04-03T09:31:46"/>
    <m/>
    <n v="0"/>
    <m/>
    <m/>
    <m/>
    <m/>
    <s v="Candidate"/>
    <m/>
    <m/>
    <m/>
    <n v="2"/>
    <n v="10"/>
    <n v="8"/>
    <x v="24"/>
    <n v="2"/>
    <d v="2023-07-02T09:31:46"/>
    <s v=""/>
    <s v=""/>
    <s v=""/>
    <m/>
    <m/>
    <m/>
    <m/>
    <m/>
    <m/>
    <m/>
    <m/>
    <m/>
    <m/>
  </r>
  <r>
    <n v="667"/>
    <s v="667 | Capacity Building"/>
    <x v="9"/>
    <s v="Capacity Building - Associate"/>
    <s v="Extension Officer"/>
    <s v="Capacity Building-Extension Officer"/>
    <s v="Associate"/>
    <d v="2022-01-05T04:53:52"/>
    <d v="2022-01-09T04:53:52"/>
    <s v="Yes"/>
    <d v="2022-01-27T04:53:52"/>
    <s v="Failed"/>
    <s v="Other"/>
    <m/>
    <m/>
    <m/>
    <m/>
    <d v="2022-01-29T04:53:52"/>
    <m/>
    <n v="0"/>
    <m/>
    <m/>
    <m/>
    <m/>
    <s v="Company"/>
    <m/>
    <m/>
    <m/>
    <n v="4"/>
    <n v="22"/>
    <n v="18"/>
    <x v="21"/>
    <n v="2"/>
    <d v="2022-04-29T04:53:52"/>
    <s v=""/>
    <s v=""/>
    <s v=""/>
    <m/>
    <m/>
    <m/>
    <m/>
    <m/>
    <m/>
    <m/>
    <m/>
    <m/>
    <m/>
  </r>
  <r>
    <n v="627"/>
    <s v="627 | Capacity Building"/>
    <x v="9"/>
    <s v="Capacity Building - Associate"/>
    <s v="Extension Officer"/>
    <s v="Capacity Building-Extension Officer"/>
    <s v="Associate"/>
    <d v="2023-03-08T19:53:06"/>
    <d v="2023-03-09T19:53:06"/>
    <s v="Yes"/>
    <d v="2023-03-26T19:53:06"/>
    <s v="Failed"/>
    <s v="Other"/>
    <m/>
    <m/>
    <m/>
    <m/>
    <m/>
    <m/>
    <n v="0"/>
    <m/>
    <m/>
    <m/>
    <m/>
    <s v="Company"/>
    <m/>
    <m/>
    <m/>
    <n v="1"/>
    <n v="18"/>
    <n v="17"/>
    <x v="0"/>
    <s v=""/>
    <s v=""/>
    <s v=""/>
    <s v=""/>
    <s v=""/>
    <m/>
    <m/>
    <m/>
    <m/>
    <m/>
    <m/>
    <m/>
    <m/>
    <m/>
    <m/>
  </r>
  <r>
    <n v="621"/>
    <s v="621 | Capacity Building"/>
    <x v="9"/>
    <s v="Capacity Building - Associate"/>
    <s v="Extension Officer"/>
    <s v="Capacity Building-Extension Officer"/>
    <s v="Associate"/>
    <d v="2023-03-07T19:53:06"/>
    <d v="2023-03-10T19:53:06"/>
    <s v="Yes"/>
    <d v="2023-03-20T19:53:06"/>
    <s v="Accepted"/>
    <m/>
    <d v="2023-03-25T19:53:06"/>
    <s v="Accepted"/>
    <d v="2023-03-21T19:53:06"/>
    <d v="2023-03-24T19:53:06"/>
    <d v="2023-03-23T19:53:06"/>
    <d v="2023-03-27T19:53:06"/>
    <n v="1"/>
    <d v="2023-03-28T19:53:06"/>
    <d v="2023-03-31T19:53:06"/>
    <d v="2023-04-03T19:53:06"/>
    <m/>
    <m/>
    <d v="2023-04-21T19:53:06"/>
    <m/>
    <m/>
    <n v="3"/>
    <n v="13"/>
    <n v="10"/>
    <x v="20"/>
    <n v="3"/>
    <d v="2023-06-21T19:53:06"/>
    <n v="1"/>
    <n v="29"/>
    <n v="11"/>
    <m/>
    <m/>
    <m/>
    <m/>
    <m/>
    <m/>
    <m/>
    <m/>
    <m/>
    <m/>
  </r>
  <r>
    <n v="531"/>
    <s v="531 | Capacity Building"/>
    <x v="9"/>
    <s v="Capacity Building - Associate"/>
    <s v="Extension Officer"/>
    <s v="Capacity Building-Extension Officer"/>
    <s v="Associate"/>
    <d v="2022-01-15T06:30:30"/>
    <d v="2022-01-16T06:30:30"/>
    <s v="Yes"/>
    <d v="2022-01-19T06:30:30"/>
    <s v="Failed"/>
    <s v="Position filled by another"/>
    <m/>
    <m/>
    <m/>
    <m/>
    <d v="2022-01-20T06:30:30"/>
    <m/>
    <n v="0"/>
    <m/>
    <m/>
    <m/>
    <m/>
    <s v="Candidate"/>
    <m/>
    <m/>
    <m/>
    <n v="1"/>
    <n v="4"/>
    <n v="3"/>
    <x v="2"/>
    <n v="1"/>
    <d v="2022-04-20T06:30:30"/>
    <s v=""/>
    <s v=""/>
    <s v=""/>
    <m/>
    <m/>
    <m/>
    <m/>
    <m/>
    <m/>
    <m/>
    <m/>
    <m/>
    <m/>
  </r>
  <r>
    <n v="510"/>
    <s v="510 | Capacity Building"/>
    <x v="9"/>
    <s v="Capacity Building - Associate"/>
    <s v="Analyst"/>
    <s v="Capacity Building-Analyst"/>
    <s v="Associate"/>
    <d v="2022-06-30T02:29:24"/>
    <d v="2022-07-03T02:29:24"/>
    <s v="Yes"/>
    <d v="2022-07-22T02:29:24"/>
    <s v="Failed"/>
    <s v="Position filled by another"/>
    <m/>
    <m/>
    <m/>
    <m/>
    <d v="2022-07-25T02:29:24"/>
    <m/>
    <n v="0"/>
    <m/>
    <m/>
    <m/>
    <m/>
    <s v="Company"/>
    <m/>
    <m/>
    <m/>
    <n v="3"/>
    <n v="22"/>
    <n v="19"/>
    <x v="11"/>
    <n v="3"/>
    <d v="2022-10-23T02:29:24"/>
    <s v=""/>
    <s v=""/>
    <s v=""/>
    <m/>
    <m/>
    <m/>
    <m/>
    <m/>
    <m/>
    <m/>
    <m/>
    <m/>
    <m/>
  </r>
  <r>
    <n v="430"/>
    <s v="430 | Capacity Building"/>
    <x v="9"/>
    <s v="Capacity Building - Associate"/>
    <s v="Analyst"/>
    <s v="Capacity Building-Analyst"/>
    <s v="Associate"/>
    <d v="2023-02-22T13:03:58"/>
    <d v="2023-02-25T13:03:58"/>
    <s v="Yes"/>
    <d v="2023-03-10T13:03:58"/>
    <s v="Accepted"/>
    <m/>
    <d v="2023-03-15T13:03:58"/>
    <s v="Accepted"/>
    <d v="2023-03-11T13:03:58"/>
    <d v="2023-03-13T13:03:58"/>
    <d v="2023-03-13T13:03:58"/>
    <d v="2023-03-22T13:03:58"/>
    <n v="1"/>
    <d v="2023-03-24T13:03:58"/>
    <d v="2023-03-27T13:03:58"/>
    <d v="2023-03-28T13:03:58"/>
    <m/>
    <m/>
    <d v="2023-04-09T13:03:58"/>
    <m/>
    <m/>
    <n v="3"/>
    <n v="16"/>
    <n v="13"/>
    <x v="13"/>
    <n v="3"/>
    <d v="2023-06-11T13:03:58"/>
    <n v="2"/>
    <n v="27"/>
    <n v="15"/>
    <m/>
    <m/>
    <m/>
    <m/>
    <m/>
    <m/>
    <m/>
    <m/>
    <m/>
    <m/>
  </r>
  <r>
    <n v="425"/>
    <s v="425 | Capacity Building"/>
    <x v="9"/>
    <s v="Capacity Building - Associate"/>
    <s v="Analyst"/>
    <s v="Capacity Building-Analyst"/>
    <s v="Associate"/>
    <d v="2023-02-23T13:03:58"/>
    <d v="2023-02-26T13:03:5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419"/>
    <s v="419 | Capacity Building"/>
    <x v="9"/>
    <s v="Capacity Building - Associate"/>
    <s v="Analyst"/>
    <s v="Capacity Building-Analyst"/>
    <s v="Associate"/>
    <d v="2023-06-17T15:18:23"/>
    <d v="2023-06-20T15:18:23"/>
    <s v="Yes"/>
    <d v="2023-07-06T15:18:23"/>
    <s v="Pending"/>
    <m/>
    <d v="2023-07-09T15:18:23"/>
    <s v="Pending"/>
    <m/>
    <m/>
    <d v="2023-07-07T15:18:23"/>
    <m/>
    <n v="0"/>
    <m/>
    <m/>
    <m/>
    <m/>
    <m/>
    <m/>
    <m/>
    <m/>
    <n v="3"/>
    <n v="19"/>
    <n v="16"/>
    <x v="15"/>
    <n v="1"/>
    <d v="2023-10-05T15:18:23"/>
    <s v=""/>
    <s v=""/>
    <s v=""/>
    <m/>
    <m/>
    <m/>
    <m/>
    <m/>
    <m/>
    <m/>
    <m/>
    <m/>
    <m/>
  </r>
  <r>
    <n v="418"/>
    <s v="418 | Capacity Building"/>
    <x v="9"/>
    <s v="Capacity Building - Associate"/>
    <s v="Analyst"/>
    <s v="Capacity Building-Analyst"/>
    <s v="Associate"/>
    <d v="2023-06-17T15:18:23"/>
    <d v="2023-06-19T15:18:23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270"/>
    <s v="270 | Capacity Building"/>
    <x v="9"/>
    <s v="Capacity Building - Associate"/>
    <s v="Analyst"/>
    <s v="Capacity Building-Analyst"/>
    <s v="Associate"/>
    <d v="2022-07-23T06:46:55"/>
    <d v="2022-07-27T06:46:5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259"/>
    <s v="259 | Capacity Building"/>
    <x v="9"/>
    <s v="Capacity Building - Associate"/>
    <s v="Analyst"/>
    <s v="Capacity Building-Analyst"/>
    <s v="Associate"/>
    <d v="2022-05-23T15:11:28"/>
    <d v="2022-05-26T15:11:28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53"/>
    <s v="253 | Capacity Building"/>
    <x v="9"/>
    <s v="Capacity Building - Associate"/>
    <s v="Analyst"/>
    <s v="Capacity Building-Analyst"/>
    <s v="Associate"/>
    <d v="2022-05-24T15:11:28"/>
    <d v="2022-05-26T15:11:28"/>
    <s v="Yes"/>
    <d v="2022-06-14T15:11:28"/>
    <s v="Failed"/>
    <s v="Salary expectation too high"/>
    <m/>
    <m/>
    <m/>
    <m/>
    <m/>
    <m/>
    <n v="0"/>
    <m/>
    <m/>
    <m/>
    <m/>
    <s v="Candidate"/>
    <m/>
    <m/>
    <m/>
    <n v="2"/>
    <n v="21"/>
    <n v="19"/>
    <x v="0"/>
    <s v=""/>
    <s v=""/>
    <s v=""/>
    <s v=""/>
    <s v=""/>
    <m/>
    <m/>
    <m/>
    <m/>
    <m/>
    <m/>
    <m/>
    <m/>
    <m/>
    <m/>
  </r>
  <r>
    <n v="238"/>
    <s v="238 | Capacity Building"/>
    <x v="9"/>
    <s v="Capacity Building - Associate"/>
    <s v="Analyst"/>
    <s v="Capacity Building-Analyst"/>
    <s v="Associate"/>
    <d v="2022-02-06T19:27:47"/>
    <d v="2022-02-09T19:27:47"/>
    <s v="Yes"/>
    <d v="2022-02-17T19:27:47"/>
    <s v="Failed"/>
    <s v="Other"/>
    <m/>
    <m/>
    <m/>
    <m/>
    <d v="2022-02-20T19:27:47"/>
    <m/>
    <n v="0"/>
    <m/>
    <m/>
    <m/>
    <m/>
    <s v="Candidate"/>
    <m/>
    <m/>
    <m/>
    <n v="3"/>
    <n v="11"/>
    <n v="8"/>
    <x v="1"/>
    <n v="3"/>
    <d v="2022-05-21T19:27:47"/>
    <s v=""/>
    <s v=""/>
    <s v=""/>
    <m/>
    <m/>
    <m/>
    <m/>
    <m/>
    <m/>
    <m/>
    <m/>
    <m/>
    <m/>
  </r>
  <r>
    <n v="234"/>
    <s v="234 | Capacity Building"/>
    <x v="9"/>
    <s v="Capacity Building - Associate"/>
    <s v="Analyst"/>
    <s v="Capacity Building-Analyst"/>
    <s v="Associate"/>
    <d v="2022-02-06T19:27:47"/>
    <d v="2022-02-08T19:27:47"/>
    <s v="Yes"/>
    <d v="2022-02-21T19:27:47"/>
    <s v="Declined"/>
    <m/>
    <d v="2022-02-27T19:27:47"/>
    <s v="Declined"/>
    <m/>
    <m/>
    <d v="2022-02-24T19:27:47"/>
    <m/>
    <n v="0"/>
    <m/>
    <m/>
    <m/>
    <m/>
    <m/>
    <m/>
    <m/>
    <m/>
    <n v="2"/>
    <n v="15"/>
    <n v="13"/>
    <x v="12"/>
    <n v="3"/>
    <d v="2022-05-25T19:27:47"/>
    <s v=""/>
    <s v=""/>
    <s v=""/>
    <m/>
    <m/>
    <m/>
    <m/>
    <m/>
    <m/>
    <m/>
    <m/>
    <m/>
    <m/>
  </r>
  <r>
    <n v="227"/>
    <s v="227 | Capacity Building"/>
    <x v="9"/>
    <s v="Capacity Building - Associate"/>
    <s v="Analyst"/>
    <s v="Capacity Building-Analyst"/>
    <s v="Associate"/>
    <d v="2022-06-26T10:44:44"/>
    <d v="2022-06-29T10:44:44"/>
    <s v="Yes"/>
    <d v="2022-07-17T10:44:44"/>
    <s v="Accepted"/>
    <m/>
    <d v="2022-07-24T10:44:44"/>
    <s v="Accepted"/>
    <d v="2022-07-18T10:44:44"/>
    <d v="2022-07-22T10:44:44"/>
    <d v="2022-07-21T10:44:44"/>
    <d v="2022-07-27T10:44:44"/>
    <n v="1"/>
    <d v="2022-07-28T10:44:44"/>
    <d v="2022-07-31T10:44:44"/>
    <d v="2022-08-02T10:44:44"/>
    <m/>
    <m/>
    <d v="2022-08-20T10:44:44"/>
    <m/>
    <m/>
    <n v="3"/>
    <n v="21"/>
    <n v="18"/>
    <x v="11"/>
    <n v="4"/>
    <d v="2022-10-19T10:44:44"/>
    <n v="1"/>
    <n v="30"/>
    <n v="12"/>
    <m/>
    <m/>
    <m/>
    <m/>
    <m/>
    <m/>
    <m/>
    <m/>
    <m/>
    <m/>
  </r>
  <r>
    <n v="147"/>
    <s v="147 | Capacity Building"/>
    <x v="9"/>
    <s v="Capacity Building - Associate"/>
    <s v="Analyst"/>
    <s v="Capacity Building-Analyst"/>
    <s v="Associate"/>
    <d v="2022-03-09T23:34:26"/>
    <d v="2022-03-12T23:34:26"/>
    <s v="Yes"/>
    <d v="2022-03-26T23:34:26"/>
    <s v="Failed"/>
    <s v="Not a culture fit"/>
    <m/>
    <m/>
    <m/>
    <m/>
    <d v="2022-03-29T23:34:26"/>
    <m/>
    <n v="0"/>
    <m/>
    <m/>
    <m/>
    <m/>
    <s v="Company"/>
    <m/>
    <m/>
    <m/>
    <n v="3"/>
    <n v="17"/>
    <n v="14"/>
    <x v="15"/>
    <n v="3"/>
    <d v="2022-06-27T23:34:26"/>
    <s v=""/>
    <s v=""/>
    <s v=""/>
    <m/>
    <m/>
    <m/>
    <m/>
    <m/>
    <m/>
    <m/>
    <m/>
    <m/>
    <m/>
  </r>
  <r>
    <n v="143"/>
    <s v="143 | Capacity Building"/>
    <x v="9"/>
    <s v="Capacity Building - Associate"/>
    <s v="Analyst"/>
    <s v="Capacity Building-Analyst"/>
    <s v="Associate"/>
    <d v="2022-03-07T23:34:26"/>
    <d v="2022-03-10T23:34:26"/>
    <s v="Yes"/>
    <d v="2022-03-22T23:34:26"/>
    <s v="Failed"/>
    <s v="Not a culture fit"/>
    <m/>
    <m/>
    <m/>
    <m/>
    <m/>
    <m/>
    <n v="0"/>
    <m/>
    <m/>
    <m/>
    <m/>
    <s v="Candidate"/>
    <m/>
    <m/>
    <m/>
    <n v="3"/>
    <n v="15"/>
    <n v="12"/>
    <x v="0"/>
    <s v=""/>
    <s v=""/>
    <s v=""/>
    <s v=""/>
    <s v=""/>
    <m/>
    <m/>
    <m/>
    <m/>
    <m/>
    <m/>
    <m/>
    <m/>
    <m/>
    <m/>
  </r>
  <r>
    <n v="118"/>
    <s v="118 | Capacity Building"/>
    <x v="9"/>
    <s v="Capacity Building - Associate"/>
    <s v="Analyst"/>
    <s v="Capacity Building-Analyst"/>
    <s v="Associate"/>
    <d v="2022-06-24T04:45:15"/>
    <d v="2022-06-28T04:45:15"/>
    <s v="Yes"/>
    <d v="2022-07-11T04:45:15"/>
    <s v="Failed"/>
    <s v="Didn't pass technical test"/>
    <m/>
    <m/>
    <m/>
    <m/>
    <m/>
    <m/>
    <n v="0"/>
    <m/>
    <m/>
    <m/>
    <m/>
    <s v="Candidate"/>
    <m/>
    <m/>
    <m/>
    <n v="4"/>
    <n v="17"/>
    <n v="13"/>
    <x v="0"/>
    <s v=""/>
    <s v=""/>
    <s v=""/>
    <s v=""/>
    <s v=""/>
    <m/>
    <m/>
    <m/>
    <m/>
    <m/>
    <m/>
    <m/>
    <m/>
    <m/>
    <m/>
  </r>
  <r>
    <n v="116"/>
    <s v="116 | Capacity Building"/>
    <x v="9"/>
    <s v="Capacity Building - Associate"/>
    <s v="Analyst"/>
    <s v="Capacity Building-Analyst"/>
    <s v="Associate"/>
    <d v="2022-06-25T04:45:15"/>
    <d v="2022-06-29T04:45:15"/>
    <s v="Yes"/>
    <d v="2022-07-17T04:45:15"/>
    <s v="Failed"/>
    <s v="Position filled by another"/>
    <m/>
    <m/>
    <m/>
    <m/>
    <d v="2022-07-21T04:45:15"/>
    <m/>
    <n v="0"/>
    <m/>
    <m/>
    <m/>
    <m/>
    <s v="Company"/>
    <m/>
    <m/>
    <m/>
    <n v="4"/>
    <n v="22"/>
    <n v="18"/>
    <x v="25"/>
    <n v="4"/>
    <d v="2022-10-19T04:45:15"/>
    <s v=""/>
    <s v=""/>
    <s v=""/>
    <m/>
    <m/>
    <m/>
    <m/>
    <m/>
    <m/>
    <m/>
    <m/>
    <m/>
    <m/>
  </r>
  <r>
    <n v="56"/>
    <s v="56 | Capacity Building"/>
    <x v="9"/>
    <s v="Capacity Building - Associate"/>
    <s v="Analyst"/>
    <s v="Capacity Building-Analyst"/>
    <s v="Associate"/>
    <d v="2022-07-25T00:18:39"/>
    <d v="2022-07-29T00:18:39"/>
    <s v="Yes"/>
    <d v="2022-08-09T00:18:39"/>
    <s v="Declined"/>
    <m/>
    <d v="2022-08-13T00:18:39"/>
    <s v="Declined"/>
    <m/>
    <m/>
    <d v="2022-08-12T00:18:39"/>
    <m/>
    <n v="0"/>
    <m/>
    <m/>
    <m/>
    <m/>
    <m/>
    <m/>
    <m/>
    <m/>
    <n v="4"/>
    <n v="15"/>
    <n v="11"/>
    <x v="12"/>
    <n v="3"/>
    <d v="2022-11-10T00:18:39"/>
    <s v=""/>
    <s v=""/>
    <s v=""/>
    <m/>
    <m/>
    <m/>
    <m/>
    <m/>
    <m/>
    <m/>
    <m/>
    <m/>
    <m/>
  </r>
  <r>
    <n v="54"/>
    <s v="54 | Capacity Building"/>
    <x v="9"/>
    <s v="Capacity Building - Associate"/>
    <s v="Analyst"/>
    <s v="Capacity Building-Analyst"/>
    <s v="Associate"/>
    <d v="2022-07-27T00:18:39"/>
    <d v="2022-07-29T00:18:39"/>
    <s v="Yes"/>
    <d v="2022-08-17T00:18:39"/>
    <s v="Failed"/>
    <s v="Not a culture fit"/>
    <m/>
    <m/>
    <m/>
    <m/>
    <d v="2022-08-19T00:18:39"/>
    <m/>
    <n v="0"/>
    <m/>
    <m/>
    <m/>
    <m/>
    <s v="Candidate"/>
    <m/>
    <m/>
    <m/>
    <n v="2"/>
    <n v="21"/>
    <n v="19"/>
    <x v="3"/>
    <n v="2"/>
    <d v="2022-11-17T00:18:39"/>
    <s v=""/>
    <s v=""/>
    <s v=""/>
    <m/>
    <m/>
    <m/>
    <m/>
    <m/>
    <m/>
    <m/>
    <m/>
    <m/>
    <m/>
  </r>
  <r>
    <n v="448"/>
    <s v="448 | Administation"/>
    <x v="10"/>
    <s v="Administation - Senior Management"/>
    <s v="Senior Manager"/>
    <s v="Administation-Senior Manager"/>
    <s v="Senior Management"/>
    <d v="2022-11-27T02:36:01"/>
    <d v="2022-11-28T02:36:01"/>
    <s v="Yes"/>
    <d v="2022-12-12T02:36:01"/>
    <s v="Declined"/>
    <m/>
    <d v="2022-12-16T02:36:01"/>
    <s v="Declined"/>
    <m/>
    <m/>
    <d v="2022-12-13T02:36:01"/>
    <m/>
    <n v="0"/>
    <m/>
    <m/>
    <m/>
    <m/>
    <m/>
    <m/>
    <m/>
    <m/>
    <n v="1"/>
    <n v="15"/>
    <n v="14"/>
    <x v="20"/>
    <n v="1"/>
    <d v="2023-03-13T02:36:01"/>
    <s v=""/>
    <s v=""/>
    <s v=""/>
    <m/>
    <m/>
    <m/>
    <m/>
    <m/>
    <m/>
    <m/>
    <m/>
    <m/>
    <m/>
  </r>
  <r>
    <n v="441"/>
    <s v="441 | Administation"/>
    <x v="10"/>
    <s v="Administation - Senior Management"/>
    <s v="Senior Manager"/>
    <s v="Administation-Senior Manager"/>
    <s v="Senior Management"/>
    <d v="2022-11-26T02:36:01"/>
    <d v="2022-11-27T02:36:01"/>
    <s v="Yes"/>
    <d v="2022-12-13T02:36:01"/>
    <s v="Accepted"/>
    <m/>
    <d v="2022-12-17T02:36:01"/>
    <s v="Accepted"/>
    <d v="2022-12-14T02:36:01"/>
    <d v="2022-12-15T02:36:01"/>
    <d v="2022-12-16T02:36:01"/>
    <d v="2022-12-26T02:36:01"/>
    <n v="1"/>
    <d v="2022-12-28T02:36:01"/>
    <d v="2022-12-30T02:36:01"/>
    <d v="2023-01-02T02:36:01"/>
    <m/>
    <m/>
    <d v="2023-01-09T02:36:01"/>
    <m/>
    <m/>
    <n v="1"/>
    <n v="17"/>
    <n v="16"/>
    <x v="15"/>
    <n v="3"/>
    <d v="2023-03-16T02:36:01"/>
    <n v="2"/>
    <n v="24"/>
    <n v="17"/>
    <m/>
    <m/>
    <m/>
    <m/>
    <m/>
    <m/>
    <m/>
    <m/>
    <m/>
    <m/>
  </r>
  <r>
    <n v="337"/>
    <s v="337 | Administation"/>
    <x v="10"/>
    <s v="Administation - Senior Management"/>
    <s v="Senior Manager"/>
    <s v="Administation-Senior Manager"/>
    <s v="Senior Management"/>
    <d v="2022-06-10T19:43:59"/>
    <d v="2022-06-12T19:43:59"/>
    <s v="Yes"/>
    <d v="2022-06-25T19:43:59"/>
    <s v="Failed"/>
    <s v="Other"/>
    <m/>
    <m/>
    <m/>
    <m/>
    <m/>
    <m/>
    <n v="0"/>
    <m/>
    <m/>
    <m/>
    <m/>
    <s v="Company"/>
    <m/>
    <m/>
    <m/>
    <n v="2"/>
    <n v="15"/>
    <n v="13"/>
    <x v="0"/>
    <s v=""/>
    <s v=""/>
    <s v=""/>
    <s v=""/>
    <s v=""/>
    <m/>
    <m/>
    <m/>
    <m/>
    <m/>
    <m/>
    <m/>
    <m/>
    <m/>
    <m/>
  </r>
  <r>
    <n v="336"/>
    <s v="336 | Administation"/>
    <x v="10"/>
    <s v="Administation - Senior Management"/>
    <s v="Senior Manager"/>
    <s v="Administation-Senior Manager"/>
    <s v="Senior Management"/>
    <d v="2022-06-04T19:43:59"/>
    <d v="2022-06-08T19:43:59"/>
    <s v="Yes"/>
    <d v="2022-06-23T19:43:59"/>
    <s v="Declined"/>
    <m/>
    <d v="2022-06-29T19:43:59"/>
    <s v="Declined"/>
    <m/>
    <m/>
    <d v="2022-06-27T19:43:59"/>
    <m/>
    <n v="0"/>
    <m/>
    <m/>
    <m/>
    <m/>
    <m/>
    <m/>
    <m/>
    <m/>
    <n v="4"/>
    <n v="19"/>
    <n v="15"/>
    <x v="3"/>
    <n v="4"/>
    <d v="2022-09-25T19:43:59"/>
    <s v=""/>
    <s v=""/>
    <s v=""/>
    <m/>
    <m/>
    <m/>
    <m/>
    <m/>
    <m/>
    <m/>
    <m/>
    <m/>
    <m/>
  </r>
  <r>
    <n v="333"/>
    <s v="333 | Administation"/>
    <x v="10"/>
    <s v="Administation - Senior Management"/>
    <s v="Senior Manager"/>
    <s v="Administation-Senior Manager"/>
    <s v="Senior Management"/>
    <d v="2022-06-07T19:43:59"/>
    <d v="2022-06-10T19:43:59"/>
    <s v="Yes"/>
    <d v="2022-06-29T19:43:59"/>
    <s v="Accepted"/>
    <m/>
    <d v="2022-07-05T19:43:59"/>
    <s v="Accepted"/>
    <d v="2022-06-30T19:43:59"/>
    <d v="2022-07-03T19:43:59"/>
    <d v="2022-07-03T19:43:59"/>
    <d v="2022-07-07T19:43:59"/>
    <n v="1"/>
    <d v="2022-07-10T19:43:59"/>
    <d v="2022-07-11T19:43:59"/>
    <d v="2022-07-14T19:43:59"/>
    <m/>
    <m/>
    <d v="2022-08-01T19:43:59"/>
    <m/>
    <m/>
    <n v="3"/>
    <n v="22"/>
    <n v="19"/>
    <x v="25"/>
    <n v="4"/>
    <d v="2022-10-01T19:43:59"/>
    <n v="3"/>
    <n v="29"/>
    <n v="11"/>
    <m/>
    <m/>
    <m/>
    <m/>
    <m/>
    <m/>
    <m/>
    <m/>
    <m/>
    <m/>
  </r>
  <r>
    <n v="310"/>
    <s v="310 | Administation"/>
    <x v="10"/>
    <s v="Administation - Senior Management"/>
    <s v="Senior Manager"/>
    <s v="Administation-Senior Manager"/>
    <s v="Senior Management"/>
    <d v="2023-04-13T21:25:25"/>
    <d v="2023-04-17T21:25:25"/>
    <s v="Yes"/>
    <d v="2023-05-01T21:25:25"/>
    <s v="Pending"/>
    <m/>
    <d v="2023-05-08T21:25:25"/>
    <s v="Pending"/>
    <m/>
    <m/>
    <d v="2023-05-04T21:25:25"/>
    <m/>
    <n v="0"/>
    <m/>
    <m/>
    <m/>
    <m/>
    <m/>
    <m/>
    <m/>
    <m/>
    <n v="4"/>
    <n v="18"/>
    <n v="14"/>
    <x v="19"/>
    <n v="3"/>
    <d v="2023-08-02T21:25:25"/>
    <s v=""/>
    <s v=""/>
    <s v=""/>
    <m/>
    <m/>
    <m/>
    <m/>
    <m/>
    <m/>
    <m/>
    <m/>
    <m/>
    <m/>
  </r>
  <r>
    <n v="40"/>
    <s v="40 | Administation"/>
    <x v="10"/>
    <s v="Administation - Senior Management"/>
    <s v="Senior Manager"/>
    <s v="Administation-Senior Manager"/>
    <s v="Senior Management"/>
    <d v="2022-08-01T12:40:37"/>
    <d v="2022-08-02T12:40:37"/>
    <s v="No"/>
    <m/>
    <m/>
    <m/>
    <m/>
    <m/>
    <m/>
    <m/>
    <m/>
    <m/>
    <n v="0"/>
    <m/>
    <m/>
    <m/>
    <m/>
    <m/>
    <m/>
    <m/>
    <m/>
    <n v="1"/>
    <s v=""/>
    <s v=""/>
    <x v="0"/>
    <s v=""/>
    <s v=""/>
    <s v=""/>
    <s v=""/>
    <s v=""/>
    <m/>
    <m/>
    <m/>
    <m/>
    <m/>
    <m/>
    <m/>
    <m/>
    <m/>
    <m/>
  </r>
  <r>
    <n v="38"/>
    <s v="38 | Administation"/>
    <x v="10"/>
    <s v="Administation - Senior Management"/>
    <s v="Senior Manager"/>
    <s v="Administation-Senior Manager"/>
    <s v="Senior Management"/>
    <d v="2022-07-26T12:40:37"/>
    <d v="2022-07-30T12:40:37"/>
    <s v="Yes"/>
    <d v="2022-08-10T12:40:37"/>
    <s v="Failed"/>
    <s v="Salary expectation too high"/>
    <m/>
    <m/>
    <m/>
    <m/>
    <d v="2022-08-12T12:40:37"/>
    <m/>
    <n v="0"/>
    <m/>
    <m/>
    <m/>
    <m/>
    <s v="Candidate"/>
    <m/>
    <m/>
    <m/>
    <n v="4"/>
    <n v="15"/>
    <n v="11"/>
    <x v="14"/>
    <n v="2"/>
    <d v="2022-11-10T12:40:37"/>
    <s v=""/>
    <s v=""/>
    <s v=""/>
    <m/>
    <m/>
    <m/>
    <m/>
    <m/>
    <m/>
    <m/>
    <m/>
    <m/>
    <m/>
  </r>
  <r>
    <n v="523"/>
    <s v="523 | Administation"/>
    <x v="10"/>
    <s v="Administation - Senior"/>
    <s v="Billing Officer"/>
    <s v="Administation-Billing Officer"/>
    <s v="Senior"/>
    <d v="2022-02-11T20:00:49"/>
    <d v="2022-02-13T20:00:49"/>
    <s v="Yes"/>
    <d v="2022-03-05T20:00:49"/>
    <s v="Failed"/>
    <s v="Other"/>
    <m/>
    <m/>
    <m/>
    <m/>
    <d v="2022-03-08T20:00:49"/>
    <m/>
    <n v="0"/>
    <m/>
    <m/>
    <m/>
    <m/>
    <s v="Company"/>
    <m/>
    <m/>
    <m/>
    <n v="2"/>
    <n v="22"/>
    <n v="20"/>
    <x v="11"/>
    <n v="3"/>
    <d v="2022-06-06T20:00:49"/>
    <s v=""/>
    <s v=""/>
    <s v=""/>
    <m/>
    <m/>
    <m/>
    <m/>
    <m/>
    <m/>
    <m/>
    <m/>
    <m/>
    <m/>
  </r>
  <r>
    <n v="520"/>
    <s v="520 | Administation"/>
    <x v="10"/>
    <s v="Administation - Senior"/>
    <s v="Billing Officer"/>
    <s v="Administation-Billing Officer"/>
    <s v="Senior"/>
    <d v="2022-10-14T22:12:48"/>
    <d v="2022-10-16T22:12:48"/>
    <s v="Yes"/>
    <d v="2022-11-01T22:12:48"/>
    <s v="Failed"/>
    <s v="Didn't pass technical test"/>
    <m/>
    <m/>
    <m/>
    <m/>
    <m/>
    <m/>
    <n v="0"/>
    <m/>
    <m/>
    <m/>
    <m/>
    <s v="Company"/>
    <m/>
    <m/>
    <m/>
    <n v="2"/>
    <n v="18"/>
    <n v="16"/>
    <x v="0"/>
    <s v=""/>
    <s v=""/>
    <s v=""/>
    <s v=""/>
    <s v=""/>
    <m/>
    <m/>
    <m/>
    <m/>
    <m/>
    <m/>
    <m/>
    <m/>
    <m/>
    <m/>
  </r>
  <r>
    <n v="514"/>
    <s v="514 | Administation"/>
    <x v="10"/>
    <s v="Administation - Senior"/>
    <s v="Billing Officer"/>
    <s v="Administation-Billing Officer"/>
    <s v="Senior"/>
    <d v="2022-10-16T22:12:48"/>
    <d v="2022-10-18T22:12:48"/>
    <s v="Yes"/>
    <d v="2022-11-01T22:12:48"/>
    <s v="Accepted"/>
    <m/>
    <d v="2022-11-06T22:12:48"/>
    <s v="Accepted"/>
    <d v="2022-11-03T22:12:48"/>
    <d v="2022-11-06T22:12:48"/>
    <d v="2022-11-05T22:12:48"/>
    <d v="2022-11-14T22:12:48"/>
    <n v="1"/>
    <d v="2022-11-16T22:12:48"/>
    <d v="2022-11-19T22:12:48"/>
    <d v="2022-11-20T22:12:48"/>
    <m/>
    <m/>
    <d v="2022-12-04T22:12:48"/>
    <m/>
    <m/>
    <n v="2"/>
    <n v="16"/>
    <n v="14"/>
    <x v="15"/>
    <n v="4"/>
    <d v="2023-02-03T22:12:48"/>
    <n v="2"/>
    <n v="29"/>
    <n v="15"/>
    <m/>
    <m/>
    <m/>
    <m/>
    <m/>
    <m/>
    <m/>
    <m/>
    <m/>
    <m/>
  </r>
  <r>
    <n v="468"/>
    <s v="468 | Administation"/>
    <x v="10"/>
    <s v="Administation - Senior"/>
    <s v="Billing Officer"/>
    <s v="Administation-Billing Officer"/>
    <s v="Senior"/>
    <d v="2023-02-15T10:11:16"/>
    <d v="2023-02-18T10:11:16"/>
    <s v="Yes"/>
    <d v="2023-03-03T10:11:16"/>
    <s v="Accepted"/>
    <m/>
    <d v="2023-03-08T10:11:16"/>
    <s v="Accepted"/>
    <d v="2023-03-05T10:11:16"/>
    <d v="2023-03-08T10:11:16"/>
    <d v="2023-03-06T10:11:16"/>
    <d v="2023-03-13T10:11:16"/>
    <n v="1"/>
    <d v="2023-03-16T10:11:16"/>
    <d v="2023-03-18T10:11:16"/>
    <d v="2023-03-21T10:11:16"/>
    <m/>
    <m/>
    <d v="2023-04-04T10:11:16"/>
    <m/>
    <m/>
    <n v="3"/>
    <n v="16"/>
    <n v="13"/>
    <x v="13"/>
    <n v="3"/>
    <d v="2023-06-04T10:11:16"/>
    <n v="3"/>
    <n v="29"/>
    <n v="15"/>
    <m/>
    <m/>
    <m/>
    <m/>
    <m/>
    <m/>
    <m/>
    <m/>
    <m/>
    <m/>
  </r>
  <r>
    <n v="464"/>
    <s v="464 | Administation"/>
    <x v="10"/>
    <s v="Administation - Senior"/>
    <s v="Billing Officer"/>
    <s v="Administation-Billing Officer"/>
    <s v="Senior"/>
    <d v="2023-02-16T10:11:16"/>
    <d v="2023-02-19T10:11:16"/>
    <s v="Yes"/>
    <d v="2023-03-02T10:11:16"/>
    <s v="Accepted"/>
    <m/>
    <d v="2023-03-06T10:11:16"/>
    <s v="Accepted"/>
    <d v="2023-03-03T10:11:16"/>
    <d v="2023-03-05T10:11:16"/>
    <d v="2023-03-03T10:11:16"/>
    <d v="2023-03-08T10:11:16"/>
    <n v="1"/>
    <d v="2023-03-12T10:11:16"/>
    <d v="2023-03-13T10:11:16"/>
    <d v="2023-03-14T10:11:16"/>
    <m/>
    <m/>
    <d v="2023-04-04T10:11:16"/>
    <m/>
    <m/>
    <n v="3"/>
    <n v="14"/>
    <n v="11"/>
    <x v="16"/>
    <n v="1"/>
    <d v="2023-06-01T10:11:16"/>
    <n v="4"/>
    <n v="32"/>
    <n v="11"/>
    <m/>
    <m/>
    <m/>
    <m/>
    <m/>
    <m/>
    <m/>
    <m/>
    <m/>
    <m/>
  </r>
  <r>
    <n v="463"/>
    <s v="463 | Administation"/>
    <x v="10"/>
    <s v="Administation - Senior"/>
    <s v="Billing Officer"/>
    <s v="Administation-Billing Officer"/>
    <s v="Senior"/>
    <d v="2023-02-15T10:11:16"/>
    <d v="2023-02-18T10:11:16"/>
    <s v="Yes"/>
    <d v="2023-02-26T10:11:16"/>
    <s v="Failed"/>
    <s v="Position filled by another"/>
    <m/>
    <m/>
    <m/>
    <m/>
    <m/>
    <m/>
    <n v="0"/>
    <m/>
    <m/>
    <m/>
    <m/>
    <s v="Candidate"/>
    <m/>
    <m/>
    <m/>
    <n v="3"/>
    <n v="11"/>
    <n v="8"/>
    <x v="0"/>
    <s v=""/>
    <s v=""/>
    <s v=""/>
    <s v=""/>
    <s v=""/>
    <m/>
    <m/>
    <m/>
    <m/>
    <m/>
    <m/>
    <m/>
    <m/>
    <m/>
    <m/>
  </r>
  <r>
    <n v="447"/>
    <s v="447 | Administation"/>
    <x v="10"/>
    <s v="Administation - Senior"/>
    <s v="Billing Officer"/>
    <s v="Administation-Billing Officer"/>
    <s v="Senior"/>
    <d v="2022-11-23T02:36:01"/>
    <d v="2022-11-26T02:36:01"/>
    <s v="Yes"/>
    <d v="2022-12-11T02:36:01"/>
    <s v="Accepted"/>
    <m/>
    <d v="2022-12-15T02:36:01"/>
    <s v="Accepted"/>
    <d v="2022-12-12T02:36:01"/>
    <d v="2022-12-15T02:36:01"/>
    <d v="2022-12-14T02:36:01"/>
    <d v="2022-12-17T02:36:01"/>
    <n v="1"/>
    <d v="2022-12-21T02:36:01"/>
    <d v="2022-12-24T02:36:01"/>
    <d v="2022-12-26T02:36:01"/>
    <m/>
    <m/>
    <d v="2023-01-15T02:36:01"/>
    <m/>
    <m/>
    <n v="3"/>
    <n v="18"/>
    <n v="15"/>
    <x v="19"/>
    <n v="3"/>
    <d v="2023-03-14T02:36:01"/>
    <n v="4"/>
    <n v="32"/>
    <n v="12"/>
    <m/>
    <m/>
    <m/>
    <m/>
    <m/>
    <m/>
    <m/>
    <m/>
    <m/>
    <m/>
  </r>
  <r>
    <n v="443"/>
    <s v="443 | Administation"/>
    <x v="10"/>
    <s v="Administation - Senior"/>
    <s v="Billing Officer"/>
    <s v="Administation-Billing Officer"/>
    <s v="Senior"/>
    <d v="2022-11-26T02:36:01"/>
    <d v="2022-11-27T02:36:01"/>
    <s v="Yes"/>
    <d v="2022-12-09T02:36:01"/>
    <s v="Failed"/>
    <s v="Salary expectation too high"/>
    <m/>
    <m/>
    <m/>
    <m/>
    <m/>
    <m/>
    <n v="0"/>
    <m/>
    <m/>
    <m/>
    <m/>
    <s v="Candidate"/>
    <m/>
    <m/>
    <m/>
    <n v="1"/>
    <n v="13"/>
    <n v="12"/>
    <x v="0"/>
    <s v=""/>
    <s v=""/>
    <s v=""/>
    <s v=""/>
    <s v=""/>
    <m/>
    <m/>
    <m/>
    <m/>
    <m/>
    <m/>
    <m/>
    <m/>
    <m/>
    <m/>
  </r>
  <r>
    <n v="402"/>
    <s v="402 | Administation"/>
    <x v="10"/>
    <s v="Administation - Senior"/>
    <s v="Billing Officer"/>
    <s v="Administation-Billing Officer"/>
    <s v="Senior"/>
    <d v="2022-02-23T05:03:33"/>
    <d v="2022-02-26T05:03:33"/>
    <s v="Yes"/>
    <d v="2022-03-19T05:03:33"/>
    <s v="Failed"/>
    <s v="Position filled by another"/>
    <m/>
    <m/>
    <m/>
    <m/>
    <d v="2022-03-22T05:03:33"/>
    <m/>
    <n v="0"/>
    <m/>
    <m/>
    <m/>
    <m/>
    <s v="Company"/>
    <m/>
    <m/>
    <m/>
    <n v="3"/>
    <n v="24"/>
    <n v="21"/>
    <x v="18"/>
    <n v="3"/>
    <d v="2022-06-20T05:03:33"/>
    <s v=""/>
    <s v=""/>
    <s v=""/>
    <m/>
    <m/>
    <m/>
    <m/>
    <m/>
    <m/>
    <m/>
    <m/>
    <m/>
    <m/>
  </r>
  <r>
    <n v="332"/>
    <s v="332 | Administation"/>
    <x v="10"/>
    <s v="Administation - Senior"/>
    <s v="Billing Officer"/>
    <s v="Administation-Billing Officer"/>
    <s v="Senior"/>
    <d v="2022-06-09T19:43:59"/>
    <d v="2022-06-12T19:43:59"/>
    <s v="Yes"/>
    <d v="2022-06-27T19:43:59"/>
    <s v="Accepted"/>
    <m/>
    <d v="2022-07-01T19:43:59"/>
    <s v="Accepted"/>
    <d v="2022-06-29T19:43:59"/>
    <d v="2022-07-03T19:43:59"/>
    <d v="2022-06-28T19:43:59"/>
    <d v="2022-07-03T19:43:59"/>
    <n v="1"/>
    <d v="2022-07-06T19:43:59"/>
    <d v="2022-07-07T19:43:59"/>
    <d v="2022-07-10T19:43:59"/>
    <m/>
    <m/>
    <d v="2022-07-24T19:43:59"/>
    <m/>
    <m/>
    <n v="3"/>
    <n v="18"/>
    <n v="15"/>
    <x v="13"/>
    <n v="1"/>
    <d v="2022-09-26T19:43:59"/>
    <n v="3"/>
    <n v="26"/>
    <n v="12"/>
    <m/>
    <m/>
    <m/>
    <m/>
    <m/>
    <m/>
    <m/>
    <m/>
    <m/>
    <m/>
  </r>
  <r>
    <n v="331"/>
    <s v="331 | Administation"/>
    <x v="10"/>
    <s v="Administation - Senior"/>
    <s v="Billing Officer"/>
    <s v="Administation-Billing Officer"/>
    <s v="Senior"/>
    <d v="2022-06-07T19:43:59"/>
    <d v="2022-06-09T19:43:59"/>
    <s v="Yes"/>
    <d v="2022-06-25T19:43:59"/>
    <s v="Failed"/>
    <s v="Position filled by another"/>
    <m/>
    <m/>
    <m/>
    <m/>
    <d v="2022-06-28T19:43:59"/>
    <m/>
    <n v="0"/>
    <m/>
    <m/>
    <m/>
    <m/>
    <s v="Candidate"/>
    <m/>
    <m/>
    <m/>
    <n v="2"/>
    <n v="18"/>
    <n v="16"/>
    <x v="19"/>
    <n v="3"/>
    <d v="2022-09-26T19:43:59"/>
    <s v=""/>
    <s v=""/>
    <s v=""/>
    <m/>
    <m/>
    <m/>
    <m/>
    <m/>
    <m/>
    <m/>
    <m/>
    <m/>
    <m/>
  </r>
  <r>
    <n v="308"/>
    <s v="308 | Administation"/>
    <x v="10"/>
    <s v="Administation - Senior"/>
    <s v="Supervisor"/>
    <s v="Administation-Supervisor"/>
    <s v="Senior"/>
    <d v="2023-04-14T21:25:25"/>
    <d v="2023-04-18T21:25:25"/>
    <s v="Yes"/>
    <d v="2023-04-28T21:25:25"/>
    <s v="Declined"/>
    <m/>
    <d v="2023-05-04T21:25:25"/>
    <s v="Declined"/>
    <m/>
    <m/>
    <d v="2023-04-30T21:25:25"/>
    <m/>
    <n v="0"/>
    <m/>
    <m/>
    <m/>
    <m/>
    <m/>
    <m/>
    <m/>
    <m/>
    <n v="4"/>
    <n v="14"/>
    <n v="10"/>
    <x v="20"/>
    <n v="2"/>
    <d v="2023-07-29T21:25:25"/>
    <s v=""/>
    <s v=""/>
    <s v=""/>
    <m/>
    <m/>
    <m/>
    <m/>
    <m/>
    <m/>
    <m/>
    <m/>
    <m/>
    <m/>
  </r>
  <r>
    <n v="307"/>
    <s v="307 | Administation"/>
    <x v="10"/>
    <s v="Administation - Senior"/>
    <s v="Supervisor"/>
    <s v="Administation-Supervisor"/>
    <s v="Senior"/>
    <d v="2023-04-10T21:25:25"/>
    <d v="2023-04-13T21:25:25"/>
    <s v="Yes"/>
    <d v="2023-04-25T21:25:25"/>
    <s v="Failed"/>
    <s v="Didn't pass technical test"/>
    <m/>
    <m/>
    <m/>
    <m/>
    <m/>
    <m/>
    <n v="0"/>
    <m/>
    <m/>
    <m/>
    <m/>
    <s v="Company"/>
    <m/>
    <m/>
    <m/>
    <n v="3"/>
    <n v="15"/>
    <n v="12"/>
    <x v="0"/>
    <s v=""/>
    <s v=""/>
    <s v=""/>
    <s v=""/>
    <s v=""/>
    <m/>
    <m/>
    <m/>
    <m/>
    <m/>
    <m/>
    <m/>
    <m/>
    <m/>
    <m/>
  </r>
  <r>
    <n v="302"/>
    <s v="302 | Administation"/>
    <x v="10"/>
    <s v="Administation - Senior"/>
    <s v="Supervisor"/>
    <s v="Administation-Supervisor"/>
    <s v="Senior"/>
    <d v="2023-04-12T21:25:25"/>
    <d v="2023-04-16T21:25:25"/>
    <s v="Yes"/>
    <d v="2023-04-26T21:25:25"/>
    <s v="Failed"/>
    <s v="Other"/>
    <m/>
    <m/>
    <m/>
    <m/>
    <d v="2023-04-28T21:25:25"/>
    <m/>
    <n v="0"/>
    <m/>
    <m/>
    <m/>
    <m/>
    <s v="Candidate"/>
    <m/>
    <m/>
    <m/>
    <n v="4"/>
    <n v="14"/>
    <n v="10"/>
    <x v="20"/>
    <n v="2"/>
    <d v="2023-07-27T21:25:25"/>
    <s v=""/>
    <s v=""/>
    <s v=""/>
    <m/>
    <m/>
    <m/>
    <m/>
    <m/>
    <m/>
    <m/>
    <m/>
    <m/>
    <m/>
  </r>
  <r>
    <n v="301"/>
    <s v="301 | Administation"/>
    <x v="10"/>
    <s v="Administation - Senior"/>
    <s v="Supervisor"/>
    <s v="Administation-Supervisor"/>
    <s v="Senior"/>
    <d v="2023-04-10T21:25:25"/>
    <d v="2023-04-13T21:25:25"/>
    <s v="Yes"/>
    <d v="2023-04-27T21:25:25"/>
    <s v="Failed"/>
    <s v="Didn't pass technical test"/>
    <m/>
    <m/>
    <m/>
    <m/>
    <d v="2023-04-30T21:25:25"/>
    <m/>
    <n v="0"/>
    <m/>
    <m/>
    <m/>
    <m/>
    <s v="Company"/>
    <m/>
    <m/>
    <m/>
    <n v="3"/>
    <n v="17"/>
    <n v="14"/>
    <x v="15"/>
    <n v="3"/>
    <d v="2023-07-29T21:25:25"/>
    <s v=""/>
    <s v=""/>
    <s v=""/>
    <m/>
    <m/>
    <m/>
    <m/>
    <m/>
    <m/>
    <m/>
    <m/>
    <m/>
    <m/>
  </r>
  <r>
    <n v="217"/>
    <s v="217 | Administation"/>
    <x v="10"/>
    <s v="Administation - Senior"/>
    <s v="Supervisor"/>
    <s v="Administation-Supervisor"/>
    <s v="Senior"/>
    <d v="2022-04-13T07:57:47"/>
    <d v="2022-04-14T07:57:47"/>
    <s v="Yes"/>
    <d v="2022-04-17T07:57:47"/>
    <s v="Failed"/>
    <s v="Other"/>
    <m/>
    <m/>
    <m/>
    <m/>
    <d v="2022-04-19T07:57:47"/>
    <m/>
    <n v="0"/>
    <m/>
    <m/>
    <m/>
    <m/>
    <s v="Candidate"/>
    <m/>
    <m/>
    <m/>
    <n v="1"/>
    <n v="4"/>
    <n v="3"/>
    <x v="27"/>
    <n v="2"/>
    <d v="2022-07-18T07:57:47"/>
    <s v=""/>
    <s v=""/>
    <s v=""/>
    <m/>
    <m/>
    <m/>
    <m/>
    <m/>
    <m/>
    <m/>
    <m/>
    <m/>
    <m/>
  </r>
  <r>
    <n v="39"/>
    <s v="39 | Administation"/>
    <x v="10"/>
    <s v="Administation - Senior"/>
    <s v="Supervisor"/>
    <s v="Administation-Supervisor"/>
    <s v="Senior"/>
    <d v="2022-07-29T12:40:37"/>
    <d v="2022-07-31T12:40:37"/>
    <s v="No"/>
    <m/>
    <m/>
    <m/>
    <m/>
    <m/>
    <m/>
    <m/>
    <m/>
    <m/>
    <n v="0"/>
    <m/>
    <m/>
    <m/>
    <m/>
    <m/>
    <m/>
    <m/>
    <m/>
    <n v="2"/>
    <s v=""/>
    <s v=""/>
    <x v="0"/>
    <s v=""/>
    <s v=""/>
    <s v=""/>
    <s v=""/>
    <s v=""/>
    <m/>
    <m/>
    <m/>
    <m/>
    <m/>
    <m/>
    <m/>
    <m/>
    <m/>
    <m/>
  </r>
  <r>
    <n v="31"/>
    <s v="31 | Administation"/>
    <x v="10"/>
    <s v="Administation - Senior"/>
    <s v="Supervisor"/>
    <s v="Administation-Supervisor"/>
    <s v="Senior"/>
    <d v="2022-07-30T12:40:37"/>
    <d v="2022-08-02T12:40:37"/>
    <s v="Yes"/>
    <d v="2022-08-08T12:40:37"/>
    <s v="Failed"/>
    <s v="Position filled by another"/>
    <m/>
    <m/>
    <m/>
    <m/>
    <m/>
    <m/>
    <n v="0"/>
    <m/>
    <m/>
    <m/>
    <m/>
    <s v="Candidate"/>
    <m/>
    <m/>
    <m/>
    <n v="3"/>
    <n v="9"/>
    <n v="6"/>
    <x v="0"/>
    <s v=""/>
    <s v=""/>
    <s v=""/>
    <s v=""/>
    <s v=""/>
    <m/>
    <m/>
    <m/>
    <m/>
    <m/>
    <m/>
    <m/>
    <m/>
    <m/>
    <m/>
  </r>
  <r>
    <n v="521"/>
    <s v="521 | Administation"/>
    <x v="10"/>
    <s v="Administation - Manager Level"/>
    <s v="Supervisor"/>
    <s v="Administation-Supervisor"/>
    <s v="Manager Level"/>
    <d v="2022-02-09T20:00:49"/>
    <d v="2022-02-13T20:00:49"/>
    <s v="Yes"/>
    <d v="2022-02-28T20:00:49"/>
    <s v="Declined"/>
    <m/>
    <d v="2022-03-07T20:00:49"/>
    <s v="Declined"/>
    <m/>
    <m/>
    <d v="2022-03-04T20:00:49"/>
    <m/>
    <n v="0"/>
    <m/>
    <m/>
    <m/>
    <m/>
    <m/>
    <m/>
    <m/>
    <m/>
    <n v="4"/>
    <n v="19"/>
    <n v="15"/>
    <x v="3"/>
    <n v="4"/>
    <d v="2022-06-02T20:00:49"/>
    <s v=""/>
    <s v=""/>
    <s v=""/>
    <m/>
    <m/>
    <m/>
    <m/>
    <m/>
    <m/>
    <m/>
    <m/>
    <m/>
    <m/>
  </r>
  <r>
    <n v="516"/>
    <s v="516 | Administation"/>
    <x v="10"/>
    <s v="Administation - Manager Level"/>
    <s v="Supervisor"/>
    <s v="Administation-Supervisor"/>
    <s v="Manager Level"/>
    <d v="2022-10-17T22:12:48"/>
    <d v="2022-10-18T22:12:48"/>
    <s v="Yes"/>
    <d v="2022-10-30T22:12:48"/>
    <s v="Failed"/>
    <s v="Not a culture fit"/>
    <m/>
    <m/>
    <m/>
    <m/>
    <m/>
    <m/>
    <n v="0"/>
    <m/>
    <m/>
    <m/>
    <m/>
    <s v="Company"/>
    <m/>
    <m/>
    <m/>
    <n v="1"/>
    <n v="13"/>
    <n v="12"/>
    <x v="0"/>
    <s v=""/>
    <s v=""/>
    <s v=""/>
    <s v=""/>
    <s v=""/>
    <m/>
    <m/>
    <m/>
    <m/>
    <m/>
    <m/>
    <m/>
    <m/>
    <m/>
    <m/>
  </r>
  <r>
    <n v="513"/>
    <s v="513 | Administation"/>
    <x v="10"/>
    <s v="Administation - Manager Level"/>
    <s v="Supervisor"/>
    <s v="Administation-Supervisor"/>
    <s v="Manager Level"/>
    <d v="2022-10-15T22:12:48"/>
    <d v="2022-10-19T22:12:48"/>
    <s v="Yes"/>
    <d v="2022-11-02T22:12:48"/>
    <s v="Declined"/>
    <m/>
    <d v="2022-11-08T22:12:48"/>
    <s v="Declined"/>
    <m/>
    <m/>
    <d v="2022-11-05T22:12:48"/>
    <m/>
    <n v="0"/>
    <m/>
    <m/>
    <m/>
    <m/>
    <m/>
    <m/>
    <m/>
    <m/>
    <n v="4"/>
    <n v="18"/>
    <n v="14"/>
    <x v="19"/>
    <n v="3"/>
    <d v="2023-02-03T22:12:48"/>
    <s v=""/>
    <s v=""/>
    <s v=""/>
    <m/>
    <m/>
    <m/>
    <m/>
    <m/>
    <m/>
    <m/>
    <m/>
    <m/>
    <m/>
  </r>
  <r>
    <n v="465"/>
    <s v="465 | Administation"/>
    <x v="10"/>
    <s v="Administation - Manager Level"/>
    <s v="Supervisor"/>
    <s v="Administation-Supervisor"/>
    <s v="Manager Level"/>
    <d v="2023-02-13T10:11:16"/>
    <d v="2023-02-16T10:11:16"/>
    <s v="Yes"/>
    <d v="2023-02-28T10:11:16"/>
    <s v="Declined"/>
    <m/>
    <d v="2023-03-05T10:11:16"/>
    <s v="Declined"/>
    <m/>
    <m/>
    <d v="2023-03-04T10:11:16"/>
    <m/>
    <n v="0"/>
    <m/>
    <m/>
    <m/>
    <m/>
    <m/>
    <m/>
    <m/>
    <m/>
    <n v="3"/>
    <n v="15"/>
    <n v="12"/>
    <x v="13"/>
    <n v="4"/>
    <d v="2023-06-02T10:11:16"/>
    <s v=""/>
    <s v=""/>
    <s v=""/>
    <m/>
    <m/>
    <m/>
    <m/>
    <m/>
    <m/>
    <m/>
    <m/>
    <m/>
    <m/>
  </r>
  <r>
    <n v="450"/>
    <s v="450 | Administation"/>
    <x v="10"/>
    <s v="Administation - Manager Level"/>
    <s v="Supervisor"/>
    <s v="Administation-Supervisor"/>
    <s v="Manager Level"/>
    <d v="2022-11-24T02:36:01"/>
    <d v="2022-11-28T02:36:01"/>
    <s v="Yes"/>
    <d v="2022-12-05T02:36:01"/>
    <s v="Declined"/>
    <m/>
    <d v="2022-12-11T02:36:01"/>
    <s v="Declined"/>
    <m/>
    <m/>
    <d v="2022-12-09T02:36:01"/>
    <m/>
    <n v="0"/>
    <m/>
    <m/>
    <m/>
    <m/>
    <m/>
    <m/>
    <m/>
    <m/>
    <n v="4"/>
    <n v="11"/>
    <n v="7"/>
    <x v="16"/>
    <n v="4"/>
    <d v="2023-03-09T02:36:01"/>
    <s v=""/>
    <s v=""/>
    <s v=""/>
    <m/>
    <m/>
    <m/>
    <m/>
    <m/>
    <m/>
    <m/>
    <m/>
    <m/>
    <m/>
  </r>
  <r>
    <n v="446"/>
    <s v="446 | Administation"/>
    <x v="10"/>
    <s v="Administation - Manager Level"/>
    <s v="Supervisor"/>
    <s v="Administation-Supervisor"/>
    <s v="Manager Level"/>
    <d v="2022-11-24T02:36:01"/>
    <d v="2022-11-25T02:36:01"/>
    <s v="Yes"/>
    <d v="2022-12-11T02:36:01"/>
    <s v="Failed"/>
    <s v="Salary expectation too high"/>
    <m/>
    <m/>
    <m/>
    <m/>
    <d v="2022-12-14T02:36:01"/>
    <m/>
    <n v="0"/>
    <m/>
    <m/>
    <m/>
    <m/>
    <s v="Company"/>
    <m/>
    <m/>
    <m/>
    <n v="1"/>
    <n v="17"/>
    <n v="16"/>
    <x v="15"/>
    <n v="3"/>
    <d v="2023-03-14T02:36:01"/>
    <s v=""/>
    <s v=""/>
    <s v=""/>
    <m/>
    <m/>
    <m/>
    <m/>
    <m/>
    <m/>
    <m/>
    <m/>
    <m/>
    <m/>
  </r>
  <r>
    <n v="445"/>
    <s v="445 | Administation"/>
    <x v="10"/>
    <s v="Administation - Manager Level"/>
    <s v="Supervisor"/>
    <s v="Administation-Supervisor"/>
    <s v="Manager Level"/>
    <d v="2022-11-24T02:36:01"/>
    <d v="2022-11-27T02:36:01"/>
    <s v="Yes"/>
    <d v="2022-12-11T02:36:01"/>
    <s v="Accepted"/>
    <m/>
    <d v="2022-12-16T02:36:01"/>
    <s v="Accepted"/>
    <d v="2022-12-12T02:36:01"/>
    <d v="2022-12-16T02:36:01"/>
    <d v="2022-12-13T02:36:01"/>
    <d v="2022-12-23T02:36:01"/>
    <n v="1"/>
    <d v="2022-12-25T02:36:01"/>
    <d v="2022-12-26T02:36:01"/>
    <d v="2022-12-28T02:36:01"/>
    <m/>
    <m/>
    <d v="2023-01-15T02:36:01"/>
    <m/>
    <m/>
    <n v="3"/>
    <n v="17"/>
    <n v="14"/>
    <x v="13"/>
    <n v="2"/>
    <d v="2023-03-13T02:36:01"/>
    <n v="2"/>
    <n v="33"/>
    <n v="15"/>
    <m/>
    <m/>
    <m/>
    <m/>
    <m/>
    <m/>
    <m/>
    <m/>
    <m/>
    <m/>
  </r>
  <r>
    <n v="406"/>
    <s v="406 | Administation"/>
    <x v="10"/>
    <s v="Administation - Manager Level"/>
    <s v="Supervisor"/>
    <s v="Administation-Supervisor"/>
    <s v="Manager Level"/>
    <d v="2022-02-25T05:03:33"/>
    <d v="2022-03-01T05:03:33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340"/>
    <s v="340 | Administation"/>
    <x v="10"/>
    <s v="Administation - Manager Level"/>
    <s v="Supervisor"/>
    <s v="Administation-Supervisor"/>
    <s v="Manager Level"/>
    <d v="2022-06-11T19:43:59"/>
    <d v="2022-06-12T19:43:59"/>
    <s v="Yes"/>
    <d v="2022-06-20T19:43:59"/>
    <s v="Accepted"/>
    <m/>
    <d v="2022-06-26T19:43:59"/>
    <s v="Accepted"/>
    <d v="2022-06-21T19:43:59"/>
    <d v="2022-06-23T19:43:59"/>
    <d v="2022-06-23T19:43:59"/>
    <d v="2022-06-28T19:43:59"/>
    <n v="1"/>
    <d v="2022-06-29T19:43:59"/>
    <d v="2022-06-30T19:43:59"/>
    <d v="2022-07-02T19:43:59"/>
    <m/>
    <m/>
    <d v="2022-07-20T19:43:59"/>
    <m/>
    <m/>
    <n v="1"/>
    <n v="9"/>
    <n v="8"/>
    <x v="24"/>
    <n v="3"/>
    <d v="2022-09-21T19:43:59"/>
    <n v="1"/>
    <n v="27"/>
    <n v="9"/>
    <m/>
    <m/>
    <m/>
    <m/>
    <m/>
    <m/>
    <m/>
    <m/>
    <m/>
    <m/>
  </r>
  <r>
    <n v="334"/>
    <s v="334 | Administation"/>
    <x v="10"/>
    <s v="Administation - Manager Level"/>
    <s v="Supervisor"/>
    <s v="Administation-Supervisor"/>
    <s v="Manager Level"/>
    <d v="2022-06-05T19:43:59"/>
    <d v="2022-06-09T19:43:59"/>
    <s v="Yes"/>
    <d v="2022-06-29T19:43:59"/>
    <s v="Failed"/>
    <s v="Didn't pass technical test"/>
    <m/>
    <m/>
    <m/>
    <m/>
    <d v="2022-07-01T19:43:59"/>
    <m/>
    <n v="0"/>
    <m/>
    <m/>
    <m/>
    <m/>
    <s v="Candidate"/>
    <m/>
    <m/>
    <m/>
    <n v="4"/>
    <n v="24"/>
    <n v="20"/>
    <x v="25"/>
    <n v="2"/>
    <d v="2022-09-29T19:43:59"/>
    <s v=""/>
    <s v=""/>
    <s v=""/>
    <m/>
    <m/>
    <m/>
    <m/>
    <m/>
    <m/>
    <m/>
    <m/>
    <m/>
    <m/>
  </r>
  <r>
    <n v="309"/>
    <s v="309 | Administation"/>
    <x v="10"/>
    <s v="Administation - Manager Level"/>
    <s v="Manager"/>
    <s v="Administation-Manager"/>
    <s v="Manager Level"/>
    <d v="2023-04-13T21:25:25"/>
    <d v="2023-04-17T21:25:25"/>
    <s v="No"/>
    <m/>
    <m/>
    <m/>
    <m/>
    <m/>
    <m/>
    <m/>
    <m/>
    <m/>
    <n v="0"/>
    <m/>
    <m/>
    <m/>
    <m/>
    <m/>
    <m/>
    <m/>
    <m/>
    <n v="4"/>
    <s v=""/>
    <s v=""/>
    <x v="0"/>
    <s v=""/>
    <s v=""/>
    <s v=""/>
    <s v=""/>
    <s v=""/>
    <m/>
    <m/>
    <m/>
    <m/>
    <m/>
    <m/>
    <m/>
    <m/>
    <m/>
    <m/>
  </r>
  <r>
    <n v="303"/>
    <s v="303 | Administation"/>
    <x v="10"/>
    <s v="Administation - Manager Level"/>
    <s v="Manager"/>
    <s v="Administation-Manager"/>
    <s v="Manager Level"/>
    <d v="2023-04-14T21:25:25"/>
    <d v="2023-04-16T21:25:25"/>
    <s v="Yes"/>
    <d v="2023-04-23T21:25:25"/>
    <s v="Accepted"/>
    <m/>
    <d v="2023-04-25T21:25:25"/>
    <s v="Accepted"/>
    <d v="2023-04-24T21:25:25"/>
    <d v="2023-04-28T21:25:25"/>
    <d v="2023-04-24T21:25:25"/>
    <d v="2023-04-27T21:25:25"/>
    <n v="1"/>
    <d v="2023-04-30T21:25:25"/>
    <d v="2023-05-02T21:25:25"/>
    <d v="2023-05-03T21:25:25"/>
    <m/>
    <m/>
    <d v="2023-05-26T21:25:25"/>
    <m/>
    <m/>
    <n v="2"/>
    <n v="9"/>
    <n v="7"/>
    <x v="22"/>
    <n v="1"/>
    <d v="2023-07-23T21:25:25"/>
    <n v="3"/>
    <n v="32"/>
    <n v="9"/>
    <m/>
    <m/>
    <m/>
    <m/>
    <m/>
    <m/>
    <m/>
    <m/>
    <m/>
    <m/>
  </r>
  <r>
    <n v="218"/>
    <s v="218 | Administation"/>
    <x v="10"/>
    <s v="Administation - Manager Level"/>
    <s v="Manager"/>
    <s v="Administation-Manager"/>
    <s v="Manager Level"/>
    <d v="2022-04-11T07:57:47"/>
    <d v="2022-04-13T07:57:47"/>
    <s v="Yes"/>
    <d v="2022-04-22T07:57:47"/>
    <s v="Failed"/>
    <s v="Position filled by another"/>
    <m/>
    <m/>
    <m/>
    <m/>
    <m/>
    <m/>
    <n v="0"/>
    <m/>
    <m/>
    <m/>
    <m/>
    <s v="Candidate"/>
    <m/>
    <m/>
    <m/>
    <n v="2"/>
    <n v="11"/>
    <n v="9"/>
    <x v="0"/>
    <s v=""/>
    <s v=""/>
    <s v=""/>
    <s v=""/>
    <s v=""/>
    <m/>
    <m/>
    <m/>
    <m/>
    <m/>
    <m/>
    <m/>
    <m/>
    <m/>
    <m/>
  </r>
  <r>
    <n v="214"/>
    <s v="214 | Administation"/>
    <x v="10"/>
    <s v="Administation - Manager Level"/>
    <s v="Manager"/>
    <s v="Administation-Manager"/>
    <s v="Manager Level"/>
    <d v="2022-04-08T07:57:47"/>
    <d v="2022-04-09T07:57:47"/>
    <s v="Yes"/>
    <d v="2022-04-22T07:57:47"/>
    <s v="Declined"/>
    <m/>
    <d v="2022-04-27T07:57:47"/>
    <s v="Declined"/>
    <m/>
    <m/>
    <d v="2022-04-24T07:57:47"/>
    <m/>
    <n v="0"/>
    <m/>
    <m/>
    <m/>
    <m/>
    <m/>
    <m/>
    <m/>
    <m/>
    <n v="1"/>
    <n v="14"/>
    <n v="13"/>
    <x v="20"/>
    <n v="2"/>
    <d v="2022-07-23T07:57:47"/>
    <s v=""/>
    <s v=""/>
    <s v=""/>
    <m/>
    <m/>
    <m/>
    <m/>
    <m/>
    <m/>
    <m/>
    <m/>
    <m/>
    <m/>
  </r>
  <r>
    <n v="213"/>
    <s v="213 | Administation"/>
    <x v="10"/>
    <s v="Administation - Manager Level"/>
    <s v="Manager"/>
    <s v="Administation-Manager"/>
    <s v="Manager Level"/>
    <d v="2022-04-08T07:57:47"/>
    <d v="2022-04-11T07:57:47"/>
    <s v="No"/>
    <m/>
    <m/>
    <m/>
    <m/>
    <m/>
    <m/>
    <m/>
    <m/>
    <m/>
    <n v="0"/>
    <m/>
    <m/>
    <m/>
    <m/>
    <m/>
    <m/>
    <m/>
    <m/>
    <n v="3"/>
    <s v=""/>
    <s v=""/>
    <x v="0"/>
    <s v=""/>
    <s v=""/>
    <s v=""/>
    <s v=""/>
    <s v=""/>
    <m/>
    <m/>
    <m/>
    <m/>
    <m/>
    <m/>
    <m/>
    <m/>
    <m/>
    <m/>
  </r>
  <r>
    <n v="212"/>
    <s v="212 | Administation"/>
    <x v="10"/>
    <s v="Administation - Manager Level"/>
    <s v="Manager"/>
    <s v="Administation-Manager"/>
    <s v="Manager Level"/>
    <d v="2022-04-06T07:57:47"/>
    <d v="2022-04-09T07:57:47"/>
    <s v="Yes"/>
    <d v="2022-04-23T07:57:47"/>
    <s v="Declined"/>
    <m/>
    <d v="2022-04-28T07:57:47"/>
    <s v="Declined"/>
    <m/>
    <m/>
    <d v="2022-04-27T07:57:47"/>
    <m/>
    <n v="0"/>
    <m/>
    <m/>
    <m/>
    <m/>
    <m/>
    <m/>
    <m/>
    <m/>
    <n v="3"/>
    <n v="17"/>
    <n v="14"/>
    <x v="19"/>
    <n v="4"/>
    <d v="2022-07-26T07:57:47"/>
    <s v=""/>
    <s v=""/>
    <s v=""/>
    <m/>
    <m/>
    <m/>
    <m/>
    <m/>
    <m/>
    <m/>
    <m/>
    <m/>
    <m/>
  </r>
  <r>
    <n v="36"/>
    <s v="36 | Administation"/>
    <x v="10"/>
    <s v="Administation - Junior"/>
    <s v="Analyst"/>
    <s v="Administation-Analyst"/>
    <s v="Junior"/>
    <d v="2022-07-31T12:40:37"/>
    <d v="2022-08-04T12:40:37"/>
    <s v="Yes"/>
    <d v="2022-08-11T12:40:37"/>
    <s v="Accepted"/>
    <m/>
    <d v="2022-08-14T12:40:37"/>
    <s v="Accepted"/>
    <d v="2022-08-13T12:40:37"/>
    <d v="2022-08-17T12:40:37"/>
    <d v="2022-08-13T12:40:37"/>
    <d v="2022-08-16T12:40:37"/>
    <n v="1"/>
    <d v="2022-08-18T12:40:37"/>
    <d v="2022-08-20T12:40:37"/>
    <d v="2022-08-23T12:40:37"/>
    <m/>
    <m/>
    <d v="2022-09-13T12:40:37"/>
    <m/>
    <m/>
    <n v="4"/>
    <n v="11"/>
    <n v="7"/>
    <x v="8"/>
    <n v="2"/>
    <d v="2022-11-11T12:40:37"/>
    <n v="2"/>
    <n v="31"/>
    <n v="10"/>
    <m/>
    <m/>
    <m/>
    <m/>
    <m/>
    <m/>
    <m/>
    <m/>
    <m/>
    <m/>
  </r>
  <r>
    <m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x v="28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</r>
  <r>
    <x v="1"/>
    <x v="0"/>
  </r>
  <r>
    <x v="2"/>
    <x v="1"/>
  </r>
  <r>
    <x v="3"/>
    <x v="2"/>
  </r>
  <r>
    <x v="4"/>
    <x v="3"/>
  </r>
  <r>
    <x v="5"/>
    <x v="4"/>
  </r>
  <r>
    <x v="6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C8C0-C762-4684-8528-94EDF70F4DC5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jection Reasons">
  <location ref="BF12:BG18" firstHeaderRow="1" firstDataRow="1" firstDataCol="1"/>
  <pivotFields count="2">
    <pivotField axis="axisRow" showAll="0">
      <items count="8">
        <item x="4"/>
        <item x="2"/>
        <item x="3"/>
        <item x="5"/>
        <item h="1" x="1"/>
        <item x="6"/>
        <item h="1" x="0"/>
        <item t="default"/>
      </items>
    </pivotField>
    <pivotField dataField="1" showAll="0">
      <items count="7">
        <item x="3"/>
        <item x="4"/>
        <item x="5"/>
        <item x="1"/>
        <item x="2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Number of people" fld="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73F1C-B8B1-49DB-90D3-023E12E7FA0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Departments">
  <location ref="AU2:AV14" firstHeaderRow="1" firstDataRow="1" firstDataCol="1"/>
  <pivotFields count="47">
    <pivotField showAll="0"/>
    <pivotField showAll="0"/>
    <pivotField axis="axisRow" showAll="0">
      <items count="13">
        <item x="10"/>
        <item x="9"/>
        <item x="8"/>
        <item x="7"/>
        <item x="6"/>
        <item x="5"/>
        <item x="4"/>
        <item x="3"/>
        <item x="2"/>
        <item x="1"/>
        <item x="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0">
        <item x="2"/>
        <item x="27"/>
        <item x="5"/>
        <item x="10"/>
        <item x="4"/>
        <item x="22"/>
        <item x="9"/>
        <item x="24"/>
        <item x="8"/>
        <item x="1"/>
        <item x="16"/>
        <item x="20"/>
        <item x="14"/>
        <item x="12"/>
        <item x="13"/>
        <item x="15"/>
        <item x="19"/>
        <item x="7"/>
        <item x="3"/>
        <item x="21"/>
        <item x="11"/>
        <item x="25"/>
        <item x="18"/>
        <item x="6"/>
        <item x="23"/>
        <item x="26"/>
        <item x="17"/>
        <item x="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Hired" fld="19" subtotal="average" baseField="2" baseItem="0" numFmtId="9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D9BDC-17BB-40A9-A183-27F1A36F2497}" autoFormatId="16" applyNumberFormats="0" applyBorderFormats="0" applyFontFormats="0" applyPatternFormats="0" applyAlignmentFormats="0" applyWidthHeightFormats="0">
  <queryTableRefresh nextId="27">
    <queryTableFields count="26">
      <queryTableField id="1" name="Open position" tableColumnId="1"/>
      <queryTableField id="2" name="Position ID" tableColumnId="2"/>
      <queryTableField id="3" name="Department " tableColumnId="3"/>
      <queryTableField id="4" name="Role" tableColumnId="4"/>
      <queryTableField id="5" name="Designation" tableColumnId="5"/>
      <queryTableField id="6" name="Job Vacancy" tableColumnId="6"/>
      <queryTableField id="7" name="Level/Band" tableColumnId="7"/>
      <queryTableField id="8" name="Position Requisition Date" tableColumnId="8"/>
      <queryTableField id="9" name="Vacancy approval date" tableColumnId="9"/>
      <queryTableField id="10" name="Shortlisted Status" tableColumnId="10"/>
      <queryTableField id="11" name="Interview date" tableColumnId="11"/>
      <queryTableField id="12" name="Hire Status" tableColumnId="12"/>
      <queryTableField id="13" name="Rejection Reason" tableColumnId="13"/>
      <queryTableField id="14" name="Date job offer" tableColumnId="14"/>
      <queryTableField id="15" name="Offer Status" tableColumnId="15"/>
      <queryTableField id="16" name="Date contract prepared" tableColumnId="16"/>
      <queryTableField id="17" name="Date contract issued " tableColumnId="17"/>
      <queryTableField id="18" name="Reporting date " tableColumnId="18"/>
      <queryTableField id="19" name="Date of induction/onboarding " tableColumnId="19"/>
      <queryTableField id="20" name="Hired" tableColumnId="20"/>
      <queryTableField id="21" name="Date e-file opened" tableColumnId="21"/>
      <queryTableField id="22" name="Date physical file open " tableColumnId="22"/>
      <queryTableField id="23" name="Date of inclusion to benefits " tableColumnId="23"/>
      <queryTableField id="24" name="Comments" tableColumnId="24"/>
      <queryTableField id="25" name="Rejected By" tableColumnId="25"/>
      <queryTableField id="26" name="Date of File Closur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5D3F6-6D01-42A9-A6D0-7B6C5872A0C7}" name="Raw_Data" displayName="Raw_Data" ref="A1:Z2401" tableType="queryTable" totalsRowShown="0">
  <autoFilter ref="A1:Z2401" xr:uid="{B725D3F6-6D01-42A9-A6D0-7B6C5872A0C7}"/>
  <tableColumns count="26">
    <tableColumn id="1" xr3:uid="{814D7A98-3FCC-42B4-B438-A2901E2D27A1}" uniqueName="1" name="Open position" queryTableFieldId="1"/>
    <tableColumn id="2" xr3:uid="{A01EF148-2C93-41CA-923B-534D5F819C54}" uniqueName="2" name="Position ID" queryTableFieldId="2" dataDxfId="24"/>
    <tableColumn id="3" xr3:uid="{248EC53A-279E-48FE-9DA6-94353C9C8A73}" uniqueName="3" name="Department " queryTableFieldId="3" dataDxfId="23"/>
    <tableColumn id="4" xr3:uid="{41A2D45B-A663-4D88-9207-B934478D21A8}" uniqueName="4" name="Role" queryTableFieldId="4" dataDxfId="22"/>
    <tableColumn id="5" xr3:uid="{ACB1249F-8403-46C0-A183-CC18A866BE73}" uniqueName="5" name="Designation" queryTableFieldId="5" dataDxfId="21"/>
    <tableColumn id="6" xr3:uid="{B0305F8D-3F08-43FC-9B52-4F7683DDFA29}" uniqueName="6" name="Job Vacancy" queryTableFieldId="6" dataDxfId="20"/>
    <tableColumn id="7" xr3:uid="{B62AEAC8-58C0-457D-ACBA-15CB2A1FAF5B}" uniqueName="7" name="Level/Band" queryTableFieldId="7" dataDxfId="19"/>
    <tableColumn id="8" xr3:uid="{93E757D6-8470-4F5F-B87F-0E004814F2CF}" uniqueName="8" name="Position Requisition Date" queryTableFieldId="8" dataDxfId="18"/>
    <tableColumn id="9" xr3:uid="{B1B9944E-ECEA-4DB7-AFC5-A0B8EB8D68D2}" uniqueName="9" name="Vacancy approval date" queryTableFieldId="9" dataDxfId="17"/>
    <tableColumn id="10" xr3:uid="{42C8CA43-067E-4619-8902-3A102E348890}" uniqueName="10" name="Shortlisted Status" queryTableFieldId="10" dataDxfId="16"/>
    <tableColumn id="11" xr3:uid="{560643F7-2A37-40C5-BBC6-28AD5EA74EAD}" uniqueName="11" name="Interview date" queryTableFieldId="11" dataDxfId="15"/>
    <tableColumn id="12" xr3:uid="{B8BB2253-27AA-41AF-A381-FC6DDFE74F9E}" uniqueName="12" name="Hire Status" queryTableFieldId="12" dataDxfId="14"/>
    <tableColumn id="13" xr3:uid="{5306B0B2-1388-41AF-BDE0-D837EA5A0AF7}" uniqueName="13" name="Rejection Reason" queryTableFieldId="13" dataDxfId="6"/>
    <tableColumn id="14" xr3:uid="{B4FBFEF4-05C3-4BAD-BCF9-3D93CEDD1A0D}" uniqueName="14" name="Date job offer" queryTableFieldId="14" dataDxfId="5"/>
    <tableColumn id="15" xr3:uid="{94577A53-99E3-4DF6-9732-FB547DD0D73E}" uniqueName="15" name="Offer Status" queryTableFieldId="15" dataDxfId="4"/>
    <tableColumn id="16" xr3:uid="{6681780A-950F-42CB-A215-A02D69991A33}" uniqueName="16" name="Date contract prepared" queryTableFieldId="16" dataDxfId="2"/>
    <tableColumn id="17" xr3:uid="{FC412C47-F336-476C-A71A-EB2C52321C2E}" uniqueName="17" name="Date contract issued " queryTableFieldId="17" dataDxfId="3"/>
    <tableColumn id="18" xr3:uid="{C43642FD-A1F0-4C23-B832-4DD81C3E996E}" uniqueName="18" name="Reporting date " queryTableFieldId="18" dataDxfId="7"/>
    <tableColumn id="19" xr3:uid="{B4DB80B5-E307-4FA7-8068-2388562B126D}" uniqueName="19" name="Date of induction/onboarding " queryTableFieldId="19" dataDxfId="8"/>
    <tableColumn id="20" xr3:uid="{25016F3E-7C63-4DF2-8E6F-F83141A01194}" uniqueName="20" name="Hired" queryTableFieldId="20"/>
    <tableColumn id="21" xr3:uid="{30397CEB-8278-4701-978E-0156A3FC74B5}" uniqueName="21" name="Date e-file opened" queryTableFieldId="21" dataDxfId="9"/>
    <tableColumn id="22" xr3:uid="{4916561D-E2CC-4694-93BF-7947981B40BD}" uniqueName="22" name="Date physical file open " queryTableFieldId="22" dataDxfId="10"/>
    <tableColumn id="23" xr3:uid="{B7F8E0ED-55B0-4780-A293-F5085CB819A5}" uniqueName="23" name="Date of inclusion to benefits " queryTableFieldId="23" dataDxfId="11"/>
    <tableColumn id="24" xr3:uid="{A016619D-9923-4CEE-A3EC-709A67F69A37}" uniqueName="24" name="Comments" queryTableFieldId="24"/>
    <tableColumn id="25" xr3:uid="{87304B7A-98FC-40FF-8223-F699A52488FF}" uniqueName="25" name="Rejected By" queryTableFieldId="25" dataDxfId="13"/>
    <tableColumn id="26" xr3:uid="{672BB06F-4BAC-4B8B-82EA-92E56AD3D7E0}" uniqueName="26" name="Date of File Closure" queryTableFieldId="26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063E-773A-4B83-BE56-88A59FDAAD7D}">
  <dimension ref="A1:BG2401"/>
  <sheetViews>
    <sheetView tabSelected="1" topLeftCell="AV5" workbookViewId="0">
      <selection activeCell="BE1" sqref="BE1"/>
    </sheetView>
  </sheetViews>
  <sheetFormatPr defaultRowHeight="15" x14ac:dyDescent="0.25"/>
  <cols>
    <col min="1" max="1" width="16" bestFit="1" customWidth="1"/>
    <col min="2" max="2" width="29.42578125" bestFit="1" customWidth="1"/>
    <col min="3" max="3" width="28" bestFit="1" customWidth="1"/>
    <col min="4" max="4" width="29.42578125" bestFit="1" customWidth="1"/>
    <col min="5" max="5" width="26.28515625" bestFit="1" customWidth="1"/>
    <col min="6" max="6" width="29.42578125" bestFit="1" customWidth="1"/>
    <col min="7" max="7" width="19.140625" bestFit="1" customWidth="1"/>
    <col min="8" max="8" width="26.140625" bestFit="1" customWidth="1"/>
    <col min="9" max="9" width="23.28515625" bestFit="1" customWidth="1"/>
    <col min="10" max="10" width="19" bestFit="1" customWidth="1"/>
    <col min="11" max="11" width="16.42578125" bestFit="1" customWidth="1"/>
    <col min="12" max="12" width="12.85546875" bestFit="1" customWidth="1"/>
    <col min="13" max="13" width="25.5703125" bestFit="1" customWidth="1"/>
    <col min="14" max="14" width="15.85546875" style="4" bestFit="1" customWidth="1"/>
    <col min="15" max="15" width="13.85546875" bestFit="1" customWidth="1"/>
    <col min="16" max="16" width="24" style="4" bestFit="1" customWidth="1"/>
    <col min="17" max="17" width="21.85546875" style="4" bestFit="1" customWidth="1"/>
    <col min="18" max="18" width="17" style="4" bestFit="1" customWidth="1"/>
    <col min="19" max="19" width="29.42578125" style="4" bestFit="1" customWidth="1"/>
    <col min="20" max="20" width="8.140625" bestFit="1" customWidth="1"/>
    <col min="21" max="21" width="20.28515625" style="4" bestFit="1" customWidth="1"/>
    <col min="22" max="22" width="24.28515625" style="4" bestFit="1" customWidth="1"/>
    <col min="23" max="23" width="29.28515625" style="4" bestFit="1" customWidth="1"/>
    <col min="24" max="24" width="12.85546875" bestFit="1" customWidth="1"/>
    <col min="25" max="25" width="13.7109375" bestFit="1" customWidth="1"/>
    <col min="26" max="26" width="20.85546875" style="4" bestFit="1" customWidth="1"/>
    <col min="29" max="30" width="27.28515625" style="2" customWidth="1"/>
    <col min="31" max="31" width="9.140625" style="2"/>
    <col min="32" max="32" width="12" style="2" customWidth="1"/>
    <col min="33" max="33" width="45.85546875" style="2" customWidth="1"/>
    <col min="34" max="34" width="20" customWidth="1"/>
    <col min="35" max="35" width="38.5703125" style="2" customWidth="1"/>
    <col min="36" max="36" width="27.28515625" style="2" customWidth="1"/>
    <col min="37" max="37" width="27.42578125" style="2" customWidth="1"/>
    <col min="39" max="39" width="11.7109375" customWidth="1"/>
    <col min="40" max="40" width="28.42578125" customWidth="1"/>
    <col min="41" max="41" width="27.28515625" style="7" customWidth="1"/>
    <col min="44" max="44" width="27.42578125" customWidth="1"/>
    <col min="45" max="45" width="18" customWidth="1"/>
    <col min="46" max="46" width="24.42578125" customWidth="1"/>
    <col min="47" max="47" width="28" bestFit="1" customWidth="1"/>
    <col min="48" max="48" width="16" style="10" bestFit="1" customWidth="1"/>
    <col min="49" max="49" width="22.28515625" bestFit="1" customWidth="1"/>
    <col min="50" max="50" width="22.28515625" style="2" bestFit="1" customWidth="1"/>
    <col min="57" max="57" width="27" customWidth="1"/>
    <col min="58" max="58" width="25.5703125" bestFit="1" customWidth="1"/>
    <col min="59" max="59" width="17.570312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4" t="s">
        <v>20</v>
      </c>
      <c r="V1" s="4" t="s">
        <v>21</v>
      </c>
      <c r="W1" s="4" t="s">
        <v>22</v>
      </c>
      <c r="X1" t="s">
        <v>23</v>
      </c>
      <c r="Y1" t="s">
        <v>24</v>
      </c>
      <c r="Z1" s="4" t="s">
        <v>25</v>
      </c>
      <c r="AC1" s="2" t="s">
        <v>2610</v>
      </c>
      <c r="AD1" s="2" t="s">
        <v>2611</v>
      </c>
      <c r="AE1" s="2" t="s">
        <v>2612</v>
      </c>
      <c r="AF1" s="2" t="s">
        <v>2613</v>
      </c>
      <c r="AG1" s="2" t="s">
        <v>2614</v>
      </c>
      <c r="AH1" t="s">
        <v>2615</v>
      </c>
      <c r="AI1" s="2" t="s">
        <v>2616</v>
      </c>
      <c r="AJ1" s="2" t="s">
        <v>2617</v>
      </c>
      <c r="AK1" s="2" t="s">
        <v>2618</v>
      </c>
      <c r="AM1" s="6" t="s">
        <v>2629</v>
      </c>
      <c r="AN1" s="3" t="s">
        <v>2619</v>
      </c>
      <c r="AO1" s="11" t="s">
        <v>2636</v>
      </c>
    </row>
    <row r="2" spans="1:59" x14ac:dyDescent="0.25">
      <c r="A2">
        <v>525</v>
      </c>
      <c r="B2" s="5" t="s">
        <v>26</v>
      </c>
      <c r="C2" s="5" t="s">
        <v>27</v>
      </c>
      <c r="D2" t="s">
        <v>28</v>
      </c>
      <c r="E2" s="5" t="s">
        <v>29</v>
      </c>
      <c r="F2" t="s">
        <v>30</v>
      </c>
      <c r="G2" t="s">
        <v>31</v>
      </c>
      <c r="H2" s="1">
        <v>44602.83390046296</v>
      </c>
      <c r="I2" s="1">
        <v>44605.83390046296</v>
      </c>
      <c r="J2" t="s">
        <v>32</v>
      </c>
      <c r="K2" s="1">
        <v>44616.83390046296</v>
      </c>
      <c r="L2" t="s">
        <v>33</v>
      </c>
      <c r="M2" t="s">
        <v>34</v>
      </c>
      <c r="T2">
        <v>0</v>
      </c>
      <c r="Y2" t="s">
        <v>35</v>
      </c>
      <c r="AC2" s="2">
        <f>IF(AND(I2&lt;&gt;"",H2&lt;&gt;""), I2-H2, "")</f>
        <v>3</v>
      </c>
      <c r="AD2" s="2">
        <f>IF(AND(K2&lt;&gt;"",H2&lt;&gt;""), K2-H2, "")</f>
        <v>14</v>
      </c>
      <c r="AE2" s="2">
        <f>IF(AND(K2&lt;&gt;"",I2&lt;&gt;""), K2-I2, "")</f>
        <v>11</v>
      </c>
      <c r="AF2" s="2" t="str">
        <f>IF(AND(R2&lt;&gt;"",H2&lt;&gt;""), R2-H2, "")</f>
        <v/>
      </c>
      <c r="AG2" s="2" t="str">
        <f>IF(AND(R2&lt;&gt;"",K2&lt;&gt;""), R2-K2, "")</f>
        <v/>
      </c>
      <c r="AH2" s="4" t="str">
        <f>IF(R2&lt;&gt;"", R2+90, "")</f>
        <v/>
      </c>
      <c r="AI2" s="2" t="str">
        <f>IF(AND(U2&lt;&gt;"",S2&lt;&gt;""), U2-S2, "")</f>
        <v/>
      </c>
      <c r="AJ2" s="2" t="str">
        <f>IF(AND(Z2&lt;&gt;"",R2&lt;&gt;""), Z2-R2, "")</f>
        <v/>
      </c>
      <c r="AK2" s="2" t="str">
        <f>IF(AND(W2&lt;&gt;"",R2&lt;&gt;""), W2-R2, "")</f>
        <v/>
      </c>
      <c r="AN2" t="s">
        <v>2620</v>
      </c>
      <c r="AO2" s="7">
        <f>AVERAGEIF(AC2:AC2401,"&gt;0",AC2:AC2401)</f>
        <v>2.5008333333333335</v>
      </c>
      <c r="AR2" s="3" t="s">
        <v>2625</v>
      </c>
      <c r="AS2" s="2">
        <f>COUNTA(A2:A2401)</f>
        <v>2400</v>
      </c>
      <c r="AU2" s="8" t="s">
        <v>2632</v>
      </c>
      <c r="AV2" s="10" t="s">
        <v>2631</v>
      </c>
      <c r="AX2"/>
    </row>
    <row r="3" spans="1:59" x14ac:dyDescent="0.25">
      <c r="A3">
        <v>524</v>
      </c>
      <c r="B3" s="5" t="s">
        <v>36</v>
      </c>
      <c r="C3" s="5" t="s">
        <v>27</v>
      </c>
      <c r="D3" t="s">
        <v>37</v>
      </c>
      <c r="E3" s="5" t="s">
        <v>29</v>
      </c>
      <c r="F3" t="s">
        <v>30</v>
      </c>
      <c r="G3" t="s">
        <v>38</v>
      </c>
      <c r="H3" s="1">
        <v>44605.83390046296</v>
      </c>
      <c r="I3" s="1">
        <v>44608.83390046296</v>
      </c>
      <c r="J3" t="s">
        <v>32</v>
      </c>
      <c r="K3" s="1">
        <v>44617.83390046296</v>
      </c>
      <c r="L3" t="s">
        <v>39</v>
      </c>
      <c r="N3" s="4">
        <v>44622.83390046296</v>
      </c>
      <c r="O3" t="s">
        <v>39</v>
      </c>
      <c r="R3" s="4">
        <v>44619.83390046296</v>
      </c>
      <c r="T3">
        <v>0</v>
      </c>
      <c r="AC3" s="2">
        <f t="shared" ref="AC3:AC66" si="0">IF(AND(I3&lt;&gt;"",H3&lt;&gt;""), I3-H3, "")</f>
        <v>3</v>
      </c>
      <c r="AD3" s="2">
        <f t="shared" ref="AD3:AD66" si="1">IF(AND(K3&lt;&gt;"",H3&lt;&gt;""), K3-H3, "")</f>
        <v>12</v>
      </c>
      <c r="AE3" s="2">
        <f t="shared" ref="AE3:AE66" si="2">IF(AND(K3&lt;&gt;"",I3&lt;&gt;""), K3-I3, "")</f>
        <v>9</v>
      </c>
      <c r="AF3" s="2">
        <f t="shared" ref="AF3:AF66" si="3">IF(AND(R3&lt;&gt;"",H3&lt;&gt;""), R3-H3, "")</f>
        <v>14</v>
      </c>
      <c r="AG3" s="2">
        <f t="shared" ref="AG3:AG66" si="4">IF(AND(R3&lt;&gt;"",K3&lt;&gt;""), R3-K3, "")</f>
        <v>2</v>
      </c>
      <c r="AH3" s="4">
        <f t="shared" ref="AH3:AH66" si="5">IF(R3&lt;&gt;"", R3+90, "")</f>
        <v>44709.83390046296</v>
      </c>
      <c r="AI3" s="2" t="str">
        <f t="shared" ref="AI3:AI66" si="6">IF(AND(U3&lt;&gt;"",S3&lt;&gt;""), U3-S3, "")</f>
        <v/>
      </c>
      <c r="AJ3" s="2" t="str">
        <f t="shared" ref="AJ3:AJ66" si="7">IF(AND(Z3&lt;&gt;"",R3&lt;&gt;""), Z3-R3, "")</f>
        <v/>
      </c>
      <c r="AK3" s="2" t="str">
        <f t="shared" ref="AK3:AK66" si="8">IF(AND(W3&lt;&gt;"",R3&lt;&gt;""), W3-R3, "")</f>
        <v/>
      </c>
      <c r="AN3" t="s">
        <v>2611</v>
      </c>
      <c r="AO3" s="7">
        <f>AVERAGEIF(AD2:AD2401,"&gt;0",AD2:AD2401)</f>
        <v>15.43467336683417</v>
      </c>
      <c r="AR3" s="3" t="s">
        <v>2626</v>
      </c>
      <c r="AS3" s="2">
        <f>COUNTIF(J2:J2401,"Yes")</f>
        <v>1990</v>
      </c>
      <c r="AU3" s="9" t="s">
        <v>2558</v>
      </c>
      <c r="AV3" s="10">
        <v>0.2558139534883721</v>
      </c>
      <c r="AX3"/>
    </row>
    <row r="4" spans="1:59" x14ac:dyDescent="0.25">
      <c r="A4">
        <v>522</v>
      </c>
      <c r="B4" s="5" t="s">
        <v>40</v>
      </c>
      <c r="C4" s="5" t="s">
        <v>27</v>
      </c>
      <c r="D4" t="s">
        <v>37</v>
      </c>
      <c r="E4" s="5" t="s">
        <v>29</v>
      </c>
      <c r="F4" t="s">
        <v>30</v>
      </c>
      <c r="G4" t="s">
        <v>38</v>
      </c>
      <c r="H4" s="1">
        <v>44609.83390046296</v>
      </c>
      <c r="I4" s="1">
        <v>44610.83390046296</v>
      </c>
      <c r="J4" t="s">
        <v>32</v>
      </c>
      <c r="K4" s="1">
        <v>44613.83390046296</v>
      </c>
      <c r="L4" t="s">
        <v>39</v>
      </c>
      <c r="N4" s="4">
        <v>44618.83390046296</v>
      </c>
      <c r="O4" t="s">
        <v>39</v>
      </c>
      <c r="R4" s="4">
        <v>44614.83390046296</v>
      </c>
      <c r="T4">
        <v>0</v>
      </c>
      <c r="AC4" s="2">
        <f t="shared" si="0"/>
        <v>1</v>
      </c>
      <c r="AD4" s="2">
        <f t="shared" si="1"/>
        <v>4</v>
      </c>
      <c r="AE4" s="2">
        <f t="shared" si="2"/>
        <v>3</v>
      </c>
      <c r="AF4" s="2">
        <f t="shared" si="3"/>
        <v>5</v>
      </c>
      <c r="AG4" s="2">
        <f t="shared" si="4"/>
        <v>1</v>
      </c>
      <c r="AH4" s="4">
        <f t="shared" si="5"/>
        <v>44704.83390046296</v>
      </c>
      <c r="AI4" s="2" t="str">
        <f t="shared" si="6"/>
        <v/>
      </c>
      <c r="AJ4" s="2" t="str">
        <f t="shared" si="7"/>
        <v/>
      </c>
      <c r="AK4" s="2" t="str">
        <f t="shared" si="8"/>
        <v/>
      </c>
      <c r="AN4" t="s">
        <v>2612</v>
      </c>
      <c r="AO4" s="7">
        <f>AVERAGEIF(AE2:AE2401,"&gt;0",AE2:AE2401)</f>
        <v>12.940201005025125</v>
      </c>
      <c r="AR4" s="3" t="s">
        <v>2627</v>
      </c>
      <c r="AS4" s="2">
        <f>COUNTA(K2:K2401)</f>
        <v>1990</v>
      </c>
      <c r="AU4" s="9" t="s">
        <v>2283</v>
      </c>
      <c r="AV4" s="10">
        <v>0.26459143968871596</v>
      </c>
      <c r="AX4"/>
    </row>
    <row r="5" spans="1:59" x14ac:dyDescent="0.25">
      <c r="A5">
        <v>407</v>
      </c>
      <c r="B5" s="5" t="s">
        <v>41</v>
      </c>
      <c r="C5" s="5" t="s">
        <v>27</v>
      </c>
      <c r="D5" t="s">
        <v>37</v>
      </c>
      <c r="E5" s="5" t="s">
        <v>42</v>
      </c>
      <c r="F5" t="s">
        <v>43</v>
      </c>
      <c r="G5" t="s">
        <v>38</v>
      </c>
      <c r="H5" s="1">
        <v>44612.210798611108</v>
      </c>
      <c r="I5" s="1">
        <v>44616.210798611108</v>
      </c>
      <c r="J5" t="s">
        <v>44</v>
      </c>
      <c r="K5" s="1"/>
      <c r="T5">
        <v>0</v>
      </c>
      <c r="AC5" s="2">
        <f t="shared" si="0"/>
        <v>4</v>
      </c>
      <c r="AD5" s="2" t="str">
        <f t="shared" si="1"/>
        <v/>
      </c>
      <c r="AE5" s="2" t="str">
        <f t="shared" si="2"/>
        <v/>
      </c>
      <c r="AF5" s="2" t="str">
        <f t="shared" si="3"/>
        <v/>
      </c>
      <c r="AG5" s="2" t="str">
        <f t="shared" si="4"/>
        <v/>
      </c>
      <c r="AH5" s="4" t="str">
        <f t="shared" si="5"/>
        <v/>
      </c>
      <c r="AI5" s="2" t="str">
        <f t="shared" si="6"/>
        <v/>
      </c>
      <c r="AJ5" s="2" t="str">
        <f t="shared" si="7"/>
        <v/>
      </c>
      <c r="AK5" s="2" t="str">
        <f t="shared" si="8"/>
        <v/>
      </c>
      <c r="AN5" t="s">
        <v>2613</v>
      </c>
      <c r="AO5" s="7">
        <f>AVERAGEIF(AF2:AF2401,"&gt;0",AF2:AF2401)</f>
        <v>18.028649386084584</v>
      </c>
      <c r="AR5" s="3" t="s">
        <v>2628</v>
      </c>
      <c r="AS5" s="2">
        <f>COUNTA(N2:N2401)</f>
        <v>911</v>
      </c>
      <c r="AU5" s="9" t="s">
        <v>2138</v>
      </c>
      <c r="AV5" s="10">
        <v>0.24444444444444444</v>
      </c>
      <c r="AX5"/>
    </row>
    <row r="6" spans="1:59" x14ac:dyDescent="0.25">
      <c r="A6">
        <v>401</v>
      </c>
      <c r="B6" s="5" t="s">
        <v>45</v>
      </c>
      <c r="C6" s="5" t="s">
        <v>27</v>
      </c>
      <c r="D6" t="s">
        <v>46</v>
      </c>
      <c r="E6" t="s">
        <v>47</v>
      </c>
      <c r="F6" t="s">
        <v>48</v>
      </c>
      <c r="G6" t="s">
        <v>49</v>
      </c>
      <c r="H6" s="1">
        <v>44613.210798611108</v>
      </c>
      <c r="I6" s="1">
        <v>44616.210798611108</v>
      </c>
      <c r="J6" t="s">
        <v>32</v>
      </c>
      <c r="K6" s="1">
        <v>44626.210798611108</v>
      </c>
      <c r="L6" t="s">
        <v>39</v>
      </c>
      <c r="N6" s="4">
        <v>44630.210798611108</v>
      </c>
      <c r="O6" t="s">
        <v>39</v>
      </c>
      <c r="R6" s="4">
        <v>44627.210798611108</v>
      </c>
      <c r="T6">
        <v>0</v>
      </c>
      <c r="AC6" s="2">
        <f t="shared" si="0"/>
        <v>3</v>
      </c>
      <c r="AD6" s="2">
        <f t="shared" si="1"/>
        <v>13</v>
      </c>
      <c r="AE6" s="2">
        <f t="shared" si="2"/>
        <v>10</v>
      </c>
      <c r="AF6" s="2">
        <f t="shared" si="3"/>
        <v>14</v>
      </c>
      <c r="AG6" s="2">
        <f t="shared" si="4"/>
        <v>1</v>
      </c>
      <c r="AH6" s="4">
        <f t="shared" si="5"/>
        <v>44717.210798611108</v>
      </c>
      <c r="AI6" s="2" t="str">
        <f t="shared" si="6"/>
        <v/>
      </c>
      <c r="AJ6" s="2" t="str">
        <f t="shared" si="7"/>
        <v/>
      </c>
      <c r="AK6" s="2" t="str">
        <f t="shared" si="8"/>
        <v/>
      </c>
      <c r="AN6" t="s">
        <v>2621</v>
      </c>
      <c r="AO6" s="7">
        <f>AVERAGEIF(AG2:AG2401,"&gt;0",AG2:AG2401)</f>
        <v>2.5150068212824013</v>
      </c>
      <c r="AR6" s="3" t="s">
        <v>19</v>
      </c>
      <c r="AS6" s="2">
        <f>SUM(T2:T2401)</f>
        <v>397</v>
      </c>
      <c r="AU6" s="9" t="s">
        <v>1577</v>
      </c>
      <c r="AV6" s="10">
        <v>0.18808193668528864</v>
      </c>
      <c r="AX6"/>
    </row>
    <row r="7" spans="1:59" x14ac:dyDescent="0.25">
      <c r="A7">
        <v>404</v>
      </c>
      <c r="B7" s="5" t="s">
        <v>50</v>
      </c>
      <c r="C7" s="5" t="s">
        <v>27</v>
      </c>
      <c r="D7" t="s">
        <v>46</v>
      </c>
      <c r="E7" t="s">
        <v>47</v>
      </c>
      <c r="F7" t="s">
        <v>48</v>
      </c>
      <c r="G7" t="s">
        <v>49</v>
      </c>
      <c r="H7" s="1">
        <v>44614.210798611108</v>
      </c>
      <c r="I7" s="1">
        <v>44616.210798611108</v>
      </c>
      <c r="J7" t="s">
        <v>32</v>
      </c>
      <c r="K7" s="1">
        <v>44634.210798611108</v>
      </c>
      <c r="L7" t="s">
        <v>33</v>
      </c>
      <c r="M7" t="s">
        <v>51</v>
      </c>
      <c r="R7" s="4">
        <v>44637.210798611108</v>
      </c>
      <c r="T7">
        <v>0</v>
      </c>
      <c r="Y7" t="s">
        <v>35</v>
      </c>
      <c r="AC7" s="2">
        <f t="shared" si="0"/>
        <v>2</v>
      </c>
      <c r="AD7" s="2">
        <f t="shared" si="1"/>
        <v>20</v>
      </c>
      <c r="AE7" s="2">
        <f t="shared" si="2"/>
        <v>18</v>
      </c>
      <c r="AF7" s="2">
        <f t="shared" si="3"/>
        <v>23</v>
      </c>
      <c r="AG7" s="2">
        <f t="shared" si="4"/>
        <v>3</v>
      </c>
      <c r="AH7" s="4">
        <f t="shared" si="5"/>
        <v>44727.210798611108</v>
      </c>
      <c r="AI7" s="2" t="str">
        <f t="shared" si="6"/>
        <v/>
      </c>
      <c r="AJ7" s="2" t="str">
        <f t="shared" si="7"/>
        <v/>
      </c>
      <c r="AK7" s="2" t="str">
        <f t="shared" si="8"/>
        <v/>
      </c>
      <c r="AN7" t="s">
        <v>2622</v>
      </c>
      <c r="AO7" s="7">
        <f>AVERAGEIF(AI2:AI2401,"&gt;0",AI2:AI2401)</f>
        <v>2.5012594458438286</v>
      </c>
      <c r="AU7" s="9" t="s">
        <v>1362</v>
      </c>
      <c r="AV7" s="10">
        <v>2.5000000000000001E-2</v>
      </c>
      <c r="AX7"/>
    </row>
    <row r="8" spans="1:59" x14ac:dyDescent="0.25">
      <c r="A8">
        <v>403</v>
      </c>
      <c r="B8" s="5" t="s">
        <v>52</v>
      </c>
      <c r="C8" s="5" t="s">
        <v>27</v>
      </c>
      <c r="D8" t="s">
        <v>46</v>
      </c>
      <c r="E8" t="s">
        <v>47</v>
      </c>
      <c r="F8" t="s">
        <v>48</v>
      </c>
      <c r="G8" t="s">
        <v>49</v>
      </c>
      <c r="H8" s="1">
        <v>44616.210798611108</v>
      </c>
      <c r="I8" s="1">
        <v>44619.210798611108</v>
      </c>
      <c r="J8" t="s">
        <v>32</v>
      </c>
      <c r="K8" s="1">
        <v>44629.210798611108</v>
      </c>
      <c r="L8" t="s">
        <v>33</v>
      </c>
      <c r="M8" t="s">
        <v>51</v>
      </c>
      <c r="T8">
        <v>0</v>
      </c>
      <c r="Y8" t="s">
        <v>35</v>
      </c>
      <c r="AC8" s="2">
        <f t="shared" si="0"/>
        <v>3</v>
      </c>
      <c r="AD8" s="2">
        <f t="shared" si="1"/>
        <v>13</v>
      </c>
      <c r="AE8" s="2">
        <f t="shared" si="2"/>
        <v>10</v>
      </c>
      <c r="AF8" s="2" t="str">
        <f t="shared" si="3"/>
        <v/>
      </c>
      <c r="AG8" s="2" t="str">
        <f t="shared" si="4"/>
        <v/>
      </c>
      <c r="AH8" s="4" t="str">
        <f t="shared" si="5"/>
        <v/>
      </c>
      <c r="AI8" s="2" t="str">
        <f t="shared" si="6"/>
        <v/>
      </c>
      <c r="AJ8" s="2" t="str">
        <f t="shared" si="7"/>
        <v/>
      </c>
      <c r="AK8" s="2" t="str">
        <f t="shared" si="8"/>
        <v/>
      </c>
      <c r="AN8" t="s">
        <v>2623</v>
      </c>
      <c r="AO8" s="7">
        <f>AVERAGEIF(AK2:AK2401,"&gt;0",AK2:AK2401)</f>
        <v>12.060453400503778</v>
      </c>
      <c r="AU8" s="9" t="s">
        <v>1239</v>
      </c>
      <c r="AV8" s="10">
        <v>9.0090090090090086E-2</v>
      </c>
      <c r="AX8"/>
    </row>
    <row r="9" spans="1:59" x14ac:dyDescent="0.25">
      <c r="A9">
        <v>408</v>
      </c>
      <c r="B9" s="5" t="s">
        <v>53</v>
      </c>
      <c r="C9" s="5" t="s">
        <v>27</v>
      </c>
      <c r="D9" t="s">
        <v>28</v>
      </c>
      <c r="E9" t="s">
        <v>29</v>
      </c>
      <c r="F9" t="s">
        <v>30</v>
      </c>
      <c r="G9" t="s">
        <v>31</v>
      </c>
      <c r="H9" s="1">
        <v>44617.210798611108</v>
      </c>
      <c r="I9" s="1">
        <v>44620.210798611108</v>
      </c>
      <c r="J9" t="s">
        <v>32</v>
      </c>
      <c r="K9" s="1">
        <v>44627.210798611108</v>
      </c>
      <c r="L9" t="s">
        <v>39</v>
      </c>
      <c r="N9" s="4">
        <v>44634.210798611108</v>
      </c>
      <c r="O9" t="s">
        <v>39</v>
      </c>
      <c r="R9" s="4">
        <v>44631.210798611108</v>
      </c>
      <c r="T9">
        <v>0</v>
      </c>
      <c r="AC9" s="2">
        <f t="shared" si="0"/>
        <v>3</v>
      </c>
      <c r="AD9" s="2">
        <f t="shared" si="1"/>
        <v>10</v>
      </c>
      <c r="AE9" s="2">
        <f t="shared" si="2"/>
        <v>7</v>
      </c>
      <c r="AF9" s="2">
        <f t="shared" si="3"/>
        <v>14</v>
      </c>
      <c r="AG9" s="2">
        <f t="shared" si="4"/>
        <v>4</v>
      </c>
      <c r="AH9" s="4">
        <f t="shared" si="5"/>
        <v>44721.210798611108</v>
      </c>
      <c r="AI9" s="2" t="str">
        <f t="shared" si="6"/>
        <v/>
      </c>
      <c r="AJ9" s="2" t="str">
        <f t="shared" si="7"/>
        <v/>
      </c>
      <c r="AK9" s="2" t="str">
        <f t="shared" si="8"/>
        <v/>
      </c>
      <c r="AN9" t="s">
        <v>2624</v>
      </c>
      <c r="AO9" s="7">
        <f>AVERAGEIF(AJ2:AJ2401,"&gt;0",AJ2:AJ2401)</f>
        <v>27.241813602015114</v>
      </c>
      <c r="AR9" s="3" t="s">
        <v>2633</v>
      </c>
      <c r="AS9" s="3"/>
      <c r="AU9" s="9" t="s">
        <v>1142</v>
      </c>
      <c r="AV9" s="10">
        <v>5.6818181818181816E-2</v>
      </c>
      <c r="AX9"/>
    </row>
    <row r="10" spans="1:59" x14ac:dyDescent="0.25">
      <c r="A10">
        <v>409</v>
      </c>
      <c r="B10" t="s">
        <v>54</v>
      </c>
      <c r="C10" t="s">
        <v>27</v>
      </c>
      <c r="D10" t="s">
        <v>46</v>
      </c>
      <c r="E10" t="s">
        <v>47</v>
      </c>
      <c r="F10" t="s">
        <v>48</v>
      </c>
      <c r="G10" t="s">
        <v>49</v>
      </c>
      <c r="H10" s="1">
        <v>44617.210798611108</v>
      </c>
      <c r="I10" s="1">
        <v>44620.210798611108</v>
      </c>
      <c r="J10" t="s">
        <v>32</v>
      </c>
      <c r="K10" s="1">
        <v>44629.210798611108</v>
      </c>
      <c r="L10" t="s">
        <v>33</v>
      </c>
      <c r="M10" t="s">
        <v>34</v>
      </c>
      <c r="T10">
        <v>0</v>
      </c>
      <c r="Y10" t="s">
        <v>55</v>
      </c>
      <c r="AC10" s="2">
        <f t="shared" si="0"/>
        <v>3</v>
      </c>
      <c r="AD10" s="2">
        <f t="shared" si="1"/>
        <v>12</v>
      </c>
      <c r="AE10" s="2">
        <f t="shared" si="2"/>
        <v>9</v>
      </c>
      <c r="AF10" s="2" t="str">
        <f t="shared" si="3"/>
        <v/>
      </c>
      <c r="AG10" s="2" t="str">
        <f t="shared" si="4"/>
        <v/>
      </c>
      <c r="AH10" s="4" t="str">
        <f t="shared" si="5"/>
        <v/>
      </c>
      <c r="AI10" s="2" t="str">
        <f t="shared" si="6"/>
        <v/>
      </c>
      <c r="AJ10" s="2" t="str">
        <f t="shared" si="7"/>
        <v/>
      </c>
      <c r="AK10" s="2" t="str">
        <f t="shared" si="8"/>
        <v/>
      </c>
      <c r="AR10" t="s">
        <v>51</v>
      </c>
      <c r="AS10">
        <f>COUNTIF(M2:M2401,"Not a culture fit")</f>
        <v>223</v>
      </c>
      <c r="AU10" s="9" t="s">
        <v>806</v>
      </c>
      <c r="AV10" s="10">
        <v>0.16088328075709779</v>
      </c>
      <c r="AX10"/>
    </row>
    <row r="11" spans="1:59" x14ac:dyDescent="0.25">
      <c r="A11">
        <v>405</v>
      </c>
      <c r="B11" t="s">
        <v>56</v>
      </c>
      <c r="C11" t="s">
        <v>27</v>
      </c>
      <c r="D11" t="s">
        <v>46</v>
      </c>
      <c r="E11" t="s">
        <v>47</v>
      </c>
      <c r="F11" t="s">
        <v>48</v>
      </c>
      <c r="G11" t="s">
        <v>49</v>
      </c>
      <c r="H11" s="1">
        <v>44617.210798611108</v>
      </c>
      <c r="I11" s="1">
        <v>44620.210798611108</v>
      </c>
      <c r="J11" t="s">
        <v>32</v>
      </c>
      <c r="K11" s="1">
        <v>44625.210798611108</v>
      </c>
      <c r="L11" t="s">
        <v>57</v>
      </c>
      <c r="N11" s="4">
        <v>44627.210798611108</v>
      </c>
      <c r="O11" t="s">
        <v>57</v>
      </c>
      <c r="P11" s="4">
        <v>44626.210798611108</v>
      </c>
      <c r="Q11" s="4">
        <v>44629.210798611108</v>
      </c>
      <c r="R11" s="4">
        <v>44626.210798611108</v>
      </c>
      <c r="S11" s="4">
        <v>44628.210798611108</v>
      </c>
      <c r="T11">
        <v>1</v>
      </c>
      <c r="U11" s="4">
        <v>44631.210798611108</v>
      </c>
      <c r="V11" s="4">
        <v>44633.210798611108</v>
      </c>
      <c r="W11" s="4">
        <v>44636.210798611108</v>
      </c>
      <c r="Z11" s="4">
        <v>44648.210798611108</v>
      </c>
      <c r="AC11" s="2">
        <f t="shared" si="0"/>
        <v>3</v>
      </c>
      <c r="AD11" s="2">
        <f t="shared" si="1"/>
        <v>8</v>
      </c>
      <c r="AE11" s="2">
        <f t="shared" si="2"/>
        <v>5</v>
      </c>
      <c r="AF11" s="2">
        <f t="shared" si="3"/>
        <v>9</v>
      </c>
      <c r="AG11" s="2">
        <f t="shared" si="4"/>
        <v>1</v>
      </c>
      <c r="AH11" s="4">
        <f t="shared" si="5"/>
        <v>44716.210798611108</v>
      </c>
      <c r="AI11" s="2">
        <f t="shared" si="6"/>
        <v>3</v>
      </c>
      <c r="AJ11" s="2">
        <f t="shared" si="7"/>
        <v>22</v>
      </c>
      <c r="AK11" s="2">
        <f t="shared" si="8"/>
        <v>10</v>
      </c>
      <c r="AR11" t="s">
        <v>34</v>
      </c>
      <c r="AS11">
        <f>COUNTIF(M2:M2401,"Other")</f>
        <v>238</v>
      </c>
      <c r="AU11" s="9" t="s">
        <v>676</v>
      </c>
      <c r="AV11" s="10">
        <v>0.11764705882352941</v>
      </c>
      <c r="AX11"/>
    </row>
    <row r="12" spans="1:59" x14ac:dyDescent="0.25">
      <c r="A12">
        <v>410</v>
      </c>
      <c r="B12" t="s">
        <v>58</v>
      </c>
      <c r="C12" t="s">
        <v>27</v>
      </c>
      <c r="D12" t="s">
        <v>37</v>
      </c>
      <c r="E12" t="s">
        <v>42</v>
      </c>
      <c r="F12" t="s">
        <v>43</v>
      </c>
      <c r="G12" t="s">
        <v>38</v>
      </c>
      <c r="H12" s="1">
        <v>44618.210798611108</v>
      </c>
      <c r="I12" s="1">
        <v>44620.210798611108</v>
      </c>
      <c r="J12" t="s">
        <v>32</v>
      </c>
      <c r="K12" s="1">
        <v>44624.210798611108</v>
      </c>
      <c r="L12" t="s">
        <v>39</v>
      </c>
      <c r="N12" s="4">
        <v>44628.210798611108</v>
      </c>
      <c r="O12" t="s">
        <v>39</v>
      </c>
      <c r="R12" s="4">
        <v>44625.210798611108</v>
      </c>
      <c r="T12">
        <v>0</v>
      </c>
      <c r="AC12" s="2">
        <f t="shared" si="0"/>
        <v>2</v>
      </c>
      <c r="AD12" s="2">
        <f t="shared" si="1"/>
        <v>6</v>
      </c>
      <c r="AE12" s="2">
        <f t="shared" si="2"/>
        <v>4</v>
      </c>
      <c r="AF12" s="2">
        <f t="shared" si="3"/>
        <v>7</v>
      </c>
      <c r="AG12" s="2">
        <f t="shared" si="4"/>
        <v>1</v>
      </c>
      <c r="AH12" s="4">
        <f t="shared" si="5"/>
        <v>44715.210798611108</v>
      </c>
      <c r="AI12" s="2" t="str">
        <f t="shared" si="6"/>
        <v/>
      </c>
      <c r="AJ12" s="2" t="str">
        <f t="shared" si="7"/>
        <v/>
      </c>
      <c r="AK12" s="2" t="str">
        <f t="shared" si="8"/>
        <v/>
      </c>
      <c r="AR12" t="s">
        <v>108</v>
      </c>
      <c r="AS12">
        <f>COUNTIF(M2:M2401,"Didn't pass technical test")</f>
        <v>192</v>
      </c>
      <c r="AU12" s="9" t="s">
        <v>94</v>
      </c>
      <c r="AV12" s="10">
        <v>0.16666666666666666</v>
      </c>
      <c r="AX12"/>
      <c r="BF12" s="8" t="s">
        <v>2634</v>
      </c>
      <c r="BG12" t="s">
        <v>2635</v>
      </c>
    </row>
    <row r="13" spans="1:59" x14ac:dyDescent="0.25">
      <c r="A13">
        <v>211</v>
      </c>
      <c r="B13" t="s">
        <v>59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s="1">
        <v>44657.331793981481</v>
      </c>
      <c r="I13" s="1">
        <v>44661.331793981481</v>
      </c>
      <c r="J13" t="s">
        <v>32</v>
      </c>
      <c r="K13" s="1">
        <v>44682.331793981481</v>
      </c>
      <c r="L13" t="s">
        <v>57</v>
      </c>
      <c r="N13" s="4">
        <v>44688.331793981481</v>
      </c>
      <c r="O13" t="s">
        <v>57</v>
      </c>
      <c r="P13" s="4">
        <v>44683.331793981481</v>
      </c>
      <c r="Q13" s="4">
        <v>44686.331793981481</v>
      </c>
      <c r="R13" s="4">
        <v>44685.331793981481</v>
      </c>
      <c r="S13" s="4">
        <v>44692.331793981481</v>
      </c>
      <c r="T13">
        <v>1</v>
      </c>
      <c r="U13" s="4">
        <v>44694.331793981481</v>
      </c>
      <c r="V13" s="4">
        <v>44696.331793981481</v>
      </c>
      <c r="W13" s="4">
        <v>44698.331793981481</v>
      </c>
      <c r="Z13" s="4">
        <v>44714.331793981481</v>
      </c>
      <c r="AC13" s="2">
        <f t="shared" si="0"/>
        <v>4</v>
      </c>
      <c r="AD13" s="2">
        <f t="shared" si="1"/>
        <v>25</v>
      </c>
      <c r="AE13" s="2">
        <f t="shared" si="2"/>
        <v>21</v>
      </c>
      <c r="AF13" s="2">
        <f t="shared" si="3"/>
        <v>28</v>
      </c>
      <c r="AG13" s="2">
        <f t="shared" si="4"/>
        <v>3</v>
      </c>
      <c r="AH13" s="4">
        <f t="shared" si="5"/>
        <v>44775.331793981481</v>
      </c>
      <c r="AI13" s="2">
        <f t="shared" si="6"/>
        <v>2</v>
      </c>
      <c r="AJ13" s="2">
        <f t="shared" si="7"/>
        <v>29</v>
      </c>
      <c r="AK13" s="2">
        <f t="shared" si="8"/>
        <v>13</v>
      </c>
      <c r="AR13" t="s">
        <v>92</v>
      </c>
      <c r="AS13">
        <f>COUNTIF(M2:M2401,"Position filled by another")</f>
        <v>211</v>
      </c>
      <c r="AU13" s="9" t="s">
        <v>27</v>
      </c>
      <c r="AV13" s="10">
        <v>0.17073170731707318</v>
      </c>
      <c r="AX13"/>
      <c r="BF13" s="9" t="s">
        <v>108</v>
      </c>
      <c r="BG13" s="5">
        <v>192</v>
      </c>
    </row>
    <row r="14" spans="1:59" x14ac:dyDescent="0.25">
      <c r="A14">
        <v>219</v>
      </c>
      <c r="B14" t="s">
        <v>60</v>
      </c>
      <c r="C14" t="s">
        <v>27</v>
      </c>
      <c r="D14" t="s">
        <v>37</v>
      </c>
      <c r="E14" t="s">
        <v>42</v>
      </c>
      <c r="F14" t="s">
        <v>43</v>
      </c>
      <c r="G14" t="s">
        <v>38</v>
      </c>
      <c r="H14" s="1">
        <v>44657.331793981481</v>
      </c>
      <c r="I14" s="1">
        <v>44660.331793981481</v>
      </c>
      <c r="J14" t="s">
        <v>32</v>
      </c>
      <c r="K14" s="1">
        <v>44675.331793981481</v>
      </c>
      <c r="L14" t="s">
        <v>39</v>
      </c>
      <c r="N14" s="4">
        <v>44681.331793981481</v>
      </c>
      <c r="O14" t="s">
        <v>39</v>
      </c>
      <c r="R14" s="4">
        <v>44679.331793981481</v>
      </c>
      <c r="T14">
        <v>0</v>
      </c>
      <c r="AC14" s="2">
        <f t="shared" si="0"/>
        <v>3</v>
      </c>
      <c r="AD14" s="2">
        <f t="shared" si="1"/>
        <v>18</v>
      </c>
      <c r="AE14" s="2">
        <f t="shared" si="2"/>
        <v>15</v>
      </c>
      <c r="AF14" s="2">
        <f t="shared" si="3"/>
        <v>22</v>
      </c>
      <c r="AG14" s="2">
        <f t="shared" si="4"/>
        <v>4</v>
      </c>
      <c r="AH14" s="4">
        <f t="shared" si="5"/>
        <v>44769.331793981481</v>
      </c>
      <c r="AI14" s="2" t="str">
        <f t="shared" si="6"/>
        <v/>
      </c>
      <c r="AJ14" s="2" t="str">
        <f t="shared" si="7"/>
        <v/>
      </c>
      <c r="AK14" s="2" t="str">
        <f t="shared" si="8"/>
        <v/>
      </c>
      <c r="AR14" t="s">
        <v>67</v>
      </c>
      <c r="AS14">
        <f>COUNTIF(M2:M2401,"Salary expectation too high")</f>
        <v>215</v>
      </c>
      <c r="AU14" s="9" t="s">
        <v>2630</v>
      </c>
      <c r="AV14" s="10">
        <v>0.16541666666666666</v>
      </c>
      <c r="AX14"/>
      <c r="BF14" s="9" t="s">
        <v>51</v>
      </c>
      <c r="BG14" s="5">
        <v>223</v>
      </c>
    </row>
    <row r="15" spans="1:59" x14ac:dyDescent="0.25">
      <c r="A15">
        <v>220</v>
      </c>
      <c r="B15" t="s">
        <v>61</v>
      </c>
      <c r="C15" t="s">
        <v>27</v>
      </c>
      <c r="D15" t="s">
        <v>46</v>
      </c>
      <c r="E15" t="s">
        <v>62</v>
      </c>
      <c r="F15" t="s">
        <v>63</v>
      </c>
      <c r="G15" t="s">
        <v>49</v>
      </c>
      <c r="H15" s="1">
        <v>44662.331793981481</v>
      </c>
      <c r="I15" s="1">
        <v>44665.331793981481</v>
      </c>
      <c r="J15" t="s">
        <v>44</v>
      </c>
      <c r="K15" s="1"/>
      <c r="T15">
        <v>0</v>
      </c>
      <c r="AC15" s="2">
        <f t="shared" si="0"/>
        <v>3</v>
      </c>
      <c r="AD15" s="2" t="str">
        <f t="shared" si="1"/>
        <v/>
      </c>
      <c r="AE15" s="2" t="str">
        <f t="shared" si="2"/>
        <v/>
      </c>
      <c r="AF15" s="2" t="str">
        <f t="shared" si="3"/>
        <v/>
      </c>
      <c r="AG15" s="2" t="str">
        <f t="shared" si="4"/>
        <v/>
      </c>
      <c r="AH15" s="4" t="str">
        <f t="shared" si="5"/>
        <v/>
      </c>
      <c r="AI15" s="2" t="str">
        <f t="shared" si="6"/>
        <v/>
      </c>
      <c r="AJ15" s="2" t="str">
        <f t="shared" si="7"/>
        <v/>
      </c>
      <c r="AK15" s="2" t="str">
        <f t="shared" si="8"/>
        <v/>
      </c>
      <c r="AV15"/>
      <c r="BF15" s="9" t="s">
        <v>34</v>
      </c>
      <c r="BG15" s="5">
        <v>238</v>
      </c>
    </row>
    <row r="16" spans="1:59" x14ac:dyDescent="0.25">
      <c r="A16">
        <v>216</v>
      </c>
      <c r="B16" t="s">
        <v>64</v>
      </c>
      <c r="C16" t="s">
        <v>27</v>
      </c>
      <c r="D16" t="s">
        <v>37</v>
      </c>
      <c r="E16" t="s">
        <v>42</v>
      </c>
      <c r="F16" t="s">
        <v>43</v>
      </c>
      <c r="G16" t="s">
        <v>38</v>
      </c>
      <c r="H16" s="1">
        <v>44663.331793981481</v>
      </c>
      <c r="I16" s="1">
        <v>44664.331793981481</v>
      </c>
      <c r="J16" t="s">
        <v>32</v>
      </c>
      <c r="K16" s="1">
        <v>44675.331793981481</v>
      </c>
      <c r="L16" t="s">
        <v>57</v>
      </c>
      <c r="N16" s="4">
        <v>44679.331793981481</v>
      </c>
      <c r="O16" t="s">
        <v>57</v>
      </c>
      <c r="P16" s="4">
        <v>44677.331793981481</v>
      </c>
      <c r="Q16" s="4">
        <v>44680.331793981481</v>
      </c>
      <c r="R16" s="4">
        <v>44676.331793981481</v>
      </c>
      <c r="S16" s="4">
        <v>44677.331793981481</v>
      </c>
      <c r="T16">
        <v>1</v>
      </c>
      <c r="U16" s="4">
        <v>44679.331793981481</v>
      </c>
      <c r="V16" s="4">
        <v>44682.331793981481</v>
      </c>
      <c r="W16" s="4">
        <v>44684.331793981481</v>
      </c>
      <c r="Z16" s="4">
        <v>44702.331793981481</v>
      </c>
      <c r="AC16" s="2">
        <f t="shared" si="0"/>
        <v>1</v>
      </c>
      <c r="AD16" s="2">
        <f t="shared" si="1"/>
        <v>12</v>
      </c>
      <c r="AE16" s="2">
        <f t="shared" si="2"/>
        <v>11</v>
      </c>
      <c r="AF16" s="2">
        <f t="shared" si="3"/>
        <v>13</v>
      </c>
      <c r="AG16" s="2">
        <f t="shared" si="4"/>
        <v>1</v>
      </c>
      <c r="AH16" s="4">
        <f t="shared" si="5"/>
        <v>44766.331793981481</v>
      </c>
      <c r="AI16" s="2">
        <f t="shared" si="6"/>
        <v>2</v>
      </c>
      <c r="AJ16" s="2">
        <f t="shared" si="7"/>
        <v>26</v>
      </c>
      <c r="AK16" s="2">
        <f t="shared" si="8"/>
        <v>8</v>
      </c>
      <c r="BF16" s="9" t="s">
        <v>92</v>
      </c>
      <c r="BG16" s="5">
        <v>211</v>
      </c>
    </row>
    <row r="17" spans="1:59" x14ac:dyDescent="0.25">
      <c r="A17">
        <v>215</v>
      </c>
      <c r="B17" t="s">
        <v>65</v>
      </c>
      <c r="C17" t="s">
        <v>27</v>
      </c>
      <c r="D17" t="s">
        <v>46</v>
      </c>
      <c r="E17" t="s">
        <v>62</v>
      </c>
      <c r="F17" t="s">
        <v>63</v>
      </c>
      <c r="G17" t="s">
        <v>49</v>
      </c>
      <c r="H17" s="1">
        <v>44664.331793981481</v>
      </c>
      <c r="I17" s="1">
        <v>44665.331793981481</v>
      </c>
      <c r="J17" t="s">
        <v>32</v>
      </c>
      <c r="K17" s="1">
        <v>44679.331793981481</v>
      </c>
      <c r="L17" t="s">
        <v>33</v>
      </c>
      <c r="M17" t="s">
        <v>34</v>
      </c>
      <c r="T17">
        <v>0</v>
      </c>
      <c r="Y17" t="s">
        <v>35</v>
      </c>
      <c r="AC17" s="2">
        <f t="shared" si="0"/>
        <v>1</v>
      </c>
      <c r="AD17" s="2">
        <f t="shared" si="1"/>
        <v>15</v>
      </c>
      <c r="AE17" s="2">
        <f t="shared" si="2"/>
        <v>14</v>
      </c>
      <c r="AF17" s="2" t="str">
        <f t="shared" si="3"/>
        <v/>
      </c>
      <c r="AG17" s="2" t="str">
        <f t="shared" si="4"/>
        <v/>
      </c>
      <c r="AH17" s="4" t="str">
        <f t="shared" si="5"/>
        <v/>
      </c>
      <c r="AI17" s="2" t="str">
        <f t="shared" si="6"/>
        <v/>
      </c>
      <c r="AJ17" s="2" t="str">
        <f t="shared" si="7"/>
        <v/>
      </c>
      <c r="AK17" s="2" t="str">
        <f t="shared" si="8"/>
        <v/>
      </c>
      <c r="BF17" s="9" t="s">
        <v>67</v>
      </c>
      <c r="BG17" s="5">
        <v>215</v>
      </c>
    </row>
    <row r="18" spans="1:59" x14ac:dyDescent="0.25">
      <c r="A18">
        <v>339</v>
      </c>
      <c r="B18" t="s">
        <v>66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s="1">
        <v>44719.822210648148</v>
      </c>
      <c r="I18" s="1">
        <v>44723.822210648148</v>
      </c>
      <c r="J18" t="s">
        <v>32</v>
      </c>
      <c r="K18" s="1">
        <v>44737.822210648148</v>
      </c>
      <c r="L18" t="s">
        <v>33</v>
      </c>
      <c r="M18" t="s">
        <v>67</v>
      </c>
      <c r="T18">
        <v>0</v>
      </c>
      <c r="Y18" t="s">
        <v>35</v>
      </c>
      <c r="AC18" s="2">
        <f t="shared" si="0"/>
        <v>4</v>
      </c>
      <c r="AD18" s="2">
        <f t="shared" si="1"/>
        <v>18</v>
      </c>
      <c r="AE18" s="2">
        <f t="shared" si="2"/>
        <v>14</v>
      </c>
      <c r="AF18" s="2" t="str">
        <f t="shared" si="3"/>
        <v/>
      </c>
      <c r="AG18" s="2" t="str">
        <f t="shared" si="4"/>
        <v/>
      </c>
      <c r="AH18" s="4" t="str">
        <f t="shared" si="5"/>
        <v/>
      </c>
      <c r="AI18" s="2" t="str">
        <f t="shared" si="6"/>
        <v/>
      </c>
      <c r="AJ18" s="2" t="str">
        <f t="shared" si="7"/>
        <v/>
      </c>
      <c r="AK18" s="2" t="str">
        <f t="shared" si="8"/>
        <v/>
      </c>
      <c r="BF18" s="9" t="s">
        <v>2630</v>
      </c>
      <c r="BG18" s="5">
        <v>1079</v>
      </c>
    </row>
    <row r="19" spans="1:59" x14ac:dyDescent="0.25">
      <c r="A19">
        <v>338</v>
      </c>
      <c r="B19" t="s">
        <v>68</v>
      </c>
      <c r="C19" t="s">
        <v>27</v>
      </c>
      <c r="D19" t="s">
        <v>37</v>
      </c>
      <c r="E19" t="s">
        <v>42</v>
      </c>
      <c r="F19" t="s">
        <v>43</v>
      </c>
      <c r="G19" t="s">
        <v>38</v>
      </c>
      <c r="H19" s="1">
        <v>44720.822210648148</v>
      </c>
      <c r="I19" s="1">
        <v>44722.822210648148</v>
      </c>
      <c r="J19" t="s">
        <v>32</v>
      </c>
      <c r="K19" s="1">
        <v>44729.822210648148</v>
      </c>
      <c r="L19" t="s">
        <v>39</v>
      </c>
      <c r="N19" s="4">
        <v>44732.822210648148</v>
      </c>
      <c r="O19" t="s">
        <v>39</v>
      </c>
      <c r="R19" s="4">
        <v>44731.822210648148</v>
      </c>
      <c r="T19">
        <v>0</v>
      </c>
      <c r="AC19" s="2">
        <f t="shared" si="0"/>
        <v>2</v>
      </c>
      <c r="AD19" s="2">
        <f t="shared" si="1"/>
        <v>9</v>
      </c>
      <c r="AE19" s="2">
        <f t="shared" si="2"/>
        <v>7</v>
      </c>
      <c r="AF19" s="2">
        <f t="shared" si="3"/>
        <v>11</v>
      </c>
      <c r="AG19" s="2">
        <f t="shared" si="4"/>
        <v>2</v>
      </c>
      <c r="AH19" s="4">
        <f t="shared" si="5"/>
        <v>44821.822210648148</v>
      </c>
      <c r="AI19" s="2" t="str">
        <f t="shared" si="6"/>
        <v/>
      </c>
      <c r="AJ19" s="2" t="str">
        <f t="shared" si="7"/>
        <v/>
      </c>
      <c r="AK19" s="2" t="str">
        <f t="shared" si="8"/>
        <v/>
      </c>
    </row>
    <row r="20" spans="1:59" x14ac:dyDescent="0.25">
      <c r="A20">
        <v>335</v>
      </c>
      <c r="B20" t="s">
        <v>69</v>
      </c>
      <c r="C20" t="s">
        <v>27</v>
      </c>
      <c r="D20" t="s">
        <v>46</v>
      </c>
      <c r="E20" t="s">
        <v>47</v>
      </c>
      <c r="F20" t="s">
        <v>48</v>
      </c>
      <c r="G20" t="s">
        <v>49</v>
      </c>
      <c r="H20" s="1">
        <v>44723.822210648148</v>
      </c>
      <c r="I20" s="1">
        <v>44724.822210648148</v>
      </c>
      <c r="J20" t="s">
        <v>32</v>
      </c>
      <c r="K20" s="1">
        <v>44729.822210648148</v>
      </c>
      <c r="L20" t="s">
        <v>39</v>
      </c>
      <c r="N20" s="4">
        <v>44734.822210648148</v>
      </c>
      <c r="O20" t="s">
        <v>39</v>
      </c>
      <c r="R20" s="4">
        <v>44731.822210648148</v>
      </c>
      <c r="T20">
        <v>0</v>
      </c>
      <c r="AC20" s="2">
        <f t="shared" si="0"/>
        <v>1</v>
      </c>
      <c r="AD20" s="2">
        <f t="shared" si="1"/>
        <v>6</v>
      </c>
      <c r="AE20" s="2">
        <f t="shared" si="2"/>
        <v>5</v>
      </c>
      <c r="AF20" s="2">
        <f t="shared" si="3"/>
        <v>8</v>
      </c>
      <c r="AG20" s="2">
        <f t="shared" si="4"/>
        <v>2</v>
      </c>
      <c r="AH20" s="4">
        <f t="shared" si="5"/>
        <v>44821.822210648148</v>
      </c>
      <c r="AI20" s="2" t="str">
        <f t="shared" si="6"/>
        <v/>
      </c>
      <c r="AJ20" s="2" t="str">
        <f t="shared" si="7"/>
        <v/>
      </c>
      <c r="AK20" s="2" t="str">
        <f t="shared" si="8"/>
        <v/>
      </c>
    </row>
    <row r="21" spans="1:59" x14ac:dyDescent="0.25">
      <c r="A21">
        <v>35</v>
      </c>
      <c r="B21" t="s">
        <v>70</v>
      </c>
      <c r="C21" t="s">
        <v>27</v>
      </c>
      <c r="D21" t="s">
        <v>46</v>
      </c>
      <c r="E21" t="s">
        <v>62</v>
      </c>
      <c r="F21" t="s">
        <v>63</v>
      </c>
      <c r="G21" t="s">
        <v>49</v>
      </c>
      <c r="H21" s="1">
        <v>44769.52820601852</v>
      </c>
      <c r="I21" s="1">
        <v>44773.52820601852</v>
      </c>
      <c r="J21" t="s">
        <v>32</v>
      </c>
      <c r="K21" s="1">
        <v>44792.52820601852</v>
      </c>
      <c r="L21" t="s">
        <v>33</v>
      </c>
      <c r="M21" t="s">
        <v>51</v>
      </c>
      <c r="R21" s="4">
        <v>44794.52820601852</v>
      </c>
      <c r="T21">
        <v>0</v>
      </c>
      <c r="Y21" t="s">
        <v>55</v>
      </c>
      <c r="AC21" s="2">
        <f t="shared" si="0"/>
        <v>4</v>
      </c>
      <c r="AD21" s="2">
        <f t="shared" si="1"/>
        <v>23</v>
      </c>
      <c r="AE21" s="2">
        <f t="shared" si="2"/>
        <v>19</v>
      </c>
      <c r="AF21" s="2">
        <f t="shared" si="3"/>
        <v>25</v>
      </c>
      <c r="AG21" s="2">
        <f t="shared" si="4"/>
        <v>2</v>
      </c>
      <c r="AH21" s="4">
        <f t="shared" si="5"/>
        <v>44884.52820601852</v>
      </c>
      <c r="AI21" s="2" t="str">
        <f t="shared" si="6"/>
        <v/>
      </c>
      <c r="AJ21" s="2" t="str">
        <f t="shared" si="7"/>
        <v/>
      </c>
      <c r="AK21" s="2" t="str">
        <f t="shared" si="8"/>
        <v/>
      </c>
    </row>
    <row r="22" spans="1:59" x14ac:dyDescent="0.25">
      <c r="A22">
        <v>33</v>
      </c>
      <c r="B22" t="s">
        <v>71</v>
      </c>
      <c r="C22" t="s">
        <v>27</v>
      </c>
      <c r="D22" t="s">
        <v>46</v>
      </c>
      <c r="E22" t="s">
        <v>62</v>
      </c>
      <c r="F22" t="s">
        <v>63</v>
      </c>
      <c r="G22" t="s">
        <v>49</v>
      </c>
      <c r="H22" s="1">
        <v>44773.52820601852</v>
      </c>
      <c r="I22" s="1">
        <v>44776.52820601852</v>
      </c>
      <c r="J22" t="s">
        <v>32</v>
      </c>
      <c r="K22" s="1">
        <v>44788.52820601852</v>
      </c>
      <c r="L22" t="s">
        <v>39</v>
      </c>
      <c r="N22" s="4">
        <v>44795.52820601852</v>
      </c>
      <c r="O22" t="s">
        <v>39</v>
      </c>
      <c r="R22" s="4">
        <v>44791.52820601852</v>
      </c>
      <c r="T22">
        <v>0</v>
      </c>
      <c r="AC22" s="2">
        <f t="shared" si="0"/>
        <v>3</v>
      </c>
      <c r="AD22" s="2">
        <f t="shared" si="1"/>
        <v>15</v>
      </c>
      <c r="AE22" s="2">
        <f t="shared" si="2"/>
        <v>12</v>
      </c>
      <c r="AF22" s="2">
        <f t="shared" si="3"/>
        <v>18</v>
      </c>
      <c r="AG22" s="2">
        <f t="shared" si="4"/>
        <v>3</v>
      </c>
      <c r="AH22" s="4">
        <f t="shared" si="5"/>
        <v>44881.52820601852</v>
      </c>
      <c r="AI22" s="2" t="str">
        <f t="shared" si="6"/>
        <v/>
      </c>
      <c r="AJ22" s="2" t="str">
        <f t="shared" si="7"/>
        <v/>
      </c>
      <c r="AK22" s="2" t="str">
        <f t="shared" si="8"/>
        <v/>
      </c>
    </row>
    <row r="23" spans="1:59" x14ac:dyDescent="0.25">
      <c r="A23">
        <v>34</v>
      </c>
      <c r="B23" t="s">
        <v>72</v>
      </c>
      <c r="C23" t="s">
        <v>27</v>
      </c>
      <c r="D23" t="s">
        <v>46</v>
      </c>
      <c r="E23" t="s">
        <v>62</v>
      </c>
      <c r="F23" t="s">
        <v>63</v>
      </c>
      <c r="G23" t="s">
        <v>49</v>
      </c>
      <c r="H23" s="1">
        <v>44774.52820601852</v>
      </c>
      <c r="I23" s="1">
        <v>44777.52820601852</v>
      </c>
      <c r="J23" t="s">
        <v>32</v>
      </c>
      <c r="K23" s="1">
        <v>44792.52820601852</v>
      </c>
      <c r="L23" t="s">
        <v>39</v>
      </c>
      <c r="N23" s="4">
        <v>44797.52820601852</v>
      </c>
      <c r="O23" t="s">
        <v>39</v>
      </c>
      <c r="R23" s="4">
        <v>44793.52820601852</v>
      </c>
      <c r="T23">
        <v>0</v>
      </c>
      <c r="AC23" s="2">
        <f t="shared" si="0"/>
        <v>3</v>
      </c>
      <c r="AD23" s="2">
        <f t="shared" si="1"/>
        <v>18</v>
      </c>
      <c r="AE23" s="2">
        <f t="shared" si="2"/>
        <v>15</v>
      </c>
      <c r="AF23" s="2">
        <f t="shared" si="3"/>
        <v>19</v>
      </c>
      <c r="AG23" s="2">
        <f t="shared" si="4"/>
        <v>1</v>
      </c>
      <c r="AH23" s="4">
        <f t="shared" si="5"/>
        <v>44883.52820601852</v>
      </c>
      <c r="AI23" s="2" t="str">
        <f t="shared" si="6"/>
        <v/>
      </c>
      <c r="AJ23" s="2" t="str">
        <f t="shared" si="7"/>
        <v/>
      </c>
      <c r="AK23" s="2" t="str">
        <f t="shared" si="8"/>
        <v/>
      </c>
    </row>
    <row r="24" spans="1:59" x14ac:dyDescent="0.25">
      <c r="A24">
        <v>32</v>
      </c>
      <c r="B24" t="s">
        <v>73</v>
      </c>
      <c r="C24" t="s">
        <v>27</v>
      </c>
      <c r="D24" t="s">
        <v>46</v>
      </c>
      <c r="E24" t="s">
        <v>62</v>
      </c>
      <c r="F24" t="s">
        <v>63</v>
      </c>
      <c r="G24" t="s">
        <v>49</v>
      </c>
      <c r="H24" s="1">
        <v>44774.52820601852</v>
      </c>
      <c r="I24" s="1">
        <v>44777.52820601852</v>
      </c>
      <c r="J24" t="s">
        <v>32</v>
      </c>
      <c r="K24" s="1">
        <v>44787.52820601852</v>
      </c>
      <c r="L24" t="s">
        <v>57</v>
      </c>
      <c r="N24" s="4">
        <v>44795.52820601852</v>
      </c>
      <c r="O24" t="s">
        <v>57</v>
      </c>
      <c r="P24" s="4">
        <v>44789.52820601852</v>
      </c>
      <c r="Q24" s="4">
        <v>44793.52820601852</v>
      </c>
      <c r="R24" s="4">
        <v>44791.52820601852</v>
      </c>
      <c r="S24" s="4">
        <v>44800.52820601852</v>
      </c>
      <c r="T24">
        <v>1</v>
      </c>
      <c r="U24" s="4">
        <v>44803.52820601852</v>
      </c>
      <c r="V24" s="4">
        <v>44806.52820601852</v>
      </c>
      <c r="W24" s="4">
        <v>44807.52820601852</v>
      </c>
      <c r="Z24" s="4">
        <v>44825.52820601852</v>
      </c>
      <c r="AC24" s="2">
        <f t="shared" si="0"/>
        <v>3</v>
      </c>
      <c r="AD24" s="2">
        <f t="shared" si="1"/>
        <v>13</v>
      </c>
      <c r="AE24" s="2">
        <f t="shared" si="2"/>
        <v>10</v>
      </c>
      <c r="AF24" s="2">
        <f t="shared" si="3"/>
        <v>17</v>
      </c>
      <c r="AG24" s="2">
        <f t="shared" si="4"/>
        <v>4</v>
      </c>
      <c r="AH24" s="4">
        <f t="shared" si="5"/>
        <v>44881.52820601852</v>
      </c>
      <c r="AI24" s="2">
        <f t="shared" si="6"/>
        <v>3</v>
      </c>
      <c r="AJ24" s="2">
        <f t="shared" si="7"/>
        <v>34</v>
      </c>
      <c r="AK24" s="2">
        <f t="shared" si="8"/>
        <v>16</v>
      </c>
    </row>
    <row r="25" spans="1:59" x14ac:dyDescent="0.25">
      <c r="A25">
        <v>37</v>
      </c>
      <c r="B25" t="s">
        <v>74</v>
      </c>
      <c r="C25" t="s">
        <v>27</v>
      </c>
      <c r="D25" t="s">
        <v>37</v>
      </c>
      <c r="E25" t="s">
        <v>42</v>
      </c>
      <c r="F25" t="s">
        <v>43</v>
      </c>
      <c r="G25" t="s">
        <v>38</v>
      </c>
      <c r="H25" s="1">
        <v>44774.52820601852</v>
      </c>
      <c r="I25" s="1">
        <v>44777.52820601852</v>
      </c>
      <c r="J25" t="s">
        <v>32</v>
      </c>
      <c r="K25" s="1">
        <v>44784.52820601852</v>
      </c>
      <c r="L25" t="s">
        <v>33</v>
      </c>
      <c r="M25" t="s">
        <v>67</v>
      </c>
      <c r="T25">
        <v>0</v>
      </c>
      <c r="Y25" t="s">
        <v>35</v>
      </c>
      <c r="AC25" s="2">
        <f t="shared" si="0"/>
        <v>3</v>
      </c>
      <c r="AD25" s="2">
        <f t="shared" si="1"/>
        <v>10</v>
      </c>
      <c r="AE25" s="2">
        <f t="shared" si="2"/>
        <v>7</v>
      </c>
      <c r="AF25" s="2" t="str">
        <f t="shared" si="3"/>
        <v/>
      </c>
      <c r="AG25" s="2" t="str">
        <f t="shared" si="4"/>
        <v/>
      </c>
      <c r="AH25" s="4" t="str">
        <f t="shared" si="5"/>
        <v/>
      </c>
      <c r="AI25" s="2" t="str">
        <f t="shared" si="6"/>
        <v/>
      </c>
      <c r="AJ25" s="2" t="str">
        <f t="shared" si="7"/>
        <v/>
      </c>
      <c r="AK25" s="2" t="str">
        <f t="shared" si="8"/>
        <v/>
      </c>
    </row>
    <row r="26" spans="1:59" x14ac:dyDescent="0.25">
      <c r="A26">
        <v>518</v>
      </c>
      <c r="B26" t="s">
        <v>75</v>
      </c>
      <c r="C26" t="s">
        <v>27</v>
      </c>
      <c r="D26" t="s">
        <v>37</v>
      </c>
      <c r="E26" t="s">
        <v>29</v>
      </c>
      <c r="F26" t="s">
        <v>30</v>
      </c>
      <c r="G26" t="s">
        <v>38</v>
      </c>
      <c r="H26" s="1">
        <v>44846.925555555557</v>
      </c>
      <c r="I26" s="1">
        <v>44850.925555555557</v>
      </c>
      <c r="J26" t="s">
        <v>32</v>
      </c>
      <c r="K26" s="1">
        <v>44871.925555555557</v>
      </c>
      <c r="L26" t="s">
        <v>39</v>
      </c>
      <c r="N26" s="4">
        <v>44875.925555555557</v>
      </c>
      <c r="O26" t="s">
        <v>39</v>
      </c>
      <c r="R26" s="4">
        <v>44874.925555555557</v>
      </c>
      <c r="T26">
        <v>0</v>
      </c>
      <c r="AC26" s="2">
        <f t="shared" si="0"/>
        <v>4</v>
      </c>
      <c r="AD26" s="2">
        <f t="shared" si="1"/>
        <v>25</v>
      </c>
      <c r="AE26" s="2">
        <f t="shared" si="2"/>
        <v>21</v>
      </c>
      <c r="AF26" s="2">
        <f t="shared" si="3"/>
        <v>28</v>
      </c>
      <c r="AG26" s="2">
        <f t="shared" si="4"/>
        <v>3</v>
      </c>
      <c r="AH26" s="4">
        <f t="shared" si="5"/>
        <v>44964.925555555557</v>
      </c>
      <c r="AI26" s="2" t="str">
        <f t="shared" si="6"/>
        <v/>
      </c>
      <c r="AJ26" s="2" t="str">
        <f t="shared" si="7"/>
        <v/>
      </c>
      <c r="AK26" s="2" t="str">
        <f t="shared" si="8"/>
        <v/>
      </c>
    </row>
    <row r="27" spans="1:59" x14ac:dyDescent="0.25">
      <c r="A27">
        <v>511</v>
      </c>
      <c r="B27" t="s">
        <v>76</v>
      </c>
      <c r="C27" t="s">
        <v>27</v>
      </c>
      <c r="D27" t="s">
        <v>37</v>
      </c>
      <c r="E27" t="s">
        <v>29</v>
      </c>
      <c r="F27" t="s">
        <v>30</v>
      </c>
      <c r="G27" t="s">
        <v>38</v>
      </c>
      <c r="H27" s="1">
        <v>44848.925555555557</v>
      </c>
      <c r="I27" s="1">
        <v>44851.925555555557</v>
      </c>
      <c r="J27" t="s">
        <v>32</v>
      </c>
      <c r="K27" s="1">
        <v>44860.925555555557</v>
      </c>
      <c r="L27" t="s">
        <v>33</v>
      </c>
      <c r="M27" t="s">
        <v>67</v>
      </c>
      <c r="T27">
        <v>0</v>
      </c>
      <c r="Y27" t="s">
        <v>35</v>
      </c>
      <c r="AC27" s="2">
        <f t="shared" si="0"/>
        <v>3</v>
      </c>
      <c r="AD27" s="2">
        <f t="shared" si="1"/>
        <v>12</v>
      </c>
      <c r="AE27" s="2">
        <f t="shared" si="2"/>
        <v>9</v>
      </c>
      <c r="AF27" s="2" t="str">
        <f t="shared" si="3"/>
        <v/>
      </c>
      <c r="AG27" s="2" t="str">
        <f t="shared" si="4"/>
        <v/>
      </c>
      <c r="AH27" s="4" t="str">
        <f t="shared" si="5"/>
        <v/>
      </c>
      <c r="AI27" s="2" t="str">
        <f t="shared" si="6"/>
        <v/>
      </c>
      <c r="AJ27" s="2" t="str">
        <f t="shared" si="7"/>
        <v/>
      </c>
      <c r="AK27" s="2" t="str">
        <f t="shared" si="8"/>
        <v/>
      </c>
    </row>
    <row r="28" spans="1:59" x14ac:dyDescent="0.25">
      <c r="A28">
        <v>519</v>
      </c>
      <c r="B28" t="s">
        <v>77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s="1">
        <v>44850.925555555557</v>
      </c>
      <c r="I28" s="1">
        <v>44854.925555555557</v>
      </c>
      <c r="J28" t="s">
        <v>32</v>
      </c>
      <c r="K28" s="1">
        <v>44866.925555555557</v>
      </c>
      <c r="L28" t="s">
        <v>39</v>
      </c>
      <c r="N28" s="4">
        <v>44871.925555555557</v>
      </c>
      <c r="O28" t="s">
        <v>39</v>
      </c>
      <c r="R28" s="4">
        <v>44870.925555555557</v>
      </c>
      <c r="T28">
        <v>0</v>
      </c>
      <c r="AC28" s="2">
        <f t="shared" si="0"/>
        <v>4</v>
      </c>
      <c r="AD28" s="2">
        <f t="shared" si="1"/>
        <v>16</v>
      </c>
      <c r="AE28" s="2">
        <f t="shared" si="2"/>
        <v>12</v>
      </c>
      <c r="AF28" s="2">
        <f t="shared" si="3"/>
        <v>20</v>
      </c>
      <c r="AG28" s="2">
        <f t="shared" si="4"/>
        <v>4</v>
      </c>
      <c r="AH28" s="4">
        <f t="shared" si="5"/>
        <v>44960.925555555557</v>
      </c>
      <c r="AI28" s="2" t="str">
        <f t="shared" si="6"/>
        <v/>
      </c>
      <c r="AJ28" s="2" t="str">
        <f t="shared" si="7"/>
        <v/>
      </c>
      <c r="AK28" s="2" t="str">
        <f t="shared" si="8"/>
        <v/>
      </c>
    </row>
    <row r="29" spans="1:59" x14ac:dyDescent="0.25">
      <c r="A29">
        <v>512</v>
      </c>
      <c r="B29" t="s">
        <v>78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s="1">
        <v>44851.925555555557</v>
      </c>
      <c r="I29" s="1">
        <v>44854.925555555557</v>
      </c>
      <c r="J29" t="s">
        <v>32</v>
      </c>
      <c r="K29" s="1">
        <v>44869.925555555557</v>
      </c>
      <c r="L29" t="s">
        <v>39</v>
      </c>
      <c r="N29" s="4">
        <v>44874.925555555557</v>
      </c>
      <c r="O29" t="s">
        <v>39</v>
      </c>
      <c r="R29" s="4">
        <v>44870.925555555557</v>
      </c>
      <c r="T29">
        <v>0</v>
      </c>
      <c r="AC29" s="2">
        <f t="shared" si="0"/>
        <v>3</v>
      </c>
      <c r="AD29" s="2">
        <f t="shared" si="1"/>
        <v>18</v>
      </c>
      <c r="AE29" s="2">
        <f t="shared" si="2"/>
        <v>15</v>
      </c>
      <c r="AF29" s="2">
        <f t="shared" si="3"/>
        <v>19</v>
      </c>
      <c r="AG29" s="2">
        <f t="shared" si="4"/>
        <v>1</v>
      </c>
      <c r="AH29" s="4">
        <f t="shared" si="5"/>
        <v>44960.925555555557</v>
      </c>
      <c r="AI29" s="2" t="str">
        <f t="shared" si="6"/>
        <v/>
      </c>
      <c r="AJ29" s="2" t="str">
        <f t="shared" si="7"/>
        <v/>
      </c>
      <c r="AK29" s="2" t="str">
        <f t="shared" si="8"/>
        <v/>
      </c>
    </row>
    <row r="30" spans="1:59" x14ac:dyDescent="0.25">
      <c r="A30">
        <v>515</v>
      </c>
      <c r="B30" t="s">
        <v>79</v>
      </c>
      <c r="C30" t="s">
        <v>27</v>
      </c>
      <c r="D30" t="s">
        <v>37</v>
      </c>
      <c r="E30" t="s">
        <v>29</v>
      </c>
      <c r="F30" t="s">
        <v>30</v>
      </c>
      <c r="G30" t="s">
        <v>38</v>
      </c>
      <c r="H30" s="1">
        <v>44852.925555555557</v>
      </c>
      <c r="I30" s="1">
        <v>44854.925555555557</v>
      </c>
      <c r="J30" t="s">
        <v>32</v>
      </c>
      <c r="K30" s="1">
        <v>44871.925555555557</v>
      </c>
      <c r="L30" t="s">
        <v>57</v>
      </c>
      <c r="N30" s="4">
        <v>44877.925555555557</v>
      </c>
      <c r="O30" t="s">
        <v>57</v>
      </c>
      <c r="P30" s="4">
        <v>44873.925555555557</v>
      </c>
      <c r="Q30" s="4">
        <v>44877.925555555557</v>
      </c>
      <c r="R30" s="4">
        <v>44874.925555555557</v>
      </c>
      <c r="S30" s="4">
        <v>44875.925555555557</v>
      </c>
      <c r="T30">
        <v>1</v>
      </c>
      <c r="U30" s="4">
        <v>44878.925555555557</v>
      </c>
      <c r="V30" s="4">
        <v>44881.925555555557</v>
      </c>
      <c r="W30" s="4">
        <v>44883.925555555557</v>
      </c>
      <c r="Z30" s="4">
        <v>44901.925555555557</v>
      </c>
      <c r="AC30" s="2">
        <f t="shared" si="0"/>
        <v>2</v>
      </c>
      <c r="AD30" s="2">
        <f t="shared" si="1"/>
        <v>19</v>
      </c>
      <c r="AE30" s="2">
        <f t="shared" si="2"/>
        <v>17</v>
      </c>
      <c r="AF30" s="2">
        <f t="shared" si="3"/>
        <v>22</v>
      </c>
      <c r="AG30" s="2">
        <f t="shared" si="4"/>
        <v>3</v>
      </c>
      <c r="AH30" s="4">
        <f t="shared" si="5"/>
        <v>44964.925555555557</v>
      </c>
      <c r="AI30" s="2">
        <f t="shared" si="6"/>
        <v>3</v>
      </c>
      <c r="AJ30" s="2">
        <f t="shared" si="7"/>
        <v>27</v>
      </c>
      <c r="AK30" s="2">
        <f t="shared" si="8"/>
        <v>9</v>
      </c>
    </row>
    <row r="31" spans="1:59" x14ac:dyDescent="0.25">
      <c r="A31">
        <v>442</v>
      </c>
      <c r="B31" t="s">
        <v>80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s="1">
        <v>44887.108344907407</v>
      </c>
      <c r="I31" s="1">
        <v>44890.108344907407</v>
      </c>
      <c r="J31" t="s">
        <v>32</v>
      </c>
      <c r="K31" s="1">
        <v>44898.108344907407</v>
      </c>
      <c r="L31" t="s">
        <v>33</v>
      </c>
      <c r="M31" t="s">
        <v>67</v>
      </c>
      <c r="R31" s="4">
        <v>44902.108344907407</v>
      </c>
      <c r="T31">
        <v>0</v>
      </c>
      <c r="Y31" t="s">
        <v>55</v>
      </c>
      <c r="AC31" s="2">
        <f t="shared" si="0"/>
        <v>3</v>
      </c>
      <c r="AD31" s="2">
        <f t="shared" si="1"/>
        <v>11</v>
      </c>
      <c r="AE31" s="2">
        <f t="shared" si="2"/>
        <v>8</v>
      </c>
      <c r="AF31" s="2">
        <f t="shared" si="3"/>
        <v>15</v>
      </c>
      <c r="AG31" s="2">
        <f t="shared" si="4"/>
        <v>4</v>
      </c>
      <c r="AH31" s="4">
        <f t="shared" si="5"/>
        <v>44992.108344907407</v>
      </c>
      <c r="AI31" s="2" t="str">
        <f t="shared" si="6"/>
        <v/>
      </c>
      <c r="AJ31" s="2" t="str">
        <f t="shared" si="7"/>
        <v/>
      </c>
      <c r="AK31" s="2" t="str">
        <f t="shared" si="8"/>
        <v/>
      </c>
    </row>
    <row r="32" spans="1:59" x14ac:dyDescent="0.25">
      <c r="A32">
        <v>449</v>
      </c>
      <c r="B32" t="s">
        <v>81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s="1">
        <v>44889.108344907407</v>
      </c>
      <c r="I32" s="1">
        <v>44893.108344907407</v>
      </c>
      <c r="J32" t="s">
        <v>32</v>
      </c>
      <c r="K32" s="1">
        <v>44910.108344907407</v>
      </c>
      <c r="L32" t="s">
        <v>57</v>
      </c>
      <c r="N32" s="4">
        <v>44912.108344907407</v>
      </c>
      <c r="O32" t="s">
        <v>57</v>
      </c>
      <c r="P32" s="4">
        <v>44912.108344907407</v>
      </c>
      <c r="Q32" s="4">
        <v>44915.108344907407</v>
      </c>
      <c r="R32" s="4">
        <v>44911.108344907407</v>
      </c>
      <c r="S32" s="4">
        <v>44920.108344907407</v>
      </c>
      <c r="T32">
        <v>1</v>
      </c>
      <c r="U32" s="4">
        <v>44923.108344907407</v>
      </c>
      <c r="V32" s="4">
        <v>44925.108344907407</v>
      </c>
      <c r="W32" s="4">
        <v>44926.108344907407</v>
      </c>
      <c r="Z32" s="4">
        <v>44941.108344907407</v>
      </c>
      <c r="AC32" s="2">
        <f t="shared" si="0"/>
        <v>4</v>
      </c>
      <c r="AD32" s="2">
        <f t="shared" si="1"/>
        <v>21</v>
      </c>
      <c r="AE32" s="2">
        <f t="shared" si="2"/>
        <v>17</v>
      </c>
      <c r="AF32" s="2">
        <f t="shared" si="3"/>
        <v>22</v>
      </c>
      <c r="AG32" s="2">
        <f t="shared" si="4"/>
        <v>1</v>
      </c>
      <c r="AH32" s="4">
        <f t="shared" si="5"/>
        <v>45001.108344907407</v>
      </c>
      <c r="AI32" s="2">
        <f t="shared" si="6"/>
        <v>3</v>
      </c>
      <c r="AJ32" s="2">
        <f t="shared" si="7"/>
        <v>30</v>
      </c>
      <c r="AK32" s="2">
        <f t="shared" si="8"/>
        <v>15</v>
      </c>
    </row>
    <row r="33" spans="1:37" x14ac:dyDescent="0.25">
      <c r="A33">
        <v>444</v>
      </c>
      <c r="B33" t="s">
        <v>82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s="1">
        <v>44889.108344907407</v>
      </c>
      <c r="I33" s="1">
        <v>44893.108344907407</v>
      </c>
      <c r="J33" t="s">
        <v>32</v>
      </c>
      <c r="K33" s="1">
        <v>44906.108344907407</v>
      </c>
      <c r="L33" t="s">
        <v>33</v>
      </c>
      <c r="M33" t="s">
        <v>51</v>
      </c>
      <c r="R33" s="4">
        <v>44908.108344907407</v>
      </c>
      <c r="T33">
        <v>0</v>
      </c>
      <c r="Y33" t="s">
        <v>55</v>
      </c>
      <c r="AC33" s="2">
        <f t="shared" si="0"/>
        <v>4</v>
      </c>
      <c r="AD33" s="2">
        <f t="shared" si="1"/>
        <v>17</v>
      </c>
      <c r="AE33" s="2">
        <f t="shared" si="2"/>
        <v>13</v>
      </c>
      <c r="AF33" s="2">
        <f t="shared" si="3"/>
        <v>19</v>
      </c>
      <c r="AG33" s="2">
        <f t="shared" si="4"/>
        <v>2</v>
      </c>
      <c r="AH33" s="4">
        <f t="shared" si="5"/>
        <v>44998.108344907407</v>
      </c>
      <c r="AI33" s="2" t="str">
        <f t="shared" si="6"/>
        <v/>
      </c>
      <c r="AJ33" s="2" t="str">
        <f t="shared" si="7"/>
        <v/>
      </c>
      <c r="AK33" s="2" t="str">
        <f t="shared" si="8"/>
        <v/>
      </c>
    </row>
    <row r="34" spans="1:37" x14ac:dyDescent="0.25">
      <c r="A34">
        <v>462</v>
      </c>
      <c r="B34" t="s">
        <v>83</v>
      </c>
      <c r="C34" t="s">
        <v>27</v>
      </c>
      <c r="D34" t="s">
        <v>37</v>
      </c>
      <c r="E34" t="s">
        <v>29</v>
      </c>
      <c r="F34" t="s">
        <v>30</v>
      </c>
      <c r="G34" t="s">
        <v>38</v>
      </c>
      <c r="H34" s="1">
        <v>44969.424490740741</v>
      </c>
      <c r="I34" s="1">
        <v>44973.424490740741</v>
      </c>
      <c r="J34" t="s">
        <v>32</v>
      </c>
      <c r="K34" s="1">
        <v>44996.424490740741</v>
      </c>
      <c r="L34" t="s">
        <v>57</v>
      </c>
      <c r="N34" s="4">
        <v>45001.424490740741</v>
      </c>
      <c r="O34" t="s">
        <v>57</v>
      </c>
      <c r="P34" s="4">
        <v>44998.424490740741</v>
      </c>
      <c r="Q34" s="4">
        <v>45001.424490740741</v>
      </c>
      <c r="R34" s="4">
        <v>45000.424490740741</v>
      </c>
      <c r="S34" s="4">
        <v>45004.424490740741</v>
      </c>
      <c r="T34">
        <v>1</v>
      </c>
      <c r="U34" s="4">
        <v>45005.424490740741</v>
      </c>
      <c r="V34" s="4">
        <v>45008.424490740741</v>
      </c>
      <c r="W34" s="4">
        <v>45010.424490740741</v>
      </c>
      <c r="Z34" s="4">
        <v>45028.424490740741</v>
      </c>
      <c r="AC34" s="2">
        <f t="shared" si="0"/>
        <v>4</v>
      </c>
      <c r="AD34" s="2">
        <f t="shared" si="1"/>
        <v>27</v>
      </c>
      <c r="AE34" s="2">
        <f t="shared" si="2"/>
        <v>23</v>
      </c>
      <c r="AF34" s="2">
        <f t="shared" si="3"/>
        <v>31</v>
      </c>
      <c r="AG34" s="2">
        <f t="shared" si="4"/>
        <v>4</v>
      </c>
      <c r="AH34" s="4">
        <f t="shared" si="5"/>
        <v>45090.424490740741</v>
      </c>
      <c r="AI34" s="2">
        <f t="shared" si="6"/>
        <v>1</v>
      </c>
      <c r="AJ34" s="2">
        <f t="shared" si="7"/>
        <v>28</v>
      </c>
      <c r="AK34" s="2">
        <f t="shared" si="8"/>
        <v>10</v>
      </c>
    </row>
    <row r="35" spans="1:37" x14ac:dyDescent="0.25">
      <c r="A35">
        <v>467</v>
      </c>
      <c r="B35" t="s">
        <v>84</v>
      </c>
      <c r="C35" t="s">
        <v>27</v>
      </c>
      <c r="D35" t="s">
        <v>46</v>
      </c>
      <c r="E35" t="s">
        <v>47</v>
      </c>
      <c r="F35" t="s">
        <v>48</v>
      </c>
      <c r="G35" t="s">
        <v>49</v>
      </c>
      <c r="H35" s="1">
        <v>44971.424490740741</v>
      </c>
      <c r="I35" s="1">
        <v>44973.424490740741</v>
      </c>
      <c r="J35" t="s">
        <v>32</v>
      </c>
      <c r="K35" s="1">
        <v>44987.424490740741</v>
      </c>
      <c r="L35" t="s">
        <v>33</v>
      </c>
      <c r="M35" t="s">
        <v>51</v>
      </c>
      <c r="T35">
        <v>0</v>
      </c>
      <c r="Y35" t="s">
        <v>35</v>
      </c>
      <c r="AC35" s="2">
        <f t="shared" si="0"/>
        <v>2</v>
      </c>
      <c r="AD35" s="2">
        <f t="shared" si="1"/>
        <v>16</v>
      </c>
      <c r="AE35" s="2">
        <f t="shared" si="2"/>
        <v>14</v>
      </c>
      <c r="AF35" s="2" t="str">
        <f t="shared" si="3"/>
        <v/>
      </c>
      <c r="AG35" s="2" t="str">
        <f t="shared" si="4"/>
        <v/>
      </c>
      <c r="AH35" s="4" t="str">
        <f t="shared" si="5"/>
        <v/>
      </c>
      <c r="AI35" s="2" t="str">
        <f t="shared" si="6"/>
        <v/>
      </c>
      <c r="AJ35" s="2" t="str">
        <f t="shared" si="7"/>
        <v/>
      </c>
      <c r="AK35" s="2" t="str">
        <f t="shared" si="8"/>
        <v/>
      </c>
    </row>
    <row r="36" spans="1:37" x14ac:dyDescent="0.25">
      <c r="A36">
        <v>466</v>
      </c>
      <c r="B36" t="s">
        <v>85</v>
      </c>
      <c r="C36" t="s">
        <v>27</v>
      </c>
      <c r="D36" t="s">
        <v>37</v>
      </c>
      <c r="E36" t="s">
        <v>29</v>
      </c>
      <c r="F36" t="s">
        <v>30</v>
      </c>
      <c r="G36" t="s">
        <v>38</v>
      </c>
      <c r="H36" s="1">
        <v>44971.424490740741</v>
      </c>
      <c r="I36" s="1">
        <v>44973.424490740741</v>
      </c>
      <c r="J36" t="s">
        <v>32</v>
      </c>
      <c r="K36" s="1">
        <v>44995.424490740741</v>
      </c>
      <c r="L36" t="s">
        <v>33</v>
      </c>
      <c r="M36" t="s">
        <v>51</v>
      </c>
      <c r="T36">
        <v>0</v>
      </c>
      <c r="Y36" t="s">
        <v>55</v>
      </c>
      <c r="AC36" s="2">
        <f t="shared" si="0"/>
        <v>2</v>
      </c>
      <c r="AD36" s="2">
        <f t="shared" si="1"/>
        <v>24</v>
      </c>
      <c r="AE36" s="2">
        <f t="shared" si="2"/>
        <v>22</v>
      </c>
      <c r="AF36" s="2" t="str">
        <f t="shared" si="3"/>
        <v/>
      </c>
      <c r="AG36" s="2" t="str">
        <f t="shared" si="4"/>
        <v/>
      </c>
      <c r="AH36" s="4" t="str">
        <f t="shared" si="5"/>
        <v/>
      </c>
      <c r="AI36" s="2" t="str">
        <f t="shared" si="6"/>
        <v/>
      </c>
      <c r="AJ36" s="2" t="str">
        <f t="shared" si="7"/>
        <v/>
      </c>
      <c r="AK36" s="2" t="str">
        <f t="shared" si="8"/>
        <v/>
      </c>
    </row>
    <row r="37" spans="1:37" x14ac:dyDescent="0.25">
      <c r="A37">
        <v>461</v>
      </c>
      <c r="B37" t="s">
        <v>86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s="1">
        <v>44974.424490740741</v>
      </c>
      <c r="I37" s="1">
        <v>44977.424490740741</v>
      </c>
      <c r="J37" t="s">
        <v>32</v>
      </c>
      <c r="K37" s="1">
        <v>44997.424490740741</v>
      </c>
      <c r="L37" t="s">
        <v>33</v>
      </c>
      <c r="M37" t="s">
        <v>67</v>
      </c>
      <c r="R37" s="4">
        <v>45001.424490740741</v>
      </c>
      <c r="T37">
        <v>0</v>
      </c>
      <c r="Y37" t="s">
        <v>55</v>
      </c>
      <c r="AC37" s="2">
        <f t="shared" si="0"/>
        <v>3</v>
      </c>
      <c r="AD37" s="2">
        <f t="shared" si="1"/>
        <v>23</v>
      </c>
      <c r="AE37" s="2">
        <f t="shared" si="2"/>
        <v>20</v>
      </c>
      <c r="AF37" s="2">
        <f t="shared" si="3"/>
        <v>27</v>
      </c>
      <c r="AG37" s="2">
        <f t="shared" si="4"/>
        <v>4</v>
      </c>
      <c r="AH37" s="4">
        <f t="shared" si="5"/>
        <v>45091.424490740741</v>
      </c>
      <c r="AI37" s="2" t="str">
        <f t="shared" si="6"/>
        <v/>
      </c>
      <c r="AJ37" s="2" t="str">
        <f t="shared" si="7"/>
        <v/>
      </c>
      <c r="AK37" s="2" t="str">
        <f t="shared" si="8"/>
        <v/>
      </c>
    </row>
    <row r="38" spans="1:37" x14ac:dyDescent="0.25">
      <c r="A38">
        <v>469</v>
      </c>
      <c r="B38" t="s">
        <v>87</v>
      </c>
      <c r="C38" t="s">
        <v>27</v>
      </c>
      <c r="D38" t="s">
        <v>37</v>
      </c>
      <c r="E38" t="s">
        <v>29</v>
      </c>
      <c r="F38" t="s">
        <v>30</v>
      </c>
      <c r="G38" t="s">
        <v>38</v>
      </c>
      <c r="H38" s="1">
        <v>44974.424490740741</v>
      </c>
      <c r="I38" s="1">
        <v>44975.424490740741</v>
      </c>
      <c r="J38" t="s">
        <v>32</v>
      </c>
      <c r="K38" s="1">
        <v>44987.424490740741</v>
      </c>
      <c r="L38" t="s">
        <v>33</v>
      </c>
      <c r="M38" t="s">
        <v>34</v>
      </c>
      <c r="R38" s="4">
        <v>44991.424490740741</v>
      </c>
      <c r="T38">
        <v>0</v>
      </c>
      <c r="Y38" t="s">
        <v>55</v>
      </c>
      <c r="AC38" s="2">
        <f t="shared" si="0"/>
        <v>1</v>
      </c>
      <c r="AD38" s="2">
        <f t="shared" si="1"/>
        <v>13</v>
      </c>
      <c r="AE38" s="2">
        <f t="shared" si="2"/>
        <v>12</v>
      </c>
      <c r="AF38" s="2">
        <f t="shared" si="3"/>
        <v>17</v>
      </c>
      <c r="AG38" s="2">
        <f t="shared" si="4"/>
        <v>4</v>
      </c>
      <c r="AH38" s="4">
        <f t="shared" si="5"/>
        <v>45081.424490740741</v>
      </c>
      <c r="AI38" s="2" t="str">
        <f t="shared" si="6"/>
        <v/>
      </c>
      <c r="AJ38" s="2" t="str">
        <f t="shared" si="7"/>
        <v/>
      </c>
      <c r="AK38" s="2" t="str">
        <f t="shared" si="8"/>
        <v/>
      </c>
    </row>
    <row r="39" spans="1:37" x14ac:dyDescent="0.25">
      <c r="A39">
        <v>470</v>
      </c>
      <c r="B39" t="s">
        <v>88</v>
      </c>
      <c r="C39" t="s">
        <v>27</v>
      </c>
      <c r="D39" t="s">
        <v>46</v>
      </c>
      <c r="E39" t="s">
        <v>47</v>
      </c>
      <c r="F39" t="s">
        <v>48</v>
      </c>
      <c r="G39" t="s">
        <v>49</v>
      </c>
      <c r="H39" s="1">
        <v>44975.424490740741</v>
      </c>
      <c r="I39" s="1">
        <v>44978.424490740741</v>
      </c>
      <c r="J39" t="s">
        <v>32</v>
      </c>
      <c r="K39" s="1">
        <v>44994.424490740741</v>
      </c>
      <c r="L39" t="s">
        <v>39</v>
      </c>
      <c r="N39" s="4">
        <v>45000.424490740741</v>
      </c>
      <c r="O39" t="s">
        <v>39</v>
      </c>
      <c r="R39" s="4">
        <v>44996.424490740741</v>
      </c>
      <c r="T39">
        <v>0</v>
      </c>
      <c r="AC39" s="2">
        <f t="shared" si="0"/>
        <v>3</v>
      </c>
      <c r="AD39" s="2">
        <f t="shared" si="1"/>
        <v>19</v>
      </c>
      <c r="AE39" s="2">
        <f t="shared" si="2"/>
        <v>16</v>
      </c>
      <c r="AF39" s="2">
        <f t="shared" si="3"/>
        <v>21</v>
      </c>
      <c r="AG39" s="2">
        <f t="shared" si="4"/>
        <v>2</v>
      </c>
      <c r="AH39" s="4">
        <f t="shared" si="5"/>
        <v>45086.424490740741</v>
      </c>
      <c r="AI39" s="2" t="str">
        <f t="shared" si="6"/>
        <v/>
      </c>
      <c r="AJ39" s="2" t="str">
        <f t="shared" si="7"/>
        <v/>
      </c>
      <c r="AK39" s="2" t="str">
        <f t="shared" si="8"/>
        <v/>
      </c>
    </row>
    <row r="40" spans="1:37" x14ac:dyDescent="0.25">
      <c r="A40">
        <v>306</v>
      </c>
      <c r="B40" t="s">
        <v>89</v>
      </c>
      <c r="C40" t="s">
        <v>27</v>
      </c>
      <c r="D40" t="s">
        <v>46</v>
      </c>
      <c r="E40" t="s">
        <v>47</v>
      </c>
      <c r="F40" t="s">
        <v>48</v>
      </c>
      <c r="G40" t="s">
        <v>49</v>
      </c>
      <c r="H40" s="1">
        <v>45026.892650462964</v>
      </c>
      <c r="I40" s="1">
        <v>45029.892650462964</v>
      </c>
      <c r="J40" t="s">
        <v>32</v>
      </c>
      <c r="K40" s="1">
        <v>45041.892650462964</v>
      </c>
      <c r="L40" t="s">
        <v>33</v>
      </c>
      <c r="M40" t="s">
        <v>51</v>
      </c>
      <c r="T40">
        <v>0</v>
      </c>
      <c r="Y40" t="s">
        <v>55</v>
      </c>
      <c r="AC40" s="2">
        <f t="shared" si="0"/>
        <v>3</v>
      </c>
      <c r="AD40" s="2">
        <f t="shared" si="1"/>
        <v>15</v>
      </c>
      <c r="AE40" s="2">
        <f t="shared" si="2"/>
        <v>12</v>
      </c>
      <c r="AF40" s="2" t="str">
        <f t="shared" si="3"/>
        <v/>
      </c>
      <c r="AG40" s="2" t="str">
        <f t="shared" si="4"/>
        <v/>
      </c>
      <c r="AH40" s="4" t="str">
        <f t="shared" si="5"/>
        <v/>
      </c>
      <c r="AI40" s="2" t="str">
        <f t="shared" si="6"/>
        <v/>
      </c>
      <c r="AJ40" s="2" t="str">
        <f t="shared" si="7"/>
        <v/>
      </c>
      <c r="AK40" s="2" t="str">
        <f t="shared" si="8"/>
        <v/>
      </c>
    </row>
    <row r="41" spans="1:37" x14ac:dyDescent="0.25">
      <c r="A41">
        <v>304</v>
      </c>
      <c r="B41" t="s">
        <v>90</v>
      </c>
      <c r="C41" t="s">
        <v>27</v>
      </c>
      <c r="D41" t="s">
        <v>46</v>
      </c>
      <c r="E41" t="s">
        <v>62</v>
      </c>
      <c r="F41" t="s">
        <v>63</v>
      </c>
      <c r="G41" t="s">
        <v>49</v>
      </c>
      <c r="H41" s="1">
        <v>45027.892650462964</v>
      </c>
      <c r="I41" s="1">
        <v>45031.892650462964</v>
      </c>
      <c r="J41" t="s">
        <v>32</v>
      </c>
      <c r="K41" s="1">
        <v>45040.892650462964</v>
      </c>
      <c r="L41" t="s">
        <v>33</v>
      </c>
      <c r="M41" t="s">
        <v>51</v>
      </c>
      <c r="R41" s="4">
        <v>45042.892650462964</v>
      </c>
      <c r="T41">
        <v>0</v>
      </c>
      <c r="Y41" t="s">
        <v>55</v>
      </c>
      <c r="AC41" s="2">
        <f t="shared" si="0"/>
        <v>4</v>
      </c>
      <c r="AD41" s="2">
        <f t="shared" si="1"/>
        <v>13</v>
      </c>
      <c r="AE41" s="2">
        <f t="shared" si="2"/>
        <v>9</v>
      </c>
      <c r="AF41" s="2">
        <f t="shared" si="3"/>
        <v>15</v>
      </c>
      <c r="AG41" s="2">
        <f t="shared" si="4"/>
        <v>2</v>
      </c>
      <c r="AH41" s="4">
        <f t="shared" si="5"/>
        <v>45132.892650462964</v>
      </c>
      <c r="AI41" s="2" t="str">
        <f t="shared" si="6"/>
        <v/>
      </c>
      <c r="AJ41" s="2" t="str">
        <f t="shared" si="7"/>
        <v/>
      </c>
      <c r="AK41" s="2" t="str">
        <f t="shared" si="8"/>
        <v/>
      </c>
    </row>
    <row r="42" spans="1:37" x14ac:dyDescent="0.25">
      <c r="A42">
        <v>305</v>
      </c>
      <c r="B42" t="s">
        <v>91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s="1">
        <v>45028.892650462964</v>
      </c>
      <c r="I42" s="1">
        <v>45031.892650462964</v>
      </c>
      <c r="J42" t="s">
        <v>32</v>
      </c>
      <c r="K42" s="1">
        <v>45049.892650462964</v>
      </c>
      <c r="L42" t="s">
        <v>33</v>
      </c>
      <c r="M42" t="s">
        <v>92</v>
      </c>
      <c r="T42">
        <v>0</v>
      </c>
      <c r="Y42" t="s">
        <v>55</v>
      </c>
      <c r="AC42" s="2">
        <f t="shared" si="0"/>
        <v>3</v>
      </c>
      <c r="AD42" s="2">
        <f t="shared" si="1"/>
        <v>21</v>
      </c>
      <c r="AE42" s="2">
        <f t="shared" si="2"/>
        <v>18</v>
      </c>
      <c r="AF42" s="2" t="str">
        <f t="shared" si="3"/>
        <v/>
      </c>
      <c r="AG42" s="2" t="str">
        <f t="shared" si="4"/>
        <v/>
      </c>
      <c r="AH42" s="4" t="str">
        <f t="shared" si="5"/>
        <v/>
      </c>
      <c r="AI42" s="2" t="str">
        <f t="shared" si="6"/>
        <v/>
      </c>
      <c r="AJ42" s="2" t="str">
        <f t="shared" si="7"/>
        <v/>
      </c>
      <c r="AK42" s="2" t="str">
        <f t="shared" si="8"/>
        <v/>
      </c>
    </row>
    <row r="43" spans="1:37" x14ac:dyDescent="0.25">
      <c r="A43">
        <v>2975</v>
      </c>
      <c r="B43" t="s">
        <v>93</v>
      </c>
      <c r="C43" t="s">
        <v>94</v>
      </c>
      <c r="D43" t="s">
        <v>95</v>
      </c>
      <c r="E43" t="s">
        <v>96</v>
      </c>
      <c r="F43" t="s">
        <v>97</v>
      </c>
      <c r="G43" t="s">
        <v>98</v>
      </c>
      <c r="H43" s="1">
        <v>44762.636782407404</v>
      </c>
      <c r="I43" s="1">
        <v>44765.636782407404</v>
      </c>
      <c r="J43" t="s">
        <v>32</v>
      </c>
      <c r="K43" s="1">
        <v>44776.636782407404</v>
      </c>
      <c r="L43" t="s">
        <v>33</v>
      </c>
      <c r="M43" t="s">
        <v>67</v>
      </c>
      <c r="R43" s="4">
        <v>44780.636782407404</v>
      </c>
      <c r="T43">
        <v>0</v>
      </c>
      <c r="Y43" t="s">
        <v>35</v>
      </c>
      <c r="AC43" s="2">
        <f t="shared" si="0"/>
        <v>3</v>
      </c>
      <c r="AD43" s="2">
        <f t="shared" si="1"/>
        <v>14</v>
      </c>
      <c r="AE43" s="2">
        <f t="shared" si="2"/>
        <v>11</v>
      </c>
      <c r="AF43" s="2">
        <f t="shared" si="3"/>
        <v>18</v>
      </c>
      <c r="AG43" s="2">
        <f t="shared" si="4"/>
        <v>4</v>
      </c>
      <c r="AH43" s="4">
        <f t="shared" si="5"/>
        <v>44870.636782407404</v>
      </c>
      <c r="AI43" s="2" t="str">
        <f t="shared" si="6"/>
        <v/>
      </c>
      <c r="AJ43" s="2" t="str">
        <f t="shared" si="7"/>
        <v/>
      </c>
      <c r="AK43" s="2" t="str">
        <f t="shared" si="8"/>
        <v/>
      </c>
    </row>
    <row r="44" spans="1:37" x14ac:dyDescent="0.25">
      <c r="A44">
        <v>2970</v>
      </c>
      <c r="B44" t="s">
        <v>99</v>
      </c>
      <c r="C44" t="s">
        <v>94</v>
      </c>
      <c r="D44" t="s">
        <v>95</v>
      </c>
      <c r="E44" t="s">
        <v>96</v>
      </c>
      <c r="F44" t="s">
        <v>97</v>
      </c>
      <c r="G44" t="s">
        <v>98</v>
      </c>
      <c r="H44" s="1">
        <v>44701.276689814818</v>
      </c>
      <c r="I44" s="1">
        <v>44703.276689814818</v>
      </c>
      <c r="J44" t="s">
        <v>32</v>
      </c>
      <c r="K44" s="1">
        <v>44712.276689814818</v>
      </c>
      <c r="L44" t="s">
        <v>33</v>
      </c>
      <c r="M44" t="s">
        <v>34</v>
      </c>
      <c r="T44">
        <v>0</v>
      </c>
      <c r="Y44" t="s">
        <v>55</v>
      </c>
      <c r="AC44" s="2">
        <f t="shared" si="0"/>
        <v>2</v>
      </c>
      <c r="AD44" s="2">
        <f t="shared" si="1"/>
        <v>11</v>
      </c>
      <c r="AE44" s="2">
        <f t="shared" si="2"/>
        <v>9</v>
      </c>
      <c r="AF44" s="2" t="str">
        <f t="shared" si="3"/>
        <v/>
      </c>
      <c r="AG44" s="2" t="str">
        <f t="shared" si="4"/>
        <v/>
      </c>
      <c r="AH44" s="4" t="str">
        <f t="shared" si="5"/>
        <v/>
      </c>
      <c r="AI44" s="2" t="str">
        <f t="shared" si="6"/>
        <v/>
      </c>
      <c r="AJ44" s="2" t="str">
        <f t="shared" si="7"/>
        <v/>
      </c>
      <c r="AK44" s="2" t="str">
        <f t="shared" si="8"/>
        <v/>
      </c>
    </row>
    <row r="45" spans="1:37" x14ac:dyDescent="0.25">
      <c r="A45">
        <v>2888</v>
      </c>
      <c r="B45" t="s">
        <v>100</v>
      </c>
      <c r="C45" t="s">
        <v>94</v>
      </c>
      <c r="D45" t="s">
        <v>95</v>
      </c>
      <c r="E45" t="s">
        <v>96</v>
      </c>
      <c r="F45" t="s">
        <v>97</v>
      </c>
      <c r="G45" t="s">
        <v>98</v>
      </c>
      <c r="H45" s="1">
        <v>44855.066979166666</v>
      </c>
      <c r="I45" s="1">
        <v>44858.066979166666</v>
      </c>
      <c r="J45" t="s">
        <v>32</v>
      </c>
      <c r="K45" s="1">
        <v>44871.066979166666</v>
      </c>
      <c r="L45" t="s">
        <v>33</v>
      </c>
      <c r="M45" t="s">
        <v>34</v>
      </c>
      <c r="R45" s="4">
        <v>44872.066979166666</v>
      </c>
      <c r="T45">
        <v>0</v>
      </c>
      <c r="Y45" t="s">
        <v>35</v>
      </c>
      <c r="AC45" s="2">
        <f t="shared" si="0"/>
        <v>3</v>
      </c>
      <c r="AD45" s="2">
        <f t="shared" si="1"/>
        <v>16</v>
      </c>
      <c r="AE45" s="2">
        <f t="shared" si="2"/>
        <v>13</v>
      </c>
      <c r="AF45" s="2">
        <f t="shared" si="3"/>
        <v>17</v>
      </c>
      <c r="AG45" s="2">
        <f t="shared" si="4"/>
        <v>1</v>
      </c>
      <c r="AH45" s="4">
        <f t="shared" si="5"/>
        <v>44962.066979166666</v>
      </c>
      <c r="AI45" s="2" t="str">
        <f t="shared" si="6"/>
        <v/>
      </c>
      <c r="AJ45" s="2" t="str">
        <f t="shared" si="7"/>
        <v/>
      </c>
      <c r="AK45" s="2" t="str">
        <f t="shared" si="8"/>
        <v/>
      </c>
    </row>
    <row r="46" spans="1:37" x14ac:dyDescent="0.25">
      <c r="A46">
        <v>2869</v>
      </c>
      <c r="B46" t="s">
        <v>101</v>
      </c>
      <c r="C46" t="s">
        <v>94</v>
      </c>
      <c r="D46" t="s">
        <v>95</v>
      </c>
      <c r="E46" t="s">
        <v>96</v>
      </c>
      <c r="F46" t="s">
        <v>97</v>
      </c>
      <c r="G46" t="s">
        <v>98</v>
      </c>
      <c r="H46" s="1">
        <v>44851.266331018516</v>
      </c>
      <c r="I46" s="1">
        <v>44852.266331018516</v>
      </c>
      <c r="J46" t="s">
        <v>32</v>
      </c>
      <c r="K46" s="1">
        <v>44859.266331018516</v>
      </c>
      <c r="L46" t="s">
        <v>33</v>
      </c>
      <c r="M46" t="s">
        <v>34</v>
      </c>
      <c r="R46" s="4">
        <v>44860.266331018516</v>
      </c>
      <c r="T46">
        <v>0</v>
      </c>
      <c r="Y46" t="s">
        <v>35</v>
      </c>
      <c r="AC46" s="2">
        <f t="shared" si="0"/>
        <v>1</v>
      </c>
      <c r="AD46" s="2">
        <f t="shared" si="1"/>
        <v>8</v>
      </c>
      <c r="AE46" s="2">
        <f t="shared" si="2"/>
        <v>7</v>
      </c>
      <c r="AF46" s="2">
        <f t="shared" si="3"/>
        <v>9</v>
      </c>
      <c r="AG46" s="2">
        <f t="shared" si="4"/>
        <v>1</v>
      </c>
      <c r="AH46" s="4">
        <f t="shared" si="5"/>
        <v>44950.266331018516</v>
      </c>
      <c r="AI46" s="2" t="str">
        <f t="shared" si="6"/>
        <v/>
      </c>
      <c r="AJ46" s="2" t="str">
        <f t="shared" si="7"/>
        <v/>
      </c>
      <c r="AK46" s="2" t="str">
        <f t="shared" si="8"/>
        <v/>
      </c>
    </row>
    <row r="47" spans="1:37" x14ac:dyDescent="0.25">
      <c r="A47">
        <v>2861</v>
      </c>
      <c r="B47" t="s">
        <v>102</v>
      </c>
      <c r="C47" t="s">
        <v>94</v>
      </c>
      <c r="D47" t="s">
        <v>95</v>
      </c>
      <c r="E47" t="s">
        <v>96</v>
      </c>
      <c r="F47" t="s">
        <v>97</v>
      </c>
      <c r="G47" t="s">
        <v>98</v>
      </c>
      <c r="H47" s="1">
        <v>44849.266331018516</v>
      </c>
      <c r="I47" s="1">
        <v>44853.266331018516</v>
      </c>
      <c r="J47" t="s">
        <v>32</v>
      </c>
      <c r="K47" s="1">
        <v>44864.266331018516</v>
      </c>
      <c r="L47" t="s">
        <v>33</v>
      </c>
      <c r="M47" t="s">
        <v>51</v>
      </c>
      <c r="T47">
        <v>0</v>
      </c>
      <c r="Y47" t="s">
        <v>35</v>
      </c>
      <c r="AC47" s="2">
        <f t="shared" si="0"/>
        <v>4</v>
      </c>
      <c r="AD47" s="2">
        <f t="shared" si="1"/>
        <v>15</v>
      </c>
      <c r="AE47" s="2">
        <f t="shared" si="2"/>
        <v>11</v>
      </c>
      <c r="AF47" s="2" t="str">
        <f t="shared" si="3"/>
        <v/>
      </c>
      <c r="AG47" s="2" t="str">
        <f t="shared" si="4"/>
        <v/>
      </c>
      <c r="AH47" s="4" t="str">
        <f t="shared" si="5"/>
        <v/>
      </c>
      <c r="AI47" s="2" t="str">
        <f t="shared" si="6"/>
        <v/>
      </c>
      <c r="AJ47" s="2" t="str">
        <f t="shared" si="7"/>
        <v/>
      </c>
      <c r="AK47" s="2" t="str">
        <f t="shared" si="8"/>
        <v/>
      </c>
    </row>
    <row r="48" spans="1:37" x14ac:dyDescent="0.25">
      <c r="A48">
        <v>2731</v>
      </c>
      <c r="B48" t="s">
        <v>103</v>
      </c>
      <c r="C48" t="s">
        <v>94</v>
      </c>
      <c r="D48" t="s">
        <v>95</v>
      </c>
      <c r="E48" t="s">
        <v>96</v>
      </c>
      <c r="F48" t="s">
        <v>97</v>
      </c>
      <c r="G48" t="s">
        <v>98</v>
      </c>
      <c r="H48" s="1">
        <v>44753.981076388889</v>
      </c>
      <c r="I48" s="1">
        <v>44756.981076388889</v>
      </c>
      <c r="J48" t="s">
        <v>32</v>
      </c>
      <c r="K48" s="1">
        <v>44770.981076388889</v>
      </c>
      <c r="L48" t="s">
        <v>33</v>
      </c>
      <c r="M48" t="s">
        <v>51</v>
      </c>
      <c r="R48" s="4">
        <v>44772.981076388889</v>
      </c>
      <c r="T48">
        <v>0</v>
      </c>
      <c r="Y48" t="s">
        <v>55</v>
      </c>
      <c r="AC48" s="2">
        <f t="shared" si="0"/>
        <v>3</v>
      </c>
      <c r="AD48" s="2">
        <f t="shared" si="1"/>
        <v>17</v>
      </c>
      <c r="AE48" s="2">
        <f t="shared" si="2"/>
        <v>14</v>
      </c>
      <c r="AF48" s="2">
        <f t="shared" si="3"/>
        <v>19</v>
      </c>
      <c r="AG48" s="2">
        <f t="shared" si="4"/>
        <v>2</v>
      </c>
      <c r="AH48" s="4">
        <f t="shared" si="5"/>
        <v>44862.981076388889</v>
      </c>
      <c r="AI48" s="2" t="str">
        <f t="shared" si="6"/>
        <v/>
      </c>
      <c r="AJ48" s="2" t="str">
        <f t="shared" si="7"/>
        <v/>
      </c>
      <c r="AK48" s="2" t="str">
        <f t="shared" si="8"/>
        <v/>
      </c>
    </row>
    <row r="49" spans="1:37" x14ac:dyDescent="0.25">
      <c r="A49">
        <v>2555</v>
      </c>
      <c r="B49" t="s">
        <v>104</v>
      </c>
      <c r="C49" t="s">
        <v>94</v>
      </c>
      <c r="D49" t="s">
        <v>95</v>
      </c>
      <c r="E49" t="s">
        <v>96</v>
      </c>
      <c r="F49" t="s">
        <v>97</v>
      </c>
      <c r="G49" t="s">
        <v>98</v>
      </c>
      <c r="H49" s="1">
        <v>45145.715324074074</v>
      </c>
      <c r="I49" s="1">
        <v>45147.715324074074</v>
      </c>
      <c r="J49" t="s">
        <v>32</v>
      </c>
      <c r="K49" s="1">
        <v>45159.715324074074</v>
      </c>
      <c r="L49" t="s">
        <v>33</v>
      </c>
      <c r="M49" t="s">
        <v>92</v>
      </c>
      <c r="T49">
        <v>0</v>
      </c>
      <c r="Y49" t="s">
        <v>35</v>
      </c>
      <c r="AC49" s="2">
        <f t="shared" si="0"/>
        <v>2</v>
      </c>
      <c r="AD49" s="2">
        <f t="shared" si="1"/>
        <v>14</v>
      </c>
      <c r="AE49" s="2">
        <f t="shared" si="2"/>
        <v>12</v>
      </c>
      <c r="AF49" s="2" t="str">
        <f t="shared" si="3"/>
        <v/>
      </c>
      <c r="AG49" s="2" t="str">
        <f t="shared" si="4"/>
        <v/>
      </c>
      <c r="AH49" s="4" t="str">
        <f t="shared" si="5"/>
        <v/>
      </c>
      <c r="AI49" s="2" t="str">
        <f t="shared" si="6"/>
        <v/>
      </c>
      <c r="AJ49" s="2" t="str">
        <f t="shared" si="7"/>
        <v/>
      </c>
      <c r="AK49" s="2" t="str">
        <f t="shared" si="8"/>
        <v/>
      </c>
    </row>
    <row r="50" spans="1:37" x14ac:dyDescent="0.25">
      <c r="A50">
        <v>2536</v>
      </c>
      <c r="B50" t="s">
        <v>105</v>
      </c>
      <c r="C50" t="s">
        <v>94</v>
      </c>
      <c r="D50" t="s">
        <v>95</v>
      </c>
      <c r="E50" t="s">
        <v>96</v>
      </c>
      <c r="F50" t="s">
        <v>97</v>
      </c>
      <c r="G50" t="s">
        <v>98</v>
      </c>
      <c r="H50" s="1">
        <v>44681.058252314811</v>
      </c>
      <c r="I50" s="1">
        <v>44684.058252314811</v>
      </c>
      <c r="J50" t="s">
        <v>32</v>
      </c>
      <c r="K50" s="1">
        <v>44695.058252314811</v>
      </c>
      <c r="L50" t="s">
        <v>33</v>
      </c>
      <c r="M50" t="s">
        <v>51</v>
      </c>
      <c r="R50" s="4">
        <v>44696.058252314811</v>
      </c>
      <c r="T50">
        <v>0</v>
      </c>
      <c r="Y50" t="s">
        <v>35</v>
      </c>
      <c r="AC50" s="2">
        <f t="shared" si="0"/>
        <v>3</v>
      </c>
      <c r="AD50" s="2">
        <f t="shared" si="1"/>
        <v>14</v>
      </c>
      <c r="AE50" s="2">
        <f t="shared" si="2"/>
        <v>11</v>
      </c>
      <c r="AF50" s="2">
        <f t="shared" si="3"/>
        <v>15</v>
      </c>
      <c r="AG50" s="2">
        <f t="shared" si="4"/>
        <v>1</v>
      </c>
      <c r="AH50" s="4">
        <f t="shared" si="5"/>
        <v>44786.058252314811</v>
      </c>
      <c r="AI50" s="2" t="str">
        <f t="shared" si="6"/>
        <v/>
      </c>
      <c r="AJ50" s="2" t="str">
        <f t="shared" si="7"/>
        <v/>
      </c>
      <c r="AK50" s="2" t="str">
        <f t="shared" si="8"/>
        <v/>
      </c>
    </row>
    <row r="51" spans="1:37" x14ac:dyDescent="0.25">
      <c r="A51">
        <v>2519</v>
      </c>
      <c r="B51" t="s">
        <v>106</v>
      </c>
      <c r="C51" t="s">
        <v>94</v>
      </c>
      <c r="D51" t="s">
        <v>95</v>
      </c>
      <c r="E51" t="s">
        <v>96</v>
      </c>
      <c r="F51" t="s">
        <v>97</v>
      </c>
      <c r="G51" t="s">
        <v>98</v>
      </c>
      <c r="H51" s="1">
        <v>45172.133263888885</v>
      </c>
      <c r="I51" s="1">
        <v>45175.133263888885</v>
      </c>
      <c r="J51" t="s">
        <v>32</v>
      </c>
      <c r="K51" s="1">
        <v>45188.133263888885</v>
      </c>
      <c r="L51" t="s">
        <v>33</v>
      </c>
      <c r="M51" t="s">
        <v>67</v>
      </c>
      <c r="R51" s="4">
        <v>45189.133263888885</v>
      </c>
      <c r="T51">
        <v>0</v>
      </c>
      <c r="Y51" t="s">
        <v>35</v>
      </c>
      <c r="AC51" s="2">
        <f t="shared" si="0"/>
        <v>3</v>
      </c>
      <c r="AD51" s="2">
        <f t="shared" si="1"/>
        <v>16</v>
      </c>
      <c r="AE51" s="2">
        <f t="shared" si="2"/>
        <v>13</v>
      </c>
      <c r="AF51" s="2">
        <f t="shared" si="3"/>
        <v>17</v>
      </c>
      <c r="AG51" s="2">
        <f t="shared" si="4"/>
        <v>1</v>
      </c>
      <c r="AH51" s="4">
        <f t="shared" si="5"/>
        <v>45279.133263888885</v>
      </c>
      <c r="AI51" s="2" t="str">
        <f t="shared" si="6"/>
        <v/>
      </c>
      <c r="AJ51" s="2" t="str">
        <f t="shared" si="7"/>
        <v/>
      </c>
      <c r="AK51" s="2" t="str">
        <f t="shared" si="8"/>
        <v/>
      </c>
    </row>
    <row r="52" spans="1:37" x14ac:dyDescent="0.25">
      <c r="A52">
        <v>2366</v>
      </c>
      <c r="B52" t="s">
        <v>107</v>
      </c>
      <c r="C52" t="s">
        <v>94</v>
      </c>
      <c r="D52" t="s">
        <v>95</v>
      </c>
      <c r="E52" t="s">
        <v>96</v>
      </c>
      <c r="F52" t="s">
        <v>97</v>
      </c>
      <c r="G52" t="s">
        <v>98</v>
      </c>
      <c r="H52" s="1">
        <v>44974.268252314818</v>
      </c>
      <c r="I52" s="1">
        <v>44976.268252314818</v>
      </c>
      <c r="J52" t="s">
        <v>32</v>
      </c>
      <c r="K52" s="1">
        <v>44986.268252314818</v>
      </c>
      <c r="L52" t="s">
        <v>33</v>
      </c>
      <c r="M52" t="s">
        <v>108</v>
      </c>
      <c r="R52" s="4">
        <v>44989.268252314818</v>
      </c>
      <c r="T52">
        <v>0</v>
      </c>
      <c r="Y52" t="s">
        <v>35</v>
      </c>
      <c r="AC52" s="2">
        <f t="shared" si="0"/>
        <v>2</v>
      </c>
      <c r="AD52" s="2">
        <f t="shared" si="1"/>
        <v>12</v>
      </c>
      <c r="AE52" s="2">
        <f t="shared" si="2"/>
        <v>10</v>
      </c>
      <c r="AF52" s="2">
        <f t="shared" si="3"/>
        <v>15</v>
      </c>
      <c r="AG52" s="2">
        <f t="shared" si="4"/>
        <v>3</v>
      </c>
      <c r="AH52" s="4">
        <f t="shared" si="5"/>
        <v>45079.268252314818</v>
      </c>
      <c r="AI52" s="2" t="str">
        <f t="shared" si="6"/>
        <v/>
      </c>
      <c r="AJ52" s="2" t="str">
        <f t="shared" si="7"/>
        <v/>
      </c>
      <c r="AK52" s="2" t="str">
        <f t="shared" si="8"/>
        <v/>
      </c>
    </row>
    <row r="53" spans="1:37" x14ac:dyDescent="0.25">
      <c r="A53">
        <v>2315</v>
      </c>
      <c r="B53" t="s">
        <v>109</v>
      </c>
      <c r="C53" t="s">
        <v>94</v>
      </c>
      <c r="D53" t="s">
        <v>95</v>
      </c>
      <c r="E53" t="s">
        <v>96</v>
      </c>
      <c r="F53" t="s">
        <v>97</v>
      </c>
      <c r="G53" t="s">
        <v>98</v>
      </c>
      <c r="H53" s="1">
        <v>44672.037303240744</v>
      </c>
      <c r="I53" s="1">
        <v>44674.037303240744</v>
      </c>
      <c r="J53" t="s">
        <v>32</v>
      </c>
      <c r="K53" s="1">
        <v>44686.037303240744</v>
      </c>
      <c r="L53" t="s">
        <v>33</v>
      </c>
      <c r="M53" t="s">
        <v>51</v>
      </c>
      <c r="T53">
        <v>0</v>
      </c>
      <c r="Y53" t="s">
        <v>35</v>
      </c>
      <c r="AC53" s="2">
        <f t="shared" si="0"/>
        <v>2</v>
      </c>
      <c r="AD53" s="2">
        <f t="shared" si="1"/>
        <v>14</v>
      </c>
      <c r="AE53" s="2">
        <f t="shared" si="2"/>
        <v>12</v>
      </c>
      <c r="AF53" s="2" t="str">
        <f t="shared" si="3"/>
        <v/>
      </c>
      <c r="AG53" s="2" t="str">
        <f t="shared" si="4"/>
        <v/>
      </c>
      <c r="AH53" s="4" t="str">
        <f t="shared" si="5"/>
        <v/>
      </c>
      <c r="AI53" s="2" t="str">
        <f t="shared" si="6"/>
        <v/>
      </c>
      <c r="AJ53" s="2" t="str">
        <f t="shared" si="7"/>
        <v/>
      </c>
      <c r="AK53" s="2" t="str">
        <f t="shared" si="8"/>
        <v/>
      </c>
    </row>
    <row r="54" spans="1:37" x14ac:dyDescent="0.25">
      <c r="A54">
        <v>2250</v>
      </c>
      <c r="B54" t="s">
        <v>110</v>
      </c>
      <c r="C54" t="s">
        <v>94</v>
      </c>
      <c r="D54" t="s">
        <v>95</v>
      </c>
      <c r="E54" t="s">
        <v>96</v>
      </c>
      <c r="F54" t="s">
        <v>97</v>
      </c>
      <c r="G54" t="s">
        <v>98</v>
      </c>
      <c r="H54" s="1">
        <v>44920.601747685185</v>
      </c>
      <c r="I54" s="1">
        <v>44923.601747685185</v>
      </c>
      <c r="J54" t="s">
        <v>32</v>
      </c>
      <c r="K54" s="1">
        <v>44932.601747685185</v>
      </c>
      <c r="L54" t="s">
        <v>33</v>
      </c>
      <c r="M54" t="s">
        <v>34</v>
      </c>
      <c r="R54" s="4">
        <v>44933.601747685185</v>
      </c>
      <c r="T54">
        <v>0</v>
      </c>
      <c r="Y54" t="s">
        <v>35</v>
      </c>
      <c r="AC54" s="2">
        <f t="shared" si="0"/>
        <v>3</v>
      </c>
      <c r="AD54" s="2">
        <f t="shared" si="1"/>
        <v>12</v>
      </c>
      <c r="AE54" s="2">
        <f t="shared" si="2"/>
        <v>9</v>
      </c>
      <c r="AF54" s="2">
        <f t="shared" si="3"/>
        <v>13</v>
      </c>
      <c r="AG54" s="2">
        <f t="shared" si="4"/>
        <v>1</v>
      </c>
      <c r="AH54" s="4">
        <f t="shared" si="5"/>
        <v>45023.601747685185</v>
      </c>
      <c r="AI54" s="2" t="str">
        <f t="shared" si="6"/>
        <v/>
      </c>
      <c r="AJ54" s="2" t="str">
        <f t="shared" si="7"/>
        <v/>
      </c>
      <c r="AK54" s="2" t="str">
        <f t="shared" si="8"/>
        <v/>
      </c>
    </row>
    <row r="55" spans="1:37" x14ac:dyDescent="0.25">
      <c r="A55">
        <v>2241</v>
      </c>
      <c r="B55" t="s">
        <v>111</v>
      </c>
      <c r="C55" t="s">
        <v>94</v>
      </c>
      <c r="D55" t="s">
        <v>95</v>
      </c>
      <c r="E55" t="s">
        <v>96</v>
      </c>
      <c r="F55" t="s">
        <v>97</v>
      </c>
      <c r="G55" t="s">
        <v>98</v>
      </c>
      <c r="H55" s="1">
        <v>44924.601747685185</v>
      </c>
      <c r="I55" s="1">
        <v>44926.601747685185</v>
      </c>
      <c r="J55" t="s">
        <v>32</v>
      </c>
      <c r="K55" s="1">
        <v>44938.601747685185</v>
      </c>
      <c r="L55" t="s">
        <v>33</v>
      </c>
      <c r="M55" t="s">
        <v>51</v>
      </c>
      <c r="R55" s="4">
        <v>44940.601747685185</v>
      </c>
      <c r="T55">
        <v>0</v>
      </c>
      <c r="Y55" t="s">
        <v>55</v>
      </c>
      <c r="AC55" s="2">
        <f t="shared" si="0"/>
        <v>2</v>
      </c>
      <c r="AD55" s="2">
        <f t="shared" si="1"/>
        <v>14</v>
      </c>
      <c r="AE55" s="2">
        <f t="shared" si="2"/>
        <v>12</v>
      </c>
      <c r="AF55" s="2">
        <f t="shared" si="3"/>
        <v>16</v>
      </c>
      <c r="AG55" s="2">
        <f t="shared" si="4"/>
        <v>2</v>
      </c>
      <c r="AH55" s="4">
        <f t="shared" si="5"/>
        <v>45030.601747685185</v>
      </c>
      <c r="AI55" s="2" t="str">
        <f t="shared" si="6"/>
        <v/>
      </c>
      <c r="AJ55" s="2" t="str">
        <f t="shared" si="7"/>
        <v/>
      </c>
      <c r="AK55" s="2" t="str">
        <f t="shared" si="8"/>
        <v/>
      </c>
    </row>
    <row r="56" spans="1:37" x14ac:dyDescent="0.25">
      <c r="A56">
        <v>2125</v>
      </c>
      <c r="B56" t="s">
        <v>112</v>
      </c>
      <c r="C56" t="s">
        <v>94</v>
      </c>
      <c r="D56" t="s">
        <v>95</v>
      </c>
      <c r="E56" t="s">
        <v>96</v>
      </c>
      <c r="F56" t="s">
        <v>97</v>
      </c>
      <c r="G56" t="s">
        <v>98</v>
      </c>
      <c r="H56" s="1">
        <v>44927.473356481481</v>
      </c>
      <c r="I56" s="1">
        <v>44930.473356481481</v>
      </c>
      <c r="J56" t="s">
        <v>32</v>
      </c>
      <c r="K56" s="1">
        <v>44946.473356481481</v>
      </c>
      <c r="L56" t="s">
        <v>33</v>
      </c>
      <c r="M56" t="s">
        <v>92</v>
      </c>
      <c r="T56">
        <v>0</v>
      </c>
      <c r="Y56" t="s">
        <v>35</v>
      </c>
      <c r="AC56" s="2">
        <f t="shared" si="0"/>
        <v>3</v>
      </c>
      <c r="AD56" s="2">
        <f t="shared" si="1"/>
        <v>19</v>
      </c>
      <c r="AE56" s="2">
        <f t="shared" si="2"/>
        <v>16</v>
      </c>
      <c r="AF56" s="2" t="str">
        <f t="shared" si="3"/>
        <v/>
      </c>
      <c r="AG56" s="2" t="str">
        <f t="shared" si="4"/>
        <v/>
      </c>
      <c r="AH56" s="4" t="str">
        <f t="shared" si="5"/>
        <v/>
      </c>
      <c r="AI56" s="2" t="str">
        <f t="shared" si="6"/>
        <v/>
      </c>
      <c r="AJ56" s="2" t="str">
        <f t="shared" si="7"/>
        <v/>
      </c>
      <c r="AK56" s="2" t="str">
        <f t="shared" si="8"/>
        <v/>
      </c>
    </row>
    <row r="57" spans="1:37" x14ac:dyDescent="0.25">
      <c r="A57">
        <v>2122</v>
      </c>
      <c r="B57" t="s">
        <v>113</v>
      </c>
      <c r="C57" t="s">
        <v>94</v>
      </c>
      <c r="D57" t="s">
        <v>95</v>
      </c>
      <c r="E57" t="s">
        <v>96</v>
      </c>
      <c r="F57" t="s">
        <v>97</v>
      </c>
      <c r="G57" t="s">
        <v>98</v>
      </c>
      <c r="H57" s="1">
        <v>44929.473356481481</v>
      </c>
      <c r="I57" s="1">
        <v>44933.473356481481</v>
      </c>
      <c r="J57" t="s">
        <v>32</v>
      </c>
      <c r="K57" s="1">
        <v>44941.473356481481</v>
      </c>
      <c r="L57" t="s">
        <v>33</v>
      </c>
      <c r="M57" t="s">
        <v>67</v>
      </c>
      <c r="T57">
        <v>0</v>
      </c>
      <c r="Y57" t="s">
        <v>35</v>
      </c>
      <c r="AC57" s="2">
        <f t="shared" si="0"/>
        <v>4</v>
      </c>
      <c r="AD57" s="2">
        <f t="shared" si="1"/>
        <v>12</v>
      </c>
      <c r="AE57" s="2">
        <f t="shared" si="2"/>
        <v>8</v>
      </c>
      <c r="AF57" s="2" t="str">
        <f t="shared" si="3"/>
        <v/>
      </c>
      <c r="AG57" s="2" t="str">
        <f t="shared" si="4"/>
        <v/>
      </c>
      <c r="AH57" s="4" t="str">
        <f t="shared" si="5"/>
        <v/>
      </c>
      <c r="AI57" s="2" t="str">
        <f t="shared" si="6"/>
        <v/>
      </c>
      <c r="AJ57" s="2" t="str">
        <f t="shared" si="7"/>
        <v/>
      </c>
      <c r="AK57" s="2" t="str">
        <f t="shared" si="8"/>
        <v/>
      </c>
    </row>
    <row r="58" spans="1:37" x14ac:dyDescent="0.25">
      <c r="A58">
        <v>2070</v>
      </c>
      <c r="B58" t="s">
        <v>114</v>
      </c>
      <c r="C58" t="s">
        <v>94</v>
      </c>
      <c r="D58" t="s">
        <v>95</v>
      </c>
      <c r="E58" t="s">
        <v>96</v>
      </c>
      <c r="F58" t="s">
        <v>97</v>
      </c>
      <c r="G58" t="s">
        <v>98</v>
      </c>
      <c r="H58" s="1">
        <v>44867.782581018517</v>
      </c>
      <c r="I58" s="1">
        <v>44869.782581018517</v>
      </c>
      <c r="J58" t="s">
        <v>32</v>
      </c>
      <c r="K58" s="1">
        <v>44887.782581018517</v>
      </c>
      <c r="L58" t="s">
        <v>33</v>
      </c>
      <c r="M58" t="s">
        <v>67</v>
      </c>
      <c r="R58" s="4">
        <v>44891.782581018517</v>
      </c>
      <c r="T58">
        <v>0</v>
      </c>
      <c r="Y58" t="s">
        <v>55</v>
      </c>
      <c r="AC58" s="2">
        <f t="shared" si="0"/>
        <v>2</v>
      </c>
      <c r="AD58" s="2">
        <f t="shared" si="1"/>
        <v>20</v>
      </c>
      <c r="AE58" s="2">
        <f t="shared" si="2"/>
        <v>18</v>
      </c>
      <c r="AF58" s="2">
        <f t="shared" si="3"/>
        <v>24</v>
      </c>
      <c r="AG58" s="2">
        <f t="shared" si="4"/>
        <v>4</v>
      </c>
      <c r="AH58" s="4">
        <f t="shared" si="5"/>
        <v>44981.782581018517</v>
      </c>
      <c r="AI58" s="2" t="str">
        <f t="shared" si="6"/>
        <v/>
      </c>
      <c r="AJ58" s="2" t="str">
        <f t="shared" si="7"/>
        <v/>
      </c>
      <c r="AK58" s="2" t="str">
        <f t="shared" si="8"/>
        <v/>
      </c>
    </row>
    <row r="59" spans="1:37" x14ac:dyDescent="0.25">
      <c r="A59">
        <v>1980</v>
      </c>
      <c r="B59" t="s">
        <v>115</v>
      </c>
      <c r="C59" t="s">
        <v>94</v>
      </c>
      <c r="D59" t="s">
        <v>95</v>
      </c>
      <c r="E59" t="s">
        <v>96</v>
      </c>
      <c r="F59" t="s">
        <v>97</v>
      </c>
      <c r="G59" t="s">
        <v>98</v>
      </c>
      <c r="H59" s="1">
        <v>44857.498391203706</v>
      </c>
      <c r="I59" s="1">
        <v>44858.498391203706</v>
      </c>
      <c r="J59" t="s">
        <v>32</v>
      </c>
      <c r="K59" s="1">
        <v>44861.498391203706</v>
      </c>
      <c r="L59" t="s">
        <v>33</v>
      </c>
      <c r="M59" t="s">
        <v>92</v>
      </c>
      <c r="R59" s="4">
        <v>44864.498391203706</v>
      </c>
      <c r="T59">
        <v>0</v>
      </c>
      <c r="Y59" t="s">
        <v>35</v>
      </c>
      <c r="AC59" s="2">
        <f t="shared" si="0"/>
        <v>1</v>
      </c>
      <c r="AD59" s="2">
        <f t="shared" si="1"/>
        <v>4</v>
      </c>
      <c r="AE59" s="2">
        <f t="shared" si="2"/>
        <v>3</v>
      </c>
      <c r="AF59" s="2">
        <f t="shared" si="3"/>
        <v>7</v>
      </c>
      <c r="AG59" s="2">
        <f t="shared" si="4"/>
        <v>3</v>
      </c>
      <c r="AH59" s="4">
        <f t="shared" si="5"/>
        <v>44954.498391203706</v>
      </c>
      <c r="AI59" s="2" t="str">
        <f t="shared" si="6"/>
        <v/>
      </c>
      <c r="AJ59" s="2" t="str">
        <f t="shared" si="7"/>
        <v/>
      </c>
      <c r="AK59" s="2" t="str">
        <f t="shared" si="8"/>
        <v/>
      </c>
    </row>
    <row r="60" spans="1:37" x14ac:dyDescent="0.25">
      <c r="A60">
        <v>1815</v>
      </c>
      <c r="B60" t="s">
        <v>116</v>
      </c>
      <c r="C60" t="s">
        <v>94</v>
      </c>
      <c r="D60" t="s">
        <v>95</v>
      </c>
      <c r="E60" t="s">
        <v>96</v>
      </c>
      <c r="F60" t="s">
        <v>97</v>
      </c>
      <c r="G60" t="s">
        <v>98</v>
      </c>
      <c r="H60" s="1">
        <v>44824.186388888891</v>
      </c>
      <c r="I60" s="1">
        <v>44828.186388888891</v>
      </c>
      <c r="J60" t="s">
        <v>32</v>
      </c>
      <c r="K60" s="1">
        <v>44843.186388888891</v>
      </c>
      <c r="L60" t="s">
        <v>33</v>
      </c>
      <c r="M60" t="s">
        <v>67</v>
      </c>
      <c r="T60">
        <v>0</v>
      </c>
      <c r="Y60" t="s">
        <v>55</v>
      </c>
      <c r="AC60" s="2">
        <f t="shared" si="0"/>
        <v>4</v>
      </c>
      <c r="AD60" s="2">
        <f t="shared" si="1"/>
        <v>19</v>
      </c>
      <c r="AE60" s="2">
        <f t="shared" si="2"/>
        <v>15</v>
      </c>
      <c r="AF60" s="2" t="str">
        <f t="shared" si="3"/>
        <v/>
      </c>
      <c r="AG60" s="2" t="str">
        <f t="shared" si="4"/>
        <v/>
      </c>
      <c r="AH60" s="4" t="str">
        <f t="shared" si="5"/>
        <v/>
      </c>
      <c r="AI60" s="2" t="str">
        <f t="shared" si="6"/>
        <v/>
      </c>
      <c r="AJ60" s="2" t="str">
        <f t="shared" si="7"/>
        <v/>
      </c>
      <c r="AK60" s="2" t="str">
        <f t="shared" si="8"/>
        <v/>
      </c>
    </row>
    <row r="61" spans="1:37" x14ac:dyDescent="0.25">
      <c r="A61">
        <v>1807</v>
      </c>
      <c r="B61" t="s">
        <v>117</v>
      </c>
      <c r="C61" t="s">
        <v>94</v>
      </c>
      <c r="D61" t="s">
        <v>95</v>
      </c>
      <c r="E61" t="s">
        <v>96</v>
      </c>
      <c r="F61" t="s">
        <v>97</v>
      </c>
      <c r="G61" t="s">
        <v>98</v>
      </c>
      <c r="H61" s="1">
        <v>45121.017708333333</v>
      </c>
      <c r="I61" s="1">
        <v>45123.017708333333</v>
      </c>
      <c r="J61" t="s">
        <v>32</v>
      </c>
      <c r="K61" s="1">
        <v>45136.017708333333</v>
      </c>
      <c r="L61" t="s">
        <v>33</v>
      </c>
      <c r="M61" t="s">
        <v>51</v>
      </c>
      <c r="R61" s="4">
        <v>45139.017708333333</v>
      </c>
      <c r="T61">
        <v>0</v>
      </c>
      <c r="Y61" t="s">
        <v>35</v>
      </c>
      <c r="AC61" s="2">
        <f t="shared" si="0"/>
        <v>2</v>
      </c>
      <c r="AD61" s="2">
        <f t="shared" si="1"/>
        <v>15</v>
      </c>
      <c r="AE61" s="2">
        <f t="shared" si="2"/>
        <v>13</v>
      </c>
      <c r="AF61" s="2">
        <f t="shared" si="3"/>
        <v>18</v>
      </c>
      <c r="AG61" s="2">
        <f t="shared" si="4"/>
        <v>3</v>
      </c>
      <c r="AH61" s="4">
        <f t="shared" si="5"/>
        <v>45229.017708333333</v>
      </c>
      <c r="AI61" s="2" t="str">
        <f t="shared" si="6"/>
        <v/>
      </c>
      <c r="AJ61" s="2" t="str">
        <f t="shared" si="7"/>
        <v/>
      </c>
      <c r="AK61" s="2" t="str">
        <f t="shared" si="8"/>
        <v/>
      </c>
    </row>
    <row r="62" spans="1:37" x14ac:dyDescent="0.25">
      <c r="A62">
        <v>1801</v>
      </c>
      <c r="B62" t="s">
        <v>118</v>
      </c>
      <c r="C62" t="s">
        <v>94</v>
      </c>
      <c r="D62" t="s">
        <v>95</v>
      </c>
      <c r="E62" t="s">
        <v>96</v>
      </c>
      <c r="F62" t="s">
        <v>97</v>
      </c>
      <c r="G62" t="s">
        <v>98</v>
      </c>
      <c r="H62" s="1">
        <v>45122.017708333333</v>
      </c>
      <c r="I62" s="1">
        <v>45124.017708333333</v>
      </c>
      <c r="J62" t="s">
        <v>32</v>
      </c>
      <c r="K62" s="1">
        <v>45145.017708333333</v>
      </c>
      <c r="L62" t="s">
        <v>33</v>
      </c>
      <c r="M62" t="s">
        <v>108</v>
      </c>
      <c r="R62" s="4">
        <v>45149.017708333333</v>
      </c>
      <c r="T62">
        <v>0</v>
      </c>
      <c r="Y62" t="s">
        <v>55</v>
      </c>
      <c r="AC62" s="2">
        <f t="shared" si="0"/>
        <v>2</v>
      </c>
      <c r="AD62" s="2">
        <f t="shared" si="1"/>
        <v>23</v>
      </c>
      <c r="AE62" s="2">
        <f t="shared" si="2"/>
        <v>21</v>
      </c>
      <c r="AF62" s="2">
        <f t="shared" si="3"/>
        <v>27</v>
      </c>
      <c r="AG62" s="2">
        <f t="shared" si="4"/>
        <v>4</v>
      </c>
      <c r="AH62" s="4">
        <f t="shared" si="5"/>
        <v>45239.017708333333</v>
      </c>
      <c r="AI62" s="2" t="str">
        <f t="shared" si="6"/>
        <v/>
      </c>
      <c r="AJ62" s="2" t="str">
        <f t="shared" si="7"/>
        <v/>
      </c>
      <c r="AK62" s="2" t="str">
        <f t="shared" si="8"/>
        <v/>
      </c>
    </row>
    <row r="63" spans="1:37" x14ac:dyDescent="0.25">
      <c r="A63">
        <v>1687</v>
      </c>
      <c r="B63" t="s">
        <v>119</v>
      </c>
      <c r="C63" t="s">
        <v>94</v>
      </c>
      <c r="D63" t="s">
        <v>95</v>
      </c>
      <c r="E63" t="s">
        <v>96</v>
      </c>
      <c r="F63" t="s">
        <v>97</v>
      </c>
      <c r="G63" t="s">
        <v>98</v>
      </c>
      <c r="H63" s="1">
        <v>44663.28056712963</v>
      </c>
      <c r="I63" s="1">
        <v>44665.28056712963</v>
      </c>
      <c r="J63" t="s">
        <v>32</v>
      </c>
      <c r="K63" s="1">
        <v>44673.28056712963</v>
      </c>
      <c r="L63" t="s">
        <v>33</v>
      </c>
      <c r="M63" t="s">
        <v>67</v>
      </c>
      <c r="T63">
        <v>0</v>
      </c>
      <c r="Y63" t="s">
        <v>35</v>
      </c>
      <c r="AC63" s="2">
        <f t="shared" si="0"/>
        <v>2</v>
      </c>
      <c r="AD63" s="2">
        <f t="shared" si="1"/>
        <v>10</v>
      </c>
      <c r="AE63" s="2">
        <f t="shared" si="2"/>
        <v>8</v>
      </c>
      <c r="AF63" s="2" t="str">
        <f t="shared" si="3"/>
        <v/>
      </c>
      <c r="AG63" s="2" t="str">
        <f t="shared" si="4"/>
        <v/>
      </c>
      <c r="AH63" s="4" t="str">
        <f t="shared" si="5"/>
        <v/>
      </c>
      <c r="AI63" s="2" t="str">
        <f t="shared" si="6"/>
        <v/>
      </c>
      <c r="AJ63" s="2" t="str">
        <f t="shared" si="7"/>
        <v/>
      </c>
      <c r="AK63" s="2" t="str">
        <f t="shared" si="8"/>
        <v/>
      </c>
    </row>
    <row r="64" spans="1:37" x14ac:dyDescent="0.25">
      <c r="A64">
        <v>1405</v>
      </c>
      <c r="B64" t="s">
        <v>120</v>
      </c>
      <c r="C64" t="s">
        <v>94</v>
      </c>
      <c r="D64" t="s">
        <v>95</v>
      </c>
      <c r="E64" t="s">
        <v>96</v>
      </c>
      <c r="F64" t="s">
        <v>97</v>
      </c>
      <c r="G64" t="s">
        <v>98</v>
      </c>
      <c r="H64" s="1">
        <v>44616.306493055556</v>
      </c>
      <c r="I64" s="1">
        <v>44617.306493055556</v>
      </c>
      <c r="J64" t="s">
        <v>32</v>
      </c>
      <c r="K64" s="1">
        <v>44623.306493055556</v>
      </c>
      <c r="L64" t="s">
        <v>33</v>
      </c>
      <c r="M64" t="s">
        <v>34</v>
      </c>
      <c r="R64" s="4">
        <v>44626.306493055556</v>
      </c>
      <c r="T64">
        <v>0</v>
      </c>
      <c r="Y64" t="s">
        <v>35</v>
      </c>
      <c r="AC64" s="2">
        <f t="shared" si="0"/>
        <v>1</v>
      </c>
      <c r="AD64" s="2">
        <f t="shared" si="1"/>
        <v>7</v>
      </c>
      <c r="AE64" s="2">
        <f t="shared" si="2"/>
        <v>6</v>
      </c>
      <c r="AF64" s="2">
        <f t="shared" si="3"/>
        <v>10</v>
      </c>
      <c r="AG64" s="2">
        <f t="shared" si="4"/>
        <v>3</v>
      </c>
      <c r="AH64" s="4">
        <f t="shared" si="5"/>
        <v>44716.306493055556</v>
      </c>
      <c r="AI64" s="2" t="str">
        <f t="shared" si="6"/>
        <v/>
      </c>
      <c r="AJ64" s="2" t="str">
        <f t="shared" si="7"/>
        <v/>
      </c>
      <c r="AK64" s="2" t="str">
        <f t="shared" si="8"/>
        <v/>
      </c>
    </row>
    <row r="65" spans="1:37" x14ac:dyDescent="0.25">
      <c r="A65">
        <v>1385</v>
      </c>
      <c r="B65" t="s">
        <v>121</v>
      </c>
      <c r="C65" t="s">
        <v>94</v>
      </c>
      <c r="D65" t="s">
        <v>95</v>
      </c>
      <c r="E65" t="s">
        <v>96</v>
      </c>
      <c r="F65" t="s">
        <v>97</v>
      </c>
      <c r="G65" t="s">
        <v>98</v>
      </c>
      <c r="H65" s="1">
        <v>45042.733506944445</v>
      </c>
      <c r="I65" s="1">
        <v>45043.733506944445</v>
      </c>
      <c r="J65" t="s">
        <v>32</v>
      </c>
      <c r="K65" s="1">
        <v>45055.733506944445</v>
      </c>
      <c r="L65" t="s">
        <v>33</v>
      </c>
      <c r="M65" t="s">
        <v>108</v>
      </c>
      <c r="R65" s="4">
        <v>45059.733506944445</v>
      </c>
      <c r="T65">
        <v>0</v>
      </c>
      <c r="Y65" t="s">
        <v>35</v>
      </c>
      <c r="AC65" s="2">
        <f t="shared" si="0"/>
        <v>1</v>
      </c>
      <c r="AD65" s="2">
        <f t="shared" si="1"/>
        <v>13</v>
      </c>
      <c r="AE65" s="2">
        <f t="shared" si="2"/>
        <v>12</v>
      </c>
      <c r="AF65" s="2">
        <f t="shared" si="3"/>
        <v>17</v>
      </c>
      <c r="AG65" s="2">
        <f t="shared" si="4"/>
        <v>4</v>
      </c>
      <c r="AH65" s="4">
        <f t="shared" si="5"/>
        <v>45149.733506944445</v>
      </c>
      <c r="AI65" s="2" t="str">
        <f t="shared" si="6"/>
        <v/>
      </c>
      <c r="AJ65" s="2" t="str">
        <f t="shared" si="7"/>
        <v/>
      </c>
      <c r="AK65" s="2" t="str">
        <f t="shared" si="8"/>
        <v/>
      </c>
    </row>
    <row r="66" spans="1:37" x14ac:dyDescent="0.25">
      <c r="A66">
        <v>1381</v>
      </c>
      <c r="B66" t="s">
        <v>122</v>
      </c>
      <c r="C66" t="s">
        <v>94</v>
      </c>
      <c r="D66" t="s">
        <v>95</v>
      </c>
      <c r="E66" t="s">
        <v>96</v>
      </c>
      <c r="F66" t="s">
        <v>97</v>
      </c>
      <c r="G66" t="s">
        <v>98</v>
      </c>
      <c r="H66" s="1">
        <v>45043.733506944445</v>
      </c>
      <c r="I66" s="1">
        <v>45045.733506944445</v>
      </c>
      <c r="J66" t="s">
        <v>32</v>
      </c>
      <c r="K66" s="1">
        <v>45050.733506944445</v>
      </c>
      <c r="L66" t="s">
        <v>33</v>
      </c>
      <c r="M66" t="s">
        <v>34</v>
      </c>
      <c r="R66" s="4">
        <v>45053.733506944445</v>
      </c>
      <c r="T66">
        <v>0</v>
      </c>
      <c r="Y66" t="s">
        <v>35</v>
      </c>
      <c r="AC66" s="2">
        <f t="shared" si="0"/>
        <v>2</v>
      </c>
      <c r="AD66" s="2">
        <f t="shared" si="1"/>
        <v>7</v>
      </c>
      <c r="AE66" s="2">
        <f t="shared" si="2"/>
        <v>5</v>
      </c>
      <c r="AF66" s="2">
        <f t="shared" si="3"/>
        <v>10</v>
      </c>
      <c r="AG66" s="2">
        <f t="shared" si="4"/>
        <v>3</v>
      </c>
      <c r="AH66" s="4">
        <f t="shared" si="5"/>
        <v>45143.733506944445</v>
      </c>
      <c r="AI66" s="2" t="str">
        <f t="shared" si="6"/>
        <v/>
      </c>
      <c r="AJ66" s="2" t="str">
        <f t="shared" si="7"/>
        <v/>
      </c>
      <c r="AK66" s="2" t="str">
        <f t="shared" si="8"/>
        <v/>
      </c>
    </row>
    <row r="67" spans="1:37" x14ac:dyDescent="0.25">
      <c r="A67">
        <v>1322</v>
      </c>
      <c r="B67" t="s">
        <v>123</v>
      </c>
      <c r="C67" t="s">
        <v>94</v>
      </c>
      <c r="D67" t="s">
        <v>95</v>
      </c>
      <c r="E67" t="s">
        <v>96</v>
      </c>
      <c r="F67" t="s">
        <v>97</v>
      </c>
      <c r="G67" t="s">
        <v>98</v>
      </c>
      <c r="H67" s="1">
        <v>45160.187118055554</v>
      </c>
      <c r="I67" s="1">
        <v>45164.187118055554</v>
      </c>
      <c r="J67" t="s">
        <v>32</v>
      </c>
      <c r="K67" s="1">
        <v>45179.187118055554</v>
      </c>
      <c r="L67" t="s">
        <v>33</v>
      </c>
      <c r="M67" t="s">
        <v>34</v>
      </c>
      <c r="R67" s="4">
        <v>45180.187118055554</v>
      </c>
      <c r="T67">
        <v>0</v>
      </c>
      <c r="Y67" t="s">
        <v>35</v>
      </c>
      <c r="AC67" s="2">
        <f t="shared" ref="AC67:AC130" si="9">IF(AND(I67&lt;&gt;"",H67&lt;&gt;""), I67-H67, "")</f>
        <v>4</v>
      </c>
      <c r="AD67" s="2">
        <f t="shared" ref="AD67:AD130" si="10">IF(AND(K67&lt;&gt;"",H67&lt;&gt;""), K67-H67, "")</f>
        <v>19</v>
      </c>
      <c r="AE67" s="2">
        <f t="shared" ref="AE67:AE130" si="11">IF(AND(K67&lt;&gt;"",I67&lt;&gt;""), K67-I67, "")</f>
        <v>15</v>
      </c>
      <c r="AF67" s="2">
        <f t="shared" ref="AF67:AF130" si="12">IF(AND(R67&lt;&gt;"",H67&lt;&gt;""), R67-H67, "")</f>
        <v>20</v>
      </c>
      <c r="AG67" s="2">
        <f t="shared" ref="AG67:AG130" si="13">IF(AND(R67&lt;&gt;"",K67&lt;&gt;""), R67-K67, "")</f>
        <v>1</v>
      </c>
      <c r="AH67" s="4">
        <f t="shared" ref="AH67:AH130" si="14">IF(R67&lt;&gt;"", R67+90, "")</f>
        <v>45270.187118055554</v>
      </c>
      <c r="AI67" s="2" t="str">
        <f t="shared" ref="AI67:AI130" si="15">IF(AND(U67&lt;&gt;"",S67&lt;&gt;""), U67-S67, "")</f>
        <v/>
      </c>
      <c r="AJ67" s="2" t="str">
        <f t="shared" ref="AJ67:AJ130" si="16">IF(AND(Z67&lt;&gt;"",R67&lt;&gt;""), Z67-R67, "")</f>
        <v/>
      </c>
      <c r="AK67" s="2" t="str">
        <f t="shared" ref="AK67:AK130" si="17">IF(AND(W67&lt;&gt;"",R67&lt;&gt;""), W67-R67, "")</f>
        <v/>
      </c>
    </row>
    <row r="68" spans="1:37" x14ac:dyDescent="0.25">
      <c r="A68">
        <v>1294</v>
      </c>
      <c r="B68" t="s">
        <v>124</v>
      </c>
      <c r="C68" t="s">
        <v>94</v>
      </c>
      <c r="D68" t="s">
        <v>95</v>
      </c>
      <c r="E68" t="s">
        <v>96</v>
      </c>
      <c r="F68" t="s">
        <v>97</v>
      </c>
      <c r="G68" t="s">
        <v>98</v>
      </c>
      <c r="H68" s="1">
        <v>45091.672731481478</v>
      </c>
      <c r="I68" s="1">
        <v>45093.672731481478</v>
      </c>
      <c r="J68" t="s">
        <v>32</v>
      </c>
      <c r="K68" s="1">
        <v>45105.672731481478</v>
      </c>
      <c r="L68" t="s">
        <v>33</v>
      </c>
      <c r="M68" t="s">
        <v>67</v>
      </c>
      <c r="T68">
        <v>0</v>
      </c>
      <c r="Y68" t="s">
        <v>55</v>
      </c>
      <c r="AC68" s="2">
        <f t="shared" si="9"/>
        <v>2</v>
      </c>
      <c r="AD68" s="2">
        <f t="shared" si="10"/>
        <v>14</v>
      </c>
      <c r="AE68" s="2">
        <f t="shared" si="11"/>
        <v>12</v>
      </c>
      <c r="AF68" s="2" t="str">
        <f t="shared" si="12"/>
        <v/>
      </c>
      <c r="AG68" s="2" t="str">
        <f t="shared" si="13"/>
        <v/>
      </c>
      <c r="AH68" s="4" t="str">
        <f t="shared" si="14"/>
        <v/>
      </c>
      <c r="AI68" s="2" t="str">
        <f t="shared" si="15"/>
        <v/>
      </c>
      <c r="AJ68" s="2" t="str">
        <f t="shared" si="16"/>
        <v/>
      </c>
      <c r="AK68" s="2" t="str">
        <f t="shared" si="17"/>
        <v/>
      </c>
    </row>
    <row r="69" spans="1:37" x14ac:dyDescent="0.25">
      <c r="A69">
        <v>498</v>
      </c>
      <c r="B69" t="s">
        <v>125</v>
      </c>
      <c r="C69" t="s">
        <v>94</v>
      </c>
      <c r="D69" t="s">
        <v>95</v>
      </c>
      <c r="E69" t="s">
        <v>96</v>
      </c>
      <c r="F69" t="s">
        <v>97</v>
      </c>
      <c r="G69" t="s">
        <v>98</v>
      </c>
      <c r="H69" s="1">
        <v>45170.411724537036</v>
      </c>
      <c r="I69" s="1">
        <v>45171.411724537036</v>
      </c>
      <c r="J69" t="s">
        <v>32</v>
      </c>
      <c r="K69" s="1">
        <v>45182.411724537036</v>
      </c>
      <c r="L69" t="s">
        <v>33</v>
      </c>
      <c r="M69" t="s">
        <v>92</v>
      </c>
      <c r="T69">
        <v>0</v>
      </c>
      <c r="Y69" t="s">
        <v>35</v>
      </c>
      <c r="AC69" s="2">
        <f t="shared" si="9"/>
        <v>1</v>
      </c>
      <c r="AD69" s="2">
        <f t="shared" si="10"/>
        <v>12</v>
      </c>
      <c r="AE69" s="2">
        <f t="shared" si="11"/>
        <v>11</v>
      </c>
      <c r="AF69" s="2" t="str">
        <f t="shared" si="12"/>
        <v/>
      </c>
      <c r="AG69" s="2" t="str">
        <f t="shared" si="13"/>
        <v/>
      </c>
      <c r="AH69" s="4" t="str">
        <f t="shared" si="14"/>
        <v/>
      </c>
      <c r="AI69" s="2" t="str">
        <f t="shared" si="15"/>
        <v/>
      </c>
      <c r="AJ69" s="2" t="str">
        <f t="shared" si="16"/>
        <v/>
      </c>
      <c r="AK69" s="2" t="str">
        <f t="shared" si="17"/>
        <v/>
      </c>
    </row>
    <row r="70" spans="1:37" x14ac:dyDescent="0.25">
      <c r="A70">
        <v>496</v>
      </c>
      <c r="B70" t="s">
        <v>126</v>
      </c>
      <c r="C70" t="s">
        <v>94</v>
      </c>
      <c r="D70" t="s">
        <v>95</v>
      </c>
      <c r="E70" t="s">
        <v>127</v>
      </c>
      <c r="F70" t="s">
        <v>128</v>
      </c>
      <c r="G70" t="s">
        <v>98</v>
      </c>
      <c r="H70" s="1">
        <v>45167.411724537036</v>
      </c>
      <c r="I70" s="1">
        <v>45170.411724537036</v>
      </c>
      <c r="J70" t="s">
        <v>32</v>
      </c>
      <c r="K70" s="1">
        <v>45188.411724537036</v>
      </c>
      <c r="L70" t="s">
        <v>39</v>
      </c>
      <c r="N70" s="4">
        <v>45196.411724537036</v>
      </c>
      <c r="O70" t="s">
        <v>39</v>
      </c>
      <c r="R70" s="4">
        <v>45192.411724537036</v>
      </c>
      <c r="T70">
        <v>0</v>
      </c>
      <c r="AC70" s="2">
        <f t="shared" si="9"/>
        <v>3</v>
      </c>
      <c r="AD70" s="2">
        <f t="shared" si="10"/>
        <v>21</v>
      </c>
      <c r="AE70" s="2">
        <f t="shared" si="11"/>
        <v>18</v>
      </c>
      <c r="AF70" s="2">
        <f t="shared" si="12"/>
        <v>25</v>
      </c>
      <c r="AG70" s="2">
        <f t="shared" si="13"/>
        <v>4</v>
      </c>
      <c r="AH70" s="4">
        <f t="shared" si="14"/>
        <v>45282.411724537036</v>
      </c>
      <c r="AI70" s="2" t="str">
        <f t="shared" si="15"/>
        <v/>
      </c>
      <c r="AJ70" s="2" t="str">
        <f t="shared" si="16"/>
        <v/>
      </c>
      <c r="AK70" s="2" t="str">
        <f t="shared" si="17"/>
        <v/>
      </c>
    </row>
    <row r="71" spans="1:37" x14ac:dyDescent="0.25">
      <c r="A71">
        <v>486</v>
      </c>
      <c r="B71" t="s">
        <v>129</v>
      </c>
      <c r="C71" t="s">
        <v>94</v>
      </c>
      <c r="D71" t="s">
        <v>95</v>
      </c>
      <c r="E71" t="s">
        <v>127</v>
      </c>
      <c r="F71" t="s">
        <v>128</v>
      </c>
      <c r="G71" t="s">
        <v>98</v>
      </c>
      <c r="H71" s="1">
        <v>44936.566712962966</v>
      </c>
      <c r="I71" s="1">
        <v>44937.566712962966</v>
      </c>
      <c r="J71" t="s">
        <v>32</v>
      </c>
      <c r="K71" s="1">
        <v>44956.566712962966</v>
      </c>
      <c r="L71" t="s">
        <v>39</v>
      </c>
      <c r="N71" s="4">
        <v>44960.566712962966</v>
      </c>
      <c r="O71" t="s">
        <v>39</v>
      </c>
      <c r="R71" s="4">
        <v>44959.566712962966</v>
      </c>
      <c r="T71">
        <v>0</v>
      </c>
      <c r="AC71" s="2">
        <f t="shared" si="9"/>
        <v>1</v>
      </c>
      <c r="AD71" s="2">
        <f t="shared" si="10"/>
        <v>20</v>
      </c>
      <c r="AE71" s="2">
        <f t="shared" si="11"/>
        <v>19</v>
      </c>
      <c r="AF71" s="2">
        <f t="shared" si="12"/>
        <v>23</v>
      </c>
      <c r="AG71" s="2">
        <f t="shared" si="13"/>
        <v>3</v>
      </c>
      <c r="AH71" s="4">
        <f t="shared" si="14"/>
        <v>45049.566712962966</v>
      </c>
      <c r="AI71" s="2" t="str">
        <f t="shared" si="15"/>
        <v/>
      </c>
      <c r="AJ71" s="2" t="str">
        <f t="shared" si="16"/>
        <v/>
      </c>
      <c r="AK71" s="2" t="str">
        <f t="shared" si="17"/>
        <v/>
      </c>
    </row>
    <row r="72" spans="1:37" x14ac:dyDescent="0.25">
      <c r="A72">
        <v>481</v>
      </c>
      <c r="B72" t="s">
        <v>130</v>
      </c>
      <c r="C72" t="s">
        <v>94</v>
      </c>
      <c r="D72" t="s">
        <v>95</v>
      </c>
      <c r="E72" t="s">
        <v>127</v>
      </c>
      <c r="F72" t="s">
        <v>128</v>
      </c>
      <c r="G72" t="s">
        <v>98</v>
      </c>
      <c r="H72" s="1">
        <v>44930.566712962966</v>
      </c>
      <c r="I72" s="1">
        <v>44934.566712962966</v>
      </c>
      <c r="J72" t="s">
        <v>32</v>
      </c>
      <c r="K72" s="1">
        <v>44945.566712962966</v>
      </c>
      <c r="L72" t="s">
        <v>57</v>
      </c>
      <c r="N72" s="4">
        <v>44951.566712962966</v>
      </c>
      <c r="O72" t="s">
        <v>57</v>
      </c>
      <c r="P72" s="4">
        <v>44946.566712962966</v>
      </c>
      <c r="Q72" s="4">
        <v>44948.566712962966</v>
      </c>
      <c r="R72" s="4">
        <v>44949.566712962966</v>
      </c>
      <c r="S72" s="4">
        <v>44957.566712962966</v>
      </c>
      <c r="T72">
        <v>1</v>
      </c>
      <c r="U72" s="4">
        <v>44958.566712962966</v>
      </c>
      <c r="V72" s="4">
        <v>44959.566712962966</v>
      </c>
      <c r="W72" s="4">
        <v>44961.566712962966</v>
      </c>
      <c r="Z72" s="4">
        <v>44970.566712962966</v>
      </c>
      <c r="AC72" s="2">
        <f t="shared" si="9"/>
        <v>4</v>
      </c>
      <c r="AD72" s="2">
        <f t="shared" si="10"/>
        <v>15</v>
      </c>
      <c r="AE72" s="2">
        <f t="shared" si="11"/>
        <v>11</v>
      </c>
      <c r="AF72" s="2">
        <f t="shared" si="12"/>
        <v>19</v>
      </c>
      <c r="AG72" s="2">
        <f t="shared" si="13"/>
        <v>4</v>
      </c>
      <c r="AH72" s="4">
        <f t="shared" si="14"/>
        <v>45039.566712962966</v>
      </c>
      <c r="AI72" s="2">
        <f t="shared" si="15"/>
        <v>1</v>
      </c>
      <c r="AJ72" s="2">
        <f t="shared" si="16"/>
        <v>21</v>
      </c>
      <c r="AK72" s="2">
        <f t="shared" si="17"/>
        <v>12</v>
      </c>
    </row>
    <row r="73" spans="1:37" x14ac:dyDescent="0.25">
      <c r="A73">
        <v>478</v>
      </c>
      <c r="B73" t="s">
        <v>131</v>
      </c>
      <c r="C73" t="s">
        <v>94</v>
      </c>
      <c r="D73" t="s">
        <v>95</v>
      </c>
      <c r="E73" t="s">
        <v>127</v>
      </c>
      <c r="F73" t="s">
        <v>128</v>
      </c>
      <c r="G73" t="s">
        <v>98</v>
      </c>
      <c r="H73" s="1">
        <v>44673.075752314813</v>
      </c>
      <c r="I73" s="1">
        <v>44676.075752314813</v>
      </c>
      <c r="J73" t="s">
        <v>32</v>
      </c>
      <c r="K73" s="1">
        <v>44693.075752314813</v>
      </c>
      <c r="L73" t="s">
        <v>33</v>
      </c>
      <c r="M73" t="s">
        <v>51</v>
      </c>
      <c r="T73">
        <v>0</v>
      </c>
      <c r="Y73" t="s">
        <v>55</v>
      </c>
      <c r="AC73" s="2">
        <f t="shared" si="9"/>
        <v>3</v>
      </c>
      <c r="AD73" s="2">
        <f t="shared" si="10"/>
        <v>20</v>
      </c>
      <c r="AE73" s="2">
        <f t="shared" si="11"/>
        <v>17</v>
      </c>
      <c r="AF73" s="2" t="str">
        <f t="shared" si="12"/>
        <v/>
      </c>
      <c r="AG73" s="2" t="str">
        <f t="shared" si="13"/>
        <v/>
      </c>
      <c r="AH73" s="4" t="str">
        <f t="shared" si="14"/>
        <v/>
      </c>
      <c r="AI73" s="2" t="str">
        <f t="shared" si="15"/>
        <v/>
      </c>
      <c r="AJ73" s="2" t="str">
        <f t="shared" si="16"/>
        <v/>
      </c>
      <c r="AK73" s="2" t="str">
        <f t="shared" si="17"/>
        <v/>
      </c>
    </row>
    <row r="74" spans="1:37" x14ac:dyDescent="0.25">
      <c r="A74">
        <v>384</v>
      </c>
      <c r="B74" t="s">
        <v>132</v>
      </c>
      <c r="C74" t="s">
        <v>94</v>
      </c>
      <c r="D74" t="s">
        <v>95</v>
      </c>
      <c r="E74" t="s">
        <v>127</v>
      </c>
      <c r="F74" t="s">
        <v>128</v>
      </c>
      <c r="G74" t="s">
        <v>98</v>
      </c>
      <c r="H74" s="1">
        <v>44872.3830787037</v>
      </c>
      <c r="I74" s="1">
        <v>44875.3830787037</v>
      </c>
      <c r="J74" t="s">
        <v>32</v>
      </c>
      <c r="K74" s="1">
        <v>44885.3830787037</v>
      </c>
      <c r="L74" t="s">
        <v>33</v>
      </c>
      <c r="M74" t="s">
        <v>51</v>
      </c>
      <c r="T74">
        <v>0</v>
      </c>
      <c r="Y74" t="s">
        <v>35</v>
      </c>
      <c r="AC74" s="2">
        <f t="shared" si="9"/>
        <v>3</v>
      </c>
      <c r="AD74" s="2">
        <f t="shared" si="10"/>
        <v>13</v>
      </c>
      <c r="AE74" s="2">
        <f t="shared" si="11"/>
        <v>10</v>
      </c>
      <c r="AF74" s="2" t="str">
        <f t="shared" si="12"/>
        <v/>
      </c>
      <c r="AG74" s="2" t="str">
        <f t="shared" si="13"/>
        <v/>
      </c>
      <c r="AH74" s="4" t="str">
        <f t="shared" si="14"/>
        <v/>
      </c>
      <c r="AI74" s="2" t="str">
        <f t="shared" si="15"/>
        <v/>
      </c>
      <c r="AJ74" s="2" t="str">
        <f t="shared" si="16"/>
        <v/>
      </c>
      <c r="AK74" s="2" t="str">
        <f t="shared" si="17"/>
        <v/>
      </c>
    </row>
    <row r="75" spans="1:37" x14ac:dyDescent="0.25">
      <c r="A75">
        <v>377</v>
      </c>
      <c r="B75" t="s">
        <v>133</v>
      </c>
      <c r="C75" t="s">
        <v>94</v>
      </c>
      <c r="D75" t="s">
        <v>95</v>
      </c>
      <c r="E75" t="s">
        <v>127</v>
      </c>
      <c r="F75" t="s">
        <v>128</v>
      </c>
      <c r="G75" t="s">
        <v>98</v>
      </c>
      <c r="H75" s="1">
        <v>44663.356712962966</v>
      </c>
      <c r="I75" s="1">
        <v>44666.356712962966</v>
      </c>
      <c r="J75" t="s">
        <v>32</v>
      </c>
      <c r="K75" s="1">
        <v>44680.356712962966</v>
      </c>
      <c r="L75" t="s">
        <v>33</v>
      </c>
      <c r="M75" t="s">
        <v>34</v>
      </c>
      <c r="R75" s="4">
        <v>44682.356712962966</v>
      </c>
      <c r="T75">
        <v>0</v>
      </c>
      <c r="Y75" t="s">
        <v>35</v>
      </c>
      <c r="AC75" s="2">
        <f t="shared" si="9"/>
        <v>3</v>
      </c>
      <c r="AD75" s="2">
        <f t="shared" si="10"/>
        <v>17</v>
      </c>
      <c r="AE75" s="2">
        <f t="shared" si="11"/>
        <v>14</v>
      </c>
      <c r="AF75" s="2">
        <f t="shared" si="12"/>
        <v>19</v>
      </c>
      <c r="AG75" s="2">
        <f t="shared" si="13"/>
        <v>2</v>
      </c>
      <c r="AH75" s="4">
        <f t="shared" si="14"/>
        <v>44772.356712962966</v>
      </c>
      <c r="AI75" s="2" t="str">
        <f t="shared" si="15"/>
        <v/>
      </c>
      <c r="AJ75" s="2" t="str">
        <f t="shared" si="16"/>
        <v/>
      </c>
      <c r="AK75" s="2" t="str">
        <f t="shared" si="17"/>
        <v/>
      </c>
    </row>
    <row r="76" spans="1:37" x14ac:dyDescent="0.25">
      <c r="A76">
        <v>311</v>
      </c>
      <c r="B76" t="s">
        <v>134</v>
      </c>
      <c r="C76" t="s">
        <v>94</v>
      </c>
      <c r="D76" t="s">
        <v>95</v>
      </c>
      <c r="E76" t="s">
        <v>127</v>
      </c>
      <c r="F76" t="s">
        <v>128</v>
      </c>
      <c r="G76" t="s">
        <v>98</v>
      </c>
      <c r="H76" s="1">
        <v>44981.608946759261</v>
      </c>
      <c r="I76" s="1">
        <v>44985.608946759261</v>
      </c>
      <c r="J76" t="s">
        <v>32</v>
      </c>
      <c r="K76" s="1">
        <v>45007.608946759261</v>
      </c>
      <c r="L76" t="s">
        <v>57</v>
      </c>
      <c r="N76" s="4">
        <v>45014.608946759261</v>
      </c>
      <c r="O76" t="s">
        <v>57</v>
      </c>
      <c r="P76" s="4">
        <v>45009.608946759261</v>
      </c>
      <c r="Q76" s="4">
        <v>45013.608946759261</v>
      </c>
      <c r="R76" s="4">
        <v>45010.608946759261</v>
      </c>
      <c r="S76" s="4">
        <v>45013.608946759261</v>
      </c>
      <c r="T76">
        <v>1</v>
      </c>
      <c r="U76" s="4">
        <v>45015.608946759261</v>
      </c>
      <c r="V76" s="4">
        <v>45018.608946759261</v>
      </c>
      <c r="W76" s="4">
        <v>45021.608946759261</v>
      </c>
      <c r="Z76" s="4">
        <v>45028.608946759261</v>
      </c>
      <c r="AC76" s="2">
        <f t="shared" si="9"/>
        <v>4</v>
      </c>
      <c r="AD76" s="2">
        <f t="shared" si="10"/>
        <v>26</v>
      </c>
      <c r="AE76" s="2">
        <f t="shared" si="11"/>
        <v>22</v>
      </c>
      <c r="AF76" s="2">
        <f t="shared" si="12"/>
        <v>29</v>
      </c>
      <c r="AG76" s="2">
        <f t="shared" si="13"/>
        <v>3</v>
      </c>
      <c r="AH76" s="4">
        <f t="shared" si="14"/>
        <v>45100.608946759261</v>
      </c>
      <c r="AI76" s="2">
        <f t="shared" si="15"/>
        <v>2</v>
      </c>
      <c r="AJ76" s="2">
        <f t="shared" si="16"/>
        <v>18</v>
      </c>
      <c r="AK76" s="2">
        <f t="shared" si="17"/>
        <v>11</v>
      </c>
    </row>
    <row r="77" spans="1:37" x14ac:dyDescent="0.25">
      <c r="A77">
        <v>185</v>
      </c>
      <c r="B77" t="s">
        <v>135</v>
      </c>
      <c r="C77" t="s">
        <v>94</v>
      </c>
      <c r="D77" t="s">
        <v>95</v>
      </c>
      <c r="E77" t="s">
        <v>127</v>
      </c>
      <c r="F77" t="s">
        <v>128</v>
      </c>
      <c r="G77" t="s">
        <v>98</v>
      </c>
      <c r="H77" s="1">
        <v>44830.301365740743</v>
      </c>
      <c r="I77" s="1">
        <v>44834.301365740743</v>
      </c>
      <c r="J77" t="s">
        <v>32</v>
      </c>
      <c r="K77" s="1">
        <v>44850.301365740743</v>
      </c>
      <c r="L77" t="s">
        <v>33</v>
      </c>
      <c r="M77" t="s">
        <v>108</v>
      </c>
      <c r="R77" s="4">
        <v>44853.301365740743</v>
      </c>
      <c r="T77">
        <v>0</v>
      </c>
      <c r="Y77" t="s">
        <v>35</v>
      </c>
      <c r="AC77" s="2">
        <f t="shared" si="9"/>
        <v>4</v>
      </c>
      <c r="AD77" s="2">
        <f t="shared" si="10"/>
        <v>20</v>
      </c>
      <c r="AE77" s="2">
        <f t="shared" si="11"/>
        <v>16</v>
      </c>
      <c r="AF77" s="2">
        <f t="shared" si="12"/>
        <v>23</v>
      </c>
      <c r="AG77" s="2">
        <f t="shared" si="13"/>
        <v>3</v>
      </c>
      <c r="AH77" s="4">
        <f t="shared" si="14"/>
        <v>44943.301365740743</v>
      </c>
      <c r="AI77" s="2" t="str">
        <f t="shared" si="15"/>
        <v/>
      </c>
      <c r="AJ77" s="2" t="str">
        <f t="shared" si="16"/>
        <v/>
      </c>
      <c r="AK77" s="2" t="str">
        <f t="shared" si="17"/>
        <v/>
      </c>
    </row>
    <row r="78" spans="1:37" x14ac:dyDescent="0.25">
      <c r="A78">
        <v>184</v>
      </c>
      <c r="B78" t="s">
        <v>136</v>
      </c>
      <c r="C78" t="s">
        <v>94</v>
      </c>
      <c r="D78" t="s">
        <v>95</v>
      </c>
      <c r="E78" t="s">
        <v>127</v>
      </c>
      <c r="F78" t="s">
        <v>128</v>
      </c>
      <c r="G78" t="s">
        <v>98</v>
      </c>
      <c r="H78" s="1">
        <v>44825.301365740743</v>
      </c>
      <c r="I78" s="1">
        <v>44829.301365740743</v>
      </c>
      <c r="J78" t="s">
        <v>32</v>
      </c>
      <c r="K78" s="1">
        <v>44847.301365740743</v>
      </c>
      <c r="L78" t="s">
        <v>33</v>
      </c>
      <c r="M78" t="s">
        <v>67</v>
      </c>
      <c r="T78">
        <v>0</v>
      </c>
      <c r="Y78" t="s">
        <v>35</v>
      </c>
      <c r="AC78" s="2">
        <f t="shared" si="9"/>
        <v>4</v>
      </c>
      <c r="AD78" s="2">
        <f t="shared" si="10"/>
        <v>22</v>
      </c>
      <c r="AE78" s="2">
        <f t="shared" si="11"/>
        <v>18</v>
      </c>
      <c r="AF78" s="2" t="str">
        <f t="shared" si="12"/>
        <v/>
      </c>
      <c r="AG78" s="2" t="str">
        <f t="shared" si="13"/>
        <v/>
      </c>
      <c r="AH78" s="4" t="str">
        <f t="shared" si="14"/>
        <v/>
      </c>
      <c r="AI78" s="2" t="str">
        <f t="shared" si="15"/>
        <v/>
      </c>
      <c r="AJ78" s="2" t="str">
        <f t="shared" si="16"/>
        <v/>
      </c>
      <c r="AK78" s="2" t="str">
        <f t="shared" si="17"/>
        <v/>
      </c>
    </row>
    <row r="79" spans="1:37" x14ac:dyDescent="0.25">
      <c r="A79">
        <v>182</v>
      </c>
      <c r="B79" t="s">
        <v>137</v>
      </c>
      <c r="C79" t="s">
        <v>94</v>
      </c>
      <c r="D79" t="s">
        <v>95</v>
      </c>
      <c r="E79" t="s">
        <v>127</v>
      </c>
      <c r="F79" t="s">
        <v>128</v>
      </c>
      <c r="G79" t="s">
        <v>98</v>
      </c>
      <c r="H79" s="1">
        <v>44830.301365740743</v>
      </c>
      <c r="I79" s="1">
        <v>44834.301365740743</v>
      </c>
      <c r="J79" t="s">
        <v>32</v>
      </c>
      <c r="K79" s="1">
        <v>44839.301365740743</v>
      </c>
      <c r="L79" t="s">
        <v>33</v>
      </c>
      <c r="M79" t="s">
        <v>108</v>
      </c>
      <c r="R79" s="4">
        <v>44841.301365740743</v>
      </c>
      <c r="T79">
        <v>0</v>
      </c>
      <c r="Y79" t="s">
        <v>55</v>
      </c>
      <c r="AC79" s="2">
        <f t="shared" si="9"/>
        <v>4</v>
      </c>
      <c r="AD79" s="2">
        <f t="shared" si="10"/>
        <v>9</v>
      </c>
      <c r="AE79" s="2">
        <f t="shared" si="11"/>
        <v>5</v>
      </c>
      <c r="AF79" s="2">
        <f t="shared" si="12"/>
        <v>11</v>
      </c>
      <c r="AG79" s="2">
        <f t="shared" si="13"/>
        <v>2</v>
      </c>
      <c r="AH79" s="4">
        <f t="shared" si="14"/>
        <v>44931.301365740743</v>
      </c>
      <c r="AI79" s="2" t="str">
        <f t="shared" si="15"/>
        <v/>
      </c>
      <c r="AJ79" s="2" t="str">
        <f t="shared" si="16"/>
        <v/>
      </c>
      <c r="AK79" s="2" t="str">
        <f t="shared" si="17"/>
        <v/>
      </c>
    </row>
    <row r="80" spans="1:37" x14ac:dyDescent="0.25">
      <c r="A80">
        <v>138</v>
      </c>
      <c r="B80" t="s">
        <v>138</v>
      </c>
      <c r="C80" t="s">
        <v>94</v>
      </c>
      <c r="D80" t="s">
        <v>95</v>
      </c>
      <c r="E80" t="s">
        <v>127</v>
      </c>
      <c r="F80" t="s">
        <v>128</v>
      </c>
      <c r="G80" t="s">
        <v>98</v>
      </c>
      <c r="H80" s="1">
        <v>44764.802951388891</v>
      </c>
      <c r="I80" s="1">
        <v>44768.802951388891</v>
      </c>
      <c r="J80" t="s">
        <v>32</v>
      </c>
      <c r="K80" s="1">
        <v>44774.802951388891</v>
      </c>
      <c r="L80" t="s">
        <v>57</v>
      </c>
      <c r="N80" s="4">
        <v>44778.802951388891</v>
      </c>
      <c r="O80" t="s">
        <v>57</v>
      </c>
      <c r="P80" s="4">
        <v>44775.802951388891</v>
      </c>
      <c r="Q80" s="4">
        <v>44777.802951388891</v>
      </c>
      <c r="R80" s="4">
        <v>44775.802951388891</v>
      </c>
      <c r="S80" s="4">
        <v>44777.802951388891</v>
      </c>
      <c r="T80">
        <v>1</v>
      </c>
      <c r="U80" s="4">
        <v>44778.802951388891</v>
      </c>
      <c r="V80" s="4">
        <v>44781.802951388891</v>
      </c>
      <c r="W80" s="4">
        <v>44782.802951388891</v>
      </c>
      <c r="Z80" s="4">
        <v>44801.802951388891</v>
      </c>
      <c r="AC80" s="2">
        <f t="shared" si="9"/>
        <v>4</v>
      </c>
      <c r="AD80" s="2">
        <f t="shared" si="10"/>
        <v>10</v>
      </c>
      <c r="AE80" s="2">
        <f t="shared" si="11"/>
        <v>6</v>
      </c>
      <c r="AF80" s="2">
        <f t="shared" si="12"/>
        <v>11</v>
      </c>
      <c r="AG80" s="2">
        <f t="shared" si="13"/>
        <v>1</v>
      </c>
      <c r="AH80" s="4">
        <f t="shared" si="14"/>
        <v>44865.802951388891</v>
      </c>
      <c r="AI80" s="2">
        <f t="shared" si="15"/>
        <v>1</v>
      </c>
      <c r="AJ80" s="2">
        <f t="shared" si="16"/>
        <v>26</v>
      </c>
      <c r="AK80" s="2">
        <f t="shared" si="17"/>
        <v>7</v>
      </c>
    </row>
    <row r="81" spans="1:37" x14ac:dyDescent="0.25">
      <c r="A81">
        <v>9</v>
      </c>
      <c r="B81" t="s">
        <v>139</v>
      </c>
      <c r="C81" t="s">
        <v>94</v>
      </c>
      <c r="D81" t="s">
        <v>95</v>
      </c>
      <c r="E81" t="s">
        <v>127</v>
      </c>
      <c r="F81" t="s">
        <v>128</v>
      </c>
      <c r="G81" t="s">
        <v>98</v>
      </c>
      <c r="H81" s="1">
        <v>45079.372060185182</v>
      </c>
      <c r="I81" s="1">
        <v>45081.372060185182</v>
      </c>
      <c r="J81" t="s">
        <v>32</v>
      </c>
      <c r="K81" s="1">
        <v>45089.372060185182</v>
      </c>
      <c r="L81" t="s">
        <v>33</v>
      </c>
      <c r="M81" t="s">
        <v>92</v>
      </c>
      <c r="T81">
        <v>0</v>
      </c>
      <c r="Y81" t="s">
        <v>55</v>
      </c>
      <c r="AC81" s="2">
        <f t="shared" si="9"/>
        <v>2</v>
      </c>
      <c r="AD81" s="2">
        <f t="shared" si="10"/>
        <v>10</v>
      </c>
      <c r="AE81" s="2">
        <f t="shared" si="11"/>
        <v>8</v>
      </c>
      <c r="AF81" s="2" t="str">
        <f t="shared" si="12"/>
        <v/>
      </c>
      <c r="AG81" s="2" t="str">
        <f t="shared" si="13"/>
        <v/>
      </c>
      <c r="AH81" s="4" t="str">
        <f t="shared" si="14"/>
        <v/>
      </c>
      <c r="AI81" s="2" t="str">
        <f t="shared" si="15"/>
        <v/>
      </c>
      <c r="AJ81" s="2" t="str">
        <f t="shared" si="16"/>
        <v/>
      </c>
      <c r="AK81" s="2" t="str">
        <f t="shared" si="17"/>
        <v/>
      </c>
    </row>
    <row r="82" spans="1:37" x14ac:dyDescent="0.25">
      <c r="A82">
        <v>7</v>
      </c>
      <c r="B82" t="s">
        <v>140</v>
      </c>
      <c r="C82" t="s">
        <v>94</v>
      </c>
      <c r="D82" t="s">
        <v>95</v>
      </c>
      <c r="E82" t="s">
        <v>127</v>
      </c>
      <c r="F82" t="s">
        <v>128</v>
      </c>
      <c r="G82" t="s">
        <v>98</v>
      </c>
      <c r="H82" s="1">
        <v>45074.372060185182</v>
      </c>
      <c r="I82" s="1">
        <v>45077.372060185182</v>
      </c>
      <c r="J82" t="s">
        <v>32</v>
      </c>
      <c r="K82" s="1">
        <v>45092.372060185182</v>
      </c>
      <c r="L82" t="s">
        <v>33</v>
      </c>
      <c r="M82" t="s">
        <v>67</v>
      </c>
      <c r="R82" s="4">
        <v>45093.372060185182</v>
      </c>
      <c r="T82">
        <v>0</v>
      </c>
      <c r="Y82" t="s">
        <v>55</v>
      </c>
      <c r="AC82" s="2">
        <f t="shared" si="9"/>
        <v>3</v>
      </c>
      <c r="AD82" s="2">
        <f t="shared" si="10"/>
        <v>18</v>
      </c>
      <c r="AE82" s="2">
        <f t="shared" si="11"/>
        <v>15</v>
      </c>
      <c r="AF82" s="2">
        <f t="shared" si="12"/>
        <v>19</v>
      </c>
      <c r="AG82" s="2">
        <f t="shared" si="13"/>
        <v>1</v>
      </c>
      <c r="AH82" s="4">
        <f t="shared" si="14"/>
        <v>45183.372060185182</v>
      </c>
      <c r="AI82" s="2" t="str">
        <f t="shared" si="15"/>
        <v/>
      </c>
      <c r="AJ82" s="2" t="str">
        <f t="shared" si="16"/>
        <v/>
      </c>
      <c r="AK82" s="2" t="str">
        <f t="shared" si="17"/>
        <v/>
      </c>
    </row>
    <row r="83" spans="1:37" x14ac:dyDescent="0.25">
      <c r="A83">
        <v>2973</v>
      </c>
      <c r="B83" t="s">
        <v>141</v>
      </c>
      <c r="C83" t="s">
        <v>94</v>
      </c>
      <c r="D83" t="s">
        <v>142</v>
      </c>
      <c r="E83" t="s">
        <v>29</v>
      </c>
      <c r="F83" t="s">
        <v>143</v>
      </c>
      <c r="G83" t="s">
        <v>144</v>
      </c>
      <c r="H83" s="1">
        <v>44757.636782407404</v>
      </c>
      <c r="I83" s="1">
        <v>44761.636782407404</v>
      </c>
      <c r="J83" t="s">
        <v>32</v>
      </c>
      <c r="K83" s="1">
        <v>44773.636782407404</v>
      </c>
      <c r="L83" t="s">
        <v>57</v>
      </c>
      <c r="N83" s="4">
        <v>44776.636782407404</v>
      </c>
      <c r="O83" t="s">
        <v>57</v>
      </c>
      <c r="P83" s="4">
        <v>44774.636782407404</v>
      </c>
      <c r="Q83" s="4">
        <v>44775.636782407404</v>
      </c>
      <c r="R83" s="4">
        <v>44774.636782407404</v>
      </c>
      <c r="S83" s="4">
        <v>44781.636782407404</v>
      </c>
      <c r="T83">
        <v>1</v>
      </c>
      <c r="U83" s="4">
        <v>44782.636782407404</v>
      </c>
      <c r="V83" s="4">
        <v>44784.636782407404</v>
      </c>
      <c r="W83" s="4">
        <v>44787.636782407404</v>
      </c>
      <c r="Z83" s="4">
        <v>44801.636782407404</v>
      </c>
      <c r="AC83" s="2">
        <f t="shared" si="9"/>
        <v>4</v>
      </c>
      <c r="AD83" s="2">
        <f t="shared" si="10"/>
        <v>16</v>
      </c>
      <c r="AE83" s="2">
        <f t="shared" si="11"/>
        <v>12</v>
      </c>
      <c r="AF83" s="2">
        <f t="shared" si="12"/>
        <v>17</v>
      </c>
      <c r="AG83" s="2">
        <f t="shared" si="13"/>
        <v>1</v>
      </c>
      <c r="AH83" s="4">
        <f t="shared" si="14"/>
        <v>44864.636782407404</v>
      </c>
      <c r="AI83" s="2">
        <f t="shared" si="15"/>
        <v>1</v>
      </c>
      <c r="AJ83" s="2">
        <f t="shared" si="16"/>
        <v>27</v>
      </c>
      <c r="AK83" s="2">
        <f t="shared" si="17"/>
        <v>13</v>
      </c>
    </row>
    <row r="84" spans="1:37" x14ac:dyDescent="0.25">
      <c r="A84">
        <v>2966</v>
      </c>
      <c r="B84" t="s">
        <v>145</v>
      </c>
      <c r="C84" t="s">
        <v>94</v>
      </c>
      <c r="D84" t="s">
        <v>142</v>
      </c>
      <c r="E84" t="s">
        <v>29</v>
      </c>
      <c r="F84" t="s">
        <v>143</v>
      </c>
      <c r="G84" t="s">
        <v>144</v>
      </c>
      <c r="H84" s="1">
        <v>44697.276689814818</v>
      </c>
      <c r="I84" s="1">
        <v>44700.276689814818</v>
      </c>
      <c r="J84" t="s">
        <v>32</v>
      </c>
      <c r="K84" s="1">
        <v>44711.276689814818</v>
      </c>
      <c r="L84" t="s">
        <v>33</v>
      </c>
      <c r="M84" t="s">
        <v>34</v>
      </c>
      <c r="T84">
        <v>0</v>
      </c>
      <c r="Y84" t="s">
        <v>55</v>
      </c>
      <c r="AC84" s="2">
        <f t="shared" si="9"/>
        <v>3</v>
      </c>
      <c r="AD84" s="2">
        <f t="shared" si="10"/>
        <v>14</v>
      </c>
      <c r="AE84" s="2">
        <f t="shared" si="11"/>
        <v>11</v>
      </c>
      <c r="AF84" s="2" t="str">
        <f t="shared" si="12"/>
        <v/>
      </c>
      <c r="AG84" s="2" t="str">
        <f t="shared" si="13"/>
        <v/>
      </c>
      <c r="AH84" s="4" t="str">
        <f t="shared" si="14"/>
        <v/>
      </c>
      <c r="AI84" s="2" t="str">
        <f t="shared" si="15"/>
        <v/>
      </c>
      <c r="AJ84" s="2" t="str">
        <f t="shared" si="16"/>
        <v/>
      </c>
      <c r="AK84" s="2" t="str">
        <f t="shared" si="17"/>
        <v/>
      </c>
    </row>
    <row r="85" spans="1:37" x14ac:dyDescent="0.25">
      <c r="A85">
        <v>2964</v>
      </c>
      <c r="B85" t="s">
        <v>146</v>
      </c>
      <c r="C85" t="s">
        <v>94</v>
      </c>
      <c r="D85" t="s">
        <v>142</v>
      </c>
      <c r="E85" t="s">
        <v>29</v>
      </c>
      <c r="F85" t="s">
        <v>143</v>
      </c>
      <c r="G85" t="s">
        <v>144</v>
      </c>
      <c r="H85" s="1">
        <v>44697.276689814818</v>
      </c>
      <c r="I85" s="1">
        <v>44699.276689814818</v>
      </c>
      <c r="J85" t="s">
        <v>32</v>
      </c>
      <c r="K85" s="1">
        <v>44719.276689814818</v>
      </c>
      <c r="L85" t="s">
        <v>33</v>
      </c>
      <c r="M85" t="s">
        <v>51</v>
      </c>
      <c r="R85" s="4">
        <v>44720.276689814818</v>
      </c>
      <c r="T85">
        <v>0</v>
      </c>
      <c r="Y85" t="s">
        <v>35</v>
      </c>
      <c r="AC85" s="2">
        <f t="shared" si="9"/>
        <v>2</v>
      </c>
      <c r="AD85" s="2">
        <f t="shared" si="10"/>
        <v>22</v>
      </c>
      <c r="AE85" s="2">
        <f t="shared" si="11"/>
        <v>20</v>
      </c>
      <c r="AF85" s="2">
        <f t="shared" si="12"/>
        <v>23</v>
      </c>
      <c r="AG85" s="2">
        <f t="shared" si="13"/>
        <v>1</v>
      </c>
      <c r="AH85" s="4">
        <f t="shared" si="14"/>
        <v>44810.276689814818</v>
      </c>
      <c r="AI85" s="2" t="str">
        <f t="shared" si="15"/>
        <v/>
      </c>
      <c r="AJ85" s="2" t="str">
        <f t="shared" si="16"/>
        <v/>
      </c>
      <c r="AK85" s="2" t="str">
        <f t="shared" si="17"/>
        <v/>
      </c>
    </row>
    <row r="86" spans="1:37" x14ac:dyDescent="0.25">
      <c r="A86">
        <v>2961</v>
      </c>
      <c r="B86" t="s">
        <v>147</v>
      </c>
      <c r="C86" t="s">
        <v>94</v>
      </c>
      <c r="D86" t="s">
        <v>142</v>
      </c>
      <c r="E86" t="s">
        <v>29</v>
      </c>
      <c r="F86" t="s">
        <v>143</v>
      </c>
      <c r="G86" t="s">
        <v>144</v>
      </c>
      <c r="H86" s="1">
        <v>44699.276689814818</v>
      </c>
      <c r="I86" s="1">
        <v>44700.276689814818</v>
      </c>
      <c r="J86" t="s">
        <v>32</v>
      </c>
      <c r="K86" s="1">
        <v>44711.276689814818</v>
      </c>
      <c r="L86" t="s">
        <v>33</v>
      </c>
      <c r="M86" t="s">
        <v>51</v>
      </c>
      <c r="R86" s="4">
        <v>44713.276689814818</v>
      </c>
      <c r="T86">
        <v>0</v>
      </c>
      <c r="Y86" t="s">
        <v>55</v>
      </c>
      <c r="AC86" s="2">
        <f t="shared" si="9"/>
        <v>1</v>
      </c>
      <c r="AD86" s="2">
        <f t="shared" si="10"/>
        <v>12</v>
      </c>
      <c r="AE86" s="2">
        <f t="shared" si="11"/>
        <v>11</v>
      </c>
      <c r="AF86" s="2">
        <f t="shared" si="12"/>
        <v>14</v>
      </c>
      <c r="AG86" s="2">
        <f t="shared" si="13"/>
        <v>2</v>
      </c>
      <c r="AH86" s="4">
        <f t="shared" si="14"/>
        <v>44803.276689814818</v>
      </c>
      <c r="AI86" s="2" t="str">
        <f t="shared" si="15"/>
        <v/>
      </c>
      <c r="AJ86" s="2" t="str">
        <f t="shared" si="16"/>
        <v/>
      </c>
      <c r="AK86" s="2" t="str">
        <f t="shared" si="17"/>
        <v/>
      </c>
    </row>
    <row r="87" spans="1:37" x14ac:dyDescent="0.25">
      <c r="A87">
        <v>2886</v>
      </c>
      <c r="B87" t="s">
        <v>148</v>
      </c>
      <c r="C87" t="s">
        <v>94</v>
      </c>
      <c r="D87" t="s">
        <v>142</v>
      </c>
      <c r="E87" t="s">
        <v>29</v>
      </c>
      <c r="F87" t="s">
        <v>143</v>
      </c>
      <c r="G87" t="s">
        <v>144</v>
      </c>
      <c r="H87" s="1">
        <v>44857.066979166666</v>
      </c>
      <c r="I87" s="1">
        <v>44860.066979166666</v>
      </c>
      <c r="J87" t="s">
        <v>44</v>
      </c>
      <c r="K87" s="1"/>
      <c r="T87">
        <v>0</v>
      </c>
      <c r="AC87" s="2">
        <f t="shared" si="9"/>
        <v>3</v>
      </c>
      <c r="AD87" s="2" t="str">
        <f t="shared" si="10"/>
        <v/>
      </c>
      <c r="AE87" s="2" t="str">
        <f t="shared" si="11"/>
        <v/>
      </c>
      <c r="AF87" s="2" t="str">
        <f t="shared" si="12"/>
        <v/>
      </c>
      <c r="AG87" s="2" t="str">
        <f t="shared" si="13"/>
        <v/>
      </c>
      <c r="AH87" s="4" t="str">
        <f t="shared" si="14"/>
        <v/>
      </c>
      <c r="AI87" s="2" t="str">
        <f t="shared" si="15"/>
        <v/>
      </c>
      <c r="AJ87" s="2" t="str">
        <f t="shared" si="16"/>
        <v/>
      </c>
      <c r="AK87" s="2" t="str">
        <f t="shared" si="17"/>
        <v/>
      </c>
    </row>
    <row r="88" spans="1:37" x14ac:dyDescent="0.25">
      <c r="A88">
        <v>2882</v>
      </c>
      <c r="B88" t="s">
        <v>149</v>
      </c>
      <c r="C88" t="s">
        <v>94</v>
      </c>
      <c r="D88" t="s">
        <v>142</v>
      </c>
      <c r="E88" t="s">
        <v>29</v>
      </c>
      <c r="F88" t="s">
        <v>143</v>
      </c>
      <c r="G88" t="s">
        <v>144</v>
      </c>
      <c r="H88" s="1">
        <v>44861.066979166666</v>
      </c>
      <c r="I88" s="1">
        <v>44862.066979166666</v>
      </c>
      <c r="J88" t="s">
        <v>32</v>
      </c>
      <c r="K88" s="1">
        <v>44870.066979166666</v>
      </c>
      <c r="L88" t="s">
        <v>33</v>
      </c>
      <c r="M88" t="s">
        <v>67</v>
      </c>
      <c r="T88">
        <v>0</v>
      </c>
      <c r="Y88" t="s">
        <v>55</v>
      </c>
      <c r="AC88" s="2">
        <f t="shared" si="9"/>
        <v>1</v>
      </c>
      <c r="AD88" s="2">
        <f t="shared" si="10"/>
        <v>9</v>
      </c>
      <c r="AE88" s="2">
        <f t="shared" si="11"/>
        <v>8</v>
      </c>
      <c r="AF88" s="2" t="str">
        <f t="shared" si="12"/>
        <v/>
      </c>
      <c r="AG88" s="2" t="str">
        <f t="shared" si="13"/>
        <v/>
      </c>
      <c r="AH88" s="4" t="str">
        <f t="shared" si="14"/>
        <v/>
      </c>
      <c r="AI88" s="2" t="str">
        <f t="shared" si="15"/>
        <v/>
      </c>
      <c r="AJ88" s="2" t="str">
        <f t="shared" si="16"/>
        <v/>
      </c>
      <c r="AK88" s="2" t="str">
        <f t="shared" si="17"/>
        <v/>
      </c>
    </row>
    <row r="89" spans="1:37" x14ac:dyDescent="0.25">
      <c r="A89">
        <v>2868</v>
      </c>
      <c r="B89" t="s">
        <v>150</v>
      </c>
      <c r="C89" t="s">
        <v>94</v>
      </c>
      <c r="D89" t="s">
        <v>142</v>
      </c>
      <c r="E89" t="s">
        <v>29</v>
      </c>
      <c r="F89" t="s">
        <v>143</v>
      </c>
      <c r="G89" t="s">
        <v>144</v>
      </c>
      <c r="H89" s="1">
        <v>44847.266331018516</v>
      </c>
      <c r="I89" s="1">
        <v>44851.266331018516</v>
      </c>
      <c r="J89" t="s">
        <v>44</v>
      </c>
      <c r="K89" s="1"/>
      <c r="T89">
        <v>0</v>
      </c>
      <c r="AC89" s="2">
        <f t="shared" si="9"/>
        <v>4</v>
      </c>
      <c r="AD89" s="2" t="str">
        <f t="shared" si="10"/>
        <v/>
      </c>
      <c r="AE89" s="2" t="str">
        <f t="shared" si="11"/>
        <v/>
      </c>
      <c r="AF89" s="2" t="str">
        <f t="shared" si="12"/>
        <v/>
      </c>
      <c r="AG89" s="2" t="str">
        <f t="shared" si="13"/>
        <v/>
      </c>
      <c r="AH89" s="4" t="str">
        <f t="shared" si="14"/>
        <v/>
      </c>
      <c r="AI89" s="2" t="str">
        <f t="shared" si="15"/>
        <v/>
      </c>
      <c r="AJ89" s="2" t="str">
        <f t="shared" si="16"/>
        <v/>
      </c>
      <c r="AK89" s="2" t="str">
        <f t="shared" si="17"/>
        <v/>
      </c>
    </row>
    <row r="90" spans="1:37" x14ac:dyDescent="0.25">
      <c r="A90">
        <v>2867</v>
      </c>
      <c r="B90" t="s">
        <v>151</v>
      </c>
      <c r="C90" t="s">
        <v>94</v>
      </c>
      <c r="D90" t="s">
        <v>142</v>
      </c>
      <c r="E90" t="s">
        <v>29</v>
      </c>
      <c r="F90" t="s">
        <v>143</v>
      </c>
      <c r="G90" t="s">
        <v>144</v>
      </c>
      <c r="H90" s="1">
        <v>44849.266331018516</v>
      </c>
      <c r="I90" s="1">
        <v>44853.266331018516</v>
      </c>
      <c r="J90" t="s">
        <v>32</v>
      </c>
      <c r="K90" s="1">
        <v>44868.266331018516</v>
      </c>
      <c r="L90" t="s">
        <v>57</v>
      </c>
      <c r="N90" s="4">
        <v>44873.266331018516</v>
      </c>
      <c r="O90" t="s">
        <v>57</v>
      </c>
      <c r="P90" s="4">
        <v>44870.266331018516</v>
      </c>
      <c r="Q90" s="4">
        <v>44874.266331018516</v>
      </c>
      <c r="R90" s="4">
        <v>44869.266331018516</v>
      </c>
      <c r="S90" s="4">
        <v>44879.266331018516</v>
      </c>
      <c r="T90">
        <v>1</v>
      </c>
      <c r="U90" s="4">
        <v>44883.266331018516</v>
      </c>
      <c r="V90" s="4">
        <v>44884.266331018516</v>
      </c>
      <c r="W90" s="4">
        <v>44885.266331018516</v>
      </c>
      <c r="Z90" s="4">
        <v>44901.266331018516</v>
      </c>
      <c r="AC90" s="2">
        <f t="shared" si="9"/>
        <v>4</v>
      </c>
      <c r="AD90" s="2">
        <f t="shared" si="10"/>
        <v>19</v>
      </c>
      <c r="AE90" s="2">
        <f t="shared" si="11"/>
        <v>15</v>
      </c>
      <c r="AF90" s="2">
        <f t="shared" si="12"/>
        <v>20</v>
      </c>
      <c r="AG90" s="2">
        <f t="shared" si="13"/>
        <v>1</v>
      </c>
      <c r="AH90" s="4">
        <f t="shared" si="14"/>
        <v>44959.266331018516</v>
      </c>
      <c r="AI90" s="2">
        <f t="shared" si="15"/>
        <v>4</v>
      </c>
      <c r="AJ90" s="2">
        <f t="shared" si="16"/>
        <v>32</v>
      </c>
      <c r="AK90" s="2">
        <f t="shared" si="17"/>
        <v>16</v>
      </c>
    </row>
    <row r="91" spans="1:37" x14ac:dyDescent="0.25">
      <c r="A91">
        <v>2862</v>
      </c>
      <c r="B91" t="s">
        <v>152</v>
      </c>
      <c r="C91" t="s">
        <v>94</v>
      </c>
      <c r="D91" t="s">
        <v>142</v>
      </c>
      <c r="E91" t="s">
        <v>29</v>
      </c>
      <c r="F91" t="s">
        <v>143</v>
      </c>
      <c r="G91" t="s">
        <v>144</v>
      </c>
      <c r="H91" s="1">
        <v>44848.266331018516</v>
      </c>
      <c r="I91" s="1">
        <v>44852.266331018516</v>
      </c>
      <c r="J91" t="s">
        <v>44</v>
      </c>
      <c r="K91" s="1"/>
      <c r="T91">
        <v>0</v>
      </c>
      <c r="AC91" s="2">
        <f t="shared" si="9"/>
        <v>4</v>
      </c>
      <c r="AD91" s="2" t="str">
        <f t="shared" si="10"/>
        <v/>
      </c>
      <c r="AE91" s="2" t="str">
        <f t="shared" si="11"/>
        <v/>
      </c>
      <c r="AF91" s="2" t="str">
        <f t="shared" si="12"/>
        <v/>
      </c>
      <c r="AG91" s="2" t="str">
        <f t="shared" si="13"/>
        <v/>
      </c>
      <c r="AH91" s="4" t="str">
        <f t="shared" si="14"/>
        <v/>
      </c>
      <c r="AI91" s="2" t="str">
        <f t="shared" si="15"/>
        <v/>
      </c>
      <c r="AJ91" s="2" t="str">
        <f t="shared" si="16"/>
        <v/>
      </c>
      <c r="AK91" s="2" t="str">
        <f t="shared" si="17"/>
        <v/>
      </c>
    </row>
    <row r="92" spans="1:37" x14ac:dyDescent="0.25">
      <c r="A92">
        <v>2859</v>
      </c>
      <c r="B92" t="s">
        <v>153</v>
      </c>
      <c r="C92" t="s">
        <v>94</v>
      </c>
      <c r="D92" t="s">
        <v>142</v>
      </c>
      <c r="E92" t="s">
        <v>29</v>
      </c>
      <c r="F92" t="s">
        <v>143</v>
      </c>
      <c r="G92" t="s">
        <v>144</v>
      </c>
      <c r="H92" s="1">
        <v>45035.4996875</v>
      </c>
      <c r="I92" s="1">
        <v>45038.4996875</v>
      </c>
      <c r="J92" t="s">
        <v>32</v>
      </c>
      <c r="K92" s="1">
        <v>45045.4996875</v>
      </c>
      <c r="L92" t="s">
        <v>33</v>
      </c>
      <c r="M92" t="s">
        <v>108</v>
      </c>
      <c r="R92" s="4">
        <v>45047.4996875</v>
      </c>
      <c r="T92">
        <v>0</v>
      </c>
      <c r="Y92" t="s">
        <v>35</v>
      </c>
      <c r="AC92" s="2">
        <f t="shared" si="9"/>
        <v>3</v>
      </c>
      <c r="AD92" s="2">
        <f t="shared" si="10"/>
        <v>10</v>
      </c>
      <c r="AE92" s="2">
        <f t="shared" si="11"/>
        <v>7</v>
      </c>
      <c r="AF92" s="2">
        <f t="shared" si="12"/>
        <v>12</v>
      </c>
      <c r="AG92" s="2">
        <f t="shared" si="13"/>
        <v>2</v>
      </c>
      <c r="AH92" s="4">
        <f t="shared" si="14"/>
        <v>45137.4996875</v>
      </c>
      <c r="AI92" s="2" t="str">
        <f t="shared" si="15"/>
        <v/>
      </c>
      <c r="AJ92" s="2" t="str">
        <f t="shared" si="16"/>
        <v/>
      </c>
      <c r="AK92" s="2" t="str">
        <f t="shared" si="17"/>
        <v/>
      </c>
    </row>
    <row r="93" spans="1:37" x14ac:dyDescent="0.25">
      <c r="A93">
        <v>2855</v>
      </c>
      <c r="B93" t="s">
        <v>154</v>
      </c>
      <c r="C93" t="s">
        <v>94</v>
      </c>
      <c r="D93" t="s">
        <v>142</v>
      </c>
      <c r="E93" t="s">
        <v>29</v>
      </c>
      <c r="F93" t="s">
        <v>143</v>
      </c>
      <c r="G93" t="s">
        <v>144</v>
      </c>
      <c r="H93" s="1">
        <v>45033.4996875</v>
      </c>
      <c r="I93" s="1">
        <v>45035.4996875</v>
      </c>
      <c r="J93" t="s">
        <v>32</v>
      </c>
      <c r="K93" s="1">
        <v>45045.4996875</v>
      </c>
      <c r="L93" t="s">
        <v>57</v>
      </c>
      <c r="N93" s="4">
        <v>45050.4996875</v>
      </c>
      <c r="O93" t="s">
        <v>57</v>
      </c>
      <c r="P93" s="4">
        <v>45047.4996875</v>
      </c>
      <c r="Q93" s="4">
        <v>45048.4996875</v>
      </c>
      <c r="R93" s="4">
        <v>45048.4996875</v>
      </c>
      <c r="S93" s="4">
        <v>45057.4996875</v>
      </c>
      <c r="T93">
        <v>1</v>
      </c>
      <c r="U93" s="4">
        <v>45059.4996875</v>
      </c>
      <c r="V93" s="4">
        <v>45061.4996875</v>
      </c>
      <c r="W93" s="4">
        <v>45063.4996875</v>
      </c>
      <c r="Z93" s="4">
        <v>45083.4996875</v>
      </c>
      <c r="AC93" s="2">
        <f t="shared" si="9"/>
        <v>2</v>
      </c>
      <c r="AD93" s="2">
        <f t="shared" si="10"/>
        <v>12</v>
      </c>
      <c r="AE93" s="2">
        <f t="shared" si="11"/>
        <v>10</v>
      </c>
      <c r="AF93" s="2">
        <f t="shared" si="12"/>
        <v>15</v>
      </c>
      <c r="AG93" s="2">
        <f t="shared" si="13"/>
        <v>3</v>
      </c>
      <c r="AH93" s="4">
        <f t="shared" si="14"/>
        <v>45138.4996875</v>
      </c>
      <c r="AI93" s="2">
        <f t="shared" si="15"/>
        <v>2</v>
      </c>
      <c r="AJ93" s="2">
        <f t="shared" si="16"/>
        <v>35</v>
      </c>
      <c r="AK93" s="2">
        <f t="shared" si="17"/>
        <v>15</v>
      </c>
    </row>
    <row r="94" spans="1:37" x14ac:dyDescent="0.25">
      <c r="A94">
        <v>2851</v>
      </c>
      <c r="B94" t="s">
        <v>155</v>
      </c>
      <c r="C94" t="s">
        <v>94</v>
      </c>
      <c r="D94" t="s">
        <v>142</v>
      </c>
      <c r="E94" t="s">
        <v>29</v>
      </c>
      <c r="F94" t="s">
        <v>143</v>
      </c>
      <c r="G94" t="s">
        <v>144</v>
      </c>
      <c r="H94" s="1">
        <v>45038.4996875</v>
      </c>
      <c r="I94" s="1">
        <v>45040.4996875</v>
      </c>
      <c r="J94" t="s">
        <v>32</v>
      </c>
      <c r="K94" s="1">
        <v>45056.4996875</v>
      </c>
      <c r="L94" t="s">
        <v>57</v>
      </c>
      <c r="N94" s="4">
        <v>45058.4996875</v>
      </c>
      <c r="O94" t="s">
        <v>57</v>
      </c>
      <c r="P94" s="4">
        <v>45057.4996875</v>
      </c>
      <c r="Q94" s="4">
        <v>45061.4996875</v>
      </c>
      <c r="R94" s="4">
        <v>45057.4996875</v>
      </c>
      <c r="S94" s="4">
        <v>45067.4996875</v>
      </c>
      <c r="T94">
        <v>1</v>
      </c>
      <c r="U94" s="4">
        <v>45071.4996875</v>
      </c>
      <c r="V94" s="4">
        <v>45072.4996875</v>
      </c>
      <c r="W94" s="4">
        <v>45073.4996875</v>
      </c>
      <c r="Z94" s="4">
        <v>45091.4996875</v>
      </c>
      <c r="AC94" s="2">
        <f t="shared" si="9"/>
        <v>2</v>
      </c>
      <c r="AD94" s="2">
        <f t="shared" si="10"/>
        <v>18</v>
      </c>
      <c r="AE94" s="2">
        <f t="shared" si="11"/>
        <v>16</v>
      </c>
      <c r="AF94" s="2">
        <f t="shared" si="12"/>
        <v>19</v>
      </c>
      <c r="AG94" s="2">
        <f t="shared" si="13"/>
        <v>1</v>
      </c>
      <c r="AH94" s="4">
        <f t="shared" si="14"/>
        <v>45147.4996875</v>
      </c>
      <c r="AI94" s="2">
        <f t="shared" si="15"/>
        <v>4</v>
      </c>
      <c r="AJ94" s="2">
        <f t="shared" si="16"/>
        <v>34</v>
      </c>
      <c r="AK94" s="2">
        <f t="shared" si="17"/>
        <v>16</v>
      </c>
    </row>
    <row r="95" spans="1:37" x14ac:dyDescent="0.25">
      <c r="A95">
        <v>2790</v>
      </c>
      <c r="B95" t="s">
        <v>156</v>
      </c>
      <c r="C95" t="s">
        <v>94</v>
      </c>
      <c r="D95" t="s">
        <v>142</v>
      </c>
      <c r="E95" t="s">
        <v>29</v>
      </c>
      <c r="F95" t="s">
        <v>143</v>
      </c>
      <c r="G95" t="s">
        <v>144</v>
      </c>
      <c r="H95" s="1">
        <v>45106.816620370373</v>
      </c>
      <c r="I95" s="1">
        <v>45107.816620370373</v>
      </c>
      <c r="J95" t="s">
        <v>44</v>
      </c>
      <c r="K95" s="1"/>
      <c r="T95">
        <v>0</v>
      </c>
      <c r="AC95" s="2">
        <f t="shared" si="9"/>
        <v>1</v>
      </c>
      <c r="AD95" s="2" t="str">
        <f t="shared" si="10"/>
        <v/>
      </c>
      <c r="AE95" s="2" t="str">
        <f t="shared" si="11"/>
        <v/>
      </c>
      <c r="AF95" s="2" t="str">
        <f t="shared" si="12"/>
        <v/>
      </c>
      <c r="AG95" s="2" t="str">
        <f t="shared" si="13"/>
        <v/>
      </c>
      <c r="AH95" s="4" t="str">
        <f t="shared" si="14"/>
        <v/>
      </c>
      <c r="AI95" s="2" t="str">
        <f t="shared" si="15"/>
        <v/>
      </c>
      <c r="AJ95" s="2" t="str">
        <f t="shared" si="16"/>
        <v/>
      </c>
      <c r="AK95" s="2" t="str">
        <f t="shared" si="17"/>
        <v/>
      </c>
    </row>
    <row r="96" spans="1:37" x14ac:dyDescent="0.25">
      <c r="A96">
        <v>2789</v>
      </c>
      <c r="B96" t="s">
        <v>157</v>
      </c>
      <c r="C96" t="s">
        <v>94</v>
      </c>
      <c r="D96" t="s">
        <v>142</v>
      </c>
      <c r="E96" t="s">
        <v>29</v>
      </c>
      <c r="F96" t="s">
        <v>143</v>
      </c>
      <c r="G96" t="s">
        <v>144</v>
      </c>
      <c r="H96" s="1">
        <v>45107.816620370373</v>
      </c>
      <c r="I96" s="1">
        <v>45108.816620370373</v>
      </c>
      <c r="J96" t="s">
        <v>32</v>
      </c>
      <c r="K96" s="1">
        <v>45116.816620370373</v>
      </c>
      <c r="L96" t="s">
        <v>33</v>
      </c>
      <c r="M96" t="s">
        <v>34</v>
      </c>
      <c r="R96" s="4">
        <v>45117.816620370373</v>
      </c>
      <c r="T96">
        <v>0</v>
      </c>
      <c r="Y96" t="s">
        <v>35</v>
      </c>
      <c r="AC96" s="2">
        <f t="shared" si="9"/>
        <v>1</v>
      </c>
      <c r="AD96" s="2">
        <f t="shared" si="10"/>
        <v>9</v>
      </c>
      <c r="AE96" s="2">
        <f t="shared" si="11"/>
        <v>8</v>
      </c>
      <c r="AF96" s="2">
        <f t="shared" si="12"/>
        <v>10</v>
      </c>
      <c r="AG96" s="2">
        <f t="shared" si="13"/>
        <v>1</v>
      </c>
      <c r="AH96" s="4">
        <f t="shared" si="14"/>
        <v>45207.816620370373</v>
      </c>
      <c r="AI96" s="2" t="str">
        <f t="shared" si="15"/>
        <v/>
      </c>
      <c r="AJ96" s="2" t="str">
        <f t="shared" si="16"/>
        <v/>
      </c>
      <c r="AK96" s="2" t="str">
        <f t="shared" si="17"/>
        <v/>
      </c>
    </row>
    <row r="97" spans="1:37" x14ac:dyDescent="0.25">
      <c r="A97">
        <v>2788</v>
      </c>
      <c r="B97" t="s">
        <v>158</v>
      </c>
      <c r="C97" t="s">
        <v>94</v>
      </c>
      <c r="D97" t="s">
        <v>142</v>
      </c>
      <c r="E97" t="s">
        <v>29</v>
      </c>
      <c r="F97" t="s">
        <v>143</v>
      </c>
      <c r="G97" t="s">
        <v>144</v>
      </c>
      <c r="H97" s="1">
        <v>45104.816620370373</v>
      </c>
      <c r="I97" s="1">
        <v>45105.816620370373</v>
      </c>
      <c r="J97" t="s">
        <v>32</v>
      </c>
      <c r="K97" s="1">
        <v>45116.816620370373</v>
      </c>
      <c r="L97" t="s">
        <v>39</v>
      </c>
      <c r="N97" s="4">
        <v>45123.816620370373</v>
      </c>
      <c r="O97" t="s">
        <v>39</v>
      </c>
      <c r="R97" s="4">
        <v>45119.816620370373</v>
      </c>
      <c r="T97">
        <v>0</v>
      </c>
      <c r="AC97" s="2">
        <f t="shared" si="9"/>
        <v>1</v>
      </c>
      <c r="AD97" s="2">
        <f t="shared" si="10"/>
        <v>12</v>
      </c>
      <c r="AE97" s="2">
        <f t="shared" si="11"/>
        <v>11</v>
      </c>
      <c r="AF97" s="2">
        <f t="shared" si="12"/>
        <v>15</v>
      </c>
      <c r="AG97" s="2">
        <f t="shared" si="13"/>
        <v>3</v>
      </c>
      <c r="AH97" s="4">
        <f t="shared" si="14"/>
        <v>45209.816620370373</v>
      </c>
      <c r="AI97" s="2" t="str">
        <f t="shared" si="15"/>
        <v/>
      </c>
      <c r="AJ97" s="2" t="str">
        <f t="shared" si="16"/>
        <v/>
      </c>
      <c r="AK97" s="2" t="str">
        <f t="shared" si="17"/>
        <v/>
      </c>
    </row>
    <row r="98" spans="1:37" x14ac:dyDescent="0.25">
      <c r="A98">
        <v>2740</v>
      </c>
      <c r="B98" t="s">
        <v>159</v>
      </c>
      <c r="C98" t="s">
        <v>94</v>
      </c>
      <c r="D98" t="s">
        <v>142</v>
      </c>
      <c r="E98" t="s">
        <v>29</v>
      </c>
      <c r="F98" t="s">
        <v>143</v>
      </c>
      <c r="G98" t="s">
        <v>144</v>
      </c>
      <c r="H98" s="1">
        <v>44751.981076388889</v>
      </c>
      <c r="I98" s="1">
        <v>44752.981076388889</v>
      </c>
      <c r="J98" t="s">
        <v>44</v>
      </c>
      <c r="K98" s="1"/>
      <c r="T98">
        <v>0</v>
      </c>
      <c r="AC98" s="2">
        <f t="shared" si="9"/>
        <v>1</v>
      </c>
      <c r="AD98" s="2" t="str">
        <f t="shared" si="10"/>
        <v/>
      </c>
      <c r="AE98" s="2" t="str">
        <f t="shared" si="11"/>
        <v/>
      </c>
      <c r="AF98" s="2" t="str">
        <f t="shared" si="12"/>
        <v/>
      </c>
      <c r="AG98" s="2" t="str">
        <f t="shared" si="13"/>
        <v/>
      </c>
      <c r="AH98" s="4" t="str">
        <f t="shared" si="14"/>
        <v/>
      </c>
      <c r="AI98" s="2" t="str">
        <f t="shared" si="15"/>
        <v/>
      </c>
      <c r="AJ98" s="2" t="str">
        <f t="shared" si="16"/>
        <v/>
      </c>
      <c r="AK98" s="2" t="str">
        <f t="shared" si="17"/>
        <v/>
      </c>
    </row>
    <row r="99" spans="1:37" x14ac:dyDescent="0.25">
      <c r="A99">
        <v>2569</v>
      </c>
      <c r="B99" t="s">
        <v>160</v>
      </c>
      <c r="C99" t="s">
        <v>94</v>
      </c>
      <c r="D99" t="s">
        <v>142</v>
      </c>
      <c r="E99" t="s">
        <v>29</v>
      </c>
      <c r="F99" t="s">
        <v>143</v>
      </c>
      <c r="G99" t="s">
        <v>144</v>
      </c>
      <c r="H99" s="1">
        <v>44885.290763888886</v>
      </c>
      <c r="I99" s="1">
        <v>44888.290763888886</v>
      </c>
      <c r="J99" t="s">
        <v>32</v>
      </c>
      <c r="K99" s="1">
        <v>44898.290763888886</v>
      </c>
      <c r="L99" t="s">
        <v>33</v>
      </c>
      <c r="M99" t="s">
        <v>108</v>
      </c>
      <c r="T99">
        <v>0</v>
      </c>
      <c r="Y99" t="s">
        <v>35</v>
      </c>
      <c r="AC99" s="2">
        <f t="shared" si="9"/>
        <v>3</v>
      </c>
      <c r="AD99" s="2">
        <f t="shared" si="10"/>
        <v>13</v>
      </c>
      <c r="AE99" s="2">
        <f t="shared" si="11"/>
        <v>10</v>
      </c>
      <c r="AF99" s="2" t="str">
        <f t="shared" si="12"/>
        <v/>
      </c>
      <c r="AG99" s="2" t="str">
        <f t="shared" si="13"/>
        <v/>
      </c>
      <c r="AH99" s="4" t="str">
        <f t="shared" si="14"/>
        <v/>
      </c>
      <c r="AI99" s="2" t="str">
        <f t="shared" si="15"/>
        <v/>
      </c>
      <c r="AJ99" s="2" t="str">
        <f t="shared" si="16"/>
        <v/>
      </c>
      <c r="AK99" s="2" t="str">
        <f t="shared" si="17"/>
        <v/>
      </c>
    </row>
    <row r="100" spans="1:37" x14ac:dyDescent="0.25">
      <c r="A100">
        <v>2567</v>
      </c>
      <c r="B100" t="s">
        <v>161</v>
      </c>
      <c r="C100" t="s">
        <v>94</v>
      </c>
      <c r="D100" t="s">
        <v>142</v>
      </c>
      <c r="E100" t="s">
        <v>29</v>
      </c>
      <c r="F100" t="s">
        <v>143</v>
      </c>
      <c r="G100" t="s">
        <v>144</v>
      </c>
      <c r="H100" s="1">
        <v>44887.290763888886</v>
      </c>
      <c r="I100" s="1">
        <v>44889.290763888886</v>
      </c>
      <c r="J100" t="s">
        <v>44</v>
      </c>
      <c r="K100" s="1"/>
      <c r="T100">
        <v>0</v>
      </c>
      <c r="AC100" s="2">
        <f t="shared" si="9"/>
        <v>2</v>
      </c>
      <c r="AD100" s="2" t="str">
        <f t="shared" si="10"/>
        <v/>
      </c>
      <c r="AE100" s="2" t="str">
        <f t="shared" si="11"/>
        <v/>
      </c>
      <c r="AF100" s="2" t="str">
        <f t="shared" si="12"/>
        <v/>
      </c>
      <c r="AG100" s="2" t="str">
        <f t="shared" si="13"/>
        <v/>
      </c>
      <c r="AH100" s="4" t="str">
        <f t="shared" si="14"/>
        <v/>
      </c>
      <c r="AI100" s="2" t="str">
        <f t="shared" si="15"/>
        <v/>
      </c>
      <c r="AJ100" s="2" t="str">
        <f t="shared" si="16"/>
        <v/>
      </c>
      <c r="AK100" s="2" t="str">
        <f t="shared" si="17"/>
        <v/>
      </c>
    </row>
    <row r="101" spans="1:37" x14ac:dyDescent="0.25">
      <c r="A101">
        <v>2557</v>
      </c>
      <c r="B101" t="s">
        <v>162</v>
      </c>
      <c r="C101" t="s">
        <v>94</v>
      </c>
      <c r="D101" t="s">
        <v>142</v>
      </c>
      <c r="E101" t="s">
        <v>29</v>
      </c>
      <c r="F101" t="s">
        <v>143</v>
      </c>
      <c r="G101" t="s">
        <v>144</v>
      </c>
      <c r="H101" s="1">
        <v>45144.715324074074</v>
      </c>
      <c r="I101" s="1">
        <v>45145.715324074074</v>
      </c>
      <c r="J101" t="s">
        <v>32</v>
      </c>
      <c r="K101" s="1">
        <v>45152.715324074074</v>
      </c>
      <c r="L101" t="s">
        <v>57</v>
      </c>
      <c r="N101" s="4">
        <v>45157.715324074074</v>
      </c>
      <c r="O101" t="s">
        <v>57</v>
      </c>
      <c r="P101" s="4">
        <v>45153.715324074074</v>
      </c>
      <c r="Q101" s="4">
        <v>45154.715324074074</v>
      </c>
      <c r="R101" s="4">
        <v>45153.715324074074</v>
      </c>
      <c r="S101" s="4">
        <v>45158.715324074074</v>
      </c>
      <c r="T101">
        <v>1</v>
      </c>
      <c r="U101" s="4">
        <v>45159.715324074074</v>
      </c>
      <c r="V101" s="4">
        <v>45160.715324074074</v>
      </c>
      <c r="W101" s="4">
        <v>45162.715324074074</v>
      </c>
      <c r="Z101" s="4">
        <v>45181.715324074074</v>
      </c>
      <c r="AC101" s="2">
        <f t="shared" si="9"/>
        <v>1</v>
      </c>
      <c r="AD101" s="2">
        <f t="shared" si="10"/>
        <v>8</v>
      </c>
      <c r="AE101" s="2">
        <f t="shared" si="11"/>
        <v>7</v>
      </c>
      <c r="AF101" s="2">
        <f t="shared" si="12"/>
        <v>9</v>
      </c>
      <c r="AG101" s="2">
        <f t="shared" si="13"/>
        <v>1</v>
      </c>
      <c r="AH101" s="4">
        <f t="shared" si="14"/>
        <v>45243.715324074074</v>
      </c>
      <c r="AI101" s="2">
        <f t="shared" si="15"/>
        <v>1</v>
      </c>
      <c r="AJ101" s="2">
        <f t="shared" si="16"/>
        <v>28</v>
      </c>
      <c r="AK101" s="2">
        <f t="shared" si="17"/>
        <v>9</v>
      </c>
    </row>
    <row r="102" spans="1:37" x14ac:dyDescent="0.25">
      <c r="A102">
        <v>2551</v>
      </c>
      <c r="B102" t="s">
        <v>163</v>
      </c>
      <c r="C102" t="s">
        <v>94</v>
      </c>
      <c r="D102" t="s">
        <v>142</v>
      </c>
      <c r="E102" t="s">
        <v>29</v>
      </c>
      <c r="F102" t="s">
        <v>143</v>
      </c>
      <c r="G102" t="s">
        <v>144</v>
      </c>
      <c r="H102" s="1">
        <v>45141.715324074074</v>
      </c>
      <c r="I102" s="1">
        <v>45142.715324074074</v>
      </c>
      <c r="J102" t="s">
        <v>32</v>
      </c>
      <c r="K102" s="1">
        <v>45152.715324074074</v>
      </c>
      <c r="L102" t="s">
        <v>164</v>
      </c>
      <c r="N102" s="4">
        <v>45157.715324074074</v>
      </c>
      <c r="O102" t="s">
        <v>164</v>
      </c>
      <c r="R102" s="4">
        <v>45155.715324074074</v>
      </c>
      <c r="T102">
        <v>0</v>
      </c>
      <c r="AC102" s="2">
        <f t="shared" si="9"/>
        <v>1</v>
      </c>
      <c r="AD102" s="2">
        <f t="shared" si="10"/>
        <v>11</v>
      </c>
      <c r="AE102" s="2">
        <f t="shared" si="11"/>
        <v>10</v>
      </c>
      <c r="AF102" s="2">
        <f t="shared" si="12"/>
        <v>14</v>
      </c>
      <c r="AG102" s="2">
        <f t="shared" si="13"/>
        <v>3</v>
      </c>
      <c r="AH102" s="4">
        <f t="shared" si="14"/>
        <v>45245.715324074074</v>
      </c>
      <c r="AI102" s="2" t="str">
        <f t="shared" si="15"/>
        <v/>
      </c>
      <c r="AJ102" s="2" t="str">
        <f t="shared" si="16"/>
        <v/>
      </c>
      <c r="AK102" s="2" t="str">
        <f t="shared" si="17"/>
        <v/>
      </c>
    </row>
    <row r="103" spans="1:37" x14ac:dyDescent="0.25">
      <c r="A103">
        <v>2457</v>
      </c>
      <c r="B103" t="s">
        <v>165</v>
      </c>
      <c r="C103" t="s">
        <v>94</v>
      </c>
      <c r="D103" t="s">
        <v>142</v>
      </c>
      <c r="E103" t="s">
        <v>29</v>
      </c>
      <c r="F103" t="s">
        <v>143</v>
      </c>
      <c r="G103" t="s">
        <v>144</v>
      </c>
      <c r="H103" s="1">
        <v>45162.069826388892</v>
      </c>
      <c r="I103" s="1">
        <v>45165.069826388892</v>
      </c>
      <c r="J103" t="s">
        <v>32</v>
      </c>
      <c r="K103" s="1">
        <v>45180.069826388892</v>
      </c>
      <c r="L103" t="s">
        <v>33</v>
      </c>
      <c r="M103" t="s">
        <v>51</v>
      </c>
      <c r="R103" s="4">
        <v>45181.069826388892</v>
      </c>
      <c r="T103">
        <v>0</v>
      </c>
      <c r="Y103" t="s">
        <v>55</v>
      </c>
      <c r="AC103" s="2">
        <f t="shared" si="9"/>
        <v>3</v>
      </c>
      <c r="AD103" s="2">
        <f t="shared" si="10"/>
        <v>18</v>
      </c>
      <c r="AE103" s="2">
        <f t="shared" si="11"/>
        <v>15</v>
      </c>
      <c r="AF103" s="2">
        <f t="shared" si="12"/>
        <v>19</v>
      </c>
      <c r="AG103" s="2">
        <f t="shared" si="13"/>
        <v>1</v>
      </c>
      <c r="AH103" s="4">
        <f t="shared" si="14"/>
        <v>45271.069826388892</v>
      </c>
      <c r="AI103" s="2" t="str">
        <f t="shared" si="15"/>
        <v/>
      </c>
      <c r="AJ103" s="2" t="str">
        <f t="shared" si="16"/>
        <v/>
      </c>
      <c r="AK103" s="2" t="str">
        <f t="shared" si="17"/>
        <v/>
      </c>
    </row>
    <row r="104" spans="1:37" x14ac:dyDescent="0.25">
      <c r="A104">
        <v>2406</v>
      </c>
      <c r="B104" t="s">
        <v>166</v>
      </c>
      <c r="C104" t="s">
        <v>94</v>
      </c>
      <c r="D104" t="s">
        <v>142</v>
      </c>
      <c r="E104" t="s">
        <v>29</v>
      </c>
      <c r="F104" t="s">
        <v>143</v>
      </c>
      <c r="G104" t="s">
        <v>144</v>
      </c>
      <c r="H104" s="1">
        <v>45014.0859837963</v>
      </c>
      <c r="I104" s="1">
        <v>45018.0859837963</v>
      </c>
      <c r="J104" t="s">
        <v>32</v>
      </c>
      <c r="K104" s="1">
        <v>45033.0859837963</v>
      </c>
      <c r="L104" t="s">
        <v>39</v>
      </c>
      <c r="N104" s="4">
        <v>45037.0859837963</v>
      </c>
      <c r="O104" t="s">
        <v>39</v>
      </c>
      <c r="R104" s="4">
        <v>45034.0859837963</v>
      </c>
      <c r="T104">
        <v>0</v>
      </c>
      <c r="AC104" s="2">
        <f t="shared" si="9"/>
        <v>4</v>
      </c>
      <c r="AD104" s="2">
        <f t="shared" si="10"/>
        <v>19</v>
      </c>
      <c r="AE104" s="2">
        <f t="shared" si="11"/>
        <v>15</v>
      </c>
      <c r="AF104" s="2">
        <f t="shared" si="12"/>
        <v>20</v>
      </c>
      <c r="AG104" s="2">
        <f t="shared" si="13"/>
        <v>1</v>
      </c>
      <c r="AH104" s="4">
        <f t="shared" si="14"/>
        <v>45124.0859837963</v>
      </c>
      <c r="AI104" s="2" t="str">
        <f t="shared" si="15"/>
        <v/>
      </c>
      <c r="AJ104" s="2" t="str">
        <f t="shared" si="16"/>
        <v/>
      </c>
      <c r="AK104" s="2" t="str">
        <f t="shared" si="17"/>
        <v/>
      </c>
    </row>
    <row r="105" spans="1:37" x14ac:dyDescent="0.25">
      <c r="A105">
        <v>2401</v>
      </c>
      <c r="B105" t="s">
        <v>167</v>
      </c>
      <c r="C105" t="s">
        <v>94</v>
      </c>
      <c r="D105" t="s">
        <v>142</v>
      </c>
      <c r="E105" t="s">
        <v>29</v>
      </c>
      <c r="F105" t="s">
        <v>143</v>
      </c>
      <c r="G105" t="s">
        <v>144</v>
      </c>
      <c r="H105" s="1">
        <v>45016.0859837963</v>
      </c>
      <c r="I105" s="1">
        <v>45019.0859837963</v>
      </c>
      <c r="J105" t="s">
        <v>32</v>
      </c>
      <c r="K105" s="1">
        <v>45027.0859837963</v>
      </c>
      <c r="L105" t="s">
        <v>39</v>
      </c>
      <c r="N105" s="4">
        <v>45034.0859837963</v>
      </c>
      <c r="O105" t="s">
        <v>39</v>
      </c>
      <c r="R105" s="4">
        <v>45031.0859837963</v>
      </c>
      <c r="T105">
        <v>0</v>
      </c>
      <c r="AC105" s="2">
        <f t="shared" si="9"/>
        <v>3</v>
      </c>
      <c r="AD105" s="2">
        <f t="shared" si="10"/>
        <v>11</v>
      </c>
      <c r="AE105" s="2">
        <f t="shared" si="11"/>
        <v>8</v>
      </c>
      <c r="AF105" s="2">
        <f t="shared" si="12"/>
        <v>15</v>
      </c>
      <c r="AG105" s="2">
        <f t="shared" si="13"/>
        <v>4</v>
      </c>
      <c r="AH105" s="4">
        <f t="shared" si="14"/>
        <v>45121.0859837963</v>
      </c>
      <c r="AI105" s="2" t="str">
        <f t="shared" si="15"/>
        <v/>
      </c>
      <c r="AJ105" s="2" t="str">
        <f t="shared" si="16"/>
        <v/>
      </c>
      <c r="AK105" s="2" t="str">
        <f t="shared" si="17"/>
        <v/>
      </c>
    </row>
    <row r="106" spans="1:37" x14ac:dyDescent="0.25">
      <c r="A106">
        <v>2384</v>
      </c>
      <c r="B106" t="s">
        <v>168</v>
      </c>
      <c r="C106" t="s">
        <v>94</v>
      </c>
      <c r="D106" t="s">
        <v>142</v>
      </c>
      <c r="E106" t="s">
        <v>29</v>
      </c>
      <c r="F106" t="s">
        <v>143</v>
      </c>
      <c r="G106" t="s">
        <v>144</v>
      </c>
      <c r="H106" s="1">
        <v>45029.529537037037</v>
      </c>
      <c r="I106" s="1">
        <v>45033.529537037037</v>
      </c>
      <c r="J106" t="s">
        <v>32</v>
      </c>
      <c r="K106" s="1">
        <v>45050.529537037037</v>
      </c>
      <c r="L106" t="s">
        <v>33</v>
      </c>
      <c r="M106" t="s">
        <v>108</v>
      </c>
      <c r="R106" s="4">
        <v>45053.529537037037</v>
      </c>
      <c r="T106">
        <v>0</v>
      </c>
      <c r="Y106" t="s">
        <v>55</v>
      </c>
      <c r="AC106" s="2">
        <f t="shared" si="9"/>
        <v>4</v>
      </c>
      <c r="AD106" s="2">
        <f t="shared" si="10"/>
        <v>21</v>
      </c>
      <c r="AE106" s="2">
        <f t="shared" si="11"/>
        <v>17</v>
      </c>
      <c r="AF106" s="2">
        <f t="shared" si="12"/>
        <v>24</v>
      </c>
      <c r="AG106" s="2">
        <f t="shared" si="13"/>
        <v>3</v>
      </c>
      <c r="AH106" s="4">
        <f t="shared" si="14"/>
        <v>45143.529537037037</v>
      </c>
      <c r="AI106" s="2" t="str">
        <f t="shared" si="15"/>
        <v/>
      </c>
      <c r="AJ106" s="2" t="str">
        <f t="shared" si="16"/>
        <v/>
      </c>
      <c r="AK106" s="2" t="str">
        <f t="shared" si="17"/>
        <v/>
      </c>
    </row>
    <row r="107" spans="1:37" x14ac:dyDescent="0.25">
      <c r="A107">
        <v>2383</v>
      </c>
      <c r="B107" t="s">
        <v>169</v>
      </c>
      <c r="C107" t="s">
        <v>94</v>
      </c>
      <c r="D107" t="s">
        <v>142</v>
      </c>
      <c r="E107" t="s">
        <v>29</v>
      </c>
      <c r="F107" t="s">
        <v>143</v>
      </c>
      <c r="G107" t="s">
        <v>144</v>
      </c>
      <c r="H107" s="1">
        <v>45031.529537037037</v>
      </c>
      <c r="I107" s="1">
        <v>45034.529537037037</v>
      </c>
      <c r="J107" t="s">
        <v>32</v>
      </c>
      <c r="K107" s="1">
        <v>45050.529537037037</v>
      </c>
      <c r="L107" t="s">
        <v>57</v>
      </c>
      <c r="N107" s="4">
        <v>45054.529537037037</v>
      </c>
      <c r="O107" t="s">
        <v>57</v>
      </c>
      <c r="P107" s="4">
        <v>45051.529537037037</v>
      </c>
      <c r="Q107" s="4">
        <v>45055.529537037037</v>
      </c>
      <c r="R107" s="4">
        <v>45051.529537037037</v>
      </c>
      <c r="S107" s="4">
        <v>45056.529537037037</v>
      </c>
      <c r="T107">
        <v>1</v>
      </c>
      <c r="U107" s="4">
        <v>45059.529537037037</v>
      </c>
      <c r="V107" s="4">
        <v>45061.529537037037</v>
      </c>
      <c r="W107" s="4">
        <v>45062.529537037037</v>
      </c>
      <c r="Z107" s="4">
        <v>45081.529537037037</v>
      </c>
      <c r="AC107" s="2">
        <f t="shared" si="9"/>
        <v>3</v>
      </c>
      <c r="AD107" s="2">
        <f t="shared" si="10"/>
        <v>19</v>
      </c>
      <c r="AE107" s="2">
        <f t="shared" si="11"/>
        <v>16</v>
      </c>
      <c r="AF107" s="2">
        <f t="shared" si="12"/>
        <v>20</v>
      </c>
      <c r="AG107" s="2">
        <f t="shared" si="13"/>
        <v>1</v>
      </c>
      <c r="AH107" s="4">
        <f t="shared" si="14"/>
        <v>45141.529537037037</v>
      </c>
      <c r="AI107" s="2">
        <f t="shared" si="15"/>
        <v>3</v>
      </c>
      <c r="AJ107" s="2">
        <f t="shared" si="16"/>
        <v>30</v>
      </c>
      <c r="AK107" s="2">
        <f t="shared" si="17"/>
        <v>11</v>
      </c>
    </row>
    <row r="108" spans="1:37" x14ac:dyDescent="0.25">
      <c r="A108">
        <v>2370</v>
      </c>
      <c r="B108" t="s">
        <v>170</v>
      </c>
      <c r="C108" t="s">
        <v>94</v>
      </c>
      <c r="D108" t="s">
        <v>142</v>
      </c>
      <c r="E108" t="s">
        <v>29</v>
      </c>
      <c r="F108" t="s">
        <v>143</v>
      </c>
      <c r="G108" t="s">
        <v>144</v>
      </c>
      <c r="H108" s="1">
        <v>44973.268252314818</v>
      </c>
      <c r="I108" s="1">
        <v>44976.268252314818</v>
      </c>
      <c r="J108" t="s">
        <v>44</v>
      </c>
      <c r="K108" s="1"/>
      <c r="T108">
        <v>0</v>
      </c>
      <c r="AC108" s="2">
        <f t="shared" si="9"/>
        <v>3</v>
      </c>
      <c r="AD108" s="2" t="str">
        <f t="shared" si="10"/>
        <v/>
      </c>
      <c r="AE108" s="2" t="str">
        <f t="shared" si="11"/>
        <v/>
      </c>
      <c r="AF108" s="2" t="str">
        <f t="shared" si="12"/>
        <v/>
      </c>
      <c r="AG108" s="2" t="str">
        <f t="shared" si="13"/>
        <v/>
      </c>
      <c r="AH108" s="4" t="str">
        <f t="shared" si="14"/>
        <v/>
      </c>
      <c r="AI108" s="2" t="str">
        <f t="shared" si="15"/>
        <v/>
      </c>
      <c r="AJ108" s="2" t="str">
        <f t="shared" si="16"/>
        <v/>
      </c>
      <c r="AK108" s="2" t="str">
        <f t="shared" si="17"/>
        <v/>
      </c>
    </row>
    <row r="109" spans="1:37" x14ac:dyDescent="0.25">
      <c r="A109">
        <v>2314</v>
      </c>
      <c r="B109" t="s">
        <v>171</v>
      </c>
      <c r="C109" t="s">
        <v>94</v>
      </c>
      <c r="D109" t="s">
        <v>142</v>
      </c>
      <c r="E109" t="s">
        <v>29</v>
      </c>
      <c r="F109" t="s">
        <v>143</v>
      </c>
      <c r="G109" t="s">
        <v>144</v>
      </c>
      <c r="H109" s="1">
        <v>44670.037303240744</v>
      </c>
      <c r="I109" s="1">
        <v>44671.037303240744</v>
      </c>
      <c r="J109" t="s">
        <v>32</v>
      </c>
      <c r="K109" s="1">
        <v>44691.037303240744</v>
      </c>
      <c r="L109" t="s">
        <v>33</v>
      </c>
      <c r="M109" t="s">
        <v>108</v>
      </c>
      <c r="R109" s="4">
        <v>44694.037303240744</v>
      </c>
      <c r="T109">
        <v>0</v>
      </c>
      <c r="Y109" t="s">
        <v>35</v>
      </c>
      <c r="AC109" s="2">
        <f t="shared" si="9"/>
        <v>1</v>
      </c>
      <c r="AD109" s="2">
        <f t="shared" si="10"/>
        <v>21</v>
      </c>
      <c r="AE109" s="2">
        <f t="shared" si="11"/>
        <v>20</v>
      </c>
      <c r="AF109" s="2">
        <f t="shared" si="12"/>
        <v>24</v>
      </c>
      <c r="AG109" s="2">
        <f t="shared" si="13"/>
        <v>3</v>
      </c>
      <c r="AH109" s="4">
        <f t="shared" si="14"/>
        <v>44784.037303240744</v>
      </c>
      <c r="AI109" s="2" t="str">
        <f t="shared" si="15"/>
        <v/>
      </c>
      <c r="AJ109" s="2" t="str">
        <f t="shared" si="16"/>
        <v/>
      </c>
      <c r="AK109" s="2" t="str">
        <f t="shared" si="17"/>
        <v/>
      </c>
    </row>
    <row r="110" spans="1:37" x14ac:dyDescent="0.25">
      <c r="A110">
        <v>2313</v>
      </c>
      <c r="B110" t="s">
        <v>172</v>
      </c>
      <c r="C110" t="s">
        <v>94</v>
      </c>
      <c r="D110" t="s">
        <v>142</v>
      </c>
      <c r="E110" t="s">
        <v>29</v>
      </c>
      <c r="F110" t="s">
        <v>143</v>
      </c>
      <c r="G110" t="s">
        <v>144</v>
      </c>
      <c r="H110" s="1">
        <v>44670.037303240744</v>
      </c>
      <c r="I110" s="1">
        <v>44673.037303240744</v>
      </c>
      <c r="J110" t="s">
        <v>32</v>
      </c>
      <c r="K110" s="1">
        <v>44688.037303240744</v>
      </c>
      <c r="L110" t="s">
        <v>164</v>
      </c>
      <c r="N110" s="4">
        <v>44691.037303240744</v>
      </c>
      <c r="O110" t="s">
        <v>164</v>
      </c>
      <c r="R110" s="4">
        <v>44689.037303240744</v>
      </c>
      <c r="T110">
        <v>0</v>
      </c>
      <c r="AC110" s="2">
        <f t="shared" si="9"/>
        <v>3</v>
      </c>
      <c r="AD110" s="2">
        <f t="shared" si="10"/>
        <v>18</v>
      </c>
      <c r="AE110" s="2">
        <f t="shared" si="11"/>
        <v>15</v>
      </c>
      <c r="AF110" s="2">
        <f t="shared" si="12"/>
        <v>19</v>
      </c>
      <c r="AG110" s="2">
        <f t="shared" si="13"/>
        <v>1</v>
      </c>
      <c r="AH110" s="4">
        <f t="shared" si="14"/>
        <v>44779.037303240744</v>
      </c>
      <c r="AI110" s="2" t="str">
        <f t="shared" si="15"/>
        <v/>
      </c>
      <c r="AJ110" s="2" t="str">
        <f t="shared" si="16"/>
        <v/>
      </c>
      <c r="AK110" s="2" t="str">
        <f t="shared" si="17"/>
        <v/>
      </c>
    </row>
    <row r="111" spans="1:37" x14ac:dyDescent="0.25">
      <c r="A111">
        <v>2267</v>
      </c>
      <c r="B111" t="s">
        <v>173</v>
      </c>
      <c r="C111" t="s">
        <v>94</v>
      </c>
      <c r="D111" t="s">
        <v>142</v>
      </c>
      <c r="E111" t="s">
        <v>29</v>
      </c>
      <c r="F111" t="s">
        <v>143</v>
      </c>
      <c r="G111" t="s">
        <v>144</v>
      </c>
      <c r="H111" s="1">
        <v>45027.937696759262</v>
      </c>
      <c r="I111" s="1">
        <v>45030.937696759262</v>
      </c>
      <c r="J111" t="s">
        <v>32</v>
      </c>
      <c r="K111" s="1">
        <v>45038.937696759262</v>
      </c>
      <c r="L111" t="s">
        <v>33</v>
      </c>
      <c r="M111" t="s">
        <v>67</v>
      </c>
      <c r="T111">
        <v>0</v>
      </c>
      <c r="Y111" t="s">
        <v>55</v>
      </c>
      <c r="AC111" s="2">
        <f t="shared" si="9"/>
        <v>3</v>
      </c>
      <c r="AD111" s="2">
        <f t="shared" si="10"/>
        <v>11</v>
      </c>
      <c r="AE111" s="2">
        <f t="shared" si="11"/>
        <v>8</v>
      </c>
      <c r="AF111" s="2" t="str">
        <f t="shared" si="12"/>
        <v/>
      </c>
      <c r="AG111" s="2" t="str">
        <f t="shared" si="13"/>
        <v/>
      </c>
      <c r="AH111" s="4" t="str">
        <f t="shared" si="14"/>
        <v/>
      </c>
      <c r="AI111" s="2" t="str">
        <f t="shared" si="15"/>
        <v/>
      </c>
      <c r="AJ111" s="2" t="str">
        <f t="shared" si="16"/>
        <v/>
      </c>
      <c r="AK111" s="2" t="str">
        <f t="shared" si="17"/>
        <v/>
      </c>
    </row>
    <row r="112" spans="1:37" x14ac:dyDescent="0.25">
      <c r="A112">
        <v>2263</v>
      </c>
      <c r="B112" t="s">
        <v>174</v>
      </c>
      <c r="C112" t="s">
        <v>94</v>
      </c>
      <c r="D112" t="s">
        <v>142</v>
      </c>
      <c r="E112" t="s">
        <v>29</v>
      </c>
      <c r="F112" t="s">
        <v>143</v>
      </c>
      <c r="G112" t="s">
        <v>144</v>
      </c>
      <c r="H112" s="1">
        <v>45030.937696759262</v>
      </c>
      <c r="I112" s="1">
        <v>45034.937696759262</v>
      </c>
      <c r="J112" t="s">
        <v>32</v>
      </c>
      <c r="K112" s="1">
        <v>45053.937696759262</v>
      </c>
      <c r="L112" t="s">
        <v>39</v>
      </c>
      <c r="N112" s="4">
        <v>45059.937696759262</v>
      </c>
      <c r="O112" t="s">
        <v>39</v>
      </c>
      <c r="R112" s="4">
        <v>45056.937696759262</v>
      </c>
      <c r="T112">
        <v>0</v>
      </c>
      <c r="AC112" s="2">
        <f t="shared" si="9"/>
        <v>4</v>
      </c>
      <c r="AD112" s="2">
        <f t="shared" si="10"/>
        <v>23</v>
      </c>
      <c r="AE112" s="2">
        <f t="shared" si="11"/>
        <v>19</v>
      </c>
      <c r="AF112" s="2">
        <f t="shared" si="12"/>
        <v>26</v>
      </c>
      <c r="AG112" s="2">
        <f t="shared" si="13"/>
        <v>3</v>
      </c>
      <c r="AH112" s="4">
        <f t="shared" si="14"/>
        <v>45146.937696759262</v>
      </c>
      <c r="AI112" s="2" t="str">
        <f t="shared" si="15"/>
        <v/>
      </c>
      <c r="AJ112" s="2" t="str">
        <f t="shared" si="16"/>
        <v/>
      </c>
      <c r="AK112" s="2" t="str">
        <f t="shared" si="17"/>
        <v/>
      </c>
    </row>
    <row r="113" spans="1:37" x14ac:dyDescent="0.25">
      <c r="A113">
        <v>2216</v>
      </c>
      <c r="B113" t="s">
        <v>175</v>
      </c>
      <c r="C113" t="s">
        <v>94</v>
      </c>
      <c r="D113" t="s">
        <v>142</v>
      </c>
      <c r="E113" t="s">
        <v>29</v>
      </c>
      <c r="F113" t="s">
        <v>143</v>
      </c>
      <c r="G113" t="s">
        <v>144</v>
      </c>
      <c r="H113" s="1">
        <v>44641.873194444444</v>
      </c>
      <c r="I113" s="1">
        <v>44643.873194444444</v>
      </c>
      <c r="J113" t="s">
        <v>32</v>
      </c>
      <c r="K113" s="1">
        <v>44657.873194444444</v>
      </c>
      <c r="L113" t="s">
        <v>33</v>
      </c>
      <c r="M113" t="s">
        <v>51</v>
      </c>
      <c r="T113">
        <v>0</v>
      </c>
      <c r="Y113" t="s">
        <v>35</v>
      </c>
      <c r="AC113" s="2">
        <f t="shared" si="9"/>
        <v>2</v>
      </c>
      <c r="AD113" s="2">
        <f t="shared" si="10"/>
        <v>16</v>
      </c>
      <c r="AE113" s="2">
        <f t="shared" si="11"/>
        <v>14</v>
      </c>
      <c r="AF113" s="2" t="str">
        <f t="shared" si="12"/>
        <v/>
      </c>
      <c r="AG113" s="2" t="str">
        <f t="shared" si="13"/>
        <v/>
      </c>
      <c r="AH113" s="4" t="str">
        <f t="shared" si="14"/>
        <v/>
      </c>
      <c r="AI113" s="2" t="str">
        <f t="shared" si="15"/>
        <v/>
      </c>
      <c r="AJ113" s="2" t="str">
        <f t="shared" si="16"/>
        <v/>
      </c>
      <c r="AK113" s="2" t="str">
        <f t="shared" si="17"/>
        <v/>
      </c>
    </row>
    <row r="114" spans="1:37" x14ac:dyDescent="0.25">
      <c r="A114">
        <v>2215</v>
      </c>
      <c r="B114" t="s">
        <v>176</v>
      </c>
      <c r="C114" t="s">
        <v>94</v>
      </c>
      <c r="D114" t="s">
        <v>142</v>
      </c>
      <c r="E114" t="s">
        <v>29</v>
      </c>
      <c r="F114" t="s">
        <v>143</v>
      </c>
      <c r="G114" t="s">
        <v>144</v>
      </c>
      <c r="H114" s="1">
        <v>44642.873194444444</v>
      </c>
      <c r="I114" s="1">
        <v>44644.873194444444</v>
      </c>
      <c r="J114" t="s">
        <v>32</v>
      </c>
      <c r="K114" s="1">
        <v>44658.873194444444</v>
      </c>
      <c r="L114" t="s">
        <v>33</v>
      </c>
      <c r="M114" t="s">
        <v>108</v>
      </c>
      <c r="R114" s="4">
        <v>44662.873194444444</v>
      </c>
      <c r="T114">
        <v>0</v>
      </c>
      <c r="Y114" t="s">
        <v>35</v>
      </c>
      <c r="AC114" s="2">
        <f t="shared" si="9"/>
        <v>2</v>
      </c>
      <c r="AD114" s="2">
        <f t="shared" si="10"/>
        <v>16</v>
      </c>
      <c r="AE114" s="2">
        <f t="shared" si="11"/>
        <v>14</v>
      </c>
      <c r="AF114" s="2">
        <f t="shared" si="12"/>
        <v>20</v>
      </c>
      <c r="AG114" s="2">
        <f t="shared" si="13"/>
        <v>4</v>
      </c>
      <c r="AH114" s="4">
        <f t="shared" si="14"/>
        <v>44752.873194444444</v>
      </c>
      <c r="AI114" s="2" t="str">
        <f t="shared" si="15"/>
        <v/>
      </c>
      <c r="AJ114" s="2" t="str">
        <f t="shared" si="16"/>
        <v/>
      </c>
      <c r="AK114" s="2" t="str">
        <f t="shared" si="17"/>
        <v/>
      </c>
    </row>
    <row r="115" spans="1:37" x14ac:dyDescent="0.25">
      <c r="A115">
        <v>2213</v>
      </c>
      <c r="B115" t="s">
        <v>177</v>
      </c>
      <c r="C115" t="s">
        <v>94</v>
      </c>
      <c r="D115" t="s">
        <v>142</v>
      </c>
      <c r="E115" t="s">
        <v>29</v>
      </c>
      <c r="F115" t="s">
        <v>143</v>
      </c>
      <c r="G115" t="s">
        <v>144</v>
      </c>
      <c r="H115" s="1">
        <v>44641.873194444444</v>
      </c>
      <c r="I115" s="1">
        <v>44643.873194444444</v>
      </c>
      <c r="J115" t="s">
        <v>32</v>
      </c>
      <c r="K115" s="1">
        <v>44662.873194444444</v>
      </c>
      <c r="L115" t="s">
        <v>164</v>
      </c>
      <c r="N115" s="4">
        <v>44667.873194444444</v>
      </c>
      <c r="O115" t="s">
        <v>164</v>
      </c>
      <c r="R115" s="4">
        <v>44666.873194444444</v>
      </c>
      <c r="T115">
        <v>0</v>
      </c>
      <c r="AC115" s="2">
        <f t="shared" si="9"/>
        <v>2</v>
      </c>
      <c r="AD115" s="2">
        <f t="shared" si="10"/>
        <v>21</v>
      </c>
      <c r="AE115" s="2">
        <f t="shared" si="11"/>
        <v>19</v>
      </c>
      <c r="AF115" s="2">
        <f t="shared" si="12"/>
        <v>25</v>
      </c>
      <c r="AG115" s="2">
        <f t="shared" si="13"/>
        <v>4</v>
      </c>
      <c r="AH115" s="4">
        <f t="shared" si="14"/>
        <v>44756.873194444444</v>
      </c>
      <c r="AI115" s="2" t="str">
        <f t="shared" si="15"/>
        <v/>
      </c>
      <c r="AJ115" s="2" t="str">
        <f t="shared" si="16"/>
        <v/>
      </c>
      <c r="AK115" s="2" t="str">
        <f t="shared" si="17"/>
        <v/>
      </c>
    </row>
    <row r="116" spans="1:37" x14ac:dyDescent="0.25">
      <c r="A116">
        <v>2200</v>
      </c>
      <c r="B116" t="s">
        <v>178</v>
      </c>
      <c r="C116" t="s">
        <v>94</v>
      </c>
      <c r="D116" t="s">
        <v>142</v>
      </c>
      <c r="E116" t="s">
        <v>29</v>
      </c>
      <c r="F116" t="s">
        <v>143</v>
      </c>
      <c r="G116" t="s">
        <v>144</v>
      </c>
      <c r="H116" s="1">
        <v>44803.166006944448</v>
      </c>
      <c r="I116" s="1">
        <v>44804.166006944448</v>
      </c>
      <c r="J116" t="s">
        <v>32</v>
      </c>
      <c r="K116" s="1">
        <v>44822.166006944448</v>
      </c>
      <c r="L116" t="s">
        <v>164</v>
      </c>
      <c r="N116" s="4">
        <v>44830.166006944448</v>
      </c>
      <c r="O116" t="s">
        <v>164</v>
      </c>
      <c r="R116" s="4">
        <v>44826.166006944448</v>
      </c>
      <c r="T116">
        <v>0</v>
      </c>
      <c r="AC116" s="2">
        <f t="shared" si="9"/>
        <v>1</v>
      </c>
      <c r="AD116" s="2">
        <f t="shared" si="10"/>
        <v>19</v>
      </c>
      <c r="AE116" s="2">
        <f t="shared" si="11"/>
        <v>18</v>
      </c>
      <c r="AF116" s="2">
        <f t="shared" si="12"/>
        <v>23</v>
      </c>
      <c r="AG116" s="2">
        <f t="shared" si="13"/>
        <v>4</v>
      </c>
      <c r="AH116" s="4">
        <f t="shared" si="14"/>
        <v>44916.166006944448</v>
      </c>
      <c r="AI116" s="2" t="str">
        <f t="shared" si="15"/>
        <v/>
      </c>
      <c r="AJ116" s="2" t="str">
        <f t="shared" si="16"/>
        <v/>
      </c>
      <c r="AK116" s="2" t="str">
        <f t="shared" si="17"/>
        <v/>
      </c>
    </row>
    <row r="117" spans="1:37" x14ac:dyDescent="0.25">
      <c r="A117">
        <v>2197</v>
      </c>
      <c r="B117" t="s">
        <v>179</v>
      </c>
      <c r="C117" t="s">
        <v>94</v>
      </c>
      <c r="D117" t="s">
        <v>142</v>
      </c>
      <c r="E117" t="s">
        <v>29</v>
      </c>
      <c r="F117" t="s">
        <v>143</v>
      </c>
      <c r="G117" t="s">
        <v>144</v>
      </c>
      <c r="H117" s="1">
        <v>44800.166006944448</v>
      </c>
      <c r="I117" s="1">
        <v>44801.166006944448</v>
      </c>
      <c r="J117" t="s">
        <v>32</v>
      </c>
      <c r="K117" s="1">
        <v>44822.166006944448</v>
      </c>
      <c r="L117" t="s">
        <v>57</v>
      </c>
      <c r="N117" s="4">
        <v>44827.166006944448</v>
      </c>
      <c r="O117" t="s">
        <v>57</v>
      </c>
      <c r="P117" s="4">
        <v>44823.166006944448</v>
      </c>
      <c r="Q117" s="4">
        <v>44824.166006944448</v>
      </c>
      <c r="R117" s="4">
        <v>44826.166006944448</v>
      </c>
      <c r="S117" s="4">
        <v>44828.166006944448</v>
      </c>
      <c r="T117">
        <v>1</v>
      </c>
      <c r="U117" s="4">
        <v>44829.166006944448</v>
      </c>
      <c r="V117" s="4">
        <v>44832.166006944448</v>
      </c>
      <c r="W117" s="4">
        <v>44835.166006944448</v>
      </c>
      <c r="Z117" s="4">
        <v>44854.166006944448</v>
      </c>
      <c r="AC117" s="2">
        <f t="shared" si="9"/>
        <v>1</v>
      </c>
      <c r="AD117" s="2">
        <f t="shared" si="10"/>
        <v>22</v>
      </c>
      <c r="AE117" s="2">
        <f t="shared" si="11"/>
        <v>21</v>
      </c>
      <c r="AF117" s="2">
        <f t="shared" si="12"/>
        <v>26</v>
      </c>
      <c r="AG117" s="2">
        <f t="shared" si="13"/>
        <v>4</v>
      </c>
      <c r="AH117" s="4">
        <f t="shared" si="14"/>
        <v>44916.166006944448</v>
      </c>
      <c r="AI117" s="2">
        <f t="shared" si="15"/>
        <v>1</v>
      </c>
      <c r="AJ117" s="2">
        <f t="shared" si="16"/>
        <v>28</v>
      </c>
      <c r="AK117" s="2">
        <f t="shared" si="17"/>
        <v>9</v>
      </c>
    </row>
    <row r="118" spans="1:37" x14ac:dyDescent="0.25">
      <c r="A118">
        <v>2191</v>
      </c>
      <c r="B118" t="s">
        <v>180</v>
      </c>
      <c r="C118" t="s">
        <v>94</v>
      </c>
      <c r="D118" t="s">
        <v>142</v>
      </c>
      <c r="E118" t="s">
        <v>29</v>
      </c>
      <c r="F118" t="s">
        <v>143</v>
      </c>
      <c r="G118" t="s">
        <v>144</v>
      </c>
      <c r="H118" s="1">
        <v>44800.166006944448</v>
      </c>
      <c r="I118" s="1">
        <v>44803.166006944448</v>
      </c>
      <c r="J118" t="s">
        <v>32</v>
      </c>
      <c r="K118" s="1">
        <v>44821.166006944448</v>
      </c>
      <c r="L118" t="s">
        <v>164</v>
      </c>
      <c r="N118" s="4">
        <v>44825.166006944448</v>
      </c>
      <c r="O118" t="s">
        <v>164</v>
      </c>
      <c r="R118" s="4">
        <v>44824.166006944448</v>
      </c>
      <c r="T118">
        <v>0</v>
      </c>
      <c r="AC118" s="2">
        <f t="shared" si="9"/>
        <v>3</v>
      </c>
      <c r="AD118" s="2">
        <f t="shared" si="10"/>
        <v>21</v>
      </c>
      <c r="AE118" s="2">
        <f t="shared" si="11"/>
        <v>18</v>
      </c>
      <c r="AF118" s="2">
        <f t="shared" si="12"/>
        <v>24</v>
      </c>
      <c r="AG118" s="2">
        <f t="shared" si="13"/>
        <v>3</v>
      </c>
      <c r="AH118" s="4">
        <f t="shared" si="14"/>
        <v>44914.166006944448</v>
      </c>
      <c r="AI118" s="2" t="str">
        <f t="shared" si="15"/>
        <v/>
      </c>
      <c r="AJ118" s="2" t="str">
        <f t="shared" si="16"/>
        <v/>
      </c>
      <c r="AK118" s="2" t="str">
        <f t="shared" si="17"/>
        <v/>
      </c>
    </row>
    <row r="119" spans="1:37" x14ac:dyDescent="0.25">
      <c r="A119">
        <v>2129</v>
      </c>
      <c r="B119" t="s">
        <v>181</v>
      </c>
      <c r="C119" t="s">
        <v>94</v>
      </c>
      <c r="D119" t="s">
        <v>142</v>
      </c>
      <c r="E119" t="s">
        <v>29</v>
      </c>
      <c r="F119" t="s">
        <v>143</v>
      </c>
      <c r="G119" t="s">
        <v>144</v>
      </c>
      <c r="H119" s="1">
        <v>44930.473356481481</v>
      </c>
      <c r="I119" s="1">
        <v>44933.473356481481</v>
      </c>
      <c r="J119" t="s">
        <v>32</v>
      </c>
      <c r="K119" s="1">
        <v>44940.473356481481</v>
      </c>
      <c r="L119" t="s">
        <v>33</v>
      </c>
      <c r="M119" t="s">
        <v>67</v>
      </c>
      <c r="R119" s="4">
        <v>44944.473356481481</v>
      </c>
      <c r="T119">
        <v>0</v>
      </c>
      <c r="Y119" t="s">
        <v>35</v>
      </c>
      <c r="AC119" s="2">
        <f t="shared" si="9"/>
        <v>3</v>
      </c>
      <c r="AD119" s="2">
        <f t="shared" si="10"/>
        <v>10</v>
      </c>
      <c r="AE119" s="2">
        <f t="shared" si="11"/>
        <v>7</v>
      </c>
      <c r="AF119" s="2">
        <f t="shared" si="12"/>
        <v>14</v>
      </c>
      <c r="AG119" s="2">
        <f t="shared" si="13"/>
        <v>4</v>
      </c>
      <c r="AH119" s="4">
        <f t="shared" si="14"/>
        <v>45034.473356481481</v>
      </c>
      <c r="AI119" s="2" t="str">
        <f t="shared" si="15"/>
        <v/>
      </c>
      <c r="AJ119" s="2" t="str">
        <f t="shared" si="16"/>
        <v/>
      </c>
      <c r="AK119" s="2" t="str">
        <f t="shared" si="17"/>
        <v/>
      </c>
    </row>
    <row r="120" spans="1:37" x14ac:dyDescent="0.25">
      <c r="A120">
        <v>2114</v>
      </c>
      <c r="B120" t="s">
        <v>182</v>
      </c>
      <c r="C120" t="s">
        <v>94</v>
      </c>
      <c r="D120" t="s">
        <v>142</v>
      </c>
      <c r="E120" t="s">
        <v>29</v>
      </c>
      <c r="F120" t="s">
        <v>143</v>
      </c>
      <c r="G120" t="s">
        <v>144</v>
      </c>
      <c r="H120" s="1">
        <v>45034.055439814816</v>
      </c>
      <c r="I120" s="1">
        <v>45035.055439814816</v>
      </c>
      <c r="J120" t="s">
        <v>44</v>
      </c>
      <c r="K120" s="1"/>
      <c r="T120">
        <v>0</v>
      </c>
      <c r="AC120" s="2">
        <f t="shared" si="9"/>
        <v>1</v>
      </c>
      <c r="AD120" s="2" t="str">
        <f t="shared" si="10"/>
        <v/>
      </c>
      <c r="AE120" s="2" t="str">
        <f t="shared" si="11"/>
        <v/>
      </c>
      <c r="AF120" s="2" t="str">
        <f t="shared" si="12"/>
        <v/>
      </c>
      <c r="AG120" s="2" t="str">
        <f t="shared" si="13"/>
        <v/>
      </c>
      <c r="AH120" s="4" t="str">
        <f t="shared" si="14"/>
        <v/>
      </c>
      <c r="AI120" s="2" t="str">
        <f t="shared" si="15"/>
        <v/>
      </c>
      <c r="AJ120" s="2" t="str">
        <f t="shared" si="16"/>
        <v/>
      </c>
      <c r="AK120" s="2" t="str">
        <f t="shared" si="17"/>
        <v/>
      </c>
    </row>
    <row r="121" spans="1:37" x14ac:dyDescent="0.25">
      <c r="A121">
        <v>2069</v>
      </c>
      <c r="B121" t="s">
        <v>183</v>
      </c>
      <c r="C121" t="s">
        <v>94</v>
      </c>
      <c r="D121" t="s">
        <v>142</v>
      </c>
      <c r="E121" t="s">
        <v>29</v>
      </c>
      <c r="F121" t="s">
        <v>143</v>
      </c>
      <c r="G121" t="s">
        <v>144</v>
      </c>
      <c r="H121" s="1">
        <v>44867.782581018517</v>
      </c>
      <c r="I121" s="1">
        <v>44869.782581018517</v>
      </c>
      <c r="J121" t="s">
        <v>32</v>
      </c>
      <c r="K121" s="1">
        <v>44887.782581018517</v>
      </c>
      <c r="L121" t="s">
        <v>57</v>
      </c>
      <c r="N121" s="4">
        <v>44892.782581018517</v>
      </c>
      <c r="O121" t="s">
        <v>57</v>
      </c>
      <c r="P121" s="4">
        <v>44888.782581018517</v>
      </c>
      <c r="Q121" s="4">
        <v>44891.782581018517</v>
      </c>
      <c r="R121" s="4">
        <v>44890.782581018517</v>
      </c>
      <c r="S121" s="4">
        <v>44895.782581018517</v>
      </c>
      <c r="T121">
        <v>1</v>
      </c>
      <c r="U121" s="4">
        <v>44899.782581018517</v>
      </c>
      <c r="V121" s="4">
        <v>44900.782581018517</v>
      </c>
      <c r="W121" s="4">
        <v>44902.782581018517</v>
      </c>
      <c r="Z121" s="4">
        <v>44917.782581018517</v>
      </c>
      <c r="AC121" s="2">
        <f t="shared" si="9"/>
        <v>2</v>
      </c>
      <c r="AD121" s="2">
        <f t="shared" si="10"/>
        <v>20</v>
      </c>
      <c r="AE121" s="2">
        <f t="shared" si="11"/>
        <v>18</v>
      </c>
      <c r="AF121" s="2">
        <f t="shared" si="12"/>
        <v>23</v>
      </c>
      <c r="AG121" s="2">
        <f t="shared" si="13"/>
        <v>3</v>
      </c>
      <c r="AH121" s="4">
        <f t="shared" si="14"/>
        <v>44980.782581018517</v>
      </c>
      <c r="AI121" s="2">
        <f t="shared" si="15"/>
        <v>4</v>
      </c>
      <c r="AJ121" s="2">
        <f t="shared" si="16"/>
        <v>27</v>
      </c>
      <c r="AK121" s="2">
        <f t="shared" si="17"/>
        <v>12</v>
      </c>
    </row>
    <row r="122" spans="1:37" x14ac:dyDescent="0.25">
      <c r="A122">
        <v>2068</v>
      </c>
      <c r="B122" t="s">
        <v>184</v>
      </c>
      <c r="C122" t="s">
        <v>94</v>
      </c>
      <c r="D122" t="s">
        <v>142</v>
      </c>
      <c r="E122" t="s">
        <v>29</v>
      </c>
      <c r="F122" t="s">
        <v>143</v>
      </c>
      <c r="G122" t="s">
        <v>144</v>
      </c>
      <c r="H122" s="1">
        <v>44870.782581018517</v>
      </c>
      <c r="I122" s="1">
        <v>44872.782581018517</v>
      </c>
      <c r="J122" t="s">
        <v>32</v>
      </c>
      <c r="K122" s="1">
        <v>44877.782581018517</v>
      </c>
      <c r="L122" t="s">
        <v>57</v>
      </c>
      <c r="N122" s="4">
        <v>44882.782581018517</v>
      </c>
      <c r="O122" t="s">
        <v>57</v>
      </c>
      <c r="P122" s="4">
        <v>44879.782581018517</v>
      </c>
      <c r="Q122" s="4">
        <v>44880.782581018517</v>
      </c>
      <c r="R122" s="4">
        <v>44880.782581018517</v>
      </c>
      <c r="S122" s="4">
        <v>44886.782581018517</v>
      </c>
      <c r="T122">
        <v>1</v>
      </c>
      <c r="U122" s="4">
        <v>44889.782581018517</v>
      </c>
      <c r="V122" s="4">
        <v>44891.782581018517</v>
      </c>
      <c r="W122" s="4">
        <v>44894.782581018517</v>
      </c>
      <c r="Z122" s="4">
        <v>44904.782581018517</v>
      </c>
      <c r="AC122" s="2">
        <f t="shared" si="9"/>
        <v>2</v>
      </c>
      <c r="AD122" s="2">
        <f t="shared" si="10"/>
        <v>7</v>
      </c>
      <c r="AE122" s="2">
        <f t="shared" si="11"/>
        <v>5</v>
      </c>
      <c r="AF122" s="2">
        <f t="shared" si="12"/>
        <v>10</v>
      </c>
      <c r="AG122" s="2">
        <f t="shared" si="13"/>
        <v>3</v>
      </c>
      <c r="AH122" s="4">
        <f t="shared" si="14"/>
        <v>44970.782581018517</v>
      </c>
      <c r="AI122" s="2">
        <f t="shared" si="15"/>
        <v>3</v>
      </c>
      <c r="AJ122" s="2">
        <f t="shared" si="16"/>
        <v>24</v>
      </c>
      <c r="AK122" s="2">
        <f t="shared" si="17"/>
        <v>14</v>
      </c>
    </row>
    <row r="123" spans="1:37" x14ac:dyDescent="0.25">
      <c r="A123">
        <v>2063</v>
      </c>
      <c r="B123" t="s">
        <v>185</v>
      </c>
      <c r="C123" t="s">
        <v>94</v>
      </c>
      <c r="D123" t="s">
        <v>142</v>
      </c>
      <c r="E123" t="s">
        <v>29</v>
      </c>
      <c r="F123" t="s">
        <v>143</v>
      </c>
      <c r="G123" t="s">
        <v>144</v>
      </c>
      <c r="H123" s="1">
        <v>44867.782581018517</v>
      </c>
      <c r="I123" s="1">
        <v>44869.782581018517</v>
      </c>
      <c r="J123" t="s">
        <v>32</v>
      </c>
      <c r="K123" s="1">
        <v>44884.782581018517</v>
      </c>
      <c r="L123" t="s">
        <v>33</v>
      </c>
      <c r="M123" t="s">
        <v>67</v>
      </c>
      <c r="T123">
        <v>0</v>
      </c>
      <c r="Y123" t="s">
        <v>55</v>
      </c>
      <c r="AC123" s="2">
        <f t="shared" si="9"/>
        <v>2</v>
      </c>
      <c r="AD123" s="2">
        <f t="shared" si="10"/>
        <v>17</v>
      </c>
      <c r="AE123" s="2">
        <f t="shared" si="11"/>
        <v>15</v>
      </c>
      <c r="AF123" s="2" t="str">
        <f t="shared" si="12"/>
        <v/>
      </c>
      <c r="AG123" s="2" t="str">
        <f t="shared" si="13"/>
        <v/>
      </c>
      <c r="AH123" s="4" t="str">
        <f t="shared" si="14"/>
        <v/>
      </c>
      <c r="AI123" s="2" t="str">
        <f t="shared" si="15"/>
        <v/>
      </c>
      <c r="AJ123" s="2" t="str">
        <f t="shared" si="16"/>
        <v/>
      </c>
      <c r="AK123" s="2" t="str">
        <f t="shared" si="17"/>
        <v/>
      </c>
    </row>
    <row r="124" spans="1:37" x14ac:dyDescent="0.25">
      <c r="A124">
        <v>1988</v>
      </c>
      <c r="B124" t="s">
        <v>186</v>
      </c>
      <c r="C124" t="s">
        <v>94</v>
      </c>
      <c r="D124" t="s">
        <v>142</v>
      </c>
      <c r="E124" t="s">
        <v>29</v>
      </c>
      <c r="F124" t="s">
        <v>143</v>
      </c>
      <c r="G124" t="s">
        <v>144</v>
      </c>
      <c r="H124" s="1">
        <v>44594.370439814818</v>
      </c>
      <c r="I124" s="1">
        <v>44595.370439814818</v>
      </c>
      <c r="J124" t="s">
        <v>32</v>
      </c>
      <c r="K124" s="1">
        <v>44603.370439814818</v>
      </c>
      <c r="L124" t="s">
        <v>33</v>
      </c>
      <c r="M124" t="s">
        <v>51</v>
      </c>
      <c r="R124" s="4">
        <v>44605.370439814818</v>
      </c>
      <c r="T124">
        <v>0</v>
      </c>
      <c r="Y124" t="s">
        <v>35</v>
      </c>
      <c r="AC124" s="2">
        <f t="shared" si="9"/>
        <v>1</v>
      </c>
      <c r="AD124" s="2">
        <f t="shared" si="10"/>
        <v>9</v>
      </c>
      <c r="AE124" s="2">
        <f t="shared" si="11"/>
        <v>8</v>
      </c>
      <c r="AF124" s="2">
        <f t="shared" si="12"/>
        <v>11</v>
      </c>
      <c r="AG124" s="2">
        <f t="shared" si="13"/>
        <v>2</v>
      </c>
      <c r="AH124" s="4">
        <f t="shared" si="14"/>
        <v>44695.370439814818</v>
      </c>
      <c r="AI124" s="2" t="str">
        <f t="shared" si="15"/>
        <v/>
      </c>
      <c r="AJ124" s="2" t="str">
        <f t="shared" si="16"/>
        <v/>
      </c>
      <c r="AK124" s="2" t="str">
        <f t="shared" si="17"/>
        <v/>
      </c>
    </row>
    <row r="125" spans="1:37" x14ac:dyDescent="0.25">
      <c r="A125">
        <v>1986</v>
      </c>
      <c r="B125" t="s">
        <v>187</v>
      </c>
      <c r="C125" t="s">
        <v>94</v>
      </c>
      <c r="D125" t="s">
        <v>142</v>
      </c>
      <c r="E125" t="s">
        <v>29</v>
      </c>
      <c r="F125" t="s">
        <v>143</v>
      </c>
      <c r="G125" t="s">
        <v>144</v>
      </c>
      <c r="H125" s="1">
        <v>44595.370439814818</v>
      </c>
      <c r="I125" s="1">
        <v>44597.370439814818</v>
      </c>
      <c r="J125" t="s">
        <v>32</v>
      </c>
      <c r="K125" s="1">
        <v>44614.370439814818</v>
      </c>
      <c r="L125" t="s">
        <v>39</v>
      </c>
      <c r="N125" s="4">
        <v>44621.370439814818</v>
      </c>
      <c r="O125" t="s">
        <v>39</v>
      </c>
      <c r="R125" s="4">
        <v>44617.370439814818</v>
      </c>
      <c r="T125">
        <v>0</v>
      </c>
      <c r="AC125" s="2">
        <f t="shared" si="9"/>
        <v>2</v>
      </c>
      <c r="AD125" s="2">
        <f t="shared" si="10"/>
        <v>19</v>
      </c>
      <c r="AE125" s="2">
        <f t="shared" si="11"/>
        <v>17</v>
      </c>
      <c r="AF125" s="2">
        <f t="shared" si="12"/>
        <v>22</v>
      </c>
      <c r="AG125" s="2">
        <f t="shared" si="13"/>
        <v>3</v>
      </c>
      <c r="AH125" s="4">
        <f t="shared" si="14"/>
        <v>44707.370439814818</v>
      </c>
      <c r="AI125" s="2" t="str">
        <f t="shared" si="15"/>
        <v/>
      </c>
      <c r="AJ125" s="2" t="str">
        <f t="shared" si="16"/>
        <v/>
      </c>
      <c r="AK125" s="2" t="str">
        <f t="shared" si="17"/>
        <v/>
      </c>
    </row>
    <row r="126" spans="1:37" x14ac:dyDescent="0.25">
      <c r="A126">
        <v>1984</v>
      </c>
      <c r="B126" t="s">
        <v>188</v>
      </c>
      <c r="C126" t="s">
        <v>94</v>
      </c>
      <c r="D126" t="s">
        <v>142</v>
      </c>
      <c r="E126" t="s">
        <v>29</v>
      </c>
      <c r="F126" t="s">
        <v>143</v>
      </c>
      <c r="G126" t="s">
        <v>144</v>
      </c>
      <c r="H126" s="1">
        <v>44594.370439814818</v>
      </c>
      <c r="I126" s="1">
        <v>44596.370439814818</v>
      </c>
      <c r="J126" t="s">
        <v>32</v>
      </c>
      <c r="K126" s="1">
        <v>44609.370439814818</v>
      </c>
      <c r="L126" t="s">
        <v>39</v>
      </c>
      <c r="N126" s="4">
        <v>44614.370439814818</v>
      </c>
      <c r="O126" t="s">
        <v>39</v>
      </c>
      <c r="R126" s="4">
        <v>44612.370439814818</v>
      </c>
      <c r="T126">
        <v>0</v>
      </c>
      <c r="AC126" s="2">
        <f t="shared" si="9"/>
        <v>2</v>
      </c>
      <c r="AD126" s="2">
        <f t="shared" si="10"/>
        <v>15</v>
      </c>
      <c r="AE126" s="2">
        <f t="shared" si="11"/>
        <v>13</v>
      </c>
      <c r="AF126" s="2">
        <f t="shared" si="12"/>
        <v>18</v>
      </c>
      <c r="AG126" s="2">
        <f t="shared" si="13"/>
        <v>3</v>
      </c>
      <c r="AH126" s="4">
        <f t="shared" si="14"/>
        <v>44702.370439814818</v>
      </c>
      <c r="AI126" s="2" t="str">
        <f t="shared" si="15"/>
        <v/>
      </c>
      <c r="AJ126" s="2" t="str">
        <f t="shared" si="16"/>
        <v/>
      </c>
      <c r="AK126" s="2" t="str">
        <f t="shared" si="17"/>
        <v/>
      </c>
    </row>
    <row r="127" spans="1:37" x14ac:dyDescent="0.25">
      <c r="A127">
        <v>1982</v>
      </c>
      <c r="B127" t="s">
        <v>189</v>
      </c>
      <c r="C127" t="s">
        <v>94</v>
      </c>
      <c r="D127" t="s">
        <v>142</v>
      </c>
      <c r="E127" t="s">
        <v>29</v>
      </c>
      <c r="F127" t="s">
        <v>143</v>
      </c>
      <c r="G127" t="s">
        <v>144</v>
      </c>
      <c r="H127" s="1">
        <v>44592.370439814818</v>
      </c>
      <c r="I127" s="1">
        <v>44595.370439814818</v>
      </c>
      <c r="J127" t="s">
        <v>44</v>
      </c>
      <c r="K127" s="1"/>
      <c r="T127">
        <v>0</v>
      </c>
      <c r="AC127" s="2">
        <f t="shared" si="9"/>
        <v>3</v>
      </c>
      <c r="AD127" s="2" t="str">
        <f t="shared" si="10"/>
        <v/>
      </c>
      <c r="AE127" s="2" t="str">
        <f t="shared" si="11"/>
        <v/>
      </c>
      <c r="AF127" s="2" t="str">
        <f t="shared" si="12"/>
        <v/>
      </c>
      <c r="AG127" s="2" t="str">
        <f t="shared" si="13"/>
        <v/>
      </c>
      <c r="AH127" s="4" t="str">
        <f t="shared" si="14"/>
        <v/>
      </c>
      <c r="AI127" s="2" t="str">
        <f t="shared" si="15"/>
        <v/>
      </c>
      <c r="AJ127" s="2" t="str">
        <f t="shared" si="16"/>
        <v/>
      </c>
      <c r="AK127" s="2" t="str">
        <f t="shared" si="17"/>
        <v/>
      </c>
    </row>
    <row r="128" spans="1:37" x14ac:dyDescent="0.25">
      <c r="A128">
        <v>1977</v>
      </c>
      <c r="B128" t="s">
        <v>190</v>
      </c>
      <c r="C128" t="s">
        <v>94</v>
      </c>
      <c r="D128" t="s">
        <v>142</v>
      </c>
      <c r="E128" t="s">
        <v>29</v>
      </c>
      <c r="F128" t="s">
        <v>143</v>
      </c>
      <c r="G128" t="s">
        <v>144</v>
      </c>
      <c r="H128" s="1">
        <v>44854.498391203706</v>
      </c>
      <c r="I128" s="1">
        <v>44857.498391203706</v>
      </c>
      <c r="J128" t="s">
        <v>32</v>
      </c>
      <c r="K128" s="1">
        <v>44866.498391203706</v>
      </c>
      <c r="L128" t="s">
        <v>39</v>
      </c>
      <c r="N128" s="4">
        <v>44872.498391203706</v>
      </c>
      <c r="O128" t="s">
        <v>39</v>
      </c>
      <c r="R128" s="4">
        <v>44868.498391203706</v>
      </c>
      <c r="T128">
        <v>0</v>
      </c>
      <c r="AC128" s="2">
        <f t="shared" si="9"/>
        <v>3</v>
      </c>
      <c r="AD128" s="2">
        <f t="shared" si="10"/>
        <v>12</v>
      </c>
      <c r="AE128" s="2">
        <f t="shared" si="11"/>
        <v>9</v>
      </c>
      <c r="AF128" s="2">
        <f t="shared" si="12"/>
        <v>14</v>
      </c>
      <c r="AG128" s="2">
        <f t="shared" si="13"/>
        <v>2</v>
      </c>
      <c r="AH128" s="4">
        <f t="shared" si="14"/>
        <v>44958.498391203706</v>
      </c>
      <c r="AI128" s="2" t="str">
        <f t="shared" si="15"/>
        <v/>
      </c>
      <c r="AJ128" s="2" t="str">
        <f t="shared" si="16"/>
        <v/>
      </c>
      <c r="AK128" s="2" t="str">
        <f t="shared" si="17"/>
        <v/>
      </c>
    </row>
    <row r="129" spans="1:37" x14ac:dyDescent="0.25">
      <c r="A129">
        <v>1975</v>
      </c>
      <c r="B129" t="s">
        <v>191</v>
      </c>
      <c r="C129" t="s">
        <v>94</v>
      </c>
      <c r="D129" t="s">
        <v>142</v>
      </c>
      <c r="E129" t="s">
        <v>29</v>
      </c>
      <c r="F129" t="s">
        <v>143</v>
      </c>
      <c r="G129" t="s">
        <v>144</v>
      </c>
      <c r="H129" s="1">
        <v>44851.498391203706</v>
      </c>
      <c r="I129" s="1">
        <v>44854.498391203706</v>
      </c>
      <c r="J129" t="s">
        <v>32</v>
      </c>
      <c r="K129" s="1">
        <v>44866.498391203706</v>
      </c>
      <c r="L129" t="s">
        <v>164</v>
      </c>
      <c r="N129" s="4">
        <v>44871.498391203706</v>
      </c>
      <c r="O129" t="s">
        <v>164</v>
      </c>
      <c r="R129" s="4">
        <v>44869.498391203706</v>
      </c>
      <c r="T129">
        <v>0</v>
      </c>
      <c r="AC129" s="2">
        <f t="shared" si="9"/>
        <v>3</v>
      </c>
      <c r="AD129" s="2">
        <f t="shared" si="10"/>
        <v>15</v>
      </c>
      <c r="AE129" s="2">
        <f t="shared" si="11"/>
        <v>12</v>
      </c>
      <c r="AF129" s="2">
        <f t="shared" si="12"/>
        <v>18</v>
      </c>
      <c r="AG129" s="2">
        <f t="shared" si="13"/>
        <v>3</v>
      </c>
      <c r="AH129" s="4">
        <f t="shared" si="14"/>
        <v>44959.498391203706</v>
      </c>
      <c r="AI129" s="2" t="str">
        <f t="shared" si="15"/>
        <v/>
      </c>
      <c r="AJ129" s="2" t="str">
        <f t="shared" si="16"/>
        <v/>
      </c>
      <c r="AK129" s="2" t="str">
        <f t="shared" si="17"/>
        <v/>
      </c>
    </row>
    <row r="130" spans="1:37" x14ac:dyDescent="0.25">
      <c r="A130">
        <v>1970</v>
      </c>
      <c r="B130" t="s">
        <v>192</v>
      </c>
      <c r="C130" t="s">
        <v>94</v>
      </c>
      <c r="D130" t="s">
        <v>142</v>
      </c>
      <c r="E130" t="s">
        <v>29</v>
      </c>
      <c r="F130" t="s">
        <v>143</v>
      </c>
      <c r="G130" t="s">
        <v>144</v>
      </c>
      <c r="H130" s="1">
        <v>44895.432847222219</v>
      </c>
      <c r="I130" s="1">
        <v>44898.432847222219</v>
      </c>
      <c r="J130" t="s">
        <v>32</v>
      </c>
      <c r="K130" s="1">
        <v>44906.432847222219</v>
      </c>
      <c r="L130" t="s">
        <v>39</v>
      </c>
      <c r="N130" s="4">
        <v>44912.432847222219</v>
      </c>
      <c r="O130" t="s">
        <v>39</v>
      </c>
      <c r="R130" s="4">
        <v>44910.432847222219</v>
      </c>
      <c r="T130">
        <v>0</v>
      </c>
      <c r="AC130" s="2">
        <f t="shared" si="9"/>
        <v>3</v>
      </c>
      <c r="AD130" s="2">
        <f t="shared" si="10"/>
        <v>11</v>
      </c>
      <c r="AE130" s="2">
        <f t="shared" si="11"/>
        <v>8</v>
      </c>
      <c r="AF130" s="2">
        <f t="shared" si="12"/>
        <v>15</v>
      </c>
      <c r="AG130" s="2">
        <f t="shared" si="13"/>
        <v>4</v>
      </c>
      <c r="AH130" s="4">
        <f t="shared" si="14"/>
        <v>45000.432847222219</v>
      </c>
      <c r="AI130" s="2" t="str">
        <f t="shared" si="15"/>
        <v/>
      </c>
      <c r="AJ130" s="2" t="str">
        <f t="shared" si="16"/>
        <v/>
      </c>
      <c r="AK130" s="2" t="str">
        <f t="shared" si="17"/>
        <v/>
      </c>
    </row>
    <row r="131" spans="1:37" x14ac:dyDescent="0.25">
      <c r="A131">
        <v>1968</v>
      </c>
      <c r="B131" t="s">
        <v>193</v>
      </c>
      <c r="C131" t="s">
        <v>94</v>
      </c>
      <c r="D131" t="s">
        <v>142</v>
      </c>
      <c r="E131" t="s">
        <v>29</v>
      </c>
      <c r="F131" t="s">
        <v>143</v>
      </c>
      <c r="G131" t="s">
        <v>144</v>
      </c>
      <c r="H131" s="1">
        <v>44896.432847222219</v>
      </c>
      <c r="I131" s="1">
        <v>44900.432847222219</v>
      </c>
      <c r="J131" t="s">
        <v>32</v>
      </c>
      <c r="K131" s="1">
        <v>44912.432847222219</v>
      </c>
      <c r="L131" t="s">
        <v>33</v>
      </c>
      <c r="M131" t="s">
        <v>92</v>
      </c>
      <c r="T131">
        <v>0</v>
      </c>
      <c r="Y131" t="s">
        <v>55</v>
      </c>
      <c r="AC131" s="2">
        <f t="shared" ref="AC131:AC194" si="18">IF(AND(I131&lt;&gt;"",H131&lt;&gt;""), I131-H131, "")</f>
        <v>4</v>
      </c>
      <c r="AD131" s="2">
        <f t="shared" ref="AD131:AD194" si="19">IF(AND(K131&lt;&gt;"",H131&lt;&gt;""), K131-H131, "")</f>
        <v>16</v>
      </c>
      <c r="AE131" s="2">
        <f t="shared" ref="AE131:AE194" si="20">IF(AND(K131&lt;&gt;"",I131&lt;&gt;""), K131-I131, "")</f>
        <v>12</v>
      </c>
      <c r="AF131" s="2" t="str">
        <f t="shared" ref="AF131:AF194" si="21">IF(AND(R131&lt;&gt;"",H131&lt;&gt;""), R131-H131, "")</f>
        <v/>
      </c>
      <c r="AG131" s="2" t="str">
        <f t="shared" ref="AG131:AG194" si="22">IF(AND(R131&lt;&gt;"",K131&lt;&gt;""), R131-K131, "")</f>
        <v/>
      </c>
      <c r="AH131" s="4" t="str">
        <f t="shared" ref="AH131:AH194" si="23">IF(R131&lt;&gt;"", R131+90, "")</f>
        <v/>
      </c>
      <c r="AI131" s="2" t="str">
        <f t="shared" ref="AI131:AI194" si="24">IF(AND(U131&lt;&gt;"",S131&lt;&gt;""), U131-S131, "")</f>
        <v/>
      </c>
      <c r="AJ131" s="2" t="str">
        <f t="shared" ref="AJ131:AJ194" si="25">IF(AND(Z131&lt;&gt;"",R131&lt;&gt;""), Z131-R131, "")</f>
        <v/>
      </c>
      <c r="AK131" s="2" t="str">
        <f t="shared" ref="AK131:AK194" si="26">IF(AND(W131&lt;&gt;"",R131&lt;&gt;""), W131-R131, "")</f>
        <v/>
      </c>
    </row>
    <row r="132" spans="1:37" x14ac:dyDescent="0.25">
      <c r="A132">
        <v>1860</v>
      </c>
      <c r="B132" t="s">
        <v>194</v>
      </c>
      <c r="C132" t="s">
        <v>94</v>
      </c>
      <c r="D132" t="s">
        <v>142</v>
      </c>
      <c r="E132" t="s">
        <v>29</v>
      </c>
      <c r="F132" t="s">
        <v>143</v>
      </c>
      <c r="G132" t="s">
        <v>144</v>
      </c>
      <c r="H132" s="1">
        <v>44874.077060185184</v>
      </c>
      <c r="I132" s="1">
        <v>44878.077060185184</v>
      </c>
      <c r="J132" t="s">
        <v>32</v>
      </c>
      <c r="K132" s="1">
        <v>44894.077060185184</v>
      </c>
      <c r="L132" t="s">
        <v>33</v>
      </c>
      <c r="M132" t="s">
        <v>67</v>
      </c>
      <c r="T132">
        <v>0</v>
      </c>
      <c r="Y132" t="s">
        <v>35</v>
      </c>
      <c r="AC132" s="2">
        <f t="shared" si="18"/>
        <v>4</v>
      </c>
      <c r="AD132" s="2">
        <f t="shared" si="19"/>
        <v>20</v>
      </c>
      <c r="AE132" s="2">
        <f t="shared" si="20"/>
        <v>16</v>
      </c>
      <c r="AF132" s="2" t="str">
        <f t="shared" si="21"/>
        <v/>
      </c>
      <c r="AG132" s="2" t="str">
        <f t="shared" si="22"/>
        <v/>
      </c>
      <c r="AH132" s="4" t="str">
        <f t="shared" si="23"/>
        <v/>
      </c>
      <c r="AI132" s="2" t="str">
        <f t="shared" si="24"/>
        <v/>
      </c>
      <c r="AJ132" s="2" t="str">
        <f t="shared" si="25"/>
        <v/>
      </c>
      <c r="AK132" s="2" t="str">
        <f t="shared" si="26"/>
        <v/>
      </c>
    </row>
    <row r="133" spans="1:37" x14ac:dyDescent="0.25">
      <c r="A133">
        <v>1858</v>
      </c>
      <c r="B133" t="s">
        <v>195</v>
      </c>
      <c r="C133" t="s">
        <v>94</v>
      </c>
      <c r="D133" t="s">
        <v>142</v>
      </c>
      <c r="E133" t="s">
        <v>29</v>
      </c>
      <c r="F133" t="s">
        <v>143</v>
      </c>
      <c r="G133" t="s">
        <v>144</v>
      </c>
      <c r="H133" s="1">
        <v>44874.077060185184</v>
      </c>
      <c r="I133" s="1">
        <v>44876.077060185184</v>
      </c>
      <c r="J133" t="s">
        <v>32</v>
      </c>
      <c r="K133" s="1">
        <v>44894.077060185184</v>
      </c>
      <c r="L133" t="s">
        <v>39</v>
      </c>
      <c r="N133" s="4">
        <v>44901.077060185184</v>
      </c>
      <c r="O133" t="s">
        <v>39</v>
      </c>
      <c r="R133" s="4">
        <v>44898.077060185184</v>
      </c>
      <c r="T133">
        <v>0</v>
      </c>
      <c r="AC133" s="2">
        <f t="shared" si="18"/>
        <v>2</v>
      </c>
      <c r="AD133" s="2">
        <f t="shared" si="19"/>
        <v>20</v>
      </c>
      <c r="AE133" s="2">
        <f t="shared" si="20"/>
        <v>18</v>
      </c>
      <c r="AF133" s="2">
        <f t="shared" si="21"/>
        <v>24</v>
      </c>
      <c r="AG133" s="2">
        <f t="shared" si="22"/>
        <v>4</v>
      </c>
      <c r="AH133" s="4">
        <f t="shared" si="23"/>
        <v>44988.077060185184</v>
      </c>
      <c r="AI133" s="2" t="str">
        <f t="shared" si="24"/>
        <v/>
      </c>
      <c r="AJ133" s="2" t="str">
        <f t="shared" si="25"/>
        <v/>
      </c>
      <c r="AK133" s="2" t="str">
        <f t="shared" si="26"/>
        <v/>
      </c>
    </row>
    <row r="134" spans="1:37" x14ac:dyDescent="0.25">
      <c r="A134">
        <v>1853</v>
      </c>
      <c r="B134" t="s">
        <v>196</v>
      </c>
      <c r="C134" t="s">
        <v>94</v>
      </c>
      <c r="D134" t="s">
        <v>142</v>
      </c>
      <c r="E134" t="s">
        <v>29</v>
      </c>
      <c r="F134" t="s">
        <v>143</v>
      </c>
      <c r="G134" t="s">
        <v>144</v>
      </c>
      <c r="H134" s="1">
        <v>44874.077060185184</v>
      </c>
      <c r="I134" s="1">
        <v>44878.077060185184</v>
      </c>
      <c r="J134" t="s">
        <v>32</v>
      </c>
      <c r="K134" s="1">
        <v>44885.077060185184</v>
      </c>
      <c r="L134" t="s">
        <v>33</v>
      </c>
      <c r="M134" t="s">
        <v>108</v>
      </c>
      <c r="R134" s="4">
        <v>44886.077060185184</v>
      </c>
      <c r="T134">
        <v>0</v>
      </c>
      <c r="Y134" t="s">
        <v>35</v>
      </c>
      <c r="AC134" s="2">
        <f t="shared" si="18"/>
        <v>4</v>
      </c>
      <c r="AD134" s="2">
        <f t="shared" si="19"/>
        <v>11</v>
      </c>
      <c r="AE134" s="2">
        <f t="shared" si="20"/>
        <v>7</v>
      </c>
      <c r="AF134" s="2">
        <f t="shared" si="21"/>
        <v>12</v>
      </c>
      <c r="AG134" s="2">
        <f t="shared" si="22"/>
        <v>1</v>
      </c>
      <c r="AH134" s="4">
        <f t="shared" si="23"/>
        <v>44976.077060185184</v>
      </c>
      <c r="AI134" s="2" t="str">
        <f t="shared" si="24"/>
        <v/>
      </c>
      <c r="AJ134" s="2" t="str">
        <f t="shared" si="25"/>
        <v/>
      </c>
      <c r="AK134" s="2" t="str">
        <f t="shared" si="26"/>
        <v/>
      </c>
    </row>
    <row r="135" spans="1:37" x14ac:dyDescent="0.25">
      <c r="A135">
        <v>1796</v>
      </c>
      <c r="B135" t="s">
        <v>197</v>
      </c>
      <c r="C135" t="s">
        <v>94</v>
      </c>
      <c r="D135" t="s">
        <v>142</v>
      </c>
      <c r="E135" t="s">
        <v>29</v>
      </c>
      <c r="F135" t="s">
        <v>143</v>
      </c>
      <c r="G135" t="s">
        <v>144</v>
      </c>
      <c r="H135" s="1">
        <v>44828.47960648148</v>
      </c>
      <c r="I135" s="1">
        <v>44831.47960648148</v>
      </c>
      <c r="J135" t="s">
        <v>44</v>
      </c>
      <c r="K135" s="1"/>
      <c r="T135">
        <v>0</v>
      </c>
      <c r="AC135" s="2">
        <f t="shared" si="18"/>
        <v>3</v>
      </c>
      <c r="AD135" s="2" t="str">
        <f t="shared" si="19"/>
        <v/>
      </c>
      <c r="AE135" s="2" t="str">
        <f t="shared" si="20"/>
        <v/>
      </c>
      <c r="AF135" s="2" t="str">
        <f t="shared" si="21"/>
        <v/>
      </c>
      <c r="AG135" s="2" t="str">
        <f t="shared" si="22"/>
        <v/>
      </c>
      <c r="AH135" s="4" t="str">
        <f t="shared" si="23"/>
        <v/>
      </c>
      <c r="AI135" s="2" t="str">
        <f t="shared" si="24"/>
        <v/>
      </c>
      <c r="AJ135" s="2" t="str">
        <f t="shared" si="25"/>
        <v/>
      </c>
      <c r="AK135" s="2" t="str">
        <f t="shared" si="26"/>
        <v/>
      </c>
    </row>
    <row r="136" spans="1:37" x14ac:dyDescent="0.25">
      <c r="A136">
        <v>1442</v>
      </c>
      <c r="B136" t="s">
        <v>198</v>
      </c>
      <c r="C136" t="s">
        <v>94</v>
      </c>
      <c r="D136" t="s">
        <v>142</v>
      </c>
      <c r="E136" t="s">
        <v>29</v>
      </c>
      <c r="F136" t="s">
        <v>143</v>
      </c>
      <c r="G136" t="s">
        <v>144</v>
      </c>
      <c r="H136" s="1">
        <v>45013.427199074074</v>
      </c>
      <c r="I136" s="1">
        <v>45014.427199074074</v>
      </c>
      <c r="J136" t="s">
        <v>32</v>
      </c>
      <c r="K136" s="1">
        <v>45029.427199074074</v>
      </c>
      <c r="L136" t="s">
        <v>57</v>
      </c>
      <c r="N136" s="4">
        <v>45033.427199074074</v>
      </c>
      <c r="O136" t="s">
        <v>57</v>
      </c>
      <c r="P136" s="4">
        <v>45031.427199074074</v>
      </c>
      <c r="Q136" s="4">
        <v>45032.427199074074</v>
      </c>
      <c r="R136" s="4">
        <v>45032.427199074074</v>
      </c>
      <c r="S136" s="4">
        <v>45039.427199074074</v>
      </c>
      <c r="T136">
        <v>1</v>
      </c>
      <c r="U136" s="4">
        <v>45043.427199074074</v>
      </c>
      <c r="V136" s="4">
        <v>45046.427199074074</v>
      </c>
      <c r="W136" s="4">
        <v>45048.427199074074</v>
      </c>
      <c r="Z136" s="4">
        <v>45061.427199074074</v>
      </c>
      <c r="AC136" s="2">
        <f t="shared" si="18"/>
        <v>1</v>
      </c>
      <c r="AD136" s="2">
        <f t="shared" si="19"/>
        <v>16</v>
      </c>
      <c r="AE136" s="2">
        <f t="shared" si="20"/>
        <v>15</v>
      </c>
      <c r="AF136" s="2">
        <f t="shared" si="21"/>
        <v>19</v>
      </c>
      <c r="AG136" s="2">
        <f t="shared" si="22"/>
        <v>3</v>
      </c>
      <c r="AH136" s="4">
        <f t="shared" si="23"/>
        <v>45122.427199074074</v>
      </c>
      <c r="AI136" s="2">
        <f t="shared" si="24"/>
        <v>4</v>
      </c>
      <c r="AJ136" s="2">
        <f t="shared" si="25"/>
        <v>29</v>
      </c>
      <c r="AK136" s="2">
        <f t="shared" si="26"/>
        <v>16</v>
      </c>
    </row>
    <row r="137" spans="1:37" x14ac:dyDescent="0.25">
      <c r="A137">
        <v>1441</v>
      </c>
      <c r="B137" t="s">
        <v>199</v>
      </c>
      <c r="C137" t="s">
        <v>94</v>
      </c>
      <c r="D137" t="s">
        <v>142</v>
      </c>
      <c r="E137" t="s">
        <v>29</v>
      </c>
      <c r="F137" t="s">
        <v>143</v>
      </c>
      <c r="G137" t="s">
        <v>144</v>
      </c>
      <c r="H137" s="1">
        <v>45015.427199074074</v>
      </c>
      <c r="I137" s="1">
        <v>45018.427199074074</v>
      </c>
      <c r="J137" t="s">
        <v>32</v>
      </c>
      <c r="K137" s="1">
        <v>45035.427199074074</v>
      </c>
      <c r="L137" t="s">
        <v>57</v>
      </c>
      <c r="N137" s="4">
        <v>45040.427199074074</v>
      </c>
      <c r="O137" t="s">
        <v>57</v>
      </c>
      <c r="P137" s="4">
        <v>45037.427199074074</v>
      </c>
      <c r="Q137" s="4">
        <v>45038.427199074074</v>
      </c>
      <c r="R137" s="4">
        <v>45038.427199074074</v>
      </c>
      <c r="S137" s="4">
        <v>45044.427199074074</v>
      </c>
      <c r="T137">
        <v>1</v>
      </c>
      <c r="U137" s="4">
        <v>45047.427199074074</v>
      </c>
      <c r="V137" s="4">
        <v>45050.427199074074</v>
      </c>
      <c r="W137" s="4">
        <v>45052.427199074074</v>
      </c>
      <c r="Z137" s="4">
        <v>45067.427199074074</v>
      </c>
      <c r="AC137" s="2">
        <f t="shared" si="18"/>
        <v>3</v>
      </c>
      <c r="AD137" s="2">
        <f t="shared" si="19"/>
        <v>20</v>
      </c>
      <c r="AE137" s="2">
        <f t="shared" si="20"/>
        <v>17</v>
      </c>
      <c r="AF137" s="2">
        <f t="shared" si="21"/>
        <v>23</v>
      </c>
      <c r="AG137" s="2">
        <f t="shared" si="22"/>
        <v>3</v>
      </c>
      <c r="AH137" s="4">
        <f t="shared" si="23"/>
        <v>45128.427199074074</v>
      </c>
      <c r="AI137" s="2">
        <f t="shared" si="24"/>
        <v>3</v>
      </c>
      <c r="AJ137" s="2">
        <f t="shared" si="25"/>
        <v>29</v>
      </c>
      <c r="AK137" s="2">
        <f t="shared" si="26"/>
        <v>14</v>
      </c>
    </row>
    <row r="138" spans="1:37" x14ac:dyDescent="0.25">
      <c r="A138">
        <v>1419</v>
      </c>
      <c r="B138" t="s">
        <v>200</v>
      </c>
      <c r="C138" t="s">
        <v>94</v>
      </c>
      <c r="D138" t="s">
        <v>142</v>
      </c>
      <c r="E138" t="s">
        <v>29</v>
      </c>
      <c r="F138" t="s">
        <v>143</v>
      </c>
      <c r="G138" t="s">
        <v>144</v>
      </c>
      <c r="H138" s="1">
        <v>44783.789305555554</v>
      </c>
      <c r="I138" s="1">
        <v>44785.789305555554</v>
      </c>
      <c r="J138" t="s">
        <v>44</v>
      </c>
      <c r="K138" s="1"/>
      <c r="T138">
        <v>0</v>
      </c>
      <c r="AC138" s="2">
        <f t="shared" si="18"/>
        <v>2</v>
      </c>
      <c r="AD138" s="2" t="str">
        <f t="shared" si="19"/>
        <v/>
      </c>
      <c r="AE138" s="2" t="str">
        <f t="shared" si="20"/>
        <v/>
      </c>
      <c r="AF138" s="2" t="str">
        <f t="shared" si="21"/>
        <v/>
      </c>
      <c r="AG138" s="2" t="str">
        <f t="shared" si="22"/>
        <v/>
      </c>
      <c r="AH138" s="4" t="str">
        <f t="shared" si="23"/>
        <v/>
      </c>
      <c r="AI138" s="2" t="str">
        <f t="shared" si="24"/>
        <v/>
      </c>
      <c r="AJ138" s="2" t="str">
        <f t="shared" si="25"/>
        <v/>
      </c>
      <c r="AK138" s="2" t="str">
        <f t="shared" si="26"/>
        <v/>
      </c>
    </row>
    <row r="139" spans="1:37" x14ac:dyDescent="0.25">
      <c r="A139">
        <v>1414</v>
      </c>
      <c r="B139" t="s">
        <v>201</v>
      </c>
      <c r="C139" t="s">
        <v>94</v>
      </c>
      <c r="D139" t="s">
        <v>142</v>
      </c>
      <c r="E139" t="s">
        <v>29</v>
      </c>
      <c r="F139" t="s">
        <v>143</v>
      </c>
      <c r="G139" t="s">
        <v>144</v>
      </c>
      <c r="H139" s="1">
        <v>44777.789305555554</v>
      </c>
      <c r="I139" s="1">
        <v>44780.789305555554</v>
      </c>
      <c r="J139" t="s">
        <v>32</v>
      </c>
      <c r="K139" s="1">
        <v>44799.789305555554</v>
      </c>
      <c r="L139" t="s">
        <v>33</v>
      </c>
      <c r="M139" t="s">
        <v>51</v>
      </c>
      <c r="R139" s="4">
        <v>44802.789305555554</v>
      </c>
      <c r="T139">
        <v>0</v>
      </c>
      <c r="Y139" t="s">
        <v>55</v>
      </c>
      <c r="AC139" s="2">
        <f t="shared" si="18"/>
        <v>3</v>
      </c>
      <c r="AD139" s="2">
        <f t="shared" si="19"/>
        <v>22</v>
      </c>
      <c r="AE139" s="2">
        <f t="shared" si="20"/>
        <v>19</v>
      </c>
      <c r="AF139" s="2">
        <f t="shared" si="21"/>
        <v>25</v>
      </c>
      <c r="AG139" s="2">
        <f t="shared" si="22"/>
        <v>3</v>
      </c>
      <c r="AH139" s="4">
        <f t="shared" si="23"/>
        <v>44892.789305555554</v>
      </c>
      <c r="AI139" s="2" t="str">
        <f t="shared" si="24"/>
        <v/>
      </c>
      <c r="AJ139" s="2" t="str">
        <f t="shared" si="25"/>
        <v/>
      </c>
      <c r="AK139" s="2" t="str">
        <f t="shared" si="26"/>
        <v/>
      </c>
    </row>
    <row r="140" spans="1:37" x14ac:dyDescent="0.25">
      <c r="A140">
        <v>1406</v>
      </c>
      <c r="B140" t="s">
        <v>202</v>
      </c>
      <c r="C140" t="s">
        <v>94</v>
      </c>
      <c r="D140" t="s">
        <v>142</v>
      </c>
      <c r="E140" t="s">
        <v>29</v>
      </c>
      <c r="F140" t="s">
        <v>143</v>
      </c>
      <c r="G140" t="s">
        <v>144</v>
      </c>
      <c r="H140" s="1">
        <v>44613.306493055556</v>
      </c>
      <c r="I140" s="1">
        <v>44616.306493055556</v>
      </c>
      <c r="J140" t="s">
        <v>32</v>
      </c>
      <c r="K140" s="1">
        <v>44622.306493055556</v>
      </c>
      <c r="L140" t="s">
        <v>33</v>
      </c>
      <c r="M140" t="s">
        <v>34</v>
      </c>
      <c r="R140" s="4">
        <v>44624.306493055556</v>
      </c>
      <c r="T140">
        <v>0</v>
      </c>
      <c r="Y140" t="s">
        <v>35</v>
      </c>
      <c r="AC140" s="2">
        <f t="shared" si="18"/>
        <v>3</v>
      </c>
      <c r="AD140" s="2">
        <f t="shared" si="19"/>
        <v>9</v>
      </c>
      <c r="AE140" s="2">
        <f t="shared" si="20"/>
        <v>6</v>
      </c>
      <c r="AF140" s="2">
        <f t="shared" si="21"/>
        <v>11</v>
      </c>
      <c r="AG140" s="2">
        <f t="shared" si="22"/>
        <v>2</v>
      </c>
      <c r="AH140" s="4">
        <f t="shared" si="23"/>
        <v>44714.306493055556</v>
      </c>
      <c r="AI140" s="2" t="str">
        <f t="shared" si="24"/>
        <v/>
      </c>
      <c r="AJ140" s="2" t="str">
        <f t="shared" si="25"/>
        <v/>
      </c>
      <c r="AK140" s="2" t="str">
        <f t="shared" si="26"/>
        <v/>
      </c>
    </row>
    <row r="141" spans="1:37" x14ac:dyDescent="0.25">
      <c r="A141">
        <v>1403</v>
      </c>
      <c r="B141" t="s">
        <v>203</v>
      </c>
      <c r="C141" t="s">
        <v>94</v>
      </c>
      <c r="D141" t="s">
        <v>142</v>
      </c>
      <c r="E141" t="s">
        <v>29</v>
      </c>
      <c r="F141" t="s">
        <v>143</v>
      </c>
      <c r="G141" t="s">
        <v>144</v>
      </c>
      <c r="H141" s="1">
        <v>44615.306493055556</v>
      </c>
      <c r="I141" s="1">
        <v>44616.306493055556</v>
      </c>
      <c r="J141" t="s">
        <v>32</v>
      </c>
      <c r="K141" s="1">
        <v>44635.306493055556</v>
      </c>
      <c r="L141" t="s">
        <v>33</v>
      </c>
      <c r="M141" t="s">
        <v>34</v>
      </c>
      <c r="T141">
        <v>0</v>
      </c>
      <c r="Y141" t="s">
        <v>35</v>
      </c>
      <c r="AC141" s="2">
        <f t="shared" si="18"/>
        <v>1</v>
      </c>
      <c r="AD141" s="2">
        <f t="shared" si="19"/>
        <v>20</v>
      </c>
      <c r="AE141" s="2">
        <f t="shared" si="20"/>
        <v>19</v>
      </c>
      <c r="AF141" s="2" t="str">
        <f t="shared" si="21"/>
        <v/>
      </c>
      <c r="AG141" s="2" t="str">
        <f t="shared" si="22"/>
        <v/>
      </c>
      <c r="AH141" s="4" t="str">
        <f t="shared" si="23"/>
        <v/>
      </c>
      <c r="AI141" s="2" t="str">
        <f t="shared" si="24"/>
        <v/>
      </c>
      <c r="AJ141" s="2" t="str">
        <f t="shared" si="25"/>
        <v/>
      </c>
      <c r="AK141" s="2" t="str">
        <f t="shared" si="26"/>
        <v/>
      </c>
    </row>
    <row r="142" spans="1:37" x14ac:dyDescent="0.25">
      <c r="A142">
        <v>1402</v>
      </c>
      <c r="B142" t="s">
        <v>204</v>
      </c>
      <c r="C142" t="s">
        <v>94</v>
      </c>
      <c r="D142" t="s">
        <v>142</v>
      </c>
      <c r="E142" t="s">
        <v>29</v>
      </c>
      <c r="F142" t="s">
        <v>143</v>
      </c>
      <c r="G142" t="s">
        <v>144</v>
      </c>
      <c r="H142" s="1">
        <v>44616.306493055556</v>
      </c>
      <c r="I142" s="1">
        <v>44618.306493055556</v>
      </c>
      <c r="J142" t="s">
        <v>32</v>
      </c>
      <c r="K142" s="1">
        <v>44629.306493055556</v>
      </c>
      <c r="L142" t="s">
        <v>57</v>
      </c>
      <c r="N142" s="4">
        <v>44633.306493055556</v>
      </c>
      <c r="O142" t="s">
        <v>57</v>
      </c>
      <c r="P142" s="4">
        <v>44631.306493055556</v>
      </c>
      <c r="Q142" s="4">
        <v>44634.306493055556</v>
      </c>
      <c r="R142" s="4">
        <v>44632.306493055556</v>
      </c>
      <c r="S142" s="4">
        <v>44634.306493055556</v>
      </c>
      <c r="T142">
        <v>1</v>
      </c>
      <c r="U142" s="4">
        <v>44636.306493055556</v>
      </c>
      <c r="V142" s="4">
        <v>44639.306493055556</v>
      </c>
      <c r="W142" s="4">
        <v>44641.306493055556</v>
      </c>
      <c r="Z142" s="4">
        <v>44660.306493055556</v>
      </c>
      <c r="AC142" s="2">
        <f t="shared" si="18"/>
        <v>2</v>
      </c>
      <c r="AD142" s="2">
        <f t="shared" si="19"/>
        <v>13</v>
      </c>
      <c r="AE142" s="2">
        <f t="shared" si="20"/>
        <v>11</v>
      </c>
      <c r="AF142" s="2">
        <f t="shared" si="21"/>
        <v>16</v>
      </c>
      <c r="AG142" s="2">
        <f t="shared" si="22"/>
        <v>3</v>
      </c>
      <c r="AH142" s="4">
        <f t="shared" si="23"/>
        <v>44722.306493055556</v>
      </c>
      <c r="AI142" s="2">
        <f t="shared" si="24"/>
        <v>2</v>
      </c>
      <c r="AJ142" s="2">
        <f t="shared" si="25"/>
        <v>28</v>
      </c>
      <c r="AK142" s="2">
        <f t="shared" si="26"/>
        <v>9</v>
      </c>
    </row>
    <row r="143" spans="1:37" x14ac:dyDescent="0.25">
      <c r="A143">
        <v>1383</v>
      </c>
      <c r="B143" t="s">
        <v>205</v>
      </c>
      <c r="C143" t="s">
        <v>94</v>
      </c>
      <c r="D143" t="s">
        <v>142</v>
      </c>
      <c r="E143" t="s">
        <v>29</v>
      </c>
      <c r="F143" t="s">
        <v>143</v>
      </c>
      <c r="G143" t="s">
        <v>144</v>
      </c>
      <c r="H143" s="1">
        <v>45040.733506944445</v>
      </c>
      <c r="I143" s="1">
        <v>45041.733506944445</v>
      </c>
      <c r="J143" t="s">
        <v>32</v>
      </c>
      <c r="K143" s="1">
        <v>45060.733506944445</v>
      </c>
      <c r="L143" t="s">
        <v>57</v>
      </c>
      <c r="N143" s="4">
        <v>45064.733506944445</v>
      </c>
      <c r="O143" t="s">
        <v>57</v>
      </c>
      <c r="P143" s="4">
        <v>45061.733506944445</v>
      </c>
      <c r="Q143" s="4">
        <v>45064.733506944445</v>
      </c>
      <c r="R143" s="4">
        <v>45063.733506944445</v>
      </c>
      <c r="S143" s="4">
        <v>45065.733506944445</v>
      </c>
      <c r="T143">
        <v>1</v>
      </c>
      <c r="U143" s="4">
        <v>45067.733506944445</v>
      </c>
      <c r="V143" s="4">
        <v>45069.733506944445</v>
      </c>
      <c r="W143" s="4">
        <v>45072.733506944445</v>
      </c>
      <c r="Z143" s="4">
        <v>45089.733506944445</v>
      </c>
      <c r="AC143" s="2">
        <f t="shared" si="18"/>
        <v>1</v>
      </c>
      <c r="AD143" s="2">
        <f t="shared" si="19"/>
        <v>20</v>
      </c>
      <c r="AE143" s="2">
        <f t="shared" si="20"/>
        <v>19</v>
      </c>
      <c r="AF143" s="2">
        <f t="shared" si="21"/>
        <v>23</v>
      </c>
      <c r="AG143" s="2">
        <f t="shared" si="22"/>
        <v>3</v>
      </c>
      <c r="AH143" s="4">
        <f t="shared" si="23"/>
        <v>45153.733506944445</v>
      </c>
      <c r="AI143" s="2">
        <f t="shared" si="24"/>
        <v>2</v>
      </c>
      <c r="AJ143" s="2">
        <f t="shared" si="25"/>
        <v>26</v>
      </c>
      <c r="AK143" s="2">
        <f t="shared" si="26"/>
        <v>9</v>
      </c>
    </row>
    <row r="144" spans="1:37" x14ac:dyDescent="0.25">
      <c r="A144">
        <v>1330</v>
      </c>
      <c r="B144" t="s">
        <v>206</v>
      </c>
      <c r="C144" t="s">
        <v>94</v>
      </c>
      <c r="D144" t="s">
        <v>142</v>
      </c>
      <c r="E144" t="s">
        <v>29</v>
      </c>
      <c r="F144" t="s">
        <v>143</v>
      </c>
      <c r="G144" t="s">
        <v>144</v>
      </c>
      <c r="H144" s="1">
        <v>45157.187118055554</v>
      </c>
      <c r="I144" s="1">
        <v>45161.187118055554</v>
      </c>
      <c r="J144" t="s">
        <v>32</v>
      </c>
      <c r="K144" s="1">
        <v>45179.187118055554</v>
      </c>
      <c r="L144" t="s">
        <v>164</v>
      </c>
      <c r="N144" s="4">
        <v>45181.187118055554</v>
      </c>
      <c r="O144" t="s">
        <v>164</v>
      </c>
      <c r="R144" s="4">
        <v>45180.187118055554</v>
      </c>
      <c r="T144">
        <v>0</v>
      </c>
      <c r="AC144" s="2">
        <f t="shared" si="18"/>
        <v>4</v>
      </c>
      <c r="AD144" s="2">
        <f t="shared" si="19"/>
        <v>22</v>
      </c>
      <c r="AE144" s="2">
        <f t="shared" si="20"/>
        <v>18</v>
      </c>
      <c r="AF144" s="2">
        <f t="shared" si="21"/>
        <v>23</v>
      </c>
      <c r="AG144" s="2">
        <f t="shared" si="22"/>
        <v>1</v>
      </c>
      <c r="AH144" s="4">
        <f t="shared" si="23"/>
        <v>45270.187118055554</v>
      </c>
      <c r="AI144" s="2" t="str">
        <f t="shared" si="24"/>
        <v/>
      </c>
      <c r="AJ144" s="2" t="str">
        <f t="shared" si="25"/>
        <v/>
      </c>
      <c r="AK144" s="2" t="str">
        <f t="shared" si="26"/>
        <v/>
      </c>
    </row>
    <row r="145" spans="1:37" x14ac:dyDescent="0.25">
      <c r="A145">
        <v>1324</v>
      </c>
      <c r="B145" t="s">
        <v>207</v>
      </c>
      <c r="C145" t="s">
        <v>94</v>
      </c>
      <c r="D145" t="s">
        <v>142</v>
      </c>
      <c r="E145" t="s">
        <v>29</v>
      </c>
      <c r="F145" t="s">
        <v>143</v>
      </c>
      <c r="G145" t="s">
        <v>144</v>
      </c>
      <c r="H145" s="1">
        <v>45162.187118055554</v>
      </c>
      <c r="I145" s="1">
        <v>45163.187118055554</v>
      </c>
      <c r="J145" t="s">
        <v>32</v>
      </c>
      <c r="K145" s="1">
        <v>45169.187118055554</v>
      </c>
      <c r="L145" t="s">
        <v>33</v>
      </c>
      <c r="M145" t="s">
        <v>108</v>
      </c>
      <c r="T145">
        <v>0</v>
      </c>
      <c r="Y145" t="s">
        <v>35</v>
      </c>
      <c r="AC145" s="2">
        <f t="shared" si="18"/>
        <v>1</v>
      </c>
      <c r="AD145" s="2">
        <f t="shared" si="19"/>
        <v>7</v>
      </c>
      <c r="AE145" s="2">
        <f t="shared" si="20"/>
        <v>6</v>
      </c>
      <c r="AF145" s="2" t="str">
        <f t="shared" si="21"/>
        <v/>
      </c>
      <c r="AG145" s="2" t="str">
        <f t="shared" si="22"/>
        <v/>
      </c>
      <c r="AH145" s="4" t="str">
        <f t="shared" si="23"/>
        <v/>
      </c>
      <c r="AI145" s="2" t="str">
        <f t="shared" si="24"/>
        <v/>
      </c>
      <c r="AJ145" s="2" t="str">
        <f t="shared" si="25"/>
        <v/>
      </c>
      <c r="AK145" s="2" t="str">
        <f t="shared" si="26"/>
        <v/>
      </c>
    </row>
    <row r="146" spans="1:37" x14ac:dyDescent="0.25">
      <c r="A146">
        <v>1297</v>
      </c>
      <c r="B146" t="s">
        <v>208</v>
      </c>
      <c r="C146" t="s">
        <v>94</v>
      </c>
      <c r="D146" t="s">
        <v>142</v>
      </c>
      <c r="E146" t="s">
        <v>29</v>
      </c>
      <c r="F146" t="s">
        <v>143</v>
      </c>
      <c r="G146" t="s">
        <v>144</v>
      </c>
      <c r="H146" s="1">
        <v>45088.672731481478</v>
      </c>
      <c r="I146" s="1">
        <v>45092.672731481478</v>
      </c>
      <c r="J146" t="s">
        <v>32</v>
      </c>
      <c r="K146" s="1">
        <v>45099.672731481478</v>
      </c>
      <c r="L146" t="s">
        <v>33</v>
      </c>
      <c r="M146" t="s">
        <v>67</v>
      </c>
      <c r="R146" s="4">
        <v>45101.672731481478</v>
      </c>
      <c r="T146">
        <v>0</v>
      </c>
      <c r="Y146" t="s">
        <v>35</v>
      </c>
      <c r="AC146" s="2">
        <f t="shared" si="18"/>
        <v>4</v>
      </c>
      <c r="AD146" s="2">
        <f t="shared" si="19"/>
        <v>11</v>
      </c>
      <c r="AE146" s="2">
        <f t="shared" si="20"/>
        <v>7</v>
      </c>
      <c r="AF146" s="2">
        <f t="shared" si="21"/>
        <v>13</v>
      </c>
      <c r="AG146" s="2">
        <f t="shared" si="22"/>
        <v>2</v>
      </c>
      <c r="AH146" s="4">
        <f t="shared" si="23"/>
        <v>45191.672731481478</v>
      </c>
      <c r="AI146" s="2" t="str">
        <f t="shared" si="24"/>
        <v/>
      </c>
      <c r="AJ146" s="2" t="str">
        <f t="shared" si="25"/>
        <v/>
      </c>
      <c r="AK146" s="2" t="str">
        <f t="shared" si="26"/>
        <v/>
      </c>
    </row>
    <row r="147" spans="1:37" x14ac:dyDescent="0.25">
      <c r="A147">
        <v>1153</v>
      </c>
      <c r="B147" t="s">
        <v>209</v>
      </c>
      <c r="C147" t="s">
        <v>94</v>
      </c>
      <c r="D147" t="s">
        <v>142</v>
      </c>
      <c r="E147" t="s">
        <v>29</v>
      </c>
      <c r="F147" t="s">
        <v>143</v>
      </c>
      <c r="G147" t="s">
        <v>144</v>
      </c>
      <c r="H147" s="1">
        <v>44642.808749999997</v>
      </c>
      <c r="I147" s="1">
        <v>44643.808749999997</v>
      </c>
      <c r="J147" t="s">
        <v>32</v>
      </c>
      <c r="K147" s="1">
        <v>44652.808749999997</v>
      </c>
      <c r="L147" t="s">
        <v>33</v>
      </c>
      <c r="M147" t="s">
        <v>108</v>
      </c>
      <c r="T147">
        <v>0</v>
      </c>
      <c r="Y147" t="s">
        <v>55</v>
      </c>
      <c r="AC147" s="2">
        <f t="shared" si="18"/>
        <v>1</v>
      </c>
      <c r="AD147" s="2">
        <f t="shared" si="19"/>
        <v>10</v>
      </c>
      <c r="AE147" s="2">
        <f t="shared" si="20"/>
        <v>9</v>
      </c>
      <c r="AF147" s="2" t="str">
        <f t="shared" si="21"/>
        <v/>
      </c>
      <c r="AG147" s="2" t="str">
        <f t="shared" si="22"/>
        <v/>
      </c>
      <c r="AH147" s="4" t="str">
        <f t="shared" si="23"/>
        <v/>
      </c>
      <c r="AI147" s="2" t="str">
        <f t="shared" si="24"/>
        <v/>
      </c>
      <c r="AJ147" s="2" t="str">
        <f t="shared" si="25"/>
        <v/>
      </c>
      <c r="AK147" s="2" t="str">
        <f t="shared" si="26"/>
        <v/>
      </c>
    </row>
    <row r="148" spans="1:37" x14ac:dyDescent="0.25">
      <c r="A148">
        <v>998</v>
      </c>
      <c r="B148" t="s">
        <v>210</v>
      </c>
      <c r="C148" t="s">
        <v>94</v>
      </c>
      <c r="D148" t="s">
        <v>142</v>
      </c>
      <c r="E148" t="s">
        <v>29</v>
      </c>
      <c r="F148" t="s">
        <v>143</v>
      </c>
      <c r="G148" t="s">
        <v>144</v>
      </c>
      <c r="H148" s="1">
        <v>45012.858425925922</v>
      </c>
      <c r="I148" s="1">
        <v>45016.858425925922</v>
      </c>
      <c r="J148" t="s">
        <v>32</v>
      </c>
      <c r="K148" s="1">
        <v>45028.858425925922</v>
      </c>
      <c r="L148" t="s">
        <v>33</v>
      </c>
      <c r="M148" t="s">
        <v>34</v>
      </c>
      <c r="T148">
        <v>0</v>
      </c>
      <c r="Y148" t="s">
        <v>55</v>
      </c>
      <c r="AC148" s="2">
        <f t="shared" si="18"/>
        <v>4</v>
      </c>
      <c r="AD148" s="2">
        <f t="shared" si="19"/>
        <v>16</v>
      </c>
      <c r="AE148" s="2">
        <f t="shared" si="20"/>
        <v>12</v>
      </c>
      <c r="AF148" s="2" t="str">
        <f t="shared" si="21"/>
        <v/>
      </c>
      <c r="AG148" s="2" t="str">
        <f t="shared" si="22"/>
        <v/>
      </c>
      <c r="AH148" s="4" t="str">
        <f t="shared" si="23"/>
        <v/>
      </c>
      <c r="AI148" s="2" t="str">
        <f t="shared" si="24"/>
        <v/>
      </c>
      <c r="AJ148" s="2" t="str">
        <f t="shared" si="25"/>
        <v/>
      </c>
      <c r="AK148" s="2" t="str">
        <f t="shared" si="26"/>
        <v/>
      </c>
    </row>
    <row r="149" spans="1:37" x14ac:dyDescent="0.25">
      <c r="A149">
        <v>997</v>
      </c>
      <c r="B149" t="s">
        <v>211</v>
      </c>
      <c r="C149" t="s">
        <v>94</v>
      </c>
      <c r="D149" t="s">
        <v>142</v>
      </c>
      <c r="E149" t="s">
        <v>29</v>
      </c>
      <c r="F149" t="s">
        <v>143</v>
      </c>
      <c r="G149" t="s">
        <v>144</v>
      </c>
      <c r="H149" s="1">
        <v>45015.858425925922</v>
      </c>
      <c r="I149" s="1">
        <v>45019.858425925922</v>
      </c>
      <c r="J149" t="s">
        <v>32</v>
      </c>
      <c r="K149" s="1">
        <v>45024.858425925922</v>
      </c>
      <c r="L149" t="s">
        <v>57</v>
      </c>
      <c r="N149" s="4">
        <v>45030.858425925922</v>
      </c>
      <c r="O149" t="s">
        <v>57</v>
      </c>
      <c r="P149" s="4">
        <v>45025.858425925922</v>
      </c>
      <c r="Q149" s="4">
        <v>45027.858425925922</v>
      </c>
      <c r="R149" s="4">
        <v>45026.858425925922</v>
      </c>
      <c r="S149" s="4">
        <v>45035.858425925922</v>
      </c>
      <c r="T149">
        <v>1</v>
      </c>
      <c r="U149" s="4">
        <v>45039.858425925922</v>
      </c>
      <c r="V149" s="4">
        <v>45042.858425925922</v>
      </c>
      <c r="W149" s="4">
        <v>45044.858425925922</v>
      </c>
      <c r="Z149" s="4">
        <v>45063.858425925922</v>
      </c>
      <c r="AC149" s="2">
        <f t="shared" si="18"/>
        <v>4</v>
      </c>
      <c r="AD149" s="2">
        <f t="shared" si="19"/>
        <v>9</v>
      </c>
      <c r="AE149" s="2">
        <f t="shared" si="20"/>
        <v>5</v>
      </c>
      <c r="AF149" s="2">
        <f t="shared" si="21"/>
        <v>11</v>
      </c>
      <c r="AG149" s="2">
        <f t="shared" si="22"/>
        <v>2</v>
      </c>
      <c r="AH149" s="4">
        <f t="shared" si="23"/>
        <v>45116.858425925922</v>
      </c>
      <c r="AI149" s="2">
        <f t="shared" si="24"/>
        <v>4</v>
      </c>
      <c r="AJ149" s="2">
        <f t="shared" si="25"/>
        <v>37</v>
      </c>
      <c r="AK149" s="2">
        <f t="shared" si="26"/>
        <v>18</v>
      </c>
    </row>
    <row r="150" spans="1:37" x14ac:dyDescent="0.25">
      <c r="A150">
        <v>958</v>
      </c>
      <c r="B150" t="s">
        <v>212</v>
      </c>
      <c r="C150" t="s">
        <v>94</v>
      </c>
      <c r="D150" t="s">
        <v>142</v>
      </c>
      <c r="E150" t="s">
        <v>29</v>
      </c>
      <c r="F150" t="s">
        <v>143</v>
      </c>
      <c r="G150" t="s">
        <v>144</v>
      </c>
      <c r="H150" s="1">
        <v>45140.997118055559</v>
      </c>
      <c r="I150" s="1">
        <v>45143.997118055559</v>
      </c>
      <c r="J150" t="s">
        <v>32</v>
      </c>
      <c r="K150" s="1">
        <v>45161.997118055559</v>
      </c>
      <c r="L150" t="s">
        <v>33</v>
      </c>
      <c r="M150" t="s">
        <v>67</v>
      </c>
      <c r="R150" s="4">
        <v>45163.997118055559</v>
      </c>
      <c r="T150">
        <v>0</v>
      </c>
      <c r="Y150" t="s">
        <v>55</v>
      </c>
      <c r="AC150" s="2">
        <f t="shared" si="18"/>
        <v>3</v>
      </c>
      <c r="AD150" s="2">
        <f t="shared" si="19"/>
        <v>21</v>
      </c>
      <c r="AE150" s="2">
        <f t="shared" si="20"/>
        <v>18</v>
      </c>
      <c r="AF150" s="2">
        <f t="shared" si="21"/>
        <v>23</v>
      </c>
      <c r="AG150" s="2">
        <f t="shared" si="22"/>
        <v>2</v>
      </c>
      <c r="AH150" s="4">
        <f t="shared" si="23"/>
        <v>45253.997118055559</v>
      </c>
      <c r="AI150" s="2" t="str">
        <f t="shared" si="24"/>
        <v/>
      </c>
      <c r="AJ150" s="2" t="str">
        <f t="shared" si="25"/>
        <v/>
      </c>
      <c r="AK150" s="2" t="str">
        <f t="shared" si="26"/>
        <v/>
      </c>
    </row>
    <row r="151" spans="1:37" x14ac:dyDescent="0.25">
      <c r="A151">
        <v>953</v>
      </c>
      <c r="B151" t="s">
        <v>213</v>
      </c>
      <c r="C151" t="s">
        <v>94</v>
      </c>
      <c r="D151" t="s">
        <v>142</v>
      </c>
      <c r="E151" t="s">
        <v>29</v>
      </c>
      <c r="F151" t="s">
        <v>143</v>
      </c>
      <c r="G151" t="s">
        <v>144</v>
      </c>
      <c r="H151" s="1">
        <v>45140.997118055559</v>
      </c>
      <c r="I151" s="1">
        <v>45142.997118055559</v>
      </c>
      <c r="J151" t="s">
        <v>32</v>
      </c>
      <c r="K151" s="1">
        <v>45150.997118055559</v>
      </c>
      <c r="L151" t="s">
        <v>33</v>
      </c>
      <c r="M151" t="s">
        <v>51</v>
      </c>
      <c r="T151">
        <v>0</v>
      </c>
      <c r="Y151" t="s">
        <v>35</v>
      </c>
      <c r="AC151" s="2">
        <f t="shared" si="18"/>
        <v>2</v>
      </c>
      <c r="AD151" s="2">
        <f t="shared" si="19"/>
        <v>10</v>
      </c>
      <c r="AE151" s="2">
        <f t="shared" si="20"/>
        <v>8</v>
      </c>
      <c r="AF151" s="2" t="str">
        <f t="shared" si="21"/>
        <v/>
      </c>
      <c r="AG151" s="2" t="str">
        <f t="shared" si="22"/>
        <v/>
      </c>
      <c r="AH151" s="4" t="str">
        <f t="shared" si="23"/>
        <v/>
      </c>
      <c r="AI151" s="2" t="str">
        <f t="shared" si="24"/>
        <v/>
      </c>
      <c r="AJ151" s="2" t="str">
        <f t="shared" si="25"/>
        <v/>
      </c>
      <c r="AK151" s="2" t="str">
        <f t="shared" si="26"/>
        <v/>
      </c>
    </row>
    <row r="152" spans="1:37" x14ac:dyDescent="0.25">
      <c r="A152">
        <v>944</v>
      </c>
      <c r="B152" t="s">
        <v>214</v>
      </c>
      <c r="C152" t="s">
        <v>94</v>
      </c>
      <c r="D152" t="s">
        <v>142</v>
      </c>
      <c r="E152" t="s">
        <v>29</v>
      </c>
      <c r="F152" t="s">
        <v>143</v>
      </c>
      <c r="G152" t="s">
        <v>144</v>
      </c>
      <c r="H152" s="1">
        <v>44859.043067129627</v>
      </c>
      <c r="I152" s="1">
        <v>44863.043067129627</v>
      </c>
      <c r="J152" t="s">
        <v>32</v>
      </c>
      <c r="K152" s="1">
        <v>44884.043067129627</v>
      </c>
      <c r="L152" t="s">
        <v>33</v>
      </c>
      <c r="M152" t="s">
        <v>51</v>
      </c>
      <c r="T152">
        <v>0</v>
      </c>
      <c r="Y152" t="s">
        <v>35</v>
      </c>
      <c r="AC152" s="2">
        <f t="shared" si="18"/>
        <v>4</v>
      </c>
      <c r="AD152" s="2">
        <f t="shared" si="19"/>
        <v>25</v>
      </c>
      <c r="AE152" s="2">
        <f t="shared" si="20"/>
        <v>21</v>
      </c>
      <c r="AF152" s="2" t="str">
        <f t="shared" si="21"/>
        <v/>
      </c>
      <c r="AG152" s="2" t="str">
        <f t="shared" si="22"/>
        <v/>
      </c>
      <c r="AH152" s="4" t="str">
        <f t="shared" si="23"/>
        <v/>
      </c>
      <c r="AI152" s="2" t="str">
        <f t="shared" si="24"/>
        <v/>
      </c>
      <c r="AJ152" s="2" t="str">
        <f t="shared" si="25"/>
        <v/>
      </c>
      <c r="AK152" s="2" t="str">
        <f t="shared" si="26"/>
        <v/>
      </c>
    </row>
    <row r="153" spans="1:37" x14ac:dyDescent="0.25">
      <c r="A153">
        <v>919</v>
      </c>
      <c r="B153" t="s">
        <v>215</v>
      </c>
      <c r="C153" t="s">
        <v>94</v>
      </c>
      <c r="D153" t="s">
        <v>142</v>
      </c>
      <c r="E153" t="s">
        <v>29</v>
      </c>
      <c r="F153" t="s">
        <v>143</v>
      </c>
      <c r="G153" t="s">
        <v>144</v>
      </c>
      <c r="H153" s="1">
        <v>44670.256099537037</v>
      </c>
      <c r="I153" s="1">
        <v>44673.256099537037</v>
      </c>
      <c r="J153" t="s">
        <v>32</v>
      </c>
      <c r="K153" s="1">
        <v>44682.256099537037</v>
      </c>
      <c r="L153" t="s">
        <v>57</v>
      </c>
      <c r="N153" s="4">
        <v>44689.256099537037</v>
      </c>
      <c r="O153" t="s">
        <v>57</v>
      </c>
      <c r="P153" s="4">
        <v>44683.256099537037</v>
      </c>
      <c r="Q153" s="4">
        <v>44684.256099537037</v>
      </c>
      <c r="R153" s="4">
        <v>44686.256099537037</v>
      </c>
      <c r="S153" s="4">
        <v>44687.256099537037</v>
      </c>
      <c r="T153">
        <v>1</v>
      </c>
      <c r="U153" s="4">
        <v>44690.256099537037</v>
      </c>
      <c r="V153" s="4">
        <v>44693.256099537037</v>
      </c>
      <c r="W153" s="4">
        <v>44694.256099537037</v>
      </c>
      <c r="Z153" s="4">
        <v>44710.256099537037</v>
      </c>
      <c r="AC153" s="2">
        <f t="shared" si="18"/>
        <v>3</v>
      </c>
      <c r="AD153" s="2">
        <f t="shared" si="19"/>
        <v>12</v>
      </c>
      <c r="AE153" s="2">
        <f t="shared" si="20"/>
        <v>9</v>
      </c>
      <c r="AF153" s="2">
        <f t="shared" si="21"/>
        <v>16</v>
      </c>
      <c r="AG153" s="2">
        <f t="shared" si="22"/>
        <v>4</v>
      </c>
      <c r="AH153" s="4">
        <f t="shared" si="23"/>
        <v>44776.256099537037</v>
      </c>
      <c r="AI153" s="2">
        <f t="shared" si="24"/>
        <v>3</v>
      </c>
      <c r="AJ153" s="2">
        <f t="shared" si="25"/>
        <v>24</v>
      </c>
      <c r="AK153" s="2">
        <f t="shared" si="26"/>
        <v>8</v>
      </c>
    </row>
    <row r="154" spans="1:37" x14ac:dyDescent="0.25">
      <c r="A154">
        <v>916</v>
      </c>
      <c r="B154" t="s">
        <v>216</v>
      </c>
      <c r="C154" t="s">
        <v>94</v>
      </c>
      <c r="D154" t="s">
        <v>142</v>
      </c>
      <c r="E154" t="s">
        <v>29</v>
      </c>
      <c r="F154" t="s">
        <v>143</v>
      </c>
      <c r="G154" t="s">
        <v>144</v>
      </c>
      <c r="H154" s="1">
        <v>44666.256099537037</v>
      </c>
      <c r="I154" s="1">
        <v>44670.256099537037</v>
      </c>
      <c r="J154" t="s">
        <v>32</v>
      </c>
      <c r="K154" s="1">
        <v>44691.256099537037</v>
      </c>
      <c r="L154" t="s">
        <v>33</v>
      </c>
      <c r="M154" t="s">
        <v>108</v>
      </c>
      <c r="T154">
        <v>0</v>
      </c>
      <c r="Y154" t="s">
        <v>35</v>
      </c>
      <c r="AC154" s="2">
        <f t="shared" si="18"/>
        <v>4</v>
      </c>
      <c r="AD154" s="2">
        <f t="shared" si="19"/>
        <v>25</v>
      </c>
      <c r="AE154" s="2">
        <f t="shared" si="20"/>
        <v>21</v>
      </c>
      <c r="AF154" s="2" t="str">
        <f t="shared" si="21"/>
        <v/>
      </c>
      <c r="AG154" s="2" t="str">
        <f t="shared" si="22"/>
        <v/>
      </c>
      <c r="AH154" s="4" t="str">
        <f t="shared" si="23"/>
        <v/>
      </c>
      <c r="AI154" s="2" t="str">
        <f t="shared" si="24"/>
        <v/>
      </c>
      <c r="AJ154" s="2" t="str">
        <f t="shared" si="25"/>
        <v/>
      </c>
      <c r="AK154" s="2" t="str">
        <f t="shared" si="26"/>
        <v/>
      </c>
    </row>
    <row r="155" spans="1:37" x14ac:dyDescent="0.25">
      <c r="A155">
        <v>912</v>
      </c>
      <c r="B155" t="s">
        <v>217</v>
      </c>
      <c r="C155" t="s">
        <v>94</v>
      </c>
      <c r="D155" t="s">
        <v>142</v>
      </c>
      <c r="E155" t="s">
        <v>29</v>
      </c>
      <c r="F155" t="s">
        <v>143</v>
      </c>
      <c r="G155" t="s">
        <v>144</v>
      </c>
      <c r="H155" s="1">
        <v>44669.256099537037</v>
      </c>
      <c r="I155" s="1">
        <v>44672.256099537037</v>
      </c>
      <c r="J155" t="s">
        <v>44</v>
      </c>
      <c r="K155" s="1"/>
      <c r="T155">
        <v>0</v>
      </c>
      <c r="AC155" s="2">
        <f t="shared" si="18"/>
        <v>3</v>
      </c>
      <c r="AD155" s="2" t="str">
        <f t="shared" si="19"/>
        <v/>
      </c>
      <c r="AE155" s="2" t="str">
        <f t="shared" si="20"/>
        <v/>
      </c>
      <c r="AF155" s="2" t="str">
        <f t="shared" si="21"/>
        <v/>
      </c>
      <c r="AG155" s="2" t="str">
        <f t="shared" si="22"/>
        <v/>
      </c>
      <c r="AH155" s="4" t="str">
        <f t="shared" si="23"/>
        <v/>
      </c>
      <c r="AI155" s="2" t="str">
        <f t="shared" si="24"/>
        <v/>
      </c>
      <c r="AJ155" s="2" t="str">
        <f t="shared" si="25"/>
        <v/>
      </c>
      <c r="AK155" s="2" t="str">
        <f t="shared" si="26"/>
        <v/>
      </c>
    </row>
    <row r="156" spans="1:37" x14ac:dyDescent="0.25">
      <c r="A156">
        <v>911</v>
      </c>
      <c r="B156" t="s">
        <v>218</v>
      </c>
      <c r="C156" t="s">
        <v>94</v>
      </c>
      <c r="D156" t="s">
        <v>142</v>
      </c>
      <c r="E156" t="s">
        <v>29</v>
      </c>
      <c r="F156" t="s">
        <v>143</v>
      </c>
      <c r="G156" t="s">
        <v>144</v>
      </c>
      <c r="H156" s="1">
        <v>44671.256099537037</v>
      </c>
      <c r="I156" s="1">
        <v>44672.256099537037</v>
      </c>
      <c r="J156" t="s">
        <v>32</v>
      </c>
      <c r="K156" s="1">
        <v>44687.256099537037</v>
      </c>
      <c r="L156" t="s">
        <v>33</v>
      </c>
      <c r="M156" t="s">
        <v>67</v>
      </c>
      <c r="R156" s="4">
        <v>44690.256099537037</v>
      </c>
      <c r="T156">
        <v>0</v>
      </c>
      <c r="Y156" t="s">
        <v>55</v>
      </c>
      <c r="AC156" s="2">
        <f t="shared" si="18"/>
        <v>1</v>
      </c>
      <c r="AD156" s="2">
        <f t="shared" si="19"/>
        <v>16</v>
      </c>
      <c r="AE156" s="2">
        <f t="shared" si="20"/>
        <v>15</v>
      </c>
      <c r="AF156" s="2">
        <f t="shared" si="21"/>
        <v>19</v>
      </c>
      <c r="AG156" s="2">
        <f t="shared" si="22"/>
        <v>3</v>
      </c>
      <c r="AH156" s="4">
        <f t="shared" si="23"/>
        <v>44780.256099537037</v>
      </c>
      <c r="AI156" s="2" t="str">
        <f t="shared" si="24"/>
        <v/>
      </c>
      <c r="AJ156" s="2" t="str">
        <f t="shared" si="25"/>
        <v/>
      </c>
      <c r="AK156" s="2" t="str">
        <f t="shared" si="26"/>
        <v/>
      </c>
    </row>
    <row r="157" spans="1:37" x14ac:dyDescent="0.25">
      <c r="A157">
        <v>910</v>
      </c>
      <c r="B157" t="s">
        <v>219</v>
      </c>
      <c r="C157" t="s">
        <v>94</v>
      </c>
      <c r="D157" t="s">
        <v>142</v>
      </c>
      <c r="E157" t="s">
        <v>29</v>
      </c>
      <c r="F157" t="s">
        <v>143</v>
      </c>
      <c r="G157" t="s">
        <v>144</v>
      </c>
      <c r="H157" s="1">
        <v>45158.249560185184</v>
      </c>
      <c r="I157" s="1">
        <v>45162.249560185184</v>
      </c>
      <c r="J157" t="s">
        <v>32</v>
      </c>
      <c r="K157" s="1">
        <v>45175.249560185184</v>
      </c>
      <c r="L157" t="s">
        <v>39</v>
      </c>
      <c r="N157" s="4">
        <v>45177.249560185184</v>
      </c>
      <c r="O157" t="s">
        <v>39</v>
      </c>
      <c r="R157" s="4">
        <v>45176.249560185184</v>
      </c>
      <c r="T157">
        <v>0</v>
      </c>
      <c r="AC157" s="2">
        <f t="shared" si="18"/>
        <v>4</v>
      </c>
      <c r="AD157" s="2">
        <f t="shared" si="19"/>
        <v>17</v>
      </c>
      <c r="AE157" s="2">
        <f t="shared" si="20"/>
        <v>13</v>
      </c>
      <c r="AF157" s="2">
        <f t="shared" si="21"/>
        <v>18</v>
      </c>
      <c r="AG157" s="2">
        <f t="shared" si="22"/>
        <v>1</v>
      </c>
      <c r="AH157" s="4">
        <f t="shared" si="23"/>
        <v>45266.249560185184</v>
      </c>
      <c r="AI157" s="2" t="str">
        <f t="shared" si="24"/>
        <v/>
      </c>
      <c r="AJ157" s="2" t="str">
        <f t="shared" si="25"/>
        <v/>
      </c>
      <c r="AK157" s="2" t="str">
        <f t="shared" si="26"/>
        <v/>
      </c>
    </row>
    <row r="158" spans="1:37" x14ac:dyDescent="0.25">
      <c r="A158">
        <v>907</v>
      </c>
      <c r="B158" t="s">
        <v>220</v>
      </c>
      <c r="C158" t="s">
        <v>94</v>
      </c>
      <c r="D158" t="s">
        <v>142</v>
      </c>
      <c r="E158" t="s">
        <v>29</v>
      </c>
      <c r="F158" t="s">
        <v>143</v>
      </c>
      <c r="G158" t="s">
        <v>144</v>
      </c>
      <c r="H158" s="1">
        <v>45157.249560185184</v>
      </c>
      <c r="I158" s="1">
        <v>45160.249560185184</v>
      </c>
      <c r="J158" t="s">
        <v>44</v>
      </c>
      <c r="K158" s="1"/>
      <c r="T158">
        <v>0</v>
      </c>
      <c r="AC158" s="2">
        <f t="shared" si="18"/>
        <v>3</v>
      </c>
      <c r="AD158" s="2" t="str">
        <f t="shared" si="19"/>
        <v/>
      </c>
      <c r="AE158" s="2" t="str">
        <f t="shared" si="20"/>
        <v/>
      </c>
      <c r="AF158" s="2" t="str">
        <f t="shared" si="21"/>
        <v/>
      </c>
      <c r="AG158" s="2" t="str">
        <f t="shared" si="22"/>
        <v/>
      </c>
      <c r="AH158" s="4" t="str">
        <f t="shared" si="23"/>
        <v/>
      </c>
      <c r="AI158" s="2" t="str">
        <f t="shared" si="24"/>
        <v/>
      </c>
      <c r="AJ158" s="2" t="str">
        <f t="shared" si="25"/>
        <v/>
      </c>
      <c r="AK158" s="2" t="str">
        <f t="shared" si="26"/>
        <v/>
      </c>
    </row>
    <row r="159" spans="1:37" x14ac:dyDescent="0.25">
      <c r="A159">
        <v>836</v>
      </c>
      <c r="B159" t="s">
        <v>221</v>
      </c>
      <c r="C159" t="s">
        <v>94</v>
      </c>
      <c r="D159" t="s">
        <v>142</v>
      </c>
      <c r="E159" t="s">
        <v>29</v>
      </c>
      <c r="F159" t="s">
        <v>143</v>
      </c>
      <c r="G159" t="s">
        <v>144</v>
      </c>
      <c r="H159" s="1">
        <v>44755.707071759258</v>
      </c>
      <c r="I159" s="1">
        <v>44759.707071759258</v>
      </c>
      <c r="J159" t="s">
        <v>32</v>
      </c>
      <c r="K159" s="1">
        <v>44766.707071759258</v>
      </c>
      <c r="L159" t="s">
        <v>164</v>
      </c>
      <c r="N159" s="4">
        <v>44769.707071759258</v>
      </c>
      <c r="O159" t="s">
        <v>164</v>
      </c>
      <c r="R159" s="4">
        <v>44768.707071759258</v>
      </c>
      <c r="T159">
        <v>0</v>
      </c>
      <c r="AC159" s="2">
        <f t="shared" si="18"/>
        <v>4</v>
      </c>
      <c r="AD159" s="2">
        <f t="shared" si="19"/>
        <v>11</v>
      </c>
      <c r="AE159" s="2">
        <f t="shared" si="20"/>
        <v>7</v>
      </c>
      <c r="AF159" s="2">
        <f t="shared" si="21"/>
        <v>13</v>
      </c>
      <c r="AG159" s="2">
        <f t="shared" si="22"/>
        <v>2</v>
      </c>
      <c r="AH159" s="4">
        <f t="shared" si="23"/>
        <v>44858.707071759258</v>
      </c>
      <c r="AI159" s="2" t="str">
        <f t="shared" si="24"/>
        <v/>
      </c>
      <c r="AJ159" s="2" t="str">
        <f t="shared" si="25"/>
        <v/>
      </c>
      <c r="AK159" s="2" t="str">
        <f t="shared" si="26"/>
        <v/>
      </c>
    </row>
    <row r="160" spans="1:37" x14ac:dyDescent="0.25">
      <c r="A160">
        <v>827</v>
      </c>
      <c r="B160" t="s">
        <v>222</v>
      </c>
      <c r="C160" t="s">
        <v>94</v>
      </c>
      <c r="D160" t="s">
        <v>142</v>
      </c>
      <c r="E160" t="s">
        <v>29</v>
      </c>
      <c r="F160" t="s">
        <v>143</v>
      </c>
      <c r="G160" t="s">
        <v>144</v>
      </c>
      <c r="H160" s="1">
        <v>44625.625335648147</v>
      </c>
      <c r="I160" s="1">
        <v>44627.625335648147</v>
      </c>
      <c r="J160" t="s">
        <v>44</v>
      </c>
      <c r="K160" s="1"/>
      <c r="T160">
        <v>0</v>
      </c>
      <c r="AC160" s="2">
        <f t="shared" si="18"/>
        <v>2</v>
      </c>
      <c r="AD160" s="2" t="str">
        <f t="shared" si="19"/>
        <v/>
      </c>
      <c r="AE160" s="2" t="str">
        <f t="shared" si="20"/>
        <v/>
      </c>
      <c r="AF160" s="2" t="str">
        <f t="shared" si="21"/>
        <v/>
      </c>
      <c r="AG160" s="2" t="str">
        <f t="shared" si="22"/>
        <v/>
      </c>
      <c r="AH160" s="4" t="str">
        <f t="shared" si="23"/>
        <v/>
      </c>
      <c r="AI160" s="2" t="str">
        <f t="shared" si="24"/>
        <v/>
      </c>
      <c r="AJ160" s="2" t="str">
        <f t="shared" si="25"/>
        <v/>
      </c>
      <c r="AK160" s="2" t="str">
        <f t="shared" si="26"/>
        <v/>
      </c>
    </row>
    <row r="161" spans="1:37" x14ac:dyDescent="0.25">
      <c r="A161">
        <v>825</v>
      </c>
      <c r="B161" t="s">
        <v>223</v>
      </c>
      <c r="C161" t="s">
        <v>94</v>
      </c>
      <c r="D161" t="s">
        <v>142</v>
      </c>
      <c r="E161" t="s">
        <v>29</v>
      </c>
      <c r="F161" t="s">
        <v>143</v>
      </c>
      <c r="G161" t="s">
        <v>144</v>
      </c>
      <c r="H161" s="1">
        <v>44628.625335648147</v>
      </c>
      <c r="I161" s="1">
        <v>44629.625335648147</v>
      </c>
      <c r="J161" t="s">
        <v>32</v>
      </c>
      <c r="K161" s="1">
        <v>44647.625335648147</v>
      </c>
      <c r="L161" t="s">
        <v>57</v>
      </c>
      <c r="N161" s="4">
        <v>44652.625335648147</v>
      </c>
      <c r="O161" t="s">
        <v>57</v>
      </c>
      <c r="P161" s="4">
        <v>44649.625335648147</v>
      </c>
      <c r="Q161" s="4">
        <v>44651.625335648147</v>
      </c>
      <c r="R161" s="4">
        <v>44650.625335648147</v>
      </c>
      <c r="S161" s="4">
        <v>44659.625335648147</v>
      </c>
      <c r="T161">
        <v>1</v>
      </c>
      <c r="U161" s="4">
        <v>44662.625335648147</v>
      </c>
      <c r="V161" s="4">
        <v>44664.625335648147</v>
      </c>
      <c r="W161" s="4">
        <v>44665.625335648147</v>
      </c>
      <c r="Z161" s="4">
        <v>44679.625335648147</v>
      </c>
      <c r="AC161" s="2">
        <f t="shared" si="18"/>
        <v>1</v>
      </c>
      <c r="AD161" s="2">
        <f t="shared" si="19"/>
        <v>19</v>
      </c>
      <c r="AE161" s="2">
        <f t="shared" si="20"/>
        <v>18</v>
      </c>
      <c r="AF161" s="2">
        <f t="shared" si="21"/>
        <v>22</v>
      </c>
      <c r="AG161" s="2">
        <f t="shared" si="22"/>
        <v>3</v>
      </c>
      <c r="AH161" s="4">
        <f t="shared" si="23"/>
        <v>44740.625335648147</v>
      </c>
      <c r="AI161" s="2">
        <f t="shared" si="24"/>
        <v>3</v>
      </c>
      <c r="AJ161" s="2">
        <f t="shared" si="25"/>
        <v>29</v>
      </c>
      <c r="AK161" s="2">
        <f t="shared" si="26"/>
        <v>15</v>
      </c>
    </row>
    <row r="162" spans="1:37" x14ac:dyDescent="0.25">
      <c r="A162">
        <v>824</v>
      </c>
      <c r="B162" t="s">
        <v>224</v>
      </c>
      <c r="C162" t="s">
        <v>94</v>
      </c>
      <c r="D162" t="s">
        <v>142</v>
      </c>
      <c r="E162" t="s">
        <v>29</v>
      </c>
      <c r="F162" t="s">
        <v>143</v>
      </c>
      <c r="G162" t="s">
        <v>144</v>
      </c>
      <c r="H162" s="1">
        <v>44621.625335648147</v>
      </c>
      <c r="I162" s="1">
        <v>44625.625335648147</v>
      </c>
      <c r="J162" t="s">
        <v>32</v>
      </c>
      <c r="K162" s="1">
        <v>44641.625335648147</v>
      </c>
      <c r="L162" t="s">
        <v>33</v>
      </c>
      <c r="M162" t="s">
        <v>67</v>
      </c>
      <c r="T162">
        <v>0</v>
      </c>
      <c r="Y162" t="s">
        <v>55</v>
      </c>
      <c r="AC162" s="2">
        <f t="shared" si="18"/>
        <v>4</v>
      </c>
      <c r="AD162" s="2">
        <f t="shared" si="19"/>
        <v>20</v>
      </c>
      <c r="AE162" s="2">
        <f t="shared" si="20"/>
        <v>16</v>
      </c>
      <c r="AF162" s="2" t="str">
        <f t="shared" si="21"/>
        <v/>
      </c>
      <c r="AG162" s="2" t="str">
        <f t="shared" si="22"/>
        <v/>
      </c>
      <c r="AH162" s="4" t="str">
        <f t="shared" si="23"/>
        <v/>
      </c>
      <c r="AI162" s="2" t="str">
        <f t="shared" si="24"/>
        <v/>
      </c>
      <c r="AJ162" s="2" t="str">
        <f t="shared" si="25"/>
        <v/>
      </c>
      <c r="AK162" s="2" t="str">
        <f t="shared" si="26"/>
        <v/>
      </c>
    </row>
    <row r="163" spans="1:37" x14ac:dyDescent="0.25">
      <c r="A163">
        <v>821</v>
      </c>
      <c r="B163" t="s">
        <v>225</v>
      </c>
      <c r="C163" t="s">
        <v>94</v>
      </c>
      <c r="D163" t="s">
        <v>142</v>
      </c>
      <c r="E163" t="s">
        <v>29</v>
      </c>
      <c r="F163" t="s">
        <v>143</v>
      </c>
      <c r="G163" t="s">
        <v>144</v>
      </c>
      <c r="H163" s="1">
        <v>44624.625335648147</v>
      </c>
      <c r="I163" s="1">
        <v>44625.625335648147</v>
      </c>
      <c r="J163" t="s">
        <v>32</v>
      </c>
      <c r="K163" s="1">
        <v>44643.625335648147</v>
      </c>
      <c r="L163" t="s">
        <v>33</v>
      </c>
      <c r="M163" t="s">
        <v>92</v>
      </c>
      <c r="R163" s="4">
        <v>44647.625335648147</v>
      </c>
      <c r="T163">
        <v>0</v>
      </c>
      <c r="Y163" t="s">
        <v>35</v>
      </c>
      <c r="AC163" s="2">
        <f t="shared" si="18"/>
        <v>1</v>
      </c>
      <c r="AD163" s="2">
        <f t="shared" si="19"/>
        <v>19</v>
      </c>
      <c r="AE163" s="2">
        <f t="shared" si="20"/>
        <v>18</v>
      </c>
      <c r="AF163" s="2">
        <f t="shared" si="21"/>
        <v>23</v>
      </c>
      <c r="AG163" s="2">
        <f t="shared" si="22"/>
        <v>4</v>
      </c>
      <c r="AH163" s="4">
        <f t="shared" si="23"/>
        <v>44737.625335648147</v>
      </c>
      <c r="AI163" s="2" t="str">
        <f t="shared" si="24"/>
        <v/>
      </c>
      <c r="AJ163" s="2" t="str">
        <f t="shared" si="25"/>
        <v/>
      </c>
      <c r="AK163" s="2" t="str">
        <f t="shared" si="26"/>
        <v/>
      </c>
    </row>
    <row r="164" spans="1:37" x14ac:dyDescent="0.25">
      <c r="A164">
        <v>798</v>
      </c>
      <c r="B164" t="s">
        <v>226</v>
      </c>
      <c r="C164" t="s">
        <v>94</v>
      </c>
      <c r="D164" t="s">
        <v>142</v>
      </c>
      <c r="E164" t="s">
        <v>29</v>
      </c>
      <c r="F164" t="s">
        <v>143</v>
      </c>
      <c r="G164" t="s">
        <v>144</v>
      </c>
      <c r="H164" s="1">
        <v>44905.674583333333</v>
      </c>
      <c r="I164" s="1">
        <v>44906.674583333333</v>
      </c>
      <c r="J164" t="s">
        <v>32</v>
      </c>
      <c r="K164" s="1">
        <v>44918.674583333333</v>
      </c>
      <c r="L164" t="s">
        <v>33</v>
      </c>
      <c r="M164" t="s">
        <v>51</v>
      </c>
      <c r="R164" s="4">
        <v>44920.674583333333</v>
      </c>
      <c r="T164">
        <v>0</v>
      </c>
      <c r="Y164" t="s">
        <v>35</v>
      </c>
      <c r="AC164" s="2">
        <f t="shared" si="18"/>
        <v>1</v>
      </c>
      <c r="AD164" s="2">
        <f t="shared" si="19"/>
        <v>13</v>
      </c>
      <c r="AE164" s="2">
        <f t="shared" si="20"/>
        <v>12</v>
      </c>
      <c r="AF164" s="2">
        <f t="shared" si="21"/>
        <v>15</v>
      </c>
      <c r="AG164" s="2">
        <f t="shared" si="22"/>
        <v>2</v>
      </c>
      <c r="AH164" s="4">
        <f t="shared" si="23"/>
        <v>45010.674583333333</v>
      </c>
      <c r="AI164" s="2" t="str">
        <f t="shared" si="24"/>
        <v/>
      </c>
      <c r="AJ164" s="2" t="str">
        <f t="shared" si="25"/>
        <v/>
      </c>
      <c r="AK164" s="2" t="str">
        <f t="shared" si="26"/>
        <v/>
      </c>
    </row>
    <row r="165" spans="1:37" x14ac:dyDescent="0.25">
      <c r="A165">
        <v>797</v>
      </c>
      <c r="B165" t="s">
        <v>227</v>
      </c>
      <c r="C165" t="s">
        <v>94</v>
      </c>
      <c r="D165" t="s">
        <v>142</v>
      </c>
      <c r="E165" t="s">
        <v>29</v>
      </c>
      <c r="F165" t="s">
        <v>143</v>
      </c>
      <c r="G165" t="s">
        <v>144</v>
      </c>
      <c r="H165" s="1">
        <v>44909.674583333333</v>
      </c>
      <c r="I165" s="1">
        <v>44910.674583333333</v>
      </c>
      <c r="J165" t="s">
        <v>44</v>
      </c>
      <c r="K165" s="1"/>
      <c r="T165">
        <v>0</v>
      </c>
      <c r="AC165" s="2">
        <f t="shared" si="18"/>
        <v>1</v>
      </c>
      <c r="AD165" s="2" t="str">
        <f t="shared" si="19"/>
        <v/>
      </c>
      <c r="AE165" s="2" t="str">
        <f t="shared" si="20"/>
        <v/>
      </c>
      <c r="AF165" s="2" t="str">
        <f t="shared" si="21"/>
        <v/>
      </c>
      <c r="AG165" s="2" t="str">
        <f t="shared" si="22"/>
        <v/>
      </c>
      <c r="AH165" s="4" t="str">
        <f t="shared" si="23"/>
        <v/>
      </c>
      <c r="AI165" s="2" t="str">
        <f t="shared" si="24"/>
        <v/>
      </c>
      <c r="AJ165" s="2" t="str">
        <f t="shared" si="25"/>
        <v/>
      </c>
      <c r="AK165" s="2" t="str">
        <f t="shared" si="26"/>
        <v/>
      </c>
    </row>
    <row r="166" spans="1:37" x14ac:dyDescent="0.25">
      <c r="A166">
        <v>795</v>
      </c>
      <c r="B166" t="s">
        <v>228</v>
      </c>
      <c r="C166" t="s">
        <v>94</v>
      </c>
      <c r="D166" t="s">
        <v>142</v>
      </c>
      <c r="E166" t="s">
        <v>29</v>
      </c>
      <c r="F166" t="s">
        <v>143</v>
      </c>
      <c r="G166" t="s">
        <v>144</v>
      </c>
      <c r="H166" s="1">
        <v>44906.674583333333</v>
      </c>
      <c r="I166" s="1">
        <v>44907.674583333333</v>
      </c>
      <c r="J166" t="s">
        <v>32</v>
      </c>
      <c r="K166" s="1">
        <v>44927.674583333333</v>
      </c>
      <c r="L166" t="s">
        <v>33</v>
      </c>
      <c r="M166" t="s">
        <v>67</v>
      </c>
      <c r="R166" s="4">
        <v>44929.674583333333</v>
      </c>
      <c r="T166">
        <v>0</v>
      </c>
      <c r="Y166" t="s">
        <v>55</v>
      </c>
      <c r="AC166" s="2">
        <f t="shared" si="18"/>
        <v>1</v>
      </c>
      <c r="AD166" s="2">
        <f t="shared" si="19"/>
        <v>21</v>
      </c>
      <c r="AE166" s="2">
        <f t="shared" si="20"/>
        <v>20</v>
      </c>
      <c r="AF166" s="2">
        <f t="shared" si="21"/>
        <v>23</v>
      </c>
      <c r="AG166" s="2">
        <f t="shared" si="22"/>
        <v>2</v>
      </c>
      <c r="AH166" s="4">
        <f t="shared" si="23"/>
        <v>45019.674583333333</v>
      </c>
      <c r="AI166" s="2" t="str">
        <f t="shared" si="24"/>
        <v/>
      </c>
      <c r="AJ166" s="2" t="str">
        <f t="shared" si="25"/>
        <v/>
      </c>
      <c r="AK166" s="2" t="str">
        <f t="shared" si="26"/>
        <v/>
      </c>
    </row>
    <row r="167" spans="1:37" x14ac:dyDescent="0.25">
      <c r="A167">
        <v>793</v>
      </c>
      <c r="B167" t="s">
        <v>229</v>
      </c>
      <c r="C167" t="s">
        <v>94</v>
      </c>
      <c r="D167" t="s">
        <v>142</v>
      </c>
      <c r="E167" t="s">
        <v>29</v>
      </c>
      <c r="F167" t="s">
        <v>143</v>
      </c>
      <c r="G167" t="s">
        <v>144</v>
      </c>
      <c r="H167" s="1">
        <v>44907.674583333333</v>
      </c>
      <c r="I167" s="1">
        <v>44911.674583333333</v>
      </c>
      <c r="J167" t="s">
        <v>32</v>
      </c>
      <c r="K167" s="1">
        <v>44923.674583333333</v>
      </c>
      <c r="L167" t="s">
        <v>164</v>
      </c>
      <c r="N167" s="4">
        <v>44928.674583333333</v>
      </c>
      <c r="O167" t="s">
        <v>164</v>
      </c>
      <c r="R167" s="4">
        <v>44926.674583333333</v>
      </c>
      <c r="T167">
        <v>0</v>
      </c>
      <c r="AC167" s="2">
        <f t="shared" si="18"/>
        <v>4</v>
      </c>
      <c r="AD167" s="2">
        <f t="shared" si="19"/>
        <v>16</v>
      </c>
      <c r="AE167" s="2">
        <f t="shared" si="20"/>
        <v>12</v>
      </c>
      <c r="AF167" s="2">
        <f t="shared" si="21"/>
        <v>19</v>
      </c>
      <c r="AG167" s="2">
        <f t="shared" si="22"/>
        <v>3</v>
      </c>
      <c r="AH167" s="4">
        <f t="shared" si="23"/>
        <v>45016.674583333333</v>
      </c>
      <c r="AI167" s="2" t="str">
        <f t="shared" si="24"/>
        <v/>
      </c>
      <c r="AJ167" s="2" t="str">
        <f t="shared" si="25"/>
        <v/>
      </c>
      <c r="AK167" s="2" t="str">
        <f t="shared" si="26"/>
        <v/>
      </c>
    </row>
    <row r="168" spans="1:37" x14ac:dyDescent="0.25">
      <c r="A168">
        <v>767</v>
      </c>
      <c r="B168" t="s">
        <v>230</v>
      </c>
      <c r="C168" t="s">
        <v>94</v>
      </c>
      <c r="D168" t="s">
        <v>142</v>
      </c>
      <c r="E168" t="s">
        <v>29</v>
      </c>
      <c r="F168" t="s">
        <v>143</v>
      </c>
      <c r="G168" t="s">
        <v>144</v>
      </c>
      <c r="H168" s="1">
        <v>44726.736145833333</v>
      </c>
      <c r="I168" s="1">
        <v>44727.736145833333</v>
      </c>
      <c r="J168" t="s">
        <v>32</v>
      </c>
      <c r="K168" s="1">
        <v>44746.736145833333</v>
      </c>
      <c r="L168" t="s">
        <v>33</v>
      </c>
      <c r="M168" t="s">
        <v>67</v>
      </c>
      <c r="R168" s="4">
        <v>44747.736145833333</v>
      </c>
      <c r="T168">
        <v>0</v>
      </c>
      <c r="Y168" t="s">
        <v>55</v>
      </c>
      <c r="AC168" s="2">
        <f t="shared" si="18"/>
        <v>1</v>
      </c>
      <c r="AD168" s="2">
        <f t="shared" si="19"/>
        <v>20</v>
      </c>
      <c r="AE168" s="2">
        <f t="shared" si="20"/>
        <v>19</v>
      </c>
      <c r="AF168" s="2">
        <f t="shared" si="21"/>
        <v>21</v>
      </c>
      <c r="AG168" s="2">
        <f t="shared" si="22"/>
        <v>1</v>
      </c>
      <c r="AH168" s="4">
        <f t="shared" si="23"/>
        <v>44837.736145833333</v>
      </c>
      <c r="AI168" s="2" t="str">
        <f t="shared" si="24"/>
        <v/>
      </c>
      <c r="AJ168" s="2" t="str">
        <f t="shared" si="25"/>
        <v/>
      </c>
      <c r="AK168" s="2" t="str">
        <f t="shared" si="26"/>
        <v/>
      </c>
    </row>
    <row r="169" spans="1:37" x14ac:dyDescent="0.25">
      <c r="A169">
        <v>762</v>
      </c>
      <c r="B169" t="s">
        <v>231</v>
      </c>
      <c r="C169" t="s">
        <v>94</v>
      </c>
      <c r="D169" t="s">
        <v>142</v>
      </c>
      <c r="E169" t="s">
        <v>29</v>
      </c>
      <c r="F169" t="s">
        <v>143</v>
      </c>
      <c r="G169" t="s">
        <v>144</v>
      </c>
      <c r="H169" s="1">
        <v>44728.736145833333</v>
      </c>
      <c r="I169" s="1">
        <v>44729.736145833333</v>
      </c>
      <c r="J169" t="s">
        <v>32</v>
      </c>
      <c r="K169" s="1">
        <v>44744.736145833333</v>
      </c>
      <c r="L169" t="s">
        <v>57</v>
      </c>
      <c r="N169" s="4">
        <v>44749.736145833333</v>
      </c>
      <c r="O169" t="s">
        <v>57</v>
      </c>
      <c r="P169" s="4">
        <v>44746.736145833333</v>
      </c>
      <c r="Q169" s="4">
        <v>44750.736145833333</v>
      </c>
      <c r="R169" s="4">
        <v>44745.736145833333</v>
      </c>
      <c r="S169" s="4">
        <v>44751.736145833333</v>
      </c>
      <c r="T169">
        <v>1</v>
      </c>
      <c r="U169" s="4">
        <v>44755.736145833333</v>
      </c>
      <c r="V169" s="4">
        <v>44756.736145833333</v>
      </c>
      <c r="W169" s="4">
        <v>44759.736145833333</v>
      </c>
      <c r="Z169" s="4">
        <v>44778.736145833333</v>
      </c>
      <c r="AC169" s="2">
        <f t="shared" si="18"/>
        <v>1</v>
      </c>
      <c r="AD169" s="2">
        <f t="shared" si="19"/>
        <v>16</v>
      </c>
      <c r="AE169" s="2">
        <f t="shared" si="20"/>
        <v>15</v>
      </c>
      <c r="AF169" s="2">
        <f t="shared" si="21"/>
        <v>17</v>
      </c>
      <c r="AG169" s="2">
        <f t="shared" si="22"/>
        <v>1</v>
      </c>
      <c r="AH169" s="4">
        <f t="shared" si="23"/>
        <v>44835.736145833333</v>
      </c>
      <c r="AI169" s="2">
        <f t="shared" si="24"/>
        <v>4</v>
      </c>
      <c r="AJ169" s="2">
        <f t="shared" si="25"/>
        <v>33</v>
      </c>
      <c r="AK169" s="2">
        <f t="shared" si="26"/>
        <v>14</v>
      </c>
    </row>
    <row r="170" spans="1:37" x14ac:dyDescent="0.25">
      <c r="A170">
        <v>729</v>
      </c>
      <c r="B170" t="s">
        <v>232</v>
      </c>
      <c r="C170" t="s">
        <v>94</v>
      </c>
      <c r="D170" t="s">
        <v>142</v>
      </c>
      <c r="E170" t="s">
        <v>29</v>
      </c>
      <c r="F170" t="s">
        <v>143</v>
      </c>
      <c r="G170" t="s">
        <v>144</v>
      </c>
      <c r="H170" s="1">
        <v>44608.660578703704</v>
      </c>
      <c r="I170" s="1">
        <v>44610.660578703704</v>
      </c>
      <c r="J170" t="s">
        <v>32</v>
      </c>
      <c r="K170" s="1">
        <v>44619.660578703704</v>
      </c>
      <c r="L170" t="s">
        <v>57</v>
      </c>
      <c r="N170" s="4">
        <v>44624.660578703704</v>
      </c>
      <c r="O170" t="s">
        <v>57</v>
      </c>
      <c r="P170" s="4">
        <v>44620.660578703704</v>
      </c>
      <c r="Q170" s="4">
        <v>44623.660578703704</v>
      </c>
      <c r="R170" s="4">
        <v>44621.660578703704</v>
      </c>
      <c r="S170" s="4">
        <v>44623.660578703704</v>
      </c>
      <c r="T170">
        <v>1</v>
      </c>
      <c r="U170" s="4">
        <v>44624.660578703704</v>
      </c>
      <c r="V170" s="4">
        <v>44627.660578703704</v>
      </c>
      <c r="W170" s="4">
        <v>44629.660578703704</v>
      </c>
      <c r="Z170" s="4">
        <v>44639.660578703704</v>
      </c>
      <c r="AC170" s="2">
        <f t="shared" si="18"/>
        <v>2</v>
      </c>
      <c r="AD170" s="2">
        <f t="shared" si="19"/>
        <v>11</v>
      </c>
      <c r="AE170" s="2">
        <f t="shared" si="20"/>
        <v>9</v>
      </c>
      <c r="AF170" s="2">
        <f t="shared" si="21"/>
        <v>13</v>
      </c>
      <c r="AG170" s="2">
        <f t="shared" si="22"/>
        <v>2</v>
      </c>
      <c r="AH170" s="4">
        <f t="shared" si="23"/>
        <v>44711.660578703704</v>
      </c>
      <c r="AI170" s="2">
        <f t="shared" si="24"/>
        <v>1</v>
      </c>
      <c r="AJ170" s="2">
        <f t="shared" si="25"/>
        <v>18</v>
      </c>
      <c r="AK170" s="2">
        <f t="shared" si="26"/>
        <v>8</v>
      </c>
    </row>
    <row r="171" spans="1:37" x14ac:dyDescent="0.25">
      <c r="A171">
        <v>726</v>
      </c>
      <c r="B171" t="s">
        <v>233</v>
      </c>
      <c r="C171" t="s">
        <v>94</v>
      </c>
      <c r="D171" t="s">
        <v>142</v>
      </c>
      <c r="E171" t="s">
        <v>29</v>
      </c>
      <c r="F171" t="s">
        <v>143</v>
      </c>
      <c r="G171" t="s">
        <v>144</v>
      </c>
      <c r="H171" s="1">
        <v>44603.660578703704</v>
      </c>
      <c r="I171" s="1">
        <v>44607.660578703704</v>
      </c>
      <c r="J171" t="s">
        <v>32</v>
      </c>
      <c r="K171" s="1">
        <v>44616.660578703704</v>
      </c>
      <c r="L171" t="s">
        <v>39</v>
      </c>
      <c r="N171" s="4">
        <v>44620.660578703704</v>
      </c>
      <c r="O171" t="s">
        <v>39</v>
      </c>
      <c r="R171" s="4">
        <v>44618.660578703704</v>
      </c>
      <c r="T171">
        <v>0</v>
      </c>
      <c r="AC171" s="2">
        <f t="shared" si="18"/>
        <v>4</v>
      </c>
      <c r="AD171" s="2">
        <f t="shared" si="19"/>
        <v>13</v>
      </c>
      <c r="AE171" s="2">
        <f t="shared" si="20"/>
        <v>9</v>
      </c>
      <c r="AF171" s="2">
        <f t="shared" si="21"/>
        <v>15</v>
      </c>
      <c r="AG171" s="2">
        <f t="shared" si="22"/>
        <v>2</v>
      </c>
      <c r="AH171" s="4">
        <f t="shared" si="23"/>
        <v>44708.660578703704</v>
      </c>
      <c r="AI171" s="2" t="str">
        <f t="shared" si="24"/>
        <v/>
      </c>
      <c r="AJ171" s="2" t="str">
        <f t="shared" si="25"/>
        <v/>
      </c>
      <c r="AK171" s="2" t="str">
        <f t="shared" si="26"/>
        <v/>
      </c>
    </row>
    <row r="172" spans="1:37" x14ac:dyDescent="0.25">
      <c r="A172">
        <v>715</v>
      </c>
      <c r="B172" t="s">
        <v>234</v>
      </c>
      <c r="C172" t="s">
        <v>94</v>
      </c>
      <c r="D172" t="s">
        <v>142</v>
      </c>
      <c r="E172" t="s">
        <v>29</v>
      </c>
      <c r="F172" t="s">
        <v>143</v>
      </c>
      <c r="G172" t="s">
        <v>144</v>
      </c>
      <c r="H172" s="1">
        <v>44626.686331018522</v>
      </c>
      <c r="I172" s="1">
        <v>44628.686331018522</v>
      </c>
      <c r="J172" t="s">
        <v>32</v>
      </c>
      <c r="K172" s="1">
        <v>44640.686331018522</v>
      </c>
      <c r="L172" t="s">
        <v>33</v>
      </c>
      <c r="M172" t="s">
        <v>34</v>
      </c>
      <c r="T172">
        <v>0</v>
      </c>
      <c r="Y172" t="s">
        <v>55</v>
      </c>
      <c r="AC172" s="2">
        <f t="shared" si="18"/>
        <v>2</v>
      </c>
      <c r="AD172" s="2">
        <f t="shared" si="19"/>
        <v>14</v>
      </c>
      <c r="AE172" s="2">
        <f t="shared" si="20"/>
        <v>12</v>
      </c>
      <c r="AF172" s="2" t="str">
        <f t="shared" si="21"/>
        <v/>
      </c>
      <c r="AG172" s="2" t="str">
        <f t="shared" si="22"/>
        <v/>
      </c>
      <c r="AH172" s="4" t="str">
        <f t="shared" si="23"/>
        <v/>
      </c>
      <c r="AI172" s="2" t="str">
        <f t="shared" si="24"/>
        <v/>
      </c>
      <c r="AJ172" s="2" t="str">
        <f t="shared" si="25"/>
        <v/>
      </c>
      <c r="AK172" s="2" t="str">
        <f t="shared" si="26"/>
        <v/>
      </c>
    </row>
    <row r="173" spans="1:37" x14ac:dyDescent="0.25">
      <c r="A173">
        <v>711</v>
      </c>
      <c r="B173" t="s">
        <v>235</v>
      </c>
      <c r="C173" t="s">
        <v>94</v>
      </c>
      <c r="D173" t="s">
        <v>142</v>
      </c>
      <c r="E173" t="s">
        <v>29</v>
      </c>
      <c r="F173" t="s">
        <v>143</v>
      </c>
      <c r="G173" t="s">
        <v>144</v>
      </c>
      <c r="H173" s="1">
        <v>44625.686331018522</v>
      </c>
      <c r="I173" s="1">
        <v>44629.686331018522</v>
      </c>
      <c r="J173" t="s">
        <v>32</v>
      </c>
      <c r="K173" s="1">
        <v>44645.686331018522</v>
      </c>
      <c r="L173" t="s">
        <v>57</v>
      </c>
      <c r="N173" s="4">
        <v>44648.686331018522</v>
      </c>
      <c r="O173" t="s">
        <v>57</v>
      </c>
      <c r="P173" s="4">
        <v>44647.686331018522</v>
      </c>
      <c r="Q173" s="4">
        <v>44650.686331018522</v>
      </c>
      <c r="R173" s="4">
        <v>44646.686331018522</v>
      </c>
      <c r="S173" s="4">
        <v>44652.686331018522</v>
      </c>
      <c r="T173">
        <v>1</v>
      </c>
      <c r="U173" s="4">
        <v>44653.686331018522</v>
      </c>
      <c r="V173" s="4">
        <v>44656.686331018522</v>
      </c>
      <c r="W173" s="4">
        <v>44659.686331018522</v>
      </c>
      <c r="Z173" s="4">
        <v>44667.686331018522</v>
      </c>
      <c r="AC173" s="2">
        <f t="shared" si="18"/>
        <v>4</v>
      </c>
      <c r="AD173" s="2">
        <f t="shared" si="19"/>
        <v>20</v>
      </c>
      <c r="AE173" s="2">
        <f t="shared" si="20"/>
        <v>16</v>
      </c>
      <c r="AF173" s="2">
        <f t="shared" si="21"/>
        <v>21</v>
      </c>
      <c r="AG173" s="2">
        <f t="shared" si="22"/>
        <v>1</v>
      </c>
      <c r="AH173" s="4">
        <f t="shared" si="23"/>
        <v>44736.686331018522</v>
      </c>
      <c r="AI173" s="2">
        <f t="shared" si="24"/>
        <v>1</v>
      </c>
      <c r="AJ173" s="2">
        <f t="shared" si="25"/>
        <v>21</v>
      </c>
      <c r="AK173" s="2">
        <f t="shared" si="26"/>
        <v>13</v>
      </c>
    </row>
    <row r="174" spans="1:37" x14ac:dyDescent="0.25">
      <c r="A174">
        <v>678</v>
      </c>
      <c r="B174" t="s">
        <v>236</v>
      </c>
      <c r="C174" t="s">
        <v>94</v>
      </c>
      <c r="D174" t="s">
        <v>142</v>
      </c>
      <c r="E174" t="s">
        <v>29</v>
      </c>
      <c r="F174" t="s">
        <v>143</v>
      </c>
      <c r="G174" t="s">
        <v>144</v>
      </c>
      <c r="H174" s="1">
        <v>45143.885671296295</v>
      </c>
      <c r="I174" s="1">
        <v>45145.885671296295</v>
      </c>
      <c r="J174" t="s">
        <v>44</v>
      </c>
      <c r="K174" s="1"/>
      <c r="T174">
        <v>0</v>
      </c>
      <c r="AC174" s="2">
        <f t="shared" si="18"/>
        <v>2</v>
      </c>
      <c r="AD174" s="2" t="str">
        <f t="shared" si="19"/>
        <v/>
      </c>
      <c r="AE174" s="2" t="str">
        <f t="shared" si="20"/>
        <v/>
      </c>
      <c r="AF174" s="2" t="str">
        <f t="shared" si="21"/>
        <v/>
      </c>
      <c r="AG174" s="2" t="str">
        <f t="shared" si="22"/>
        <v/>
      </c>
      <c r="AH174" s="4" t="str">
        <f t="shared" si="23"/>
        <v/>
      </c>
      <c r="AI174" s="2" t="str">
        <f t="shared" si="24"/>
        <v/>
      </c>
      <c r="AJ174" s="2" t="str">
        <f t="shared" si="25"/>
        <v/>
      </c>
      <c r="AK174" s="2" t="str">
        <f t="shared" si="26"/>
        <v/>
      </c>
    </row>
    <row r="175" spans="1:37" x14ac:dyDescent="0.25">
      <c r="A175">
        <v>677</v>
      </c>
      <c r="B175" t="s">
        <v>237</v>
      </c>
      <c r="C175" t="s">
        <v>94</v>
      </c>
      <c r="D175" t="s">
        <v>142</v>
      </c>
      <c r="E175" t="s">
        <v>29</v>
      </c>
      <c r="F175" t="s">
        <v>143</v>
      </c>
      <c r="G175" t="s">
        <v>144</v>
      </c>
      <c r="H175" s="1">
        <v>45141.885671296295</v>
      </c>
      <c r="I175" s="1">
        <v>45143.885671296295</v>
      </c>
      <c r="J175" t="s">
        <v>32</v>
      </c>
      <c r="K175" s="1">
        <v>45161.885671296295</v>
      </c>
      <c r="L175" t="s">
        <v>39</v>
      </c>
      <c r="N175" s="4">
        <v>45164.885671296295</v>
      </c>
      <c r="O175" t="s">
        <v>39</v>
      </c>
      <c r="R175" s="4">
        <v>45163.885671296295</v>
      </c>
      <c r="T175">
        <v>0</v>
      </c>
      <c r="AC175" s="2">
        <f t="shared" si="18"/>
        <v>2</v>
      </c>
      <c r="AD175" s="2">
        <f t="shared" si="19"/>
        <v>20</v>
      </c>
      <c r="AE175" s="2">
        <f t="shared" si="20"/>
        <v>18</v>
      </c>
      <c r="AF175" s="2">
        <f t="shared" si="21"/>
        <v>22</v>
      </c>
      <c r="AG175" s="2">
        <f t="shared" si="22"/>
        <v>2</v>
      </c>
      <c r="AH175" s="4">
        <f t="shared" si="23"/>
        <v>45253.885671296295</v>
      </c>
      <c r="AI175" s="2" t="str">
        <f t="shared" si="24"/>
        <v/>
      </c>
      <c r="AJ175" s="2" t="str">
        <f t="shared" si="25"/>
        <v/>
      </c>
      <c r="AK175" s="2" t="str">
        <f t="shared" si="26"/>
        <v/>
      </c>
    </row>
    <row r="176" spans="1:37" x14ac:dyDescent="0.25">
      <c r="A176">
        <v>657</v>
      </c>
      <c r="B176" t="s">
        <v>238</v>
      </c>
      <c r="C176" t="s">
        <v>94</v>
      </c>
      <c r="D176" t="s">
        <v>142</v>
      </c>
      <c r="E176" t="s">
        <v>29</v>
      </c>
      <c r="F176" t="s">
        <v>143</v>
      </c>
      <c r="G176" t="s">
        <v>144</v>
      </c>
      <c r="H176" s="1">
        <v>44918.016504629632</v>
      </c>
      <c r="I176" s="1">
        <v>44921.016504629632</v>
      </c>
      <c r="J176" t="s">
        <v>44</v>
      </c>
      <c r="K176" s="1"/>
      <c r="T176">
        <v>0</v>
      </c>
      <c r="AC176" s="2">
        <f t="shared" si="18"/>
        <v>3</v>
      </c>
      <c r="AD176" s="2" t="str">
        <f t="shared" si="19"/>
        <v/>
      </c>
      <c r="AE176" s="2" t="str">
        <f t="shared" si="20"/>
        <v/>
      </c>
      <c r="AF176" s="2" t="str">
        <f t="shared" si="21"/>
        <v/>
      </c>
      <c r="AG176" s="2" t="str">
        <f t="shared" si="22"/>
        <v/>
      </c>
      <c r="AH176" s="4" t="str">
        <f t="shared" si="23"/>
        <v/>
      </c>
      <c r="AI176" s="2" t="str">
        <f t="shared" si="24"/>
        <v/>
      </c>
      <c r="AJ176" s="2" t="str">
        <f t="shared" si="25"/>
        <v/>
      </c>
      <c r="AK176" s="2" t="str">
        <f t="shared" si="26"/>
        <v/>
      </c>
    </row>
    <row r="177" spans="1:37" x14ac:dyDescent="0.25">
      <c r="A177">
        <v>654</v>
      </c>
      <c r="B177" t="s">
        <v>239</v>
      </c>
      <c r="C177" t="s">
        <v>94</v>
      </c>
      <c r="D177" t="s">
        <v>142</v>
      </c>
      <c r="E177" t="s">
        <v>29</v>
      </c>
      <c r="F177" t="s">
        <v>143</v>
      </c>
      <c r="G177" t="s">
        <v>144</v>
      </c>
      <c r="H177" s="1">
        <v>44917.016504629632</v>
      </c>
      <c r="I177" s="1">
        <v>44918.016504629632</v>
      </c>
      <c r="J177" t="s">
        <v>32</v>
      </c>
      <c r="K177" s="1">
        <v>44936.016504629632</v>
      </c>
      <c r="L177" t="s">
        <v>33</v>
      </c>
      <c r="M177" t="s">
        <v>51</v>
      </c>
      <c r="T177">
        <v>0</v>
      </c>
      <c r="Y177" t="s">
        <v>35</v>
      </c>
      <c r="AC177" s="2">
        <f t="shared" si="18"/>
        <v>1</v>
      </c>
      <c r="AD177" s="2">
        <f t="shared" si="19"/>
        <v>19</v>
      </c>
      <c r="AE177" s="2">
        <f t="shared" si="20"/>
        <v>18</v>
      </c>
      <c r="AF177" s="2" t="str">
        <f t="shared" si="21"/>
        <v/>
      </c>
      <c r="AG177" s="2" t="str">
        <f t="shared" si="22"/>
        <v/>
      </c>
      <c r="AH177" s="4" t="str">
        <f t="shared" si="23"/>
        <v/>
      </c>
      <c r="AI177" s="2" t="str">
        <f t="shared" si="24"/>
        <v/>
      </c>
      <c r="AJ177" s="2" t="str">
        <f t="shared" si="25"/>
        <v/>
      </c>
      <c r="AK177" s="2" t="str">
        <f t="shared" si="26"/>
        <v/>
      </c>
    </row>
    <row r="178" spans="1:37" x14ac:dyDescent="0.25">
      <c r="A178">
        <v>651</v>
      </c>
      <c r="B178" t="s">
        <v>240</v>
      </c>
      <c r="C178" t="s">
        <v>94</v>
      </c>
      <c r="D178" t="s">
        <v>142</v>
      </c>
      <c r="E178" t="s">
        <v>29</v>
      </c>
      <c r="F178" t="s">
        <v>143</v>
      </c>
      <c r="G178" t="s">
        <v>144</v>
      </c>
      <c r="H178" s="1">
        <v>44917.016504629632</v>
      </c>
      <c r="I178" s="1">
        <v>44920.016504629632</v>
      </c>
      <c r="J178" t="s">
        <v>32</v>
      </c>
      <c r="K178" s="1">
        <v>44931.016504629632</v>
      </c>
      <c r="L178" t="s">
        <v>33</v>
      </c>
      <c r="M178" t="s">
        <v>34</v>
      </c>
      <c r="T178">
        <v>0</v>
      </c>
      <c r="Y178" t="s">
        <v>55</v>
      </c>
      <c r="AC178" s="2">
        <f t="shared" si="18"/>
        <v>3</v>
      </c>
      <c r="AD178" s="2">
        <f t="shared" si="19"/>
        <v>14</v>
      </c>
      <c r="AE178" s="2">
        <f t="shared" si="20"/>
        <v>11</v>
      </c>
      <c r="AF178" s="2" t="str">
        <f t="shared" si="21"/>
        <v/>
      </c>
      <c r="AG178" s="2" t="str">
        <f t="shared" si="22"/>
        <v/>
      </c>
      <c r="AH178" s="4" t="str">
        <f t="shared" si="23"/>
        <v/>
      </c>
      <c r="AI178" s="2" t="str">
        <f t="shared" si="24"/>
        <v/>
      </c>
      <c r="AJ178" s="2" t="str">
        <f t="shared" si="25"/>
        <v/>
      </c>
      <c r="AK178" s="2" t="str">
        <f t="shared" si="26"/>
        <v/>
      </c>
    </row>
    <row r="179" spans="1:37" x14ac:dyDescent="0.25">
      <c r="A179">
        <v>640</v>
      </c>
      <c r="B179" t="s">
        <v>241</v>
      </c>
      <c r="C179" t="s">
        <v>94</v>
      </c>
      <c r="D179" t="s">
        <v>142</v>
      </c>
      <c r="E179" t="s">
        <v>29</v>
      </c>
      <c r="F179" t="s">
        <v>143</v>
      </c>
      <c r="G179" t="s">
        <v>144</v>
      </c>
      <c r="H179" s="1">
        <v>44828.302743055552</v>
      </c>
      <c r="I179" s="1">
        <v>44832.302743055552</v>
      </c>
      <c r="J179" t="s">
        <v>32</v>
      </c>
      <c r="K179" s="1">
        <v>44841.302743055552</v>
      </c>
      <c r="L179" t="s">
        <v>33</v>
      </c>
      <c r="M179" t="s">
        <v>51</v>
      </c>
      <c r="R179" s="4">
        <v>44845.302743055552</v>
      </c>
      <c r="T179">
        <v>0</v>
      </c>
      <c r="Y179" t="s">
        <v>55</v>
      </c>
      <c r="AC179" s="2">
        <f t="shared" si="18"/>
        <v>4</v>
      </c>
      <c r="AD179" s="2">
        <f t="shared" si="19"/>
        <v>13</v>
      </c>
      <c r="AE179" s="2">
        <f t="shared" si="20"/>
        <v>9</v>
      </c>
      <c r="AF179" s="2">
        <f t="shared" si="21"/>
        <v>17</v>
      </c>
      <c r="AG179" s="2">
        <f t="shared" si="22"/>
        <v>4</v>
      </c>
      <c r="AH179" s="4">
        <f t="shared" si="23"/>
        <v>44935.302743055552</v>
      </c>
      <c r="AI179" s="2" t="str">
        <f t="shared" si="24"/>
        <v/>
      </c>
      <c r="AJ179" s="2" t="str">
        <f t="shared" si="25"/>
        <v/>
      </c>
      <c r="AK179" s="2" t="str">
        <f t="shared" si="26"/>
        <v/>
      </c>
    </row>
    <row r="180" spans="1:37" x14ac:dyDescent="0.25">
      <c r="A180">
        <v>633</v>
      </c>
      <c r="B180" t="s">
        <v>242</v>
      </c>
      <c r="C180" t="s">
        <v>94</v>
      </c>
      <c r="D180" t="s">
        <v>142</v>
      </c>
      <c r="E180" t="s">
        <v>29</v>
      </c>
      <c r="F180" t="s">
        <v>143</v>
      </c>
      <c r="G180" t="s">
        <v>144</v>
      </c>
      <c r="H180" s="1">
        <v>44828.302743055552</v>
      </c>
      <c r="I180" s="1">
        <v>44832.302743055552</v>
      </c>
      <c r="J180" t="s">
        <v>44</v>
      </c>
      <c r="K180" s="1"/>
      <c r="T180">
        <v>0</v>
      </c>
      <c r="AC180" s="2">
        <f t="shared" si="18"/>
        <v>4</v>
      </c>
      <c r="AD180" s="2" t="str">
        <f t="shared" si="19"/>
        <v/>
      </c>
      <c r="AE180" s="2" t="str">
        <f t="shared" si="20"/>
        <v/>
      </c>
      <c r="AF180" s="2" t="str">
        <f t="shared" si="21"/>
        <v/>
      </c>
      <c r="AG180" s="2" t="str">
        <f t="shared" si="22"/>
        <v/>
      </c>
      <c r="AH180" s="4" t="str">
        <f t="shared" si="23"/>
        <v/>
      </c>
      <c r="AI180" s="2" t="str">
        <f t="shared" si="24"/>
        <v/>
      </c>
      <c r="AJ180" s="2" t="str">
        <f t="shared" si="25"/>
        <v/>
      </c>
      <c r="AK180" s="2" t="str">
        <f t="shared" si="26"/>
        <v/>
      </c>
    </row>
    <row r="181" spans="1:37" x14ac:dyDescent="0.25">
      <c r="A181">
        <v>580</v>
      </c>
      <c r="B181" t="s">
        <v>243</v>
      </c>
      <c r="C181" t="s">
        <v>94</v>
      </c>
      <c r="D181" t="s">
        <v>142</v>
      </c>
      <c r="E181" t="s">
        <v>29</v>
      </c>
      <c r="F181" t="s">
        <v>143</v>
      </c>
      <c r="G181" t="s">
        <v>144</v>
      </c>
      <c r="H181" s="1">
        <v>44909.089930555558</v>
      </c>
      <c r="I181" s="1">
        <v>44912.089930555558</v>
      </c>
      <c r="J181" t="s">
        <v>32</v>
      </c>
      <c r="K181" s="1">
        <v>44922.089930555558</v>
      </c>
      <c r="L181" t="s">
        <v>164</v>
      </c>
      <c r="N181" s="4">
        <v>44926.089930555558</v>
      </c>
      <c r="O181" t="s">
        <v>164</v>
      </c>
      <c r="R181" s="4">
        <v>44923.089930555558</v>
      </c>
      <c r="T181">
        <v>0</v>
      </c>
      <c r="AC181" s="2">
        <f t="shared" si="18"/>
        <v>3</v>
      </c>
      <c r="AD181" s="2">
        <f t="shared" si="19"/>
        <v>13</v>
      </c>
      <c r="AE181" s="2">
        <f t="shared" si="20"/>
        <v>10</v>
      </c>
      <c r="AF181" s="2">
        <f t="shared" si="21"/>
        <v>14</v>
      </c>
      <c r="AG181" s="2">
        <f t="shared" si="22"/>
        <v>1</v>
      </c>
      <c r="AH181" s="4">
        <f t="shared" si="23"/>
        <v>45013.089930555558</v>
      </c>
      <c r="AI181" s="2" t="str">
        <f t="shared" si="24"/>
        <v/>
      </c>
      <c r="AJ181" s="2" t="str">
        <f t="shared" si="25"/>
        <v/>
      </c>
      <c r="AK181" s="2" t="str">
        <f t="shared" si="26"/>
        <v/>
      </c>
    </row>
    <row r="182" spans="1:37" x14ac:dyDescent="0.25">
      <c r="A182">
        <v>574</v>
      </c>
      <c r="B182" t="s">
        <v>244</v>
      </c>
      <c r="C182" t="s">
        <v>94</v>
      </c>
      <c r="D182" t="s">
        <v>142</v>
      </c>
      <c r="E182" t="s">
        <v>29</v>
      </c>
      <c r="F182" t="s">
        <v>143</v>
      </c>
      <c r="G182" t="s">
        <v>144</v>
      </c>
      <c r="H182" s="1">
        <v>44908.089930555558</v>
      </c>
      <c r="I182" s="1">
        <v>44912.089930555558</v>
      </c>
      <c r="J182" t="s">
        <v>44</v>
      </c>
      <c r="K182" s="1"/>
      <c r="T182">
        <v>0</v>
      </c>
      <c r="AC182" s="2">
        <f t="shared" si="18"/>
        <v>4</v>
      </c>
      <c r="AD182" s="2" t="str">
        <f t="shared" si="19"/>
        <v/>
      </c>
      <c r="AE182" s="2" t="str">
        <f t="shared" si="20"/>
        <v/>
      </c>
      <c r="AF182" s="2" t="str">
        <f t="shared" si="21"/>
        <v/>
      </c>
      <c r="AG182" s="2" t="str">
        <f t="shared" si="22"/>
        <v/>
      </c>
      <c r="AH182" s="4" t="str">
        <f t="shared" si="23"/>
        <v/>
      </c>
      <c r="AI182" s="2" t="str">
        <f t="shared" si="24"/>
        <v/>
      </c>
      <c r="AJ182" s="2" t="str">
        <f t="shared" si="25"/>
        <v/>
      </c>
      <c r="AK182" s="2" t="str">
        <f t="shared" si="26"/>
        <v/>
      </c>
    </row>
    <row r="183" spans="1:37" x14ac:dyDescent="0.25">
      <c r="A183">
        <v>500</v>
      </c>
      <c r="B183" t="s">
        <v>245</v>
      </c>
      <c r="C183" t="s">
        <v>94</v>
      </c>
      <c r="D183" t="s">
        <v>142</v>
      </c>
      <c r="E183" t="s">
        <v>29</v>
      </c>
      <c r="F183" t="s">
        <v>143</v>
      </c>
      <c r="G183" t="s">
        <v>144</v>
      </c>
      <c r="H183" s="1">
        <v>45170.411724537036</v>
      </c>
      <c r="I183" s="1">
        <v>45172.411724537036</v>
      </c>
      <c r="J183" t="s">
        <v>32</v>
      </c>
      <c r="K183" s="1">
        <v>45185.411724537036</v>
      </c>
      <c r="L183" t="s">
        <v>33</v>
      </c>
      <c r="M183" t="s">
        <v>67</v>
      </c>
      <c r="T183">
        <v>0</v>
      </c>
      <c r="Y183" t="s">
        <v>35</v>
      </c>
      <c r="AC183" s="2">
        <f t="shared" si="18"/>
        <v>2</v>
      </c>
      <c r="AD183" s="2">
        <f t="shared" si="19"/>
        <v>15</v>
      </c>
      <c r="AE183" s="2">
        <f t="shared" si="20"/>
        <v>13</v>
      </c>
      <c r="AF183" s="2" t="str">
        <f t="shared" si="21"/>
        <v/>
      </c>
      <c r="AG183" s="2" t="str">
        <f t="shared" si="22"/>
        <v/>
      </c>
      <c r="AH183" s="4" t="str">
        <f t="shared" si="23"/>
        <v/>
      </c>
      <c r="AI183" s="2" t="str">
        <f t="shared" si="24"/>
        <v/>
      </c>
      <c r="AJ183" s="2" t="str">
        <f t="shared" si="25"/>
        <v/>
      </c>
      <c r="AK183" s="2" t="str">
        <f t="shared" si="26"/>
        <v/>
      </c>
    </row>
    <row r="184" spans="1:37" x14ac:dyDescent="0.25">
      <c r="A184">
        <v>497</v>
      </c>
      <c r="B184" t="s">
        <v>246</v>
      </c>
      <c r="C184" t="s">
        <v>94</v>
      </c>
      <c r="D184" t="s">
        <v>142</v>
      </c>
      <c r="E184" t="s">
        <v>29</v>
      </c>
      <c r="F184" t="s">
        <v>143</v>
      </c>
      <c r="G184" t="s">
        <v>144</v>
      </c>
      <c r="H184" s="1">
        <v>45170.411724537036</v>
      </c>
      <c r="I184" s="1">
        <v>45172.411724537036</v>
      </c>
      <c r="J184" t="s">
        <v>32</v>
      </c>
      <c r="K184" s="1">
        <v>45180.411724537036</v>
      </c>
      <c r="L184" t="s">
        <v>33</v>
      </c>
      <c r="M184" t="s">
        <v>51</v>
      </c>
      <c r="R184" s="4">
        <v>45182.411724537036</v>
      </c>
      <c r="T184">
        <v>0</v>
      </c>
      <c r="Y184" t="s">
        <v>35</v>
      </c>
      <c r="AC184" s="2">
        <f t="shared" si="18"/>
        <v>2</v>
      </c>
      <c r="AD184" s="2">
        <f t="shared" si="19"/>
        <v>10</v>
      </c>
      <c r="AE184" s="2">
        <f t="shared" si="20"/>
        <v>8</v>
      </c>
      <c r="AF184" s="2">
        <f t="shared" si="21"/>
        <v>12</v>
      </c>
      <c r="AG184" s="2">
        <f t="shared" si="22"/>
        <v>2</v>
      </c>
      <c r="AH184" s="4">
        <f t="shared" si="23"/>
        <v>45272.411724537036</v>
      </c>
      <c r="AI184" s="2" t="str">
        <f t="shared" si="24"/>
        <v/>
      </c>
      <c r="AJ184" s="2" t="str">
        <f t="shared" si="25"/>
        <v/>
      </c>
      <c r="AK184" s="2" t="str">
        <f t="shared" si="26"/>
        <v/>
      </c>
    </row>
    <row r="185" spans="1:37" x14ac:dyDescent="0.25">
      <c r="A185">
        <v>490</v>
      </c>
      <c r="B185" t="s">
        <v>247</v>
      </c>
      <c r="C185" t="s">
        <v>94</v>
      </c>
      <c r="D185" t="s">
        <v>142</v>
      </c>
      <c r="E185" t="s">
        <v>29</v>
      </c>
      <c r="F185" t="s">
        <v>143</v>
      </c>
      <c r="G185" t="s">
        <v>144</v>
      </c>
      <c r="H185" s="1">
        <v>44936.566712962966</v>
      </c>
      <c r="I185" s="1">
        <v>44937.566712962966</v>
      </c>
      <c r="J185" t="s">
        <v>44</v>
      </c>
      <c r="K185" s="1"/>
      <c r="T185">
        <v>0</v>
      </c>
      <c r="AC185" s="2">
        <f t="shared" si="18"/>
        <v>1</v>
      </c>
      <c r="AD185" s="2" t="str">
        <f t="shared" si="19"/>
        <v/>
      </c>
      <c r="AE185" s="2" t="str">
        <f t="shared" si="20"/>
        <v/>
      </c>
      <c r="AF185" s="2" t="str">
        <f t="shared" si="21"/>
        <v/>
      </c>
      <c r="AG185" s="2" t="str">
        <f t="shared" si="22"/>
        <v/>
      </c>
      <c r="AH185" s="4" t="str">
        <f t="shared" si="23"/>
        <v/>
      </c>
      <c r="AI185" s="2" t="str">
        <f t="shared" si="24"/>
        <v/>
      </c>
      <c r="AJ185" s="2" t="str">
        <f t="shared" si="25"/>
        <v/>
      </c>
      <c r="AK185" s="2" t="str">
        <f t="shared" si="26"/>
        <v/>
      </c>
    </row>
    <row r="186" spans="1:37" x14ac:dyDescent="0.25">
      <c r="A186">
        <v>487</v>
      </c>
      <c r="B186" t="s">
        <v>248</v>
      </c>
      <c r="C186" t="s">
        <v>94</v>
      </c>
      <c r="D186" t="s">
        <v>142</v>
      </c>
      <c r="E186" t="s">
        <v>29</v>
      </c>
      <c r="F186" t="s">
        <v>143</v>
      </c>
      <c r="G186" t="s">
        <v>144</v>
      </c>
      <c r="H186" s="1">
        <v>44930.566712962966</v>
      </c>
      <c r="I186" s="1">
        <v>44933.566712962966</v>
      </c>
      <c r="J186" t="s">
        <v>32</v>
      </c>
      <c r="K186" s="1">
        <v>44951.566712962966</v>
      </c>
      <c r="L186" t="s">
        <v>39</v>
      </c>
      <c r="N186" s="4">
        <v>44956.566712962966</v>
      </c>
      <c r="O186" t="s">
        <v>39</v>
      </c>
      <c r="R186" s="4">
        <v>44954.566712962966</v>
      </c>
      <c r="T186">
        <v>0</v>
      </c>
      <c r="AC186" s="2">
        <f t="shared" si="18"/>
        <v>3</v>
      </c>
      <c r="AD186" s="2">
        <f t="shared" si="19"/>
        <v>21</v>
      </c>
      <c r="AE186" s="2">
        <f t="shared" si="20"/>
        <v>18</v>
      </c>
      <c r="AF186" s="2">
        <f t="shared" si="21"/>
        <v>24</v>
      </c>
      <c r="AG186" s="2">
        <f t="shared" si="22"/>
        <v>3</v>
      </c>
      <c r="AH186" s="4">
        <f t="shared" si="23"/>
        <v>45044.566712962966</v>
      </c>
      <c r="AI186" s="2" t="str">
        <f t="shared" si="24"/>
        <v/>
      </c>
      <c r="AJ186" s="2" t="str">
        <f t="shared" si="25"/>
        <v/>
      </c>
      <c r="AK186" s="2" t="str">
        <f t="shared" si="26"/>
        <v/>
      </c>
    </row>
    <row r="187" spans="1:37" x14ac:dyDescent="0.25">
      <c r="A187">
        <v>479</v>
      </c>
      <c r="B187" t="s">
        <v>249</v>
      </c>
      <c r="C187" t="s">
        <v>94</v>
      </c>
      <c r="D187" t="s">
        <v>142</v>
      </c>
      <c r="E187" t="s">
        <v>29</v>
      </c>
      <c r="F187" t="s">
        <v>143</v>
      </c>
      <c r="G187" t="s">
        <v>144</v>
      </c>
      <c r="H187" s="1">
        <v>44677.075752314813</v>
      </c>
      <c r="I187" s="1">
        <v>44678.075752314813</v>
      </c>
      <c r="J187" t="s">
        <v>32</v>
      </c>
      <c r="K187" s="1">
        <v>44694.075752314813</v>
      </c>
      <c r="L187" t="s">
        <v>33</v>
      </c>
      <c r="M187" t="s">
        <v>34</v>
      </c>
      <c r="R187" s="4">
        <v>44696.075752314813</v>
      </c>
      <c r="T187">
        <v>0</v>
      </c>
      <c r="Y187" t="s">
        <v>35</v>
      </c>
      <c r="AC187" s="2">
        <f t="shared" si="18"/>
        <v>1</v>
      </c>
      <c r="AD187" s="2">
        <f t="shared" si="19"/>
        <v>17</v>
      </c>
      <c r="AE187" s="2">
        <f t="shared" si="20"/>
        <v>16</v>
      </c>
      <c r="AF187" s="2">
        <f t="shared" si="21"/>
        <v>19</v>
      </c>
      <c r="AG187" s="2">
        <f t="shared" si="22"/>
        <v>2</v>
      </c>
      <c r="AH187" s="4">
        <f t="shared" si="23"/>
        <v>44786.075752314813</v>
      </c>
      <c r="AI187" s="2" t="str">
        <f t="shared" si="24"/>
        <v/>
      </c>
      <c r="AJ187" s="2" t="str">
        <f t="shared" si="25"/>
        <v/>
      </c>
      <c r="AK187" s="2" t="str">
        <f t="shared" si="26"/>
        <v/>
      </c>
    </row>
    <row r="188" spans="1:37" x14ac:dyDescent="0.25">
      <c r="A188">
        <v>389</v>
      </c>
      <c r="B188" t="s">
        <v>250</v>
      </c>
      <c r="C188" t="s">
        <v>94</v>
      </c>
      <c r="D188" t="s">
        <v>142</v>
      </c>
      <c r="E188" t="s">
        <v>29</v>
      </c>
      <c r="F188" t="s">
        <v>143</v>
      </c>
      <c r="G188" t="s">
        <v>144</v>
      </c>
      <c r="H188" s="1">
        <v>44873.3830787037</v>
      </c>
      <c r="I188" s="1">
        <v>44876.3830787037</v>
      </c>
      <c r="J188" t="s">
        <v>32</v>
      </c>
      <c r="K188" s="1">
        <v>44882.3830787037</v>
      </c>
      <c r="L188" t="s">
        <v>57</v>
      </c>
      <c r="N188" s="4">
        <v>44884.3830787037</v>
      </c>
      <c r="O188" t="s">
        <v>57</v>
      </c>
      <c r="P188" s="4">
        <v>44884.3830787037</v>
      </c>
      <c r="Q188" s="4">
        <v>44885.3830787037</v>
      </c>
      <c r="R188" s="4">
        <v>44883.3830787037</v>
      </c>
      <c r="S188" s="4">
        <v>44888.3830787037</v>
      </c>
      <c r="T188">
        <v>1</v>
      </c>
      <c r="U188" s="4">
        <v>44891.3830787037</v>
      </c>
      <c r="V188" s="4">
        <v>44893.3830787037</v>
      </c>
      <c r="W188" s="4">
        <v>44895.3830787037</v>
      </c>
      <c r="Z188" s="4">
        <v>44906.3830787037</v>
      </c>
      <c r="AC188" s="2">
        <f t="shared" si="18"/>
        <v>3</v>
      </c>
      <c r="AD188" s="2">
        <f t="shared" si="19"/>
        <v>9</v>
      </c>
      <c r="AE188" s="2">
        <f t="shared" si="20"/>
        <v>6</v>
      </c>
      <c r="AF188" s="2">
        <f t="shared" si="21"/>
        <v>10</v>
      </c>
      <c r="AG188" s="2">
        <f t="shared" si="22"/>
        <v>1</v>
      </c>
      <c r="AH188" s="4">
        <f t="shared" si="23"/>
        <v>44973.3830787037</v>
      </c>
      <c r="AI188" s="2">
        <f t="shared" si="24"/>
        <v>3</v>
      </c>
      <c r="AJ188" s="2">
        <f t="shared" si="25"/>
        <v>23</v>
      </c>
      <c r="AK188" s="2">
        <f t="shared" si="26"/>
        <v>12</v>
      </c>
    </row>
    <row r="189" spans="1:37" x14ac:dyDescent="0.25">
      <c r="A189">
        <v>380</v>
      </c>
      <c r="B189" t="s">
        <v>251</v>
      </c>
      <c r="C189" t="s">
        <v>94</v>
      </c>
      <c r="D189" t="s">
        <v>142</v>
      </c>
      <c r="E189" t="s">
        <v>29</v>
      </c>
      <c r="F189" t="s">
        <v>143</v>
      </c>
      <c r="G189" t="s">
        <v>144</v>
      </c>
      <c r="H189" s="1">
        <v>44664.356712962966</v>
      </c>
      <c r="I189" s="1">
        <v>44666.356712962966</v>
      </c>
      <c r="J189" t="s">
        <v>32</v>
      </c>
      <c r="K189" s="1">
        <v>44678.356712962966</v>
      </c>
      <c r="L189" t="s">
        <v>33</v>
      </c>
      <c r="M189" t="s">
        <v>51</v>
      </c>
      <c r="T189">
        <v>0</v>
      </c>
      <c r="Y189" t="s">
        <v>35</v>
      </c>
      <c r="AC189" s="2">
        <f t="shared" si="18"/>
        <v>2</v>
      </c>
      <c r="AD189" s="2">
        <f t="shared" si="19"/>
        <v>14</v>
      </c>
      <c r="AE189" s="2">
        <f t="shared" si="20"/>
        <v>12</v>
      </c>
      <c r="AF189" s="2" t="str">
        <f t="shared" si="21"/>
        <v/>
      </c>
      <c r="AG189" s="2" t="str">
        <f t="shared" si="22"/>
        <v/>
      </c>
      <c r="AH189" s="4" t="str">
        <f t="shared" si="23"/>
        <v/>
      </c>
      <c r="AI189" s="2" t="str">
        <f t="shared" si="24"/>
        <v/>
      </c>
      <c r="AJ189" s="2" t="str">
        <f t="shared" si="25"/>
        <v/>
      </c>
      <c r="AK189" s="2" t="str">
        <f t="shared" si="26"/>
        <v/>
      </c>
    </row>
    <row r="190" spans="1:37" x14ac:dyDescent="0.25">
      <c r="A190">
        <v>376</v>
      </c>
      <c r="B190" t="s">
        <v>252</v>
      </c>
      <c r="C190" t="s">
        <v>94</v>
      </c>
      <c r="D190" t="s">
        <v>142</v>
      </c>
      <c r="E190" t="s">
        <v>42</v>
      </c>
      <c r="F190" t="s">
        <v>253</v>
      </c>
      <c r="G190" t="s">
        <v>144</v>
      </c>
      <c r="H190" s="1">
        <v>44661.356712962966</v>
      </c>
      <c r="I190" s="1">
        <v>44664.356712962966</v>
      </c>
      <c r="J190" t="s">
        <v>44</v>
      </c>
      <c r="K190" s="1"/>
      <c r="T190">
        <v>0</v>
      </c>
      <c r="AC190" s="2">
        <f t="shared" si="18"/>
        <v>3</v>
      </c>
      <c r="AD190" s="2" t="str">
        <f t="shared" si="19"/>
        <v/>
      </c>
      <c r="AE190" s="2" t="str">
        <f t="shared" si="20"/>
        <v/>
      </c>
      <c r="AF190" s="2" t="str">
        <f t="shared" si="21"/>
        <v/>
      </c>
      <c r="AG190" s="2" t="str">
        <f t="shared" si="22"/>
        <v/>
      </c>
      <c r="AH190" s="4" t="str">
        <f t="shared" si="23"/>
        <v/>
      </c>
      <c r="AI190" s="2" t="str">
        <f t="shared" si="24"/>
        <v/>
      </c>
      <c r="AJ190" s="2" t="str">
        <f t="shared" si="25"/>
        <v/>
      </c>
      <c r="AK190" s="2" t="str">
        <f t="shared" si="26"/>
        <v/>
      </c>
    </row>
    <row r="191" spans="1:37" x14ac:dyDescent="0.25">
      <c r="A191">
        <v>320</v>
      </c>
      <c r="B191" t="s">
        <v>254</v>
      </c>
      <c r="C191" t="s">
        <v>94</v>
      </c>
      <c r="D191" t="s">
        <v>142</v>
      </c>
      <c r="E191" t="s">
        <v>42</v>
      </c>
      <c r="F191" t="s">
        <v>253</v>
      </c>
      <c r="G191" t="s">
        <v>144</v>
      </c>
      <c r="H191" s="1">
        <v>44987.608946759261</v>
      </c>
      <c r="I191" s="1">
        <v>44990.608946759261</v>
      </c>
      <c r="J191" t="s">
        <v>44</v>
      </c>
      <c r="K191" s="1"/>
      <c r="T191">
        <v>0</v>
      </c>
      <c r="AC191" s="2">
        <f t="shared" si="18"/>
        <v>3</v>
      </c>
      <c r="AD191" s="2" t="str">
        <f t="shared" si="19"/>
        <v/>
      </c>
      <c r="AE191" s="2" t="str">
        <f t="shared" si="20"/>
        <v/>
      </c>
      <c r="AF191" s="2" t="str">
        <f t="shared" si="21"/>
        <v/>
      </c>
      <c r="AG191" s="2" t="str">
        <f t="shared" si="22"/>
        <v/>
      </c>
      <c r="AH191" s="4" t="str">
        <f t="shared" si="23"/>
        <v/>
      </c>
      <c r="AI191" s="2" t="str">
        <f t="shared" si="24"/>
        <v/>
      </c>
      <c r="AJ191" s="2" t="str">
        <f t="shared" si="25"/>
        <v/>
      </c>
      <c r="AK191" s="2" t="str">
        <f t="shared" si="26"/>
        <v/>
      </c>
    </row>
    <row r="192" spans="1:37" x14ac:dyDescent="0.25">
      <c r="A192">
        <v>319</v>
      </c>
      <c r="B192" t="s">
        <v>255</v>
      </c>
      <c r="C192" t="s">
        <v>94</v>
      </c>
      <c r="D192" t="s">
        <v>142</v>
      </c>
      <c r="E192" t="s">
        <v>42</v>
      </c>
      <c r="F192" t="s">
        <v>253</v>
      </c>
      <c r="G192" t="s">
        <v>144</v>
      </c>
      <c r="H192" s="1">
        <v>44986.608946759261</v>
      </c>
      <c r="I192" s="1">
        <v>44990.608946759261</v>
      </c>
      <c r="J192" t="s">
        <v>32</v>
      </c>
      <c r="K192" s="1">
        <v>45005.608946759261</v>
      </c>
      <c r="L192" t="s">
        <v>33</v>
      </c>
      <c r="M192" t="s">
        <v>34</v>
      </c>
      <c r="T192">
        <v>0</v>
      </c>
      <c r="Y192" t="s">
        <v>35</v>
      </c>
      <c r="AC192" s="2">
        <f t="shared" si="18"/>
        <v>4</v>
      </c>
      <c r="AD192" s="2">
        <f t="shared" si="19"/>
        <v>19</v>
      </c>
      <c r="AE192" s="2">
        <f t="shared" si="20"/>
        <v>15</v>
      </c>
      <c r="AF192" s="2" t="str">
        <f t="shared" si="21"/>
        <v/>
      </c>
      <c r="AG192" s="2" t="str">
        <f t="shared" si="22"/>
        <v/>
      </c>
      <c r="AH192" s="4" t="str">
        <f t="shared" si="23"/>
        <v/>
      </c>
      <c r="AI192" s="2" t="str">
        <f t="shared" si="24"/>
        <v/>
      </c>
      <c r="AJ192" s="2" t="str">
        <f t="shared" si="25"/>
        <v/>
      </c>
      <c r="AK192" s="2" t="str">
        <f t="shared" si="26"/>
        <v/>
      </c>
    </row>
    <row r="193" spans="1:37" x14ac:dyDescent="0.25">
      <c r="A193">
        <v>317</v>
      </c>
      <c r="B193" t="s">
        <v>256</v>
      </c>
      <c r="C193" t="s">
        <v>94</v>
      </c>
      <c r="D193" t="s">
        <v>142</v>
      </c>
      <c r="E193" t="s">
        <v>42</v>
      </c>
      <c r="F193" t="s">
        <v>253</v>
      </c>
      <c r="G193" t="s">
        <v>144</v>
      </c>
      <c r="H193" s="1">
        <v>44984.608946759261</v>
      </c>
      <c r="I193" s="1">
        <v>44987.608946759261</v>
      </c>
      <c r="J193" t="s">
        <v>32</v>
      </c>
      <c r="K193" s="1">
        <v>45000.608946759261</v>
      </c>
      <c r="L193" t="s">
        <v>39</v>
      </c>
      <c r="N193" s="4">
        <v>45005.608946759261</v>
      </c>
      <c r="O193" t="s">
        <v>39</v>
      </c>
      <c r="R193" s="4">
        <v>45004.608946759261</v>
      </c>
      <c r="T193">
        <v>0</v>
      </c>
      <c r="AC193" s="2">
        <f t="shared" si="18"/>
        <v>3</v>
      </c>
      <c r="AD193" s="2">
        <f t="shared" si="19"/>
        <v>16</v>
      </c>
      <c r="AE193" s="2">
        <f t="shared" si="20"/>
        <v>13</v>
      </c>
      <c r="AF193" s="2">
        <f t="shared" si="21"/>
        <v>20</v>
      </c>
      <c r="AG193" s="2">
        <f t="shared" si="22"/>
        <v>4</v>
      </c>
      <c r="AH193" s="4">
        <f t="shared" si="23"/>
        <v>45094.608946759261</v>
      </c>
      <c r="AI193" s="2" t="str">
        <f t="shared" si="24"/>
        <v/>
      </c>
      <c r="AJ193" s="2" t="str">
        <f t="shared" si="25"/>
        <v/>
      </c>
      <c r="AK193" s="2" t="str">
        <f t="shared" si="26"/>
        <v/>
      </c>
    </row>
    <row r="194" spans="1:37" x14ac:dyDescent="0.25">
      <c r="A194">
        <v>188</v>
      </c>
      <c r="B194" t="s">
        <v>257</v>
      </c>
      <c r="C194" t="s">
        <v>94</v>
      </c>
      <c r="D194" t="s">
        <v>142</v>
      </c>
      <c r="E194" t="s">
        <v>42</v>
      </c>
      <c r="F194" t="s">
        <v>253</v>
      </c>
      <c r="G194" t="s">
        <v>144</v>
      </c>
      <c r="H194" s="1">
        <v>44832.301365740743</v>
      </c>
      <c r="I194" s="1">
        <v>44833.301365740743</v>
      </c>
      <c r="J194" t="s">
        <v>32</v>
      </c>
      <c r="K194" s="1">
        <v>44837.301365740743</v>
      </c>
      <c r="L194" t="s">
        <v>39</v>
      </c>
      <c r="N194" s="4">
        <v>44841.301365740743</v>
      </c>
      <c r="O194" t="s">
        <v>39</v>
      </c>
      <c r="R194" s="4">
        <v>44840.301365740743</v>
      </c>
      <c r="T194">
        <v>0</v>
      </c>
      <c r="AC194" s="2">
        <f t="shared" si="18"/>
        <v>1</v>
      </c>
      <c r="AD194" s="2">
        <f t="shared" si="19"/>
        <v>5</v>
      </c>
      <c r="AE194" s="2">
        <f t="shared" si="20"/>
        <v>4</v>
      </c>
      <c r="AF194" s="2">
        <f t="shared" si="21"/>
        <v>8</v>
      </c>
      <c r="AG194" s="2">
        <f t="shared" si="22"/>
        <v>3</v>
      </c>
      <c r="AH194" s="4">
        <f t="shared" si="23"/>
        <v>44930.301365740743</v>
      </c>
      <c r="AI194" s="2" t="str">
        <f t="shared" si="24"/>
        <v/>
      </c>
      <c r="AJ194" s="2" t="str">
        <f t="shared" si="25"/>
        <v/>
      </c>
      <c r="AK194" s="2" t="str">
        <f t="shared" si="26"/>
        <v/>
      </c>
    </row>
    <row r="195" spans="1:37" x14ac:dyDescent="0.25">
      <c r="A195">
        <v>135</v>
      </c>
      <c r="B195" t="s">
        <v>258</v>
      </c>
      <c r="C195" t="s">
        <v>94</v>
      </c>
      <c r="D195" t="s">
        <v>142</v>
      </c>
      <c r="E195" t="s">
        <v>42</v>
      </c>
      <c r="F195" t="s">
        <v>253</v>
      </c>
      <c r="G195" t="s">
        <v>144</v>
      </c>
      <c r="H195" s="1">
        <v>44764.802951388891</v>
      </c>
      <c r="I195" s="1">
        <v>44765.802951388891</v>
      </c>
      <c r="J195" t="s">
        <v>32</v>
      </c>
      <c r="K195" s="1">
        <v>44775.802951388891</v>
      </c>
      <c r="L195" t="s">
        <v>33</v>
      </c>
      <c r="M195" t="s">
        <v>34</v>
      </c>
      <c r="T195">
        <v>0</v>
      </c>
      <c r="Y195" t="s">
        <v>55</v>
      </c>
      <c r="AC195" s="2">
        <f t="shared" ref="AC195:AC258" si="27">IF(AND(I195&lt;&gt;"",H195&lt;&gt;""), I195-H195, "")</f>
        <v>1</v>
      </c>
      <c r="AD195" s="2">
        <f t="shared" ref="AD195:AD258" si="28">IF(AND(K195&lt;&gt;"",H195&lt;&gt;""), K195-H195, "")</f>
        <v>11</v>
      </c>
      <c r="AE195" s="2">
        <f t="shared" ref="AE195:AE258" si="29">IF(AND(K195&lt;&gt;"",I195&lt;&gt;""), K195-I195, "")</f>
        <v>10</v>
      </c>
      <c r="AF195" s="2" t="str">
        <f t="shared" ref="AF195:AF258" si="30">IF(AND(R195&lt;&gt;"",H195&lt;&gt;""), R195-H195, "")</f>
        <v/>
      </c>
      <c r="AG195" s="2" t="str">
        <f t="shared" ref="AG195:AG258" si="31">IF(AND(R195&lt;&gt;"",K195&lt;&gt;""), R195-K195, "")</f>
        <v/>
      </c>
      <c r="AH195" s="4" t="str">
        <f t="shared" ref="AH195:AH258" si="32">IF(R195&lt;&gt;"", R195+90, "")</f>
        <v/>
      </c>
      <c r="AI195" s="2" t="str">
        <f t="shared" ref="AI195:AI258" si="33">IF(AND(U195&lt;&gt;"",S195&lt;&gt;""), U195-S195, "")</f>
        <v/>
      </c>
      <c r="AJ195" s="2" t="str">
        <f t="shared" ref="AJ195:AJ258" si="34">IF(AND(Z195&lt;&gt;"",R195&lt;&gt;""), Z195-R195, "")</f>
        <v/>
      </c>
      <c r="AK195" s="2" t="str">
        <f t="shared" ref="AK195:AK258" si="35">IF(AND(W195&lt;&gt;"",R195&lt;&gt;""), W195-R195, "")</f>
        <v/>
      </c>
    </row>
    <row r="196" spans="1:37" x14ac:dyDescent="0.25">
      <c r="A196">
        <v>65</v>
      </c>
      <c r="B196" t="s">
        <v>259</v>
      </c>
      <c r="C196" t="s">
        <v>94</v>
      </c>
      <c r="D196" t="s">
        <v>142</v>
      </c>
      <c r="E196" t="s">
        <v>42</v>
      </c>
      <c r="F196" t="s">
        <v>253</v>
      </c>
      <c r="G196" t="s">
        <v>144</v>
      </c>
      <c r="H196" s="1">
        <v>45167.755949074075</v>
      </c>
      <c r="I196" s="1">
        <v>45168.755949074075</v>
      </c>
      <c r="J196" t="s">
        <v>32</v>
      </c>
      <c r="K196" s="1">
        <v>45175.755949074075</v>
      </c>
      <c r="L196" t="s">
        <v>164</v>
      </c>
      <c r="N196" s="4">
        <v>45182.755949074075</v>
      </c>
      <c r="O196" t="s">
        <v>164</v>
      </c>
      <c r="R196" s="4">
        <v>45179.755949074075</v>
      </c>
      <c r="T196">
        <v>0</v>
      </c>
      <c r="AC196" s="2">
        <f t="shared" si="27"/>
        <v>1</v>
      </c>
      <c r="AD196" s="2">
        <f t="shared" si="28"/>
        <v>8</v>
      </c>
      <c r="AE196" s="2">
        <f t="shared" si="29"/>
        <v>7</v>
      </c>
      <c r="AF196" s="2">
        <f t="shared" si="30"/>
        <v>12</v>
      </c>
      <c r="AG196" s="2">
        <f t="shared" si="31"/>
        <v>4</v>
      </c>
      <c r="AH196" s="4">
        <f t="shared" si="32"/>
        <v>45269.755949074075</v>
      </c>
      <c r="AI196" s="2" t="str">
        <f t="shared" si="33"/>
        <v/>
      </c>
      <c r="AJ196" s="2" t="str">
        <f t="shared" si="34"/>
        <v/>
      </c>
      <c r="AK196" s="2" t="str">
        <f t="shared" si="35"/>
        <v/>
      </c>
    </row>
    <row r="197" spans="1:37" x14ac:dyDescent="0.25">
      <c r="A197">
        <v>64</v>
      </c>
      <c r="B197" t="s">
        <v>260</v>
      </c>
      <c r="C197" t="s">
        <v>94</v>
      </c>
      <c r="D197" t="s">
        <v>142</v>
      </c>
      <c r="E197" t="s">
        <v>42</v>
      </c>
      <c r="F197" t="s">
        <v>253</v>
      </c>
      <c r="G197" t="s">
        <v>144</v>
      </c>
      <c r="H197" s="1">
        <v>45163.755949074075</v>
      </c>
      <c r="I197" s="1">
        <v>45164.755949074075</v>
      </c>
      <c r="J197" t="s">
        <v>44</v>
      </c>
      <c r="K197" s="1"/>
      <c r="T197">
        <v>0</v>
      </c>
      <c r="AC197" s="2">
        <f t="shared" si="27"/>
        <v>1</v>
      </c>
      <c r="AD197" s="2" t="str">
        <f t="shared" si="28"/>
        <v/>
      </c>
      <c r="AE197" s="2" t="str">
        <f t="shared" si="29"/>
        <v/>
      </c>
      <c r="AF197" s="2" t="str">
        <f t="shared" si="30"/>
        <v/>
      </c>
      <c r="AG197" s="2" t="str">
        <f t="shared" si="31"/>
        <v/>
      </c>
      <c r="AH197" s="4" t="str">
        <f t="shared" si="32"/>
        <v/>
      </c>
      <c r="AI197" s="2" t="str">
        <f t="shared" si="33"/>
        <v/>
      </c>
      <c r="AJ197" s="2" t="str">
        <f t="shared" si="34"/>
        <v/>
      </c>
      <c r="AK197" s="2" t="str">
        <f t="shared" si="35"/>
        <v/>
      </c>
    </row>
    <row r="198" spans="1:37" x14ac:dyDescent="0.25">
      <c r="A198">
        <v>61</v>
      </c>
      <c r="B198" t="s">
        <v>261</v>
      </c>
      <c r="C198" t="s">
        <v>94</v>
      </c>
      <c r="D198" t="s">
        <v>142</v>
      </c>
      <c r="E198" t="s">
        <v>42</v>
      </c>
      <c r="F198" t="s">
        <v>253</v>
      </c>
      <c r="G198" t="s">
        <v>144</v>
      </c>
      <c r="H198" s="1">
        <v>45162.755949074075</v>
      </c>
      <c r="I198" s="1">
        <v>45165.755949074075</v>
      </c>
      <c r="J198" t="s">
        <v>32</v>
      </c>
      <c r="K198" s="1">
        <v>45181.755949074075</v>
      </c>
      <c r="L198" t="s">
        <v>33</v>
      </c>
      <c r="M198" t="s">
        <v>67</v>
      </c>
      <c r="T198">
        <v>0</v>
      </c>
      <c r="Y198" t="s">
        <v>35</v>
      </c>
      <c r="AC198" s="2">
        <f t="shared" si="27"/>
        <v>3</v>
      </c>
      <c r="AD198" s="2">
        <f t="shared" si="28"/>
        <v>19</v>
      </c>
      <c r="AE198" s="2">
        <f t="shared" si="29"/>
        <v>16</v>
      </c>
      <c r="AF198" s="2" t="str">
        <f t="shared" si="30"/>
        <v/>
      </c>
      <c r="AG198" s="2" t="str">
        <f t="shared" si="31"/>
        <v/>
      </c>
      <c r="AH198" s="4" t="str">
        <f t="shared" si="32"/>
        <v/>
      </c>
      <c r="AI198" s="2" t="str">
        <f t="shared" si="33"/>
        <v/>
      </c>
      <c r="AJ198" s="2" t="str">
        <f t="shared" si="34"/>
        <v/>
      </c>
      <c r="AK198" s="2" t="str">
        <f t="shared" si="35"/>
        <v/>
      </c>
    </row>
    <row r="199" spans="1:37" x14ac:dyDescent="0.25">
      <c r="A199">
        <v>5</v>
      </c>
      <c r="B199" t="s">
        <v>262</v>
      </c>
      <c r="C199" t="s">
        <v>94</v>
      </c>
      <c r="D199" t="s">
        <v>142</v>
      </c>
      <c r="E199" t="s">
        <v>42</v>
      </c>
      <c r="F199" t="s">
        <v>253</v>
      </c>
      <c r="G199" t="s">
        <v>144</v>
      </c>
      <c r="H199" s="1">
        <v>45075.372060185182</v>
      </c>
      <c r="I199" s="1">
        <v>45078.372060185182</v>
      </c>
      <c r="J199" t="s">
        <v>32</v>
      </c>
      <c r="K199" s="1">
        <v>45095.372060185182</v>
      </c>
      <c r="L199" t="s">
        <v>39</v>
      </c>
      <c r="N199" s="4">
        <v>45100.372060185182</v>
      </c>
      <c r="O199" t="s">
        <v>39</v>
      </c>
      <c r="R199" s="4">
        <v>45099.372060185182</v>
      </c>
      <c r="T199">
        <v>0</v>
      </c>
      <c r="AC199" s="2">
        <f t="shared" si="27"/>
        <v>3</v>
      </c>
      <c r="AD199" s="2">
        <f t="shared" si="28"/>
        <v>20</v>
      </c>
      <c r="AE199" s="2">
        <f t="shared" si="29"/>
        <v>17</v>
      </c>
      <c r="AF199" s="2">
        <f t="shared" si="30"/>
        <v>24</v>
      </c>
      <c r="AG199" s="2">
        <f t="shared" si="31"/>
        <v>4</v>
      </c>
      <c r="AH199" s="4">
        <f t="shared" si="32"/>
        <v>45189.372060185182</v>
      </c>
      <c r="AI199" s="2" t="str">
        <f t="shared" si="33"/>
        <v/>
      </c>
      <c r="AJ199" s="2" t="str">
        <f t="shared" si="34"/>
        <v/>
      </c>
      <c r="AK199" s="2" t="str">
        <f t="shared" si="35"/>
        <v/>
      </c>
    </row>
    <row r="200" spans="1:37" x14ac:dyDescent="0.25">
      <c r="A200">
        <v>4</v>
      </c>
      <c r="B200" t="s">
        <v>263</v>
      </c>
      <c r="C200" t="s">
        <v>94</v>
      </c>
      <c r="D200" t="s">
        <v>142</v>
      </c>
      <c r="E200" t="s">
        <v>42</v>
      </c>
      <c r="F200" t="s">
        <v>253</v>
      </c>
      <c r="G200" t="s">
        <v>144</v>
      </c>
      <c r="H200" s="1">
        <v>45075.372060185182</v>
      </c>
      <c r="I200" s="1">
        <v>45078.372060185182</v>
      </c>
      <c r="J200" t="s">
        <v>32</v>
      </c>
      <c r="K200" s="1">
        <v>45092.372060185182</v>
      </c>
      <c r="L200" t="s">
        <v>57</v>
      </c>
      <c r="N200" s="4">
        <v>45097.372060185182</v>
      </c>
      <c r="O200" t="s">
        <v>57</v>
      </c>
      <c r="P200" s="4">
        <v>45094.372060185182</v>
      </c>
      <c r="Q200" s="4">
        <v>45095.372060185182</v>
      </c>
      <c r="R200" s="4">
        <v>45095.372060185182</v>
      </c>
      <c r="S200" s="4">
        <v>45102.372060185182</v>
      </c>
      <c r="T200">
        <v>1</v>
      </c>
      <c r="U200" s="4">
        <v>45103.372060185182</v>
      </c>
      <c r="V200" s="4">
        <v>45104.372060185182</v>
      </c>
      <c r="W200" s="4">
        <v>45105.372060185182</v>
      </c>
      <c r="Z200" s="4">
        <v>45118.372060185182</v>
      </c>
      <c r="AC200" s="2">
        <f t="shared" si="27"/>
        <v>3</v>
      </c>
      <c r="AD200" s="2">
        <f t="shared" si="28"/>
        <v>17</v>
      </c>
      <c r="AE200" s="2">
        <f t="shared" si="29"/>
        <v>14</v>
      </c>
      <c r="AF200" s="2">
        <f t="shared" si="30"/>
        <v>20</v>
      </c>
      <c r="AG200" s="2">
        <f t="shared" si="31"/>
        <v>3</v>
      </c>
      <c r="AH200" s="4">
        <f t="shared" si="32"/>
        <v>45185.372060185182</v>
      </c>
      <c r="AI200" s="2">
        <f t="shared" si="33"/>
        <v>1</v>
      </c>
      <c r="AJ200" s="2">
        <f t="shared" si="34"/>
        <v>23</v>
      </c>
      <c r="AK200" s="2">
        <f t="shared" si="35"/>
        <v>10</v>
      </c>
    </row>
    <row r="201" spans="1:37" x14ac:dyDescent="0.25">
      <c r="A201">
        <v>2</v>
      </c>
      <c r="B201" t="s">
        <v>264</v>
      </c>
      <c r="C201" t="s">
        <v>94</v>
      </c>
      <c r="D201" t="s">
        <v>142</v>
      </c>
      <c r="E201" t="s">
        <v>42</v>
      </c>
      <c r="F201" t="s">
        <v>253</v>
      </c>
      <c r="G201" t="s">
        <v>144</v>
      </c>
      <c r="H201" s="1">
        <v>45080.372060185182</v>
      </c>
      <c r="I201" s="1">
        <v>45082.372060185182</v>
      </c>
      <c r="J201" t="s">
        <v>32</v>
      </c>
      <c r="K201" s="1">
        <v>45093.372060185182</v>
      </c>
      <c r="L201" t="s">
        <v>57</v>
      </c>
      <c r="N201" s="4">
        <v>45097.372060185182</v>
      </c>
      <c r="O201" t="s">
        <v>57</v>
      </c>
      <c r="P201" s="4">
        <v>45095.372060185182</v>
      </c>
      <c r="Q201" s="4">
        <v>45099.372060185182</v>
      </c>
      <c r="R201" s="4">
        <v>45096.372060185182</v>
      </c>
      <c r="S201" s="4">
        <v>45102.372060185182</v>
      </c>
      <c r="T201">
        <v>1</v>
      </c>
      <c r="U201" s="4">
        <v>45104.372060185182</v>
      </c>
      <c r="V201" s="4">
        <v>45106.372060185182</v>
      </c>
      <c r="W201" s="4">
        <v>45108.372060185182</v>
      </c>
      <c r="Z201" s="4">
        <v>45122.372060185182</v>
      </c>
      <c r="AC201" s="2">
        <f t="shared" si="27"/>
        <v>2</v>
      </c>
      <c r="AD201" s="2">
        <f t="shared" si="28"/>
        <v>13</v>
      </c>
      <c r="AE201" s="2">
        <f t="shared" si="29"/>
        <v>11</v>
      </c>
      <c r="AF201" s="2">
        <f t="shared" si="30"/>
        <v>16</v>
      </c>
      <c r="AG201" s="2">
        <f t="shared" si="31"/>
        <v>3</v>
      </c>
      <c r="AH201" s="4">
        <f t="shared" si="32"/>
        <v>45186.372060185182</v>
      </c>
      <c r="AI201" s="2">
        <f t="shared" si="33"/>
        <v>2</v>
      </c>
      <c r="AJ201" s="2">
        <f t="shared" si="34"/>
        <v>26</v>
      </c>
      <c r="AK201" s="2">
        <f t="shared" si="35"/>
        <v>12</v>
      </c>
    </row>
    <row r="202" spans="1:37" x14ac:dyDescent="0.25">
      <c r="A202">
        <v>2965</v>
      </c>
      <c r="B202" t="s">
        <v>265</v>
      </c>
      <c r="C202" t="s">
        <v>94</v>
      </c>
      <c r="D202" t="s">
        <v>266</v>
      </c>
      <c r="E202" t="s">
        <v>267</v>
      </c>
      <c r="F202" t="s">
        <v>268</v>
      </c>
      <c r="G202" t="s">
        <v>269</v>
      </c>
      <c r="H202" s="1">
        <v>44700.276689814818</v>
      </c>
      <c r="I202" s="1">
        <v>44702.276689814818</v>
      </c>
      <c r="J202" t="s">
        <v>32</v>
      </c>
      <c r="K202" s="1">
        <v>44709.276689814818</v>
      </c>
      <c r="L202" t="s">
        <v>33</v>
      </c>
      <c r="M202" t="s">
        <v>34</v>
      </c>
      <c r="T202">
        <v>0</v>
      </c>
      <c r="Y202" t="s">
        <v>35</v>
      </c>
      <c r="AC202" s="2">
        <f t="shared" si="27"/>
        <v>2</v>
      </c>
      <c r="AD202" s="2">
        <f t="shared" si="28"/>
        <v>9</v>
      </c>
      <c r="AE202" s="2">
        <f t="shared" si="29"/>
        <v>7</v>
      </c>
      <c r="AF202" s="2" t="str">
        <f t="shared" si="30"/>
        <v/>
      </c>
      <c r="AG202" s="2" t="str">
        <f t="shared" si="31"/>
        <v/>
      </c>
      <c r="AH202" s="4" t="str">
        <f t="shared" si="32"/>
        <v/>
      </c>
      <c r="AI202" s="2" t="str">
        <f t="shared" si="33"/>
        <v/>
      </c>
      <c r="AJ202" s="2" t="str">
        <f t="shared" si="34"/>
        <v/>
      </c>
      <c r="AK202" s="2" t="str">
        <f t="shared" si="35"/>
        <v/>
      </c>
    </row>
    <row r="203" spans="1:37" x14ac:dyDescent="0.25">
      <c r="A203">
        <v>2866</v>
      </c>
      <c r="B203" t="s">
        <v>270</v>
      </c>
      <c r="C203" t="s">
        <v>94</v>
      </c>
      <c r="D203" t="s">
        <v>266</v>
      </c>
      <c r="E203" t="s">
        <v>267</v>
      </c>
      <c r="F203" t="s">
        <v>268</v>
      </c>
      <c r="G203" t="s">
        <v>269</v>
      </c>
      <c r="H203" s="1">
        <v>44849.266331018516</v>
      </c>
      <c r="I203" s="1">
        <v>44851.266331018516</v>
      </c>
      <c r="J203" t="s">
        <v>32</v>
      </c>
      <c r="K203" s="1">
        <v>44861.266331018516</v>
      </c>
      <c r="L203" t="s">
        <v>39</v>
      </c>
      <c r="N203" s="4">
        <v>44866.266331018516</v>
      </c>
      <c r="O203" t="s">
        <v>39</v>
      </c>
      <c r="R203" s="4">
        <v>44865.266331018516</v>
      </c>
      <c r="T203">
        <v>0</v>
      </c>
      <c r="AC203" s="2">
        <f t="shared" si="27"/>
        <v>2</v>
      </c>
      <c r="AD203" s="2">
        <f t="shared" si="28"/>
        <v>12</v>
      </c>
      <c r="AE203" s="2">
        <f t="shared" si="29"/>
        <v>10</v>
      </c>
      <c r="AF203" s="2">
        <f t="shared" si="30"/>
        <v>16</v>
      </c>
      <c r="AG203" s="2">
        <f t="shared" si="31"/>
        <v>4</v>
      </c>
      <c r="AH203" s="4">
        <f t="shared" si="32"/>
        <v>44955.266331018516</v>
      </c>
      <c r="AI203" s="2" t="str">
        <f t="shared" si="33"/>
        <v/>
      </c>
      <c r="AJ203" s="2" t="str">
        <f t="shared" si="34"/>
        <v/>
      </c>
      <c r="AK203" s="2" t="str">
        <f t="shared" si="35"/>
        <v/>
      </c>
    </row>
    <row r="204" spans="1:37" x14ac:dyDescent="0.25">
      <c r="A204">
        <v>2865</v>
      </c>
      <c r="B204" t="s">
        <v>271</v>
      </c>
      <c r="C204" t="s">
        <v>94</v>
      </c>
      <c r="D204" t="s">
        <v>266</v>
      </c>
      <c r="E204" t="s">
        <v>267</v>
      </c>
      <c r="F204" t="s">
        <v>268</v>
      </c>
      <c r="G204" t="s">
        <v>269</v>
      </c>
      <c r="H204" s="1">
        <v>44849.266331018516</v>
      </c>
      <c r="I204" s="1">
        <v>44850.266331018516</v>
      </c>
      <c r="J204" t="s">
        <v>32</v>
      </c>
      <c r="K204" s="1">
        <v>44867.266331018516</v>
      </c>
      <c r="L204" t="s">
        <v>39</v>
      </c>
      <c r="N204" s="4">
        <v>44872.266331018516</v>
      </c>
      <c r="O204" t="s">
        <v>39</v>
      </c>
      <c r="R204" s="4">
        <v>44868.266331018516</v>
      </c>
      <c r="T204">
        <v>0</v>
      </c>
      <c r="AC204" s="2">
        <f t="shared" si="27"/>
        <v>1</v>
      </c>
      <c r="AD204" s="2">
        <f t="shared" si="28"/>
        <v>18</v>
      </c>
      <c r="AE204" s="2">
        <f t="shared" si="29"/>
        <v>17</v>
      </c>
      <c r="AF204" s="2">
        <f t="shared" si="30"/>
        <v>19</v>
      </c>
      <c r="AG204" s="2">
        <f t="shared" si="31"/>
        <v>1</v>
      </c>
      <c r="AH204" s="4">
        <f t="shared" si="32"/>
        <v>44958.266331018516</v>
      </c>
      <c r="AI204" s="2" t="str">
        <f t="shared" si="33"/>
        <v/>
      </c>
      <c r="AJ204" s="2" t="str">
        <f t="shared" si="34"/>
        <v/>
      </c>
      <c r="AK204" s="2" t="str">
        <f t="shared" si="35"/>
        <v/>
      </c>
    </row>
    <row r="205" spans="1:37" x14ac:dyDescent="0.25">
      <c r="A205">
        <v>2856</v>
      </c>
      <c r="B205" t="s">
        <v>272</v>
      </c>
      <c r="C205" t="s">
        <v>94</v>
      </c>
      <c r="D205" t="s">
        <v>266</v>
      </c>
      <c r="E205" t="s">
        <v>267</v>
      </c>
      <c r="F205" t="s">
        <v>268</v>
      </c>
      <c r="G205" t="s">
        <v>269</v>
      </c>
      <c r="H205" s="1">
        <v>45034.4996875</v>
      </c>
      <c r="I205" s="1">
        <v>45035.4996875</v>
      </c>
      <c r="J205" t="s">
        <v>32</v>
      </c>
      <c r="K205" s="1">
        <v>45046.4996875</v>
      </c>
      <c r="L205" t="s">
        <v>33</v>
      </c>
      <c r="M205" t="s">
        <v>108</v>
      </c>
      <c r="T205">
        <v>0</v>
      </c>
      <c r="Y205" t="s">
        <v>55</v>
      </c>
      <c r="AC205" s="2">
        <f t="shared" si="27"/>
        <v>1</v>
      </c>
      <c r="AD205" s="2">
        <f t="shared" si="28"/>
        <v>12</v>
      </c>
      <c r="AE205" s="2">
        <f t="shared" si="29"/>
        <v>11</v>
      </c>
      <c r="AF205" s="2" t="str">
        <f t="shared" si="30"/>
        <v/>
      </c>
      <c r="AG205" s="2" t="str">
        <f t="shared" si="31"/>
        <v/>
      </c>
      <c r="AH205" s="4" t="str">
        <f t="shared" si="32"/>
        <v/>
      </c>
      <c r="AI205" s="2" t="str">
        <f t="shared" si="33"/>
        <v/>
      </c>
      <c r="AJ205" s="2" t="str">
        <f t="shared" si="34"/>
        <v/>
      </c>
      <c r="AK205" s="2" t="str">
        <f t="shared" si="35"/>
        <v/>
      </c>
    </row>
    <row r="206" spans="1:37" x14ac:dyDescent="0.25">
      <c r="A206">
        <v>2838</v>
      </c>
      <c r="B206" t="s">
        <v>273</v>
      </c>
      <c r="C206" t="s">
        <v>94</v>
      </c>
      <c r="D206" t="s">
        <v>266</v>
      </c>
      <c r="E206" t="s">
        <v>267</v>
      </c>
      <c r="F206" t="s">
        <v>268</v>
      </c>
      <c r="G206" t="s">
        <v>269</v>
      </c>
      <c r="H206" s="1">
        <v>44659.843564814815</v>
      </c>
      <c r="I206" s="1">
        <v>44660.843564814815</v>
      </c>
      <c r="J206" t="s">
        <v>32</v>
      </c>
      <c r="K206" s="1">
        <v>44682.843564814815</v>
      </c>
      <c r="L206" t="s">
        <v>33</v>
      </c>
      <c r="M206" t="s">
        <v>51</v>
      </c>
      <c r="R206" s="4">
        <v>44683.843564814815</v>
      </c>
      <c r="T206">
        <v>0</v>
      </c>
      <c r="Y206" t="s">
        <v>35</v>
      </c>
      <c r="AC206" s="2">
        <f t="shared" si="27"/>
        <v>1</v>
      </c>
      <c r="AD206" s="2">
        <f t="shared" si="28"/>
        <v>23</v>
      </c>
      <c r="AE206" s="2">
        <f t="shared" si="29"/>
        <v>22</v>
      </c>
      <c r="AF206" s="2">
        <f t="shared" si="30"/>
        <v>24</v>
      </c>
      <c r="AG206" s="2">
        <f t="shared" si="31"/>
        <v>1</v>
      </c>
      <c r="AH206" s="4">
        <f t="shared" si="32"/>
        <v>44773.843564814815</v>
      </c>
      <c r="AI206" s="2" t="str">
        <f t="shared" si="33"/>
        <v/>
      </c>
      <c r="AJ206" s="2" t="str">
        <f t="shared" si="34"/>
        <v/>
      </c>
      <c r="AK206" s="2" t="str">
        <f t="shared" si="35"/>
        <v/>
      </c>
    </row>
    <row r="207" spans="1:37" x14ac:dyDescent="0.25">
      <c r="A207">
        <v>2832</v>
      </c>
      <c r="B207" t="s">
        <v>274</v>
      </c>
      <c r="C207" t="s">
        <v>94</v>
      </c>
      <c r="D207" t="s">
        <v>266</v>
      </c>
      <c r="E207" t="s">
        <v>267</v>
      </c>
      <c r="F207" t="s">
        <v>268</v>
      </c>
      <c r="G207" t="s">
        <v>269</v>
      </c>
      <c r="H207" s="1">
        <v>44663.843564814815</v>
      </c>
      <c r="I207" s="1">
        <v>44664.843564814815</v>
      </c>
      <c r="J207" t="s">
        <v>32</v>
      </c>
      <c r="K207" s="1">
        <v>44683.843564814815</v>
      </c>
      <c r="L207" t="s">
        <v>39</v>
      </c>
      <c r="N207" s="4">
        <v>44687.843564814815</v>
      </c>
      <c r="O207" t="s">
        <v>39</v>
      </c>
      <c r="R207" s="4">
        <v>44685.843564814815</v>
      </c>
      <c r="T207">
        <v>0</v>
      </c>
      <c r="AC207" s="2">
        <f t="shared" si="27"/>
        <v>1</v>
      </c>
      <c r="AD207" s="2">
        <f t="shared" si="28"/>
        <v>20</v>
      </c>
      <c r="AE207" s="2">
        <f t="shared" si="29"/>
        <v>19</v>
      </c>
      <c r="AF207" s="2">
        <f t="shared" si="30"/>
        <v>22</v>
      </c>
      <c r="AG207" s="2">
        <f t="shared" si="31"/>
        <v>2</v>
      </c>
      <c r="AH207" s="4">
        <f t="shared" si="32"/>
        <v>44775.843564814815</v>
      </c>
      <c r="AI207" s="2" t="str">
        <f t="shared" si="33"/>
        <v/>
      </c>
      <c r="AJ207" s="2" t="str">
        <f t="shared" si="34"/>
        <v/>
      </c>
      <c r="AK207" s="2" t="str">
        <f t="shared" si="35"/>
        <v/>
      </c>
    </row>
    <row r="208" spans="1:37" x14ac:dyDescent="0.25">
      <c r="A208">
        <v>2787</v>
      </c>
      <c r="B208" t="s">
        <v>275</v>
      </c>
      <c r="C208" t="s">
        <v>94</v>
      </c>
      <c r="D208" t="s">
        <v>266</v>
      </c>
      <c r="E208" t="s">
        <v>267</v>
      </c>
      <c r="F208" t="s">
        <v>268</v>
      </c>
      <c r="G208" t="s">
        <v>269</v>
      </c>
      <c r="H208" s="1">
        <v>45103.816620370373</v>
      </c>
      <c r="I208" s="1">
        <v>45106.816620370373</v>
      </c>
      <c r="J208" t="s">
        <v>32</v>
      </c>
      <c r="K208" s="1">
        <v>45124.816620370373</v>
      </c>
      <c r="L208" t="s">
        <v>33</v>
      </c>
      <c r="M208" t="s">
        <v>67</v>
      </c>
      <c r="T208">
        <v>0</v>
      </c>
      <c r="Y208" t="s">
        <v>55</v>
      </c>
      <c r="AC208" s="2">
        <f t="shared" si="27"/>
        <v>3</v>
      </c>
      <c r="AD208" s="2">
        <f t="shared" si="28"/>
        <v>21</v>
      </c>
      <c r="AE208" s="2">
        <f t="shared" si="29"/>
        <v>18</v>
      </c>
      <c r="AF208" s="2" t="str">
        <f t="shared" si="30"/>
        <v/>
      </c>
      <c r="AG208" s="2" t="str">
        <f t="shared" si="31"/>
        <v/>
      </c>
      <c r="AH208" s="4" t="str">
        <f t="shared" si="32"/>
        <v/>
      </c>
      <c r="AI208" s="2" t="str">
        <f t="shared" si="33"/>
        <v/>
      </c>
      <c r="AJ208" s="2" t="str">
        <f t="shared" si="34"/>
        <v/>
      </c>
      <c r="AK208" s="2" t="str">
        <f t="shared" si="35"/>
        <v/>
      </c>
    </row>
    <row r="209" spans="1:37" x14ac:dyDescent="0.25">
      <c r="A209">
        <v>2785</v>
      </c>
      <c r="B209" t="s">
        <v>276</v>
      </c>
      <c r="C209" t="s">
        <v>94</v>
      </c>
      <c r="D209" t="s">
        <v>266</v>
      </c>
      <c r="E209" t="s">
        <v>267</v>
      </c>
      <c r="F209" t="s">
        <v>268</v>
      </c>
      <c r="G209" t="s">
        <v>269</v>
      </c>
      <c r="H209" s="1">
        <v>45105.816620370373</v>
      </c>
      <c r="I209" s="1">
        <v>45108.816620370373</v>
      </c>
      <c r="J209" t="s">
        <v>32</v>
      </c>
      <c r="K209" s="1">
        <v>45118.816620370373</v>
      </c>
      <c r="L209" t="s">
        <v>33</v>
      </c>
      <c r="M209" t="s">
        <v>67</v>
      </c>
      <c r="T209">
        <v>0</v>
      </c>
      <c r="Y209" t="s">
        <v>55</v>
      </c>
      <c r="AC209" s="2">
        <f t="shared" si="27"/>
        <v>3</v>
      </c>
      <c r="AD209" s="2">
        <f t="shared" si="28"/>
        <v>13</v>
      </c>
      <c r="AE209" s="2">
        <f t="shared" si="29"/>
        <v>10</v>
      </c>
      <c r="AF209" s="2" t="str">
        <f t="shared" si="30"/>
        <v/>
      </c>
      <c r="AG209" s="2" t="str">
        <f t="shared" si="31"/>
        <v/>
      </c>
      <c r="AH209" s="4" t="str">
        <f t="shared" si="32"/>
        <v/>
      </c>
      <c r="AI209" s="2" t="str">
        <f t="shared" si="33"/>
        <v/>
      </c>
      <c r="AJ209" s="2" t="str">
        <f t="shared" si="34"/>
        <v/>
      </c>
      <c r="AK209" s="2" t="str">
        <f t="shared" si="35"/>
        <v/>
      </c>
    </row>
    <row r="210" spans="1:37" x14ac:dyDescent="0.25">
      <c r="A210">
        <v>2562</v>
      </c>
      <c r="B210" t="s">
        <v>277</v>
      </c>
      <c r="C210" t="s">
        <v>94</v>
      </c>
      <c r="D210" t="s">
        <v>266</v>
      </c>
      <c r="E210" t="s">
        <v>267</v>
      </c>
      <c r="F210" t="s">
        <v>268</v>
      </c>
      <c r="G210" t="s">
        <v>269</v>
      </c>
      <c r="H210" s="1">
        <v>44887.290763888886</v>
      </c>
      <c r="I210" s="1">
        <v>44891.290763888886</v>
      </c>
      <c r="J210" t="s">
        <v>32</v>
      </c>
      <c r="K210" s="1">
        <v>44903.290763888886</v>
      </c>
      <c r="L210" t="s">
        <v>39</v>
      </c>
      <c r="N210" s="4">
        <v>44911.290763888886</v>
      </c>
      <c r="O210" t="s">
        <v>39</v>
      </c>
      <c r="R210" s="4">
        <v>44907.290763888886</v>
      </c>
      <c r="T210">
        <v>0</v>
      </c>
      <c r="AC210" s="2">
        <f t="shared" si="27"/>
        <v>4</v>
      </c>
      <c r="AD210" s="2">
        <f t="shared" si="28"/>
        <v>16</v>
      </c>
      <c r="AE210" s="2">
        <f t="shared" si="29"/>
        <v>12</v>
      </c>
      <c r="AF210" s="2">
        <f t="shared" si="30"/>
        <v>20</v>
      </c>
      <c r="AG210" s="2">
        <f t="shared" si="31"/>
        <v>4</v>
      </c>
      <c r="AH210" s="4">
        <f t="shared" si="32"/>
        <v>44997.290763888886</v>
      </c>
      <c r="AI210" s="2" t="str">
        <f t="shared" si="33"/>
        <v/>
      </c>
      <c r="AJ210" s="2" t="str">
        <f t="shared" si="34"/>
        <v/>
      </c>
      <c r="AK210" s="2" t="str">
        <f t="shared" si="35"/>
        <v/>
      </c>
    </row>
    <row r="211" spans="1:37" x14ac:dyDescent="0.25">
      <c r="A211">
        <v>2561</v>
      </c>
      <c r="B211" t="s">
        <v>278</v>
      </c>
      <c r="C211" t="s">
        <v>94</v>
      </c>
      <c r="D211" t="s">
        <v>266</v>
      </c>
      <c r="E211" t="s">
        <v>267</v>
      </c>
      <c r="F211" t="s">
        <v>268</v>
      </c>
      <c r="G211" t="s">
        <v>269</v>
      </c>
      <c r="H211" s="1">
        <v>44886.290763888886</v>
      </c>
      <c r="I211" s="1">
        <v>44890.290763888886</v>
      </c>
      <c r="J211" t="s">
        <v>44</v>
      </c>
      <c r="K211" s="1"/>
      <c r="T211">
        <v>0</v>
      </c>
      <c r="AC211" s="2">
        <f t="shared" si="27"/>
        <v>4</v>
      </c>
      <c r="AD211" s="2" t="str">
        <f t="shared" si="28"/>
        <v/>
      </c>
      <c r="AE211" s="2" t="str">
        <f t="shared" si="29"/>
        <v/>
      </c>
      <c r="AF211" s="2" t="str">
        <f t="shared" si="30"/>
        <v/>
      </c>
      <c r="AG211" s="2" t="str">
        <f t="shared" si="31"/>
        <v/>
      </c>
      <c r="AH211" s="4" t="str">
        <f t="shared" si="32"/>
        <v/>
      </c>
      <c r="AI211" s="2" t="str">
        <f t="shared" si="33"/>
        <v/>
      </c>
      <c r="AJ211" s="2" t="str">
        <f t="shared" si="34"/>
        <v/>
      </c>
      <c r="AK211" s="2" t="str">
        <f t="shared" si="35"/>
        <v/>
      </c>
    </row>
    <row r="212" spans="1:37" x14ac:dyDescent="0.25">
      <c r="A212">
        <v>2558</v>
      </c>
      <c r="B212" t="s">
        <v>279</v>
      </c>
      <c r="C212" t="s">
        <v>94</v>
      </c>
      <c r="D212" t="s">
        <v>266</v>
      </c>
      <c r="E212" t="s">
        <v>267</v>
      </c>
      <c r="F212" t="s">
        <v>268</v>
      </c>
      <c r="G212" t="s">
        <v>269</v>
      </c>
      <c r="H212" s="1">
        <v>45145.715324074074</v>
      </c>
      <c r="I212" s="1">
        <v>45146.715324074074</v>
      </c>
      <c r="J212" t="s">
        <v>32</v>
      </c>
      <c r="K212" s="1">
        <v>45158.715324074074</v>
      </c>
      <c r="L212" t="s">
        <v>33</v>
      </c>
      <c r="M212" t="s">
        <v>92</v>
      </c>
      <c r="T212">
        <v>0</v>
      </c>
      <c r="Y212" t="s">
        <v>55</v>
      </c>
      <c r="AC212" s="2">
        <f t="shared" si="27"/>
        <v>1</v>
      </c>
      <c r="AD212" s="2">
        <f t="shared" si="28"/>
        <v>13</v>
      </c>
      <c r="AE212" s="2">
        <f t="shared" si="29"/>
        <v>12</v>
      </c>
      <c r="AF212" s="2" t="str">
        <f t="shared" si="30"/>
        <v/>
      </c>
      <c r="AG212" s="2" t="str">
        <f t="shared" si="31"/>
        <v/>
      </c>
      <c r="AH212" s="4" t="str">
        <f t="shared" si="32"/>
        <v/>
      </c>
      <c r="AI212" s="2" t="str">
        <f t="shared" si="33"/>
        <v/>
      </c>
      <c r="AJ212" s="2" t="str">
        <f t="shared" si="34"/>
        <v/>
      </c>
      <c r="AK212" s="2" t="str">
        <f t="shared" si="35"/>
        <v/>
      </c>
    </row>
    <row r="213" spans="1:37" x14ac:dyDescent="0.25">
      <c r="A213">
        <v>2552</v>
      </c>
      <c r="B213" t="s">
        <v>280</v>
      </c>
      <c r="C213" t="s">
        <v>94</v>
      </c>
      <c r="D213" t="s">
        <v>266</v>
      </c>
      <c r="E213" t="s">
        <v>267</v>
      </c>
      <c r="F213" t="s">
        <v>268</v>
      </c>
      <c r="G213" t="s">
        <v>269</v>
      </c>
      <c r="H213" s="1">
        <v>45142.715324074074</v>
      </c>
      <c r="I213" s="1">
        <v>45146.715324074074</v>
      </c>
      <c r="J213" t="s">
        <v>32</v>
      </c>
      <c r="K213" s="1">
        <v>45158.715324074074</v>
      </c>
      <c r="L213" t="s">
        <v>57</v>
      </c>
      <c r="N213" s="4">
        <v>45160.715324074074</v>
      </c>
      <c r="O213" t="s">
        <v>57</v>
      </c>
      <c r="P213" s="4">
        <v>45160.715324074074</v>
      </c>
      <c r="Q213" s="4">
        <v>45162.715324074074</v>
      </c>
      <c r="R213" s="4">
        <v>45159.715324074074</v>
      </c>
      <c r="S213" s="4">
        <v>45162.715324074074</v>
      </c>
      <c r="T213">
        <v>1</v>
      </c>
      <c r="U213" s="4">
        <v>45165.715324074074</v>
      </c>
      <c r="V213" s="4">
        <v>45167.715324074074</v>
      </c>
      <c r="W213" s="4">
        <v>45170.715324074074</v>
      </c>
      <c r="Z213" s="4">
        <v>45184.715324074074</v>
      </c>
      <c r="AC213" s="2">
        <f t="shared" si="27"/>
        <v>4</v>
      </c>
      <c r="AD213" s="2">
        <f t="shared" si="28"/>
        <v>16</v>
      </c>
      <c r="AE213" s="2">
        <f t="shared" si="29"/>
        <v>12</v>
      </c>
      <c r="AF213" s="2">
        <f t="shared" si="30"/>
        <v>17</v>
      </c>
      <c r="AG213" s="2">
        <f t="shared" si="31"/>
        <v>1</v>
      </c>
      <c r="AH213" s="4">
        <f t="shared" si="32"/>
        <v>45249.715324074074</v>
      </c>
      <c r="AI213" s="2">
        <f t="shared" si="33"/>
        <v>3</v>
      </c>
      <c r="AJ213" s="2">
        <f t="shared" si="34"/>
        <v>25</v>
      </c>
      <c r="AK213" s="2">
        <f t="shared" si="35"/>
        <v>11</v>
      </c>
    </row>
    <row r="214" spans="1:37" x14ac:dyDescent="0.25">
      <c r="A214">
        <v>2511</v>
      </c>
      <c r="B214" t="s">
        <v>281</v>
      </c>
      <c r="C214" t="s">
        <v>94</v>
      </c>
      <c r="D214" t="s">
        <v>266</v>
      </c>
      <c r="E214" t="s">
        <v>267</v>
      </c>
      <c r="F214" t="s">
        <v>268</v>
      </c>
      <c r="G214" t="s">
        <v>269</v>
      </c>
      <c r="H214" s="1">
        <v>45174.133263888885</v>
      </c>
      <c r="I214" s="1">
        <v>45175.133263888885</v>
      </c>
      <c r="J214" t="s">
        <v>32</v>
      </c>
      <c r="K214" s="1">
        <v>45182.133263888885</v>
      </c>
      <c r="L214" t="s">
        <v>39</v>
      </c>
      <c r="N214" s="4">
        <v>45184.133263888885</v>
      </c>
      <c r="O214" t="s">
        <v>39</v>
      </c>
      <c r="R214" s="4">
        <v>45183.133263888885</v>
      </c>
      <c r="T214">
        <v>0</v>
      </c>
      <c r="AC214" s="2">
        <f t="shared" si="27"/>
        <v>1</v>
      </c>
      <c r="AD214" s="2">
        <f t="shared" si="28"/>
        <v>8</v>
      </c>
      <c r="AE214" s="2">
        <f t="shared" si="29"/>
        <v>7</v>
      </c>
      <c r="AF214" s="2">
        <f t="shared" si="30"/>
        <v>9</v>
      </c>
      <c r="AG214" s="2">
        <f t="shared" si="31"/>
        <v>1</v>
      </c>
      <c r="AH214" s="4">
        <f t="shared" si="32"/>
        <v>45273.133263888885</v>
      </c>
      <c r="AI214" s="2" t="str">
        <f t="shared" si="33"/>
        <v/>
      </c>
      <c r="AJ214" s="2" t="str">
        <f t="shared" si="34"/>
        <v/>
      </c>
      <c r="AK214" s="2" t="str">
        <f t="shared" si="35"/>
        <v/>
      </c>
    </row>
    <row r="215" spans="1:37" x14ac:dyDescent="0.25">
      <c r="A215">
        <v>2460</v>
      </c>
      <c r="B215" t="s">
        <v>282</v>
      </c>
      <c r="C215" t="s">
        <v>94</v>
      </c>
      <c r="D215" t="s">
        <v>266</v>
      </c>
      <c r="E215" t="s">
        <v>267</v>
      </c>
      <c r="F215" t="s">
        <v>268</v>
      </c>
      <c r="G215" t="s">
        <v>269</v>
      </c>
      <c r="H215" s="1">
        <v>45163.069826388892</v>
      </c>
      <c r="I215" s="1">
        <v>45166.069826388892</v>
      </c>
      <c r="J215" t="s">
        <v>32</v>
      </c>
      <c r="K215" s="1">
        <v>45183.069826388892</v>
      </c>
      <c r="L215" t="s">
        <v>39</v>
      </c>
      <c r="N215" s="4">
        <v>45187.069826388892</v>
      </c>
      <c r="O215" t="s">
        <v>39</v>
      </c>
      <c r="R215" s="4">
        <v>45186.069826388892</v>
      </c>
      <c r="T215">
        <v>0</v>
      </c>
      <c r="AC215" s="2">
        <f t="shared" si="27"/>
        <v>3</v>
      </c>
      <c r="AD215" s="2">
        <f t="shared" si="28"/>
        <v>20</v>
      </c>
      <c r="AE215" s="2">
        <f t="shared" si="29"/>
        <v>17</v>
      </c>
      <c r="AF215" s="2">
        <f t="shared" si="30"/>
        <v>23</v>
      </c>
      <c r="AG215" s="2">
        <f t="shared" si="31"/>
        <v>3</v>
      </c>
      <c r="AH215" s="4">
        <f t="shared" si="32"/>
        <v>45276.069826388892</v>
      </c>
      <c r="AI215" s="2" t="str">
        <f t="shared" si="33"/>
        <v/>
      </c>
      <c r="AJ215" s="2" t="str">
        <f t="shared" si="34"/>
        <v/>
      </c>
      <c r="AK215" s="2" t="str">
        <f t="shared" si="35"/>
        <v/>
      </c>
    </row>
    <row r="216" spans="1:37" x14ac:dyDescent="0.25">
      <c r="A216">
        <v>2444</v>
      </c>
      <c r="B216" t="s">
        <v>283</v>
      </c>
      <c r="C216" t="s">
        <v>94</v>
      </c>
      <c r="D216" t="s">
        <v>266</v>
      </c>
      <c r="E216" t="s">
        <v>267</v>
      </c>
      <c r="F216" t="s">
        <v>268</v>
      </c>
      <c r="G216" t="s">
        <v>269</v>
      </c>
      <c r="H216" s="1">
        <v>44868.772222222222</v>
      </c>
      <c r="I216" s="1">
        <v>44869.772222222222</v>
      </c>
      <c r="J216" t="s">
        <v>32</v>
      </c>
      <c r="K216" s="1">
        <v>44888.772222222222</v>
      </c>
      <c r="L216" t="s">
        <v>33</v>
      </c>
      <c r="M216" t="s">
        <v>92</v>
      </c>
      <c r="T216">
        <v>0</v>
      </c>
      <c r="Y216" t="s">
        <v>35</v>
      </c>
      <c r="AC216" s="2">
        <f t="shared" si="27"/>
        <v>1</v>
      </c>
      <c r="AD216" s="2">
        <f t="shared" si="28"/>
        <v>20</v>
      </c>
      <c r="AE216" s="2">
        <f t="shared" si="29"/>
        <v>19</v>
      </c>
      <c r="AF216" s="2" t="str">
        <f t="shared" si="30"/>
        <v/>
      </c>
      <c r="AG216" s="2" t="str">
        <f t="shared" si="31"/>
        <v/>
      </c>
      <c r="AH216" s="4" t="str">
        <f t="shared" si="32"/>
        <v/>
      </c>
      <c r="AI216" s="2" t="str">
        <f t="shared" si="33"/>
        <v/>
      </c>
      <c r="AJ216" s="2" t="str">
        <f t="shared" si="34"/>
        <v/>
      </c>
      <c r="AK216" s="2" t="str">
        <f t="shared" si="35"/>
        <v/>
      </c>
    </row>
    <row r="217" spans="1:37" x14ac:dyDescent="0.25">
      <c r="A217">
        <v>2410</v>
      </c>
      <c r="B217" t="s">
        <v>284</v>
      </c>
      <c r="C217" t="s">
        <v>94</v>
      </c>
      <c r="D217" t="s">
        <v>266</v>
      </c>
      <c r="E217" t="s">
        <v>267</v>
      </c>
      <c r="F217" t="s">
        <v>268</v>
      </c>
      <c r="G217" t="s">
        <v>269</v>
      </c>
      <c r="H217" s="1">
        <v>45013.0859837963</v>
      </c>
      <c r="I217" s="1">
        <v>45017.0859837963</v>
      </c>
      <c r="J217" t="s">
        <v>32</v>
      </c>
      <c r="K217" s="1">
        <v>45023.0859837963</v>
      </c>
      <c r="L217" t="s">
        <v>33</v>
      </c>
      <c r="M217" t="s">
        <v>67</v>
      </c>
      <c r="T217">
        <v>0</v>
      </c>
      <c r="Y217" t="s">
        <v>55</v>
      </c>
      <c r="AC217" s="2">
        <f t="shared" si="27"/>
        <v>4</v>
      </c>
      <c r="AD217" s="2">
        <f t="shared" si="28"/>
        <v>10</v>
      </c>
      <c r="AE217" s="2">
        <f t="shared" si="29"/>
        <v>6</v>
      </c>
      <c r="AF217" s="2" t="str">
        <f t="shared" si="30"/>
        <v/>
      </c>
      <c r="AG217" s="2" t="str">
        <f t="shared" si="31"/>
        <v/>
      </c>
      <c r="AH217" s="4" t="str">
        <f t="shared" si="32"/>
        <v/>
      </c>
      <c r="AI217" s="2" t="str">
        <f t="shared" si="33"/>
        <v/>
      </c>
      <c r="AJ217" s="2" t="str">
        <f t="shared" si="34"/>
        <v/>
      </c>
      <c r="AK217" s="2" t="str">
        <f t="shared" si="35"/>
        <v/>
      </c>
    </row>
    <row r="218" spans="1:37" x14ac:dyDescent="0.25">
      <c r="A218">
        <v>2405</v>
      </c>
      <c r="B218" t="s">
        <v>285</v>
      </c>
      <c r="C218" t="s">
        <v>94</v>
      </c>
      <c r="D218" t="s">
        <v>266</v>
      </c>
      <c r="E218" t="s">
        <v>267</v>
      </c>
      <c r="F218" t="s">
        <v>268</v>
      </c>
      <c r="G218" t="s">
        <v>269</v>
      </c>
      <c r="H218" s="1">
        <v>45015.0859837963</v>
      </c>
      <c r="I218" s="1">
        <v>45016.0859837963</v>
      </c>
      <c r="J218" t="s">
        <v>32</v>
      </c>
      <c r="K218" s="1">
        <v>45029.0859837963</v>
      </c>
      <c r="L218" t="s">
        <v>33</v>
      </c>
      <c r="M218" t="s">
        <v>67</v>
      </c>
      <c r="T218">
        <v>0</v>
      </c>
      <c r="Y218" t="s">
        <v>55</v>
      </c>
      <c r="AC218" s="2">
        <f t="shared" si="27"/>
        <v>1</v>
      </c>
      <c r="AD218" s="2">
        <f t="shared" si="28"/>
        <v>14</v>
      </c>
      <c r="AE218" s="2">
        <f t="shared" si="29"/>
        <v>13</v>
      </c>
      <c r="AF218" s="2" t="str">
        <f t="shared" si="30"/>
        <v/>
      </c>
      <c r="AG218" s="2" t="str">
        <f t="shared" si="31"/>
        <v/>
      </c>
      <c r="AH218" s="4" t="str">
        <f t="shared" si="32"/>
        <v/>
      </c>
      <c r="AI218" s="2" t="str">
        <f t="shared" si="33"/>
        <v/>
      </c>
      <c r="AJ218" s="2" t="str">
        <f t="shared" si="34"/>
        <v/>
      </c>
      <c r="AK218" s="2" t="str">
        <f t="shared" si="35"/>
        <v/>
      </c>
    </row>
    <row r="219" spans="1:37" x14ac:dyDescent="0.25">
      <c r="A219">
        <v>2388</v>
      </c>
      <c r="B219" t="s">
        <v>286</v>
      </c>
      <c r="C219" t="s">
        <v>94</v>
      </c>
      <c r="D219" t="s">
        <v>266</v>
      </c>
      <c r="E219" t="s">
        <v>267</v>
      </c>
      <c r="F219" t="s">
        <v>268</v>
      </c>
      <c r="G219" t="s">
        <v>269</v>
      </c>
      <c r="H219" s="1">
        <v>45029.529537037037</v>
      </c>
      <c r="I219" s="1">
        <v>45033.529537037037</v>
      </c>
      <c r="J219" t="s">
        <v>32</v>
      </c>
      <c r="K219" s="1">
        <v>45046.529537037037</v>
      </c>
      <c r="L219" t="s">
        <v>33</v>
      </c>
      <c r="M219" t="s">
        <v>92</v>
      </c>
      <c r="R219" s="4">
        <v>45050.529537037037</v>
      </c>
      <c r="T219">
        <v>0</v>
      </c>
      <c r="Y219" t="s">
        <v>55</v>
      </c>
      <c r="AC219" s="2">
        <f t="shared" si="27"/>
        <v>4</v>
      </c>
      <c r="AD219" s="2">
        <f t="shared" si="28"/>
        <v>17</v>
      </c>
      <c r="AE219" s="2">
        <f t="shared" si="29"/>
        <v>13</v>
      </c>
      <c r="AF219" s="2">
        <f t="shared" si="30"/>
        <v>21</v>
      </c>
      <c r="AG219" s="2">
        <f t="shared" si="31"/>
        <v>4</v>
      </c>
      <c r="AH219" s="4">
        <f t="shared" si="32"/>
        <v>45140.529537037037</v>
      </c>
      <c r="AI219" s="2" t="str">
        <f t="shared" si="33"/>
        <v/>
      </c>
      <c r="AJ219" s="2" t="str">
        <f t="shared" si="34"/>
        <v/>
      </c>
      <c r="AK219" s="2" t="str">
        <f t="shared" si="35"/>
        <v/>
      </c>
    </row>
    <row r="220" spans="1:37" x14ac:dyDescent="0.25">
      <c r="A220">
        <v>2320</v>
      </c>
      <c r="B220" t="s">
        <v>287</v>
      </c>
      <c r="C220" t="s">
        <v>94</v>
      </c>
      <c r="D220" t="s">
        <v>266</v>
      </c>
      <c r="E220" t="s">
        <v>267</v>
      </c>
      <c r="F220" t="s">
        <v>268</v>
      </c>
      <c r="G220" t="s">
        <v>269</v>
      </c>
      <c r="H220" s="1">
        <v>44672.037303240744</v>
      </c>
      <c r="I220" s="1">
        <v>44676.037303240744</v>
      </c>
      <c r="J220" t="s">
        <v>32</v>
      </c>
      <c r="K220" s="1">
        <v>44692.037303240744</v>
      </c>
      <c r="L220" t="s">
        <v>33</v>
      </c>
      <c r="M220" t="s">
        <v>51</v>
      </c>
      <c r="T220">
        <v>0</v>
      </c>
      <c r="Y220" t="s">
        <v>55</v>
      </c>
      <c r="AC220" s="2">
        <f t="shared" si="27"/>
        <v>4</v>
      </c>
      <c r="AD220" s="2">
        <f t="shared" si="28"/>
        <v>20</v>
      </c>
      <c r="AE220" s="2">
        <f t="shared" si="29"/>
        <v>16</v>
      </c>
      <c r="AF220" s="2" t="str">
        <f t="shared" si="30"/>
        <v/>
      </c>
      <c r="AG220" s="2" t="str">
        <f t="shared" si="31"/>
        <v/>
      </c>
      <c r="AH220" s="4" t="str">
        <f t="shared" si="32"/>
        <v/>
      </c>
      <c r="AI220" s="2" t="str">
        <f t="shared" si="33"/>
        <v/>
      </c>
      <c r="AJ220" s="2" t="str">
        <f t="shared" si="34"/>
        <v/>
      </c>
      <c r="AK220" s="2" t="str">
        <f t="shared" si="35"/>
        <v/>
      </c>
    </row>
    <row r="221" spans="1:37" x14ac:dyDescent="0.25">
      <c r="A221">
        <v>2262</v>
      </c>
      <c r="B221" t="s">
        <v>288</v>
      </c>
      <c r="C221" t="s">
        <v>94</v>
      </c>
      <c r="D221" t="s">
        <v>266</v>
      </c>
      <c r="E221" t="s">
        <v>267</v>
      </c>
      <c r="F221" t="s">
        <v>268</v>
      </c>
      <c r="G221" t="s">
        <v>269</v>
      </c>
      <c r="H221" s="1">
        <v>45031.937696759262</v>
      </c>
      <c r="I221" s="1">
        <v>45035.937696759262</v>
      </c>
      <c r="J221" t="s">
        <v>44</v>
      </c>
      <c r="K221" s="1"/>
      <c r="T221">
        <v>0</v>
      </c>
      <c r="AC221" s="2">
        <f t="shared" si="27"/>
        <v>4</v>
      </c>
      <c r="AD221" s="2" t="str">
        <f t="shared" si="28"/>
        <v/>
      </c>
      <c r="AE221" s="2" t="str">
        <f t="shared" si="29"/>
        <v/>
      </c>
      <c r="AF221" s="2" t="str">
        <f t="shared" si="30"/>
        <v/>
      </c>
      <c r="AG221" s="2" t="str">
        <f t="shared" si="31"/>
        <v/>
      </c>
      <c r="AH221" s="4" t="str">
        <f t="shared" si="32"/>
        <v/>
      </c>
      <c r="AI221" s="2" t="str">
        <f t="shared" si="33"/>
        <v/>
      </c>
      <c r="AJ221" s="2" t="str">
        <f t="shared" si="34"/>
        <v/>
      </c>
      <c r="AK221" s="2" t="str">
        <f t="shared" si="35"/>
        <v/>
      </c>
    </row>
    <row r="222" spans="1:37" x14ac:dyDescent="0.25">
      <c r="A222">
        <v>2249</v>
      </c>
      <c r="B222" t="s">
        <v>289</v>
      </c>
      <c r="C222" t="s">
        <v>94</v>
      </c>
      <c r="D222" t="s">
        <v>266</v>
      </c>
      <c r="E222" t="s">
        <v>290</v>
      </c>
      <c r="F222" t="s">
        <v>291</v>
      </c>
      <c r="G222" t="s">
        <v>269</v>
      </c>
      <c r="H222" s="1">
        <v>44919.601747685185</v>
      </c>
      <c r="I222" s="1">
        <v>44923.601747685185</v>
      </c>
      <c r="J222" t="s">
        <v>32</v>
      </c>
      <c r="K222" s="1">
        <v>44939.601747685185</v>
      </c>
      <c r="L222" t="s">
        <v>33</v>
      </c>
      <c r="M222" t="s">
        <v>92</v>
      </c>
      <c r="R222" s="4">
        <v>44941.601747685185</v>
      </c>
      <c r="T222">
        <v>0</v>
      </c>
      <c r="Y222" t="s">
        <v>55</v>
      </c>
      <c r="AC222" s="2">
        <f t="shared" si="27"/>
        <v>4</v>
      </c>
      <c r="AD222" s="2">
        <f t="shared" si="28"/>
        <v>20</v>
      </c>
      <c r="AE222" s="2">
        <f t="shared" si="29"/>
        <v>16</v>
      </c>
      <c r="AF222" s="2">
        <f t="shared" si="30"/>
        <v>22</v>
      </c>
      <c r="AG222" s="2">
        <f t="shared" si="31"/>
        <v>2</v>
      </c>
      <c r="AH222" s="4">
        <f t="shared" si="32"/>
        <v>45031.601747685185</v>
      </c>
      <c r="AI222" s="2" t="str">
        <f t="shared" si="33"/>
        <v/>
      </c>
      <c r="AJ222" s="2" t="str">
        <f t="shared" si="34"/>
        <v/>
      </c>
      <c r="AK222" s="2" t="str">
        <f t="shared" si="35"/>
        <v/>
      </c>
    </row>
    <row r="223" spans="1:37" x14ac:dyDescent="0.25">
      <c r="A223">
        <v>2248</v>
      </c>
      <c r="B223" t="s">
        <v>292</v>
      </c>
      <c r="C223" t="s">
        <v>94</v>
      </c>
      <c r="D223" t="s">
        <v>266</v>
      </c>
      <c r="E223" t="s">
        <v>290</v>
      </c>
      <c r="F223" t="s">
        <v>291</v>
      </c>
      <c r="G223" t="s">
        <v>269</v>
      </c>
      <c r="H223" s="1">
        <v>44921.601747685185</v>
      </c>
      <c r="I223" s="1">
        <v>44923.601747685185</v>
      </c>
      <c r="J223" t="s">
        <v>32</v>
      </c>
      <c r="K223" s="1">
        <v>44937.601747685185</v>
      </c>
      <c r="L223" t="s">
        <v>33</v>
      </c>
      <c r="M223" t="s">
        <v>92</v>
      </c>
      <c r="R223" s="4">
        <v>44938.601747685185</v>
      </c>
      <c r="T223">
        <v>0</v>
      </c>
      <c r="Y223" t="s">
        <v>55</v>
      </c>
      <c r="AC223" s="2">
        <f t="shared" si="27"/>
        <v>2</v>
      </c>
      <c r="AD223" s="2">
        <f t="shared" si="28"/>
        <v>16</v>
      </c>
      <c r="AE223" s="2">
        <f t="shared" si="29"/>
        <v>14</v>
      </c>
      <c r="AF223" s="2">
        <f t="shared" si="30"/>
        <v>17</v>
      </c>
      <c r="AG223" s="2">
        <f t="shared" si="31"/>
        <v>1</v>
      </c>
      <c r="AH223" s="4">
        <f t="shared" si="32"/>
        <v>45028.601747685185</v>
      </c>
      <c r="AI223" s="2" t="str">
        <f t="shared" si="33"/>
        <v/>
      </c>
      <c r="AJ223" s="2" t="str">
        <f t="shared" si="34"/>
        <v/>
      </c>
      <c r="AK223" s="2" t="str">
        <f t="shared" si="35"/>
        <v/>
      </c>
    </row>
    <row r="224" spans="1:37" x14ac:dyDescent="0.25">
      <c r="A224">
        <v>2244</v>
      </c>
      <c r="B224" t="s">
        <v>293</v>
      </c>
      <c r="C224" t="s">
        <v>94</v>
      </c>
      <c r="D224" t="s">
        <v>266</v>
      </c>
      <c r="E224" t="s">
        <v>290</v>
      </c>
      <c r="F224" t="s">
        <v>291</v>
      </c>
      <c r="G224" t="s">
        <v>269</v>
      </c>
      <c r="H224" s="1">
        <v>44924.601747685185</v>
      </c>
      <c r="I224" s="1">
        <v>44925.601747685185</v>
      </c>
      <c r="J224" t="s">
        <v>32</v>
      </c>
      <c r="K224" s="1">
        <v>44941.601747685185</v>
      </c>
      <c r="L224" t="s">
        <v>57</v>
      </c>
      <c r="N224" s="4">
        <v>44949.601747685185</v>
      </c>
      <c r="O224" t="s">
        <v>57</v>
      </c>
      <c r="P224" s="4">
        <v>44942.601747685185</v>
      </c>
      <c r="Q224" s="4">
        <v>44945.601747685185</v>
      </c>
      <c r="R224" s="4">
        <v>44945.601747685185</v>
      </c>
      <c r="S224" s="4">
        <v>44946.601747685185</v>
      </c>
      <c r="T224">
        <v>1</v>
      </c>
      <c r="U224" s="4">
        <v>44950.601747685185</v>
      </c>
      <c r="V224" s="4">
        <v>44951.601747685185</v>
      </c>
      <c r="W224" s="4">
        <v>44954.601747685185</v>
      </c>
      <c r="Z224" s="4">
        <v>44962.601747685185</v>
      </c>
      <c r="AC224" s="2">
        <f t="shared" si="27"/>
        <v>1</v>
      </c>
      <c r="AD224" s="2">
        <f t="shared" si="28"/>
        <v>17</v>
      </c>
      <c r="AE224" s="2">
        <f t="shared" si="29"/>
        <v>16</v>
      </c>
      <c r="AF224" s="2">
        <f t="shared" si="30"/>
        <v>21</v>
      </c>
      <c r="AG224" s="2">
        <f t="shared" si="31"/>
        <v>4</v>
      </c>
      <c r="AH224" s="4">
        <f t="shared" si="32"/>
        <v>45035.601747685185</v>
      </c>
      <c r="AI224" s="2">
        <f t="shared" si="33"/>
        <v>4</v>
      </c>
      <c r="AJ224" s="2">
        <f t="shared" si="34"/>
        <v>17</v>
      </c>
      <c r="AK224" s="2">
        <f t="shared" si="35"/>
        <v>9</v>
      </c>
    </row>
    <row r="225" spans="1:37" x14ac:dyDescent="0.25">
      <c r="A225">
        <v>2219</v>
      </c>
      <c r="B225" t="s">
        <v>294</v>
      </c>
      <c r="C225" t="s">
        <v>94</v>
      </c>
      <c r="D225" t="s">
        <v>266</v>
      </c>
      <c r="E225" t="s">
        <v>290</v>
      </c>
      <c r="F225" t="s">
        <v>291</v>
      </c>
      <c r="G225" t="s">
        <v>269</v>
      </c>
      <c r="H225" s="1">
        <v>44643.873194444444</v>
      </c>
      <c r="I225" s="1">
        <v>44644.873194444444</v>
      </c>
      <c r="J225" t="s">
        <v>32</v>
      </c>
      <c r="K225" s="1">
        <v>44652.873194444444</v>
      </c>
      <c r="L225" t="s">
        <v>57</v>
      </c>
      <c r="N225" s="4">
        <v>44659.873194444444</v>
      </c>
      <c r="O225" t="s">
        <v>57</v>
      </c>
      <c r="P225" s="4">
        <v>44653.873194444444</v>
      </c>
      <c r="Q225" s="4">
        <v>44654.873194444444</v>
      </c>
      <c r="R225" s="4">
        <v>44656.873194444444</v>
      </c>
      <c r="S225" s="4">
        <v>44661.873194444444</v>
      </c>
      <c r="T225">
        <v>1</v>
      </c>
      <c r="U225" s="4">
        <v>44663.873194444444</v>
      </c>
      <c r="V225" s="4">
        <v>44664.873194444444</v>
      </c>
      <c r="W225" s="4">
        <v>44667.873194444444</v>
      </c>
      <c r="Z225" s="4">
        <v>44676.873194444444</v>
      </c>
      <c r="AC225" s="2">
        <f t="shared" si="27"/>
        <v>1</v>
      </c>
      <c r="AD225" s="2">
        <f t="shared" si="28"/>
        <v>9</v>
      </c>
      <c r="AE225" s="2">
        <f t="shared" si="29"/>
        <v>8</v>
      </c>
      <c r="AF225" s="2">
        <f t="shared" si="30"/>
        <v>13</v>
      </c>
      <c r="AG225" s="2">
        <f t="shared" si="31"/>
        <v>4</v>
      </c>
      <c r="AH225" s="4">
        <f t="shared" si="32"/>
        <v>44746.873194444444</v>
      </c>
      <c r="AI225" s="2">
        <f t="shared" si="33"/>
        <v>2</v>
      </c>
      <c r="AJ225" s="2">
        <f t="shared" si="34"/>
        <v>20</v>
      </c>
      <c r="AK225" s="2">
        <f t="shared" si="35"/>
        <v>11</v>
      </c>
    </row>
    <row r="226" spans="1:37" x14ac:dyDescent="0.25">
      <c r="A226">
        <v>2218</v>
      </c>
      <c r="B226" t="s">
        <v>295</v>
      </c>
      <c r="C226" t="s">
        <v>94</v>
      </c>
      <c r="D226" t="s">
        <v>266</v>
      </c>
      <c r="E226" t="s">
        <v>290</v>
      </c>
      <c r="F226" t="s">
        <v>291</v>
      </c>
      <c r="G226" t="s">
        <v>269</v>
      </c>
      <c r="H226" s="1">
        <v>44644.873194444444</v>
      </c>
      <c r="I226" s="1">
        <v>44646.873194444444</v>
      </c>
      <c r="J226" t="s">
        <v>32</v>
      </c>
      <c r="K226" s="1">
        <v>44651.873194444444</v>
      </c>
      <c r="L226" t="s">
        <v>33</v>
      </c>
      <c r="M226" t="s">
        <v>34</v>
      </c>
      <c r="R226" s="4">
        <v>44655.873194444444</v>
      </c>
      <c r="T226">
        <v>0</v>
      </c>
      <c r="Y226" t="s">
        <v>35</v>
      </c>
      <c r="AC226" s="2">
        <f t="shared" si="27"/>
        <v>2</v>
      </c>
      <c r="AD226" s="2">
        <f t="shared" si="28"/>
        <v>7</v>
      </c>
      <c r="AE226" s="2">
        <f t="shared" si="29"/>
        <v>5</v>
      </c>
      <c r="AF226" s="2">
        <f t="shared" si="30"/>
        <v>11</v>
      </c>
      <c r="AG226" s="2">
        <f t="shared" si="31"/>
        <v>4</v>
      </c>
      <c r="AH226" s="4">
        <f t="shared" si="32"/>
        <v>44745.873194444444</v>
      </c>
      <c r="AI226" s="2" t="str">
        <f t="shared" si="33"/>
        <v/>
      </c>
      <c r="AJ226" s="2" t="str">
        <f t="shared" si="34"/>
        <v/>
      </c>
      <c r="AK226" s="2" t="str">
        <f t="shared" si="35"/>
        <v/>
      </c>
    </row>
    <row r="227" spans="1:37" x14ac:dyDescent="0.25">
      <c r="A227">
        <v>2212</v>
      </c>
      <c r="B227" t="s">
        <v>296</v>
      </c>
      <c r="C227" t="s">
        <v>94</v>
      </c>
      <c r="D227" t="s">
        <v>266</v>
      </c>
      <c r="E227" t="s">
        <v>290</v>
      </c>
      <c r="F227" t="s">
        <v>291</v>
      </c>
      <c r="G227" t="s">
        <v>269</v>
      </c>
      <c r="H227" s="1">
        <v>44645.873194444444</v>
      </c>
      <c r="I227" s="1">
        <v>44646.873194444444</v>
      </c>
      <c r="J227" t="s">
        <v>44</v>
      </c>
      <c r="K227" s="1"/>
      <c r="T227">
        <v>0</v>
      </c>
      <c r="AC227" s="2">
        <f t="shared" si="27"/>
        <v>1</v>
      </c>
      <c r="AD227" s="2" t="str">
        <f t="shared" si="28"/>
        <v/>
      </c>
      <c r="AE227" s="2" t="str">
        <f t="shared" si="29"/>
        <v/>
      </c>
      <c r="AF227" s="2" t="str">
        <f t="shared" si="30"/>
        <v/>
      </c>
      <c r="AG227" s="2" t="str">
        <f t="shared" si="31"/>
        <v/>
      </c>
      <c r="AH227" s="4" t="str">
        <f t="shared" si="32"/>
        <v/>
      </c>
      <c r="AI227" s="2" t="str">
        <f t="shared" si="33"/>
        <v/>
      </c>
      <c r="AJ227" s="2" t="str">
        <f t="shared" si="34"/>
        <v/>
      </c>
      <c r="AK227" s="2" t="str">
        <f t="shared" si="35"/>
        <v/>
      </c>
    </row>
    <row r="228" spans="1:37" x14ac:dyDescent="0.25">
      <c r="A228">
        <v>2170</v>
      </c>
      <c r="B228" t="s">
        <v>297</v>
      </c>
      <c r="C228" t="s">
        <v>94</v>
      </c>
      <c r="D228" t="s">
        <v>266</v>
      </c>
      <c r="E228" t="s">
        <v>290</v>
      </c>
      <c r="F228" t="s">
        <v>291</v>
      </c>
      <c r="G228" t="s">
        <v>269</v>
      </c>
      <c r="H228" s="1">
        <v>44796.082037037035</v>
      </c>
      <c r="I228" s="1">
        <v>44798.082037037035</v>
      </c>
      <c r="J228" t="s">
        <v>32</v>
      </c>
      <c r="K228" s="1">
        <v>44815.082037037035</v>
      </c>
      <c r="L228" t="s">
        <v>164</v>
      </c>
      <c r="N228" s="4">
        <v>44821.082037037035</v>
      </c>
      <c r="O228" t="s">
        <v>164</v>
      </c>
      <c r="R228" s="4">
        <v>44817.082037037035</v>
      </c>
      <c r="T228">
        <v>0</v>
      </c>
      <c r="AC228" s="2">
        <f t="shared" si="27"/>
        <v>2</v>
      </c>
      <c r="AD228" s="2">
        <f t="shared" si="28"/>
        <v>19</v>
      </c>
      <c r="AE228" s="2">
        <f t="shared" si="29"/>
        <v>17</v>
      </c>
      <c r="AF228" s="2">
        <f t="shared" si="30"/>
        <v>21</v>
      </c>
      <c r="AG228" s="2">
        <f t="shared" si="31"/>
        <v>2</v>
      </c>
      <c r="AH228" s="4">
        <f t="shared" si="32"/>
        <v>44907.082037037035</v>
      </c>
      <c r="AI228" s="2" t="str">
        <f t="shared" si="33"/>
        <v/>
      </c>
      <c r="AJ228" s="2" t="str">
        <f t="shared" si="34"/>
        <v/>
      </c>
      <c r="AK228" s="2" t="str">
        <f t="shared" si="35"/>
        <v/>
      </c>
    </row>
    <row r="229" spans="1:37" x14ac:dyDescent="0.25">
      <c r="A229">
        <v>2168</v>
      </c>
      <c r="B229" t="s">
        <v>298</v>
      </c>
      <c r="C229" t="s">
        <v>94</v>
      </c>
      <c r="D229" t="s">
        <v>266</v>
      </c>
      <c r="E229" t="s">
        <v>290</v>
      </c>
      <c r="F229" t="s">
        <v>291</v>
      </c>
      <c r="G229" t="s">
        <v>269</v>
      </c>
      <c r="H229" s="1">
        <v>44794.082037037035</v>
      </c>
      <c r="I229" s="1">
        <v>44798.082037037035</v>
      </c>
      <c r="J229" t="s">
        <v>44</v>
      </c>
      <c r="K229" s="1"/>
      <c r="T229">
        <v>0</v>
      </c>
      <c r="AC229" s="2">
        <f t="shared" si="27"/>
        <v>4</v>
      </c>
      <c r="AD229" s="2" t="str">
        <f t="shared" si="28"/>
        <v/>
      </c>
      <c r="AE229" s="2" t="str">
        <f t="shared" si="29"/>
        <v/>
      </c>
      <c r="AF229" s="2" t="str">
        <f t="shared" si="30"/>
        <v/>
      </c>
      <c r="AG229" s="2" t="str">
        <f t="shared" si="31"/>
        <v/>
      </c>
      <c r="AH229" s="4" t="str">
        <f t="shared" si="32"/>
        <v/>
      </c>
      <c r="AI229" s="2" t="str">
        <f t="shared" si="33"/>
        <v/>
      </c>
      <c r="AJ229" s="2" t="str">
        <f t="shared" si="34"/>
        <v/>
      </c>
      <c r="AK229" s="2" t="str">
        <f t="shared" si="35"/>
        <v/>
      </c>
    </row>
    <row r="230" spans="1:37" x14ac:dyDescent="0.25">
      <c r="A230">
        <v>2162</v>
      </c>
      <c r="B230" t="s">
        <v>299</v>
      </c>
      <c r="C230" t="s">
        <v>94</v>
      </c>
      <c r="D230" t="s">
        <v>266</v>
      </c>
      <c r="E230" t="s">
        <v>290</v>
      </c>
      <c r="F230" t="s">
        <v>291</v>
      </c>
      <c r="G230" t="s">
        <v>269</v>
      </c>
      <c r="H230" s="1">
        <v>44796.082037037035</v>
      </c>
      <c r="I230" s="1">
        <v>44798.082037037035</v>
      </c>
      <c r="J230" t="s">
        <v>32</v>
      </c>
      <c r="K230" s="1">
        <v>44805.082037037035</v>
      </c>
      <c r="L230" t="s">
        <v>39</v>
      </c>
      <c r="N230" s="4">
        <v>44813.082037037035</v>
      </c>
      <c r="O230" t="s">
        <v>39</v>
      </c>
      <c r="R230" s="4">
        <v>44809.082037037035</v>
      </c>
      <c r="T230">
        <v>0</v>
      </c>
      <c r="AC230" s="2">
        <f t="shared" si="27"/>
        <v>2</v>
      </c>
      <c r="AD230" s="2">
        <f t="shared" si="28"/>
        <v>9</v>
      </c>
      <c r="AE230" s="2">
        <f t="shared" si="29"/>
        <v>7</v>
      </c>
      <c r="AF230" s="2">
        <f t="shared" si="30"/>
        <v>13</v>
      </c>
      <c r="AG230" s="2">
        <f t="shared" si="31"/>
        <v>4</v>
      </c>
      <c r="AH230" s="4">
        <f t="shared" si="32"/>
        <v>44899.082037037035</v>
      </c>
      <c r="AI230" s="2" t="str">
        <f t="shared" si="33"/>
        <v/>
      </c>
      <c r="AJ230" s="2" t="str">
        <f t="shared" si="34"/>
        <v/>
      </c>
      <c r="AK230" s="2" t="str">
        <f t="shared" si="35"/>
        <v/>
      </c>
    </row>
    <row r="231" spans="1:37" x14ac:dyDescent="0.25">
      <c r="A231">
        <v>2124</v>
      </c>
      <c r="B231" t="s">
        <v>300</v>
      </c>
      <c r="C231" t="s">
        <v>94</v>
      </c>
      <c r="D231" t="s">
        <v>266</v>
      </c>
      <c r="E231" t="s">
        <v>290</v>
      </c>
      <c r="F231" t="s">
        <v>291</v>
      </c>
      <c r="G231" t="s">
        <v>269</v>
      </c>
      <c r="H231" s="1">
        <v>44927.473356481481</v>
      </c>
      <c r="I231" s="1">
        <v>44929.473356481481</v>
      </c>
      <c r="J231" t="s">
        <v>44</v>
      </c>
      <c r="K231" s="1"/>
      <c r="T231">
        <v>0</v>
      </c>
      <c r="AC231" s="2">
        <f t="shared" si="27"/>
        <v>2</v>
      </c>
      <c r="AD231" s="2" t="str">
        <f t="shared" si="28"/>
        <v/>
      </c>
      <c r="AE231" s="2" t="str">
        <f t="shared" si="29"/>
        <v/>
      </c>
      <c r="AF231" s="2" t="str">
        <f t="shared" si="30"/>
        <v/>
      </c>
      <c r="AG231" s="2" t="str">
        <f t="shared" si="31"/>
        <v/>
      </c>
      <c r="AH231" s="4" t="str">
        <f t="shared" si="32"/>
        <v/>
      </c>
      <c r="AI231" s="2" t="str">
        <f t="shared" si="33"/>
        <v/>
      </c>
      <c r="AJ231" s="2" t="str">
        <f t="shared" si="34"/>
        <v/>
      </c>
      <c r="AK231" s="2" t="str">
        <f t="shared" si="35"/>
        <v/>
      </c>
    </row>
    <row r="232" spans="1:37" x14ac:dyDescent="0.25">
      <c r="A232">
        <v>2123</v>
      </c>
      <c r="B232" t="s">
        <v>301</v>
      </c>
      <c r="C232" t="s">
        <v>94</v>
      </c>
      <c r="D232" t="s">
        <v>266</v>
      </c>
      <c r="E232" t="s">
        <v>290</v>
      </c>
      <c r="F232" t="s">
        <v>291</v>
      </c>
      <c r="G232" t="s">
        <v>269</v>
      </c>
      <c r="H232" s="1">
        <v>44929.473356481481</v>
      </c>
      <c r="I232" s="1">
        <v>44931.473356481481</v>
      </c>
      <c r="J232" t="s">
        <v>32</v>
      </c>
      <c r="K232" s="1">
        <v>44938.473356481481</v>
      </c>
      <c r="L232" t="s">
        <v>39</v>
      </c>
      <c r="N232" s="4">
        <v>44945.473356481481</v>
      </c>
      <c r="O232" t="s">
        <v>39</v>
      </c>
      <c r="R232" s="4">
        <v>44941.473356481481</v>
      </c>
      <c r="T232">
        <v>0</v>
      </c>
      <c r="AC232" s="2">
        <f t="shared" si="27"/>
        <v>2</v>
      </c>
      <c r="AD232" s="2">
        <f t="shared" si="28"/>
        <v>9</v>
      </c>
      <c r="AE232" s="2">
        <f t="shared" si="29"/>
        <v>7</v>
      </c>
      <c r="AF232" s="2">
        <f t="shared" si="30"/>
        <v>12</v>
      </c>
      <c r="AG232" s="2">
        <f t="shared" si="31"/>
        <v>3</v>
      </c>
      <c r="AH232" s="4">
        <f t="shared" si="32"/>
        <v>45031.473356481481</v>
      </c>
      <c r="AI232" s="2" t="str">
        <f t="shared" si="33"/>
        <v/>
      </c>
      <c r="AJ232" s="2" t="str">
        <f t="shared" si="34"/>
        <v/>
      </c>
      <c r="AK232" s="2" t="str">
        <f t="shared" si="35"/>
        <v/>
      </c>
    </row>
    <row r="233" spans="1:37" x14ac:dyDescent="0.25">
      <c r="A233">
        <v>2121</v>
      </c>
      <c r="B233" t="s">
        <v>302</v>
      </c>
      <c r="C233" t="s">
        <v>94</v>
      </c>
      <c r="D233" t="s">
        <v>266</v>
      </c>
      <c r="E233" t="s">
        <v>290</v>
      </c>
      <c r="F233" t="s">
        <v>291</v>
      </c>
      <c r="G233" t="s">
        <v>269</v>
      </c>
      <c r="H233" s="1">
        <v>44926.473356481481</v>
      </c>
      <c r="I233" s="1">
        <v>44930.473356481481</v>
      </c>
      <c r="J233" t="s">
        <v>44</v>
      </c>
      <c r="K233" s="1"/>
      <c r="T233">
        <v>0</v>
      </c>
      <c r="AC233" s="2">
        <f t="shared" si="27"/>
        <v>4</v>
      </c>
      <c r="AD233" s="2" t="str">
        <f t="shared" si="28"/>
        <v/>
      </c>
      <c r="AE233" s="2" t="str">
        <f t="shared" si="29"/>
        <v/>
      </c>
      <c r="AF233" s="2" t="str">
        <f t="shared" si="30"/>
        <v/>
      </c>
      <c r="AG233" s="2" t="str">
        <f t="shared" si="31"/>
        <v/>
      </c>
      <c r="AH233" s="4" t="str">
        <f t="shared" si="32"/>
        <v/>
      </c>
      <c r="AI233" s="2" t="str">
        <f t="shared" si="33"/>
        <v/>
      </c>
      <c r="AJ233" s="2" t="str">
        <f t="shared" si="34"/>
        <v/>
      </c>
      <c r="AK233" s="2" t="str">
        <f t="shared" si="35"/>
        <v/>
      </c>
    </row>
    <row r="234" spans="1:37" x14ac:dyDescent="0.25">
      <c r="A234">
        <v>2118</v>
      </c>
      <c r="B234" t="s">
        <v>303</v>
      </c>
      <c r="C234" t="s">
        <v>94</v>
      </c>
      <c r="D234" t="s">
        <v>266</v>
      </c>
      <c r="E234" t="s">
        <v>290</v>
      </c>
      <c r="F234" t="s">
        <v>291</v>
      </c>
      <c r="G234" t="s">
        <v>269</v>
      </c>
      <c r="H234" s="1">
        <v>45029.055439814816</v>
      </c>
      <c r="I234" s="1">
        <v>45033.055439814816</v>
      </c>
      <c r="J234" t="s">
        <v>32</v>
      </c>
      <c r="K234" s="1">
        <v>45042.055439814816</v>
      </c>
      <c r="L234" t="s">
        <v>33</v>
      </c>
      <c r="M234" t="s">
        <v>67</v>
      </c>
      <c r="R234" s="4">
        <v>45043.055439814816</v>
      </c>
      <c r="T234">
        <v>0</v>
      </c>
      <c r="Y234" t="s">
        <v>35</v>
      </c>
      <c r="AC234" s="2">
        <f t="shared" si="27"/>
        <v>4</v>
      </c>
      <c r="AD234" s="2">
        <f t="shared" si="28"/>
        <v>13</v>
      </c>
      <c r="AE234" s="2">
        <f t="shared" si="29"/>
        <v>9</v>
      </c>
      <c r="AF234" s="2">
        <f t="shared" si="30"/>
        <v>14</v>
      </c>
      <c r="AG234" s="2">
        <f t="shared" si="31"/>
        <v>1</v>
      </c>
      <c r="AH234" s="4">
        <f t="shared" si="32"/>
        <v>45133.055439814816</v>
      </c>
      <c r="AI234" s="2" t="str">
        <f t="shared" si="33"/>
        <v/>
      </c>
      <c r="AJ234" s="2" t="str">
        <f t="shared" si="34"/>
        <v/>
      </c>
      <c r="AK234" s="2" t="str">
        <f t="shared" si="35"/>
        <v/>
      </c>
    </row>
    <row r="235" spans="1:37" x14ac:dyDescent="0.25">
      <c r="A235">
        <v>2112</v>
      </c>
      <c r="B235" t="s">
        <v>304</v>
      </c>
      <c r="C235" t="s">
        <v>94</v>
      </c>
      <c r="D235" t="s">
        <v>266</v>
      </c>
      <c r="E235" t="s">
        <v>290</v>
      </c>
      <c r="F235" t="s">
        <v>291</v>
      </c>
      <c r="G235" t="s">
        <v>269</v>
      </c>
      <c r="H235" s="1">
        <v>45033.055439814816</v>
      </c>
      <c r="I235" s="1">
        <v>45036.055439814816</v>
      </c>
      <c r="J235" t="s">
        <v>32</v>
      </c>
      <c r="K235" s="1">
        <v>45047.055439814816</v>
      </c>
      <c r="L235" t="s">
        <v>33</v>
      </c>
      <c r="M235" t="s">
        <v>51</v>
      </c>
      <c r="T235">
        <v>0</v>
      </c>
      <c r="Y235" t="s">
        <v>35</v>
      </c>
      <c r="AC235" s="2">
        <f t="shared" si="27"/>
        <v>3</v>
      </c>
      <c r="AD235" s="2">
        <f t="shared" si="28"/>
        <v>14</v>
      </c>
      <c r="AE235" s="2">
        <f t="shared" si="29"/>
        <v>11</v>
      </c>
      <c r="AF235" s="2" t="str">
        <f t="shared" si="30"/>
        <v/>
      </c>
      <c r="AG235" s="2" t="str">
        <f t="shared" si="31"/>
        <v/>
      </c>
      <c r="AH235" s="4" t="str">
        <f t="shared" si="32"/>
        <v/>
      </c>
      <c r="AI235" s="2" t="str">
        <f t="shared" si="33"/>
        <v/>
      </c>
      <c r="AJ235" s="2" t="str">
        <f t="shared" si="34"/>
        <v/>
      </c>
      <c r="AK235" s="2" t="str">
        <f t="shared" si="35"/>
        <v/>
      </c>
    </row>
    <row r="236" spans="1:37" x14ac:dyDescent="0.25">
      <c r="A236">
        <v>2061</v>
      </c>
      <c r="B236" t="s">
        <v>305</v>
      </c>
      <c r="C236" t="s">
        <v>94</v>
      </c>
      <c r="D236" t="s">
        <v>266</v>
      </c>
      <c r="E236" t="s">
        <v>290</v>
      </c>
      <c r="F236" t="s">
        <v>291</v>
      </c>
      <c r="G236" t="s">
        <v>269</v>
      </c>
      <c r="H236" s="1">
        <v>44866.782581018517</v>
      </c>
      <c r="I236" s="1">
        <v>44870.782581018517</v>
      </c>
      <c r="J236" t="s">
        <v>32</v>
      </c>
      <c r="K236" s="1">
        <v>44878.782581018517</v>
      </c>
      <c r="L236" t="s">
        <v>33</v>
      </c>
      <c r="M236" t="s">
        <v>92</v>
      </c>
      <c r="T236">
        <v>0</v>
      </c>
      <c r="Y236" t="s">
        <v>35</v>
      </c>
      <c r="AC236" s="2">
        <f t="shared" si="27"/>
        <v>4</v>
      </c>
      <c r="AD236" s="2">
        <f t="shared" si="28"/>
        <v>12</v>
      </c>
      <c r="AE236" s="2">
        <f t="shared" si="29"/>
        <v>8</v>
      </c>
      <c r="AF236" s="2" t="str">
        <f t="shared" si="30"/>
        <v/>
      </c>
      <c r="AG236" s="2" t="str">
        <f t="shared" si="31"/>
        <v/>
      </c>
      <c r="AH236" s="4" t="str">
        <f t="shared" si="32"/>
        <v/>
      </c>
      <c r="AI236" s="2" t="str">
        <f t="shared" si="33"/>
        <v/>
      </c>
      <c r="AJ236" s="2" t="str">
        <f t="shared" si="34"/>
        <v/>
      </c>
      <c r="AK236" s="2" t="str">
        <f t="shared" si="35"/>
        <v/>
      </c>
    </row>
    <row r="237" spans="1:37" x14ac:dyDescent="0.25">
      <c r="A237">
        <v>2009</v>
      </c>
      <c r="B237" t="s">
        <v>306</v>
      </c>
      <c r="C237" t="s">
        <v>94</v>
      </c>
      <c r="D237" t="s">
        <v>266</v>
      </c>
      <c r="E237" t="s">
        <v>290</v>
      </c>
      <c r="F237" t="s">
        <v>291</v>
      </c>
      <c r="G237" t="s">
        <v>269</v>
      </c>
      <c r="H237" s="1">
        <v>44748.13113425926</v>
      </c>
      <c r="I237" s="1">
        <v>44750.13113425926</v>
      </c>
      <c r="J237" t="s">
        <v>32</v>
      </c>
      <c r="K237" s="1">
        <v>44769.13113425926</v>
      </c>
      <c r="L237" t="s">
        <v>39</v>
      </c>
      <c r="N237" s="4">
        <v>44775.13113425926</v>
      </c>
      <c r="O237" t="s">
        <v>39</v>
      </c>
      <c r="R237" s="4">
        <v>44772.13113425926</v>
      </c>
      <c r="T237">
        <v>0</v>
      </c>
      <c r="AC237" s="2">
        <f t="shared" si="27"/>
        <v>2</v>
      </c>
      <c r="AD237" s="2">
        <f t="shared" si="28"/>
        <v>21</v>
      </c>
      <c r="AE237" s="2">
        <f t="shared" si="29"/>
        <v>19</v>
      </c>
      <c r="AF237" s="2">
        <f t="shared" si="30"/>
        <v>24</v>
      </c>
      <c r="AG237" s="2">
        <f t="shared" si="31"/>
        <v>3</v>
      </c>
      <c r="AH237" s="4">
        <f t="shared" si="32"/>
        <v>44862.13113425926</v>
      </c>
      <c r="AI237" s="2" t="str">
        <f t="shared" si="33"/>
        <v/>
      </c>
      <c r="AJ237" s="2" t="str">
        <f t="shared" si="34"/>
        <v/>
      </c>
      <c r="AK237" s="2" t="str">
        <f t="shared" si="35"/>
        <v/>
      </c>
    </row>
    <row r="238" spans="1:37" x14ac:dyDescent="0.25">
      <c r="A238">
        <v>2007</v>
      </c>
      <c r="B238" t="s">
        <v>307</v>
      </c>
      <c r="C238" t="s">
        <v>94</v>
      </c>
      <c r="D238" t="s">
        <v>266</v>
      </c>
      <c r="E238" t="s">
        <v>290</v>
      </c>
      <c r="F238" t="s">
        <v>291</v>
      </c>
      <c r="G238" t="s">
        <v>269</v>
      </c>
      <c r="H238" s="1">
        <v>44749.13113425926</v>
      </c>
      <c r="I238" s="1">
        <v>44750.13113425926</v>
      </c>
      <c r="J238" t="s">
        <v>32</v>
      </c>
      <c r="K238" s="1">
        <v>44764.13113425926</v>
      </c>
      <c r="L238" t="s">
        <v>57</v>
      </c>
      <c r="N238" s="4">
        <v>44769.13113425926</v>
      </c>
      <c r="O238" t="s">
        <v>57</v>
      </c>
      <c r="P238" s="4">
        <v>44766.13113425926</v>
      </c>
      <c r="Q238" s="4">
        <v>44768.13113425926</v>
      </c>
      <c r="R238" s="4">
        <v>44765.13113425926</v>
      </c>
      <c r="S238" s="4">
        <v>44774.13113425926</v>
      </c>
      <c r="T238">
        <v>1</v>
      </c>
      <c r="U238" s="4">
        <v>44778.13113425926</v>
      </c>
      <c r="V238" s="4">
        <v>44780.13113425926</v>
      </c>
      <c r="W238" s="4">
        <v>44782.13113425926</v>
      </c>
      <c r="Z238" s="4">
        <v>44802.13113425926</v>
      </c>
      <c r="AC238" s="2">
        <f t="shared" si="27"/>
        <v>1</v>
      </c>
      <c r="AD238" s="2">
        <f t="shared" si="28"/>
        <v>15</v>
      </c>
      <c r="AE238" s="2">
        <f t="shared" si="29"/>
        <v>14</v>
      </c>
      <c r="AF238" s="2">
        <f t="shared" si="30"/>
        <v>16</v>
      </c>
      <c r="AG238" s="2">
        <f t="shared" si="31"/>
        <v>1</v>
      </c>
      <c r="AH238" s="4">
        <f t="shared" si="32"/>
        <v>44855.13113425926</v>
      </c>
      <c r="AI238" s="2">
        <f t="shared" si="33"/>
        <v>4</v>
      </c>
      <c r="AJ238" s="2">
        <f t="shared" si="34"/>
        <v>37</v>
      </c>
      <c r="AK238" s="2">
        <f t="shared" si="35"/>
        <v>17</v>
      </c>
    </row>
    <row r="239" spans="1:37" x14ac:dyDescent="0.25">
      <c r="A239">
        <v>2003</v>
      </c>
      <c r="B239" t="s">
        <v>308</v>
      </c>
      <c r="C239" t="s">
        <v>94</v>
      </c>
      <c r="D239" t="s">
        <v>266</v>
      </c>
      <c r="E239" t="s">
        <v>290</v>
      </c>
      <c r="F239" t="s">
        <v>291</v>
      </c>
      <c r="G239" t="s">
        <v>269</v>
      </c>
      <c r="H239" s="1">
        <v>44750.13113425926</v>
      </c>
      <c r="I239" s="1">
        <v>44751.13113425926</v>
      </c>
      <c r="J239" t="s">
        <v>32</v>
      </c>
      <c r="K239" s="1">
        <v>44762.13113425926</v>
      </c>
      <c r="L239" t="s">
        <v>33</v>
      </c>
      <c r="M239" t="s">
        <v>34</v>
      </c>
      <c r="R239" s="4">
        <v>44766.13113425926</v>
      </c>
      <c r="T239">
        <v>0</v>
      </c>
      <c r="Y239" t="s">
        <v>35</v>
      </c>
      <c r="AC239" s="2">
        <f t="shared" si="27"/>
        <v>1</v>
      </c>
      <c r="AD239" s="2">
        <f t="shared" si="28"/>
        <v>12</v>
      </c>
      <c r="AE239" s="2">
        <f t="shared" si="29"/>
        <v>11</v>
      </c>
      <c r="AF239" s="2">
        <f t="shared" si="30"/>
        <v>16</v>
      </c>
      <c r="AG239" s="2">
        <f t="shared" si="31"/>
        <v>4</v>
      </c>
      <c r="AH239" s="4">
        <f t="shared" si="32"/>
        <v>44856.13113425926</v>
      </c>
      <c r="AI239" s="2" t="str">
        <f t="shared" si="33"/>
        <v/>
      </c>
      <c r="AJ239" s="2" t="str">
        <f t="shared" si="34"/>
        <v/>
      </c>
      <c r="AK239" s="2" t="str">
        <f t="shared" si="35"/>
        <v/>
      </c>
    </row>
    <row r="240" spans="1:37" x14ac:dyDescent="0.25">
      <c r="A240">
        <v>2002</v>
      </c>
      <c r="B240" t="s">
        <v>309</v>
      </c>
      <c r="C240" t="s">
        <v>94</v>
      </c>
      <c r="D240" t="s">
        <v>266</v>
      </c>
      <c r="E240" t="s">
        <v>290</v>
      </c>
      <c r="F240" t="s">
        <v>291</v>
      </c>
      <c r="G240" t="s">
        <v>269</v>
      </c>
      <c r="H240" s="1">
        <v>44751.13113425926</v>
      </c>
      <c r="I240" s="1">
        <v>44754.13113425926</v>
      </c>
      <c r="J240" t="s">
        <v>32</v>
      </c>
      <c r="K240" s="1">
        <v>44765.13113425926</v>
      </c>
      <c r="L240" t="s">
        <v>33</v>
      </c>
      <c r="M240" t="s">
        <v>108</v>
      </c>
      <c r="R240" s="4">
        <v>44769.13113425926</v>
      </c>
      <c r="T240">
        <v>0</v>
      </c>
      <c r="Y240" t="s">
        <v>55</v>
      </c>
      <c r="AC240" s="2">
        <f t="shared" si="27"/>
        <v>3</v>
      </c>
      <c r="AD240" s="2">
        <f t="shared" si="28"/>
        <v>14</v>
      </c>
      <c r="AE240" s="2">
        <f t="shared" si="29"/>
        <v>11</v>
      </c>
      <c r="AF240" s="2">
        <f t="shared" si="30"/>
        <v>18</v>
      </c>
      <c r="AG240" s="2">
        <f t="shared" si="31"/>
        <v>4</v>
      </c>
      <c r="AH240" s="4">
        <f t="shared" si="32"/>
        <v>44859.13113425926</v>
      </c>
      <c r="AI240" s="2" t="str">
        <f t="shared" si="33"/>
        <v/>
      </c>
      <c r="AJ240" s="2" t="str">
        <f t="shared" si="34"/>
        <v/>
      </c>
      <c r="AK240" s="2" t="str">
        <f t="shared" si="35"/>
        <v/>
      </c>
    </row>
    <row r="241" spans="1:37" x14ac:dyDescent="0.25">
      <c r="A241">
        <v>1990</v>
      </c>
      <c r="B241" t="s">
        <v>310</v>
      </c>
      <c r="C241" t="s">
        <v>94</v>
      </c>
      <c r="D241" t="s">
        <v>266</v>
      </c>
      <c r="E241" t="s">
        <v>290</v>
      </c>
      <c r="F241" t="s">
        <v>291</v>
      </c>
      <c r="G241" t="s">
        <v>269</v>
      </c>
      <c r="H241" s="1">
        <v>44598.370439814818</v>
      </c>
      <c r="I241" s="1">
        <v>44600.370439814818</v>
      </c>
      <c r="J241" t="s">
        <v>32</v>
      </c>
      <c r="K241" s="1">
        <v>44613.370439814818</v>
      </c>
      <c r="L241" t="s">
        <v>33</v>
      </c>
      <c r="M241" t="s">
        <v>67</v>
      </c>
      <c r="R241" s="4">
        <v>44614.370439814818</v>
      </c>
      <c r="T241">
        <v>0</v>
      </c>
      <c r="Y241" t="s">
        <v>35</v>
      </c>
      <c r="AC241" s="2">
        <f t="shared" si="27"/>
        <v>2</v>
      </c>
      <c r="AD241" s="2">
        <f t="shared" si="28"/>
        <v>15</v>
      </c>
      <c r="AE241" s="2">
        <f t="shared" si="29"/>
        <v>13</v>
      </c>
      <c r="AF241" s="2">
        <f t="shared" si="30"/>
        <v>16</v>
      </c>
      <c r="AG241" s="2">
        <f t="shared" si="31"/>
        <v>1</v>
      </c>
      <c r="AH241" s="4">
        <f t="shared" si="32"/>
        <v>44704.370439814818</v>
      </c>
      <c r="AI241" s="2" t="str">
        <f t="shared" si="33"/>
        <v/>
      </c>
      <c r="AJ241" s="2" t="str">
        <f t="shared" si="34"/>
        <v/>
      </c>
      <c r="AK241" s="2" t="str">
        <f t="shared" si="35"/>
        <v/>
      </c>
    </row>
    <row r="242" spans="1:37" x14ac:dyDescent="0.25">
      <c r="A242">
        <v>1971</v>
      </c>
      <c r="B242" t="s">
        <v>311</v>
      </c>
      <c r="C242" t="s">
        <v>94</v>
      </c>
      <c r="D242" t="s">
        <v>266</v>
      </c>
      <c r="E242" t="s">
        <v>290</v>
      </c>
      <c r="F242" t="s">
        <v>291</v>
      </c>
      <c r="G242" t="s">
        <v>269</v>
      </c>
      <c r="H242" s="1">
        <v>44856.498391203706</v>
      </c>
      <c r="I242" s="1">
        <v>44857.498391203706</v>
      </c>
      <c r="J242" t="s">
        <v>32</v>
      </c>
      <c r="K242" s="1">
        <v>44871.498391203706</v>
      </c>
      <c r="L242" t="s">
        <v>33</v>
      </c>
      <c r="M242" t="s">
        <v>67</v>
      </c>
      <c r="T242">
        <v>0</v>
      </c>
      <c r="Y242" t="s">
        <v>55</v>
      </c>
      <c r="AC242" s="2">
        <f t="shared" si="27"/>
        <v>1</v>
      </c>
      <c r="AD242" s="2">
        <f t="shared" si="28"/>
        <v>15</v>
      </c>
      <c r="AE242" s="2">
        <f t="shared" si="29"/>
        <v>14</v>
      </c>
      <c r="AF242" s="2" t="str">
        <f t="shared" si="30"/>
        <v/>
      </c>
      <c r="AG242" s="2" t="str">
        <f t="shared" si="31"/>
        <v/>
      </c>
      <c r="AH242" s="4" t="str">
        <f t="shared" si="32"/>
        <v/>
      </c>
      <c r="AI242" s="2" t="str">
        <f t="shared" si="33"/>
        <v/>
      </c>
      <c r="AJ242" s="2" t="str">
        <f t="shared" si="34"/>
        <v/>
      </c>
      <c r="AK242" s="2" t="str">
        <f t="shared" si="35"/>
        <v/>
      </c>
    </row>
    <row r="243" spans="1:37" x14ac:dyDescent="0.25">
      <c r="A243">
        <v>1859</v>
      </c>
      <c r="B243" t="s">
        <v>312</v>
      </c>
      <c r="C243" t="s">
        <v>94</v>
      </c>
      <c r="D243" t="s">
        <v>266</v>
      </c>
      <c r="E243" t="s">
        <v>290</v>
      </c>
      <c r="F243" t="s">
        <v>291</v>
      </c>
      <c r="G243" t="s">
        <v>269</v>
      </c>
      <c r="H243" s="1">
        <v>44878.077060185184</v>
      </c>
      <c r="I243" s="1">
        <v>44879.077060185184</v>
      </c>
      <c r="J243" t="s">
        <v>32</v>
      </c>
      <c r="K243" s="1">
        <v>44892.077060185184</v>
      </c>
      <c r="L243" t="s">
        <v>33</v>
      </c>
      <c r="M243" t="s">
        <v>92</v>
      </c>
      <c r="T243">
        <v>0</v>
      </c>
      <c r="Y243" t="s">
        <v>55</v>
      </c>
      <c r="AC243" s="2">
        <f t="shared" si="27"/>
        <v>1</v>
      </c>
      <c r="AD243" s="2">
        <f t="shared" si="28"/>
        <v>14</v>
      </c>
      <c r="AE243" s="2">
        <f t="shared" si="29"/>
        <v>13</v>
      </c>
      <c r="AF243" s="2" t="str">
        <f t="shared" si="30"/>
        <v/>
      </c>
      <c r="AG243" s="2" t="str">
        <f t="shared" si="31"/>
        <v/>
      </c>
      <c r="AH243" s="4" t="str">
        <f t="shared" si="32"/>
        <v/>
      </c>
      <c r="AI243" s="2" t="str">
        <f t="shared" si="33"/>
        <v/>
      </c>
      <c r="AJ243" s="2" t="str">
        <f t="shared" si="34"/>
        <v/>
      </c>
      <c r="AK243" s="2" t="str">
        <f t="shared" si="35"/>
        <v/>
      </c>
    </row>
    <row r="244" spans="1:37" x14ac:dyDescent="0.25">
      <c r="A244">
        <v>1856</v>
      </c>
      <c r="B244" t="s">
        <v>313</v>
      </c>
      <c r="C244" t="s">
        <v>94</v>
      </c>
      <c r="D244" t="s">
        <v>266</v>
      </c>
      <c r="E244" t="s">
        <v>290</v>
      </c>
      <c r="F244" t="s">
        <v>291</v>
      </c>
      <c r="G244" t="s">
        <v>269</v>
      </c>
      <c r="H244" s="1">
        <v>44878.077060185184</v>
      </c>
      <c r="I244" s="1">
        <v>44881.077060185184</v>
      </c>
      <c r="J244" t="s">
        <v>32</v>
      </c>
      <c r="K244" s="1">
        <v>44896.077060185184</v>
      </c>
      <c r="L244" t="s">
        <v>57</v>
      </c>
      <c r="N244" s="4">
        <v>44900.077060185184</v>
      </c>
      <c r="O244" t="s">
        <v>57</v>
      </c>
      <c r="P244" s="4">
        <v>44897.077060185184</v>
      </c>
      <c r="Q244" s="4">
        <v>44898.077060185184</v>
      </c>
      <c r="R244" s="4">
        <v>44898.077060185184</v>
      </c>
      <c r="S244" s="4">
        <v>44903.077060185184</v>
      </c>
      <c r="T244">
        <v>1</v>
      </c>
      <c r="U244" s="4">
        <v>44907.077060185184</v>
      </c>
      <c r="V244" s="4">
        <v>44908.077060185184</v>
      </c>
      <c r="W244" s="4">
        <v>44911.077060185184</v>
      </c>
      <c r="Z244" s="4">
        <v>44918.077060185184</v>
      </c>
      <c r="AC244" s="2">
        <f t="shared" si="27"/>
        <v>3</v>
      </c>
      <c r="AD244" s="2">
        <f t="shared" si="28"/>
        <v>18</v>
      </c>
      <c r="AE244" s="2">
        <f t="shared" si="29"/>
        <v>15</v>
      </c>
      <c r="AF244" s="2">
        <f t="shared" si="30"/>
        <v>20</v>
      </c>
      <c r="AG244" s="2">
        <f t="shared" si="31"/>
        <v>2</v>
      </c>
      <c r="AH244" s="4">
        <f t="shared" si="32"/>
        <v>44988.077060185184</v>
      </c>
      <c r="AI244" s="2">
        <f t="shared" si="33"/>
        <v>4</v>
      </c>
      <c r="AJ244" s="2">
        <f t="shared" si="34"/>
        <v>20</v>
      </c>
      <c r="AK244" s="2">
        <f t="shared" si="35"/>
        <v>13</v>
      </c>
    </row>
    <row r="245" spans="1:37" x14ac:dyDescent="0.25">
      <c r="A245">
        <v>1812</v>
      </c>
      <c r="B245" t="s">
        <v>314</v>
      </c>
      <c r="C245" t="s">
        <v>94</v>
      </c>
      <c r="D245" t="s">
        <v>266</v>
      </c>
      <c r="E245" t="s">
        <v>290</v>
      </c>
      <c r="F245" t="s">
        <v>291</v>
      </c>
      <c r="G245" t="s">
        <v>269</v>
      </c>
      <c r="H245" s="1">
        <v>44822.186388888891</v>
      </c>
      <c r="I245" s="1">
        <v>44823.186388888891</v>
      </c>
      <c r="J245" t="s">
        <v>32</v>
      </c>
      <c r="K245" s="1">
        <v>44838.186388888891</v>
      </c>
      <c r="L245" t="s">
        <v>164</v>
      </c>
      <c r="N245" s="4">
        <v>44840.186388888891</v>
      </c>
      <c r="O245" t="s">
        <v>164</v>
      </c>
      <c r="R245" s="4">
        <v>44839.186388888891</v>
      </c>
      <c r="T245">
        <v>0</v>
      </c>
      <c r="AC245" s="2">
        <f t="shared" si="27"/>
        <v>1</v>
      </c>
      <c r="AD245" s="2">
        <f t="shared" si="28"/>
        <v>16</v>
      </c>
      <c r="AE245" s="2">
        <f t="shared" si="29"/>
        <v>15</v>
      </c>
      <c r="AF245" s="2">
        <f t="shared" si="30"/>
        <v>17</v>
      </c>
      <c r="AG245" s="2">
        <f t="shared" si="31"/>
        <v>1</v>
      </c>
      <c r="AH245" s="4">
        <f t="shared" si="32"/>
        <v>44929.186388888891</v>
      </c>
      <c r="AI245" s="2" t="str">
        <f t="shared" si="33"/>
        <v/>
      </c>
      <c r="AJ245" s="2" t="str">
        <f t="shared" si="34"/>
        <v/>
      </c>
      <c r="AK245" s="2" t="str">
        <f t="shared" si="35"/>
        <v/>
      </c>
    </row>
    <row r="246" spans="1:37" x14ac:dyDescent="0.25">
      <c r="A246">
        <v>1811</v>
      </c>
      <c r="B246" t="s">
        <v>315</v>
      </c>
      <c r="C246" t="s">
        <v>94</v>
      </c>
      <c r="D246" t="s">
        <v>266</v>
      </c>
      <c r="E246" t="s">
        <v>290</v>
      </c>
      <c r="F246" t="s">
        <v>291</v>
      </c>
      <c r="G246" t="s">
        <v>269</v>
      </c>
      <c r="H246" s="1">
        <v>44821.186388888891</v>
      </c>
      <c r="I246" s="1">
        <v>44824.186388888891</v>
      </c>
      <c r="J246" t="s">
        <v>32</v>
      </c>
      <c r="K246" s="1">
        <v>44835.186388888891</v>
      </c>
      <c r="L246" t="s">
        <v>33</v>
      </c>
      <c r="M246" t="s">
        <v>92</v>
      </c>
      <c r="T246">
        <v>0</v>
      </c>
      <c r="Y246" t="s">
        <v>55</v>
      </c>
      <c r="AC246" s="2">
        <f t="shared" si="27"/>
        <v>3</v>
      </c>
      <c r="AD246" s="2">
        <f t="shared" si="28"/>
        <v>14</v>
      </c>
      <c r="AE246" s="2">
        <f t="shared" si="29"/>
        <v>11</v>
      </c>
      <c r="AF246" s="2" t="str">
        <f t="shared" si="30"/>
        <v/>
      </c>
      <c r="AG246" s="2" t="str">
        <f t="shared" si="31"/>
        <v/>
      </c>
      <c r="AH246" s="4" t="str">
        <f t="shared" si="32"/>
        <v/>
      </c>
      <c r="AI246" s="2" t="str">
        <f t="shared" si="33"/>
        <v/>
      </c>
      <c r="AJ246" s="2" t="str">
        <f t="shared" si="34"/>
        <v/>
      </c>
      <c r="AK246" s="2" t="str">
        <f t="shared" si="35"/>
        <v/>
      </c>
    </row>
    <row r="247" spans="1:37" x14ac:dyDescent="0.25">
      <c r="A247">
        <v>1808</v>
      </c>
      <c r="B247" t="s">
        <v>316</v>
      </c>
      <c r="C247" t="s">
        <v>94</v>
      </c>
      <c r="D247" t="s">
        <v>266</v>
      </c>
      <c r="E247" t="s">
        <v>290</v>
      </c>
      <c r="F247" t="s">
        <v>291</v>
      </c>
      <c r="G247" t="s">
        <v>269</v>
      </c>
      <c r="H247" s="1">
        <v>45118.017708333333</v>
      </c>
      <c r="I247" s="1">
        <v>45122.017708333333</v>
      </c>
      <c r="J247" t="s">
        <v>32</v>
      </c>
      <c r="K247" s="1">
        <v>45129.017708333333</v>
      </c>
      <c r="L247" t="s">
        <v>33</v>
      </c>
      <c r="M247" t="s">
        <v>34</v>
      </c>
      <c r="T247">
        <v>0</v>
      </c>
      <c r="Y247" t="s">
        <v>55</v>
      </c>
      <c r="AC247" s="2">
        <f t="shared" si="27"/>
        <v>4</v>
      </c>
      <c r="AD247" s="2">
        <f t="shared" si="28"/>
        <v>11</v>
      </c>
      <c r="AE247" s="2">
        <f t="shared" si="29"/>
        <v>7</v>
      </c>
      <c r="AF247" s="2" t="str">
        <f t="shared" si="30"/>
        <v/>
      </c>
      <c r="AG247" s="2" t="str">
        <f t="shared" si="31"/>
        <v/>
      </c>
      <c r="AH247" s="4" t="str">
        <f t="shared" si="32"/>
        <v/>
      </c>
      <c r="AI247" s="2" t="str">
        <f t="shared" si="33"/>
        <v/>
      </c>
      <c r="AJ247" s="2" t="str">
        <f t="shared" si="34"/>
        <v/>
      </c>
      <c r="AK247" s="2" t="str">
        <f t="shared" si="35"/>
        <v/>
      </c>
    </row>
    <row r="248" spans="1:37" x14ac:dyDescent="0.25">
      <c r="A248">
        <v>1802</v>
      </c>
      <c r="B248" t="s">
        <v>317</v>
      </c>
      <c r="C248" t="s">
        <v>94</v>
      </c>
      <c r="D248" t="s">
        <v>266</v>
      </c>
      <c r="E248" t="s">
        <v>290</v>
      </c>
      <c r="F248" t="s">
        <v>291</v>
      </c>
      <c r="G248" t="s">
        <v>269</v>
      </c>
      <c r="H248" s="1">
        <v>45125.017708333333</v>
      </c>
      <c r="I248" s="1">
        <v>45126.017708333333</v>
      </c>
      <c r="J248" t="s">
        <v>32</v>
      </c>
      <c r="K248" s="1">
        <v>45131.017708333333</v>
      </c>
      <c r="L248" t="s">
        <v>57</v>
      </c>
      <c r="N248" s="4">
        <v>45137.017708333333</v>
      </c>
      <c r="O248" t="s">
        <v>57</v>
      </c>
      <c r="P248" s="4">
        <v>45132.017708333333</v>
      </c>
      <c r="Q248" s="4">
        <v>45134.017708333333</v>
      </c>
      <c r="R248" s="4">
        <v>45135.017708333333</v>
      </c>
      <c r="S248" s="4">
        <v>45136.017708333333</v>
      </c>
      <c r="T248">
        <v>1</v>
      </c>
      <c r="U248" s="4">
        <v>45139.017708333333</v>
      </c>
      <c r="V248" s="4">
        <v>45140.017708333333</v>
      </c>
      <c r="W248" s="4">
        <v>45143.017708333333</v>
      </c>
      <c r="Z248" s="4">
        <v>45155.017708333333</v>
      </c>
      <c r="AC248" s="2">
        <f t="shared" si="27"/>
        <v>1</v>
      </c>
      <c r="AD248" s="2">
        <f t="shared" si="28"/>
        <v>6</v>
      </c>
      <c r="AE248" s="2">
        <f t="shared" si="29"/>
        <v>5</v>
      </c>
      <c r="AF248" s="2">
        <f t="shared" si="30"/>
        <v>10</v>
      </c>
      <c r="AG248" s="2">
        <f t="shared" si="31"/>
        <v>4</v>
      </c>
      <c r="AH248" s="4">
        <f t="shared" si="32"/>
        <v>45225.017708333333</v>
      </c>
      <c r="AI248" s="2">
        <f t="shared" si="33"/>
        <v>3</v>
      </c>
      <c r="AJ248" s="2">
        <f t="shared" si="34"/>
        <v>20</v>
      </c>
      <c r="AK248" s="2">
        <f t="shared" si="35"/>
        <v>8</v>
      </c>
    </row>
    <row r="249" spans="1:37" x14ac:dyDescent="0.25">
      <c r="A249">
        <v>1794</v>
      </c>
      <c r="B249" t="s">
        <v>318</v>
      </c>
      <c r="C249" t="s">
        <v>94</v>
      </c>
      <c r="D249" t="s">
        <v>266</v>
      </c>
      <c r="E249" t="s">
        <v>290</v>
      </c>
      <c r="F249" t="s">
        <v>291</v>
      </c>
      <c r="G249" t="s">
        <v>269</v>
      </c>
      <c r="H249" s="1">
        <v>44830.47960648148</v>
      </c>
      <c r="I249" s="1">
        <v>44832.47960648148</v>
      </c>
      <c r="J249" t="s">
        <v>32</v>
      </c>
      <c r="K249" s="1">
        <v>44846.47960648148</v>
      </c>
      <c r="L249" t="s">
        <v>33</v>
      </c>
      <c r="M249" t="s">
        <v>92</v>
      </c>
      <c r="R249" s="4">
        <v>44850.47960648148</v>
      </c>
      <c r="T249">
        <v>0</v>
      </c>
      <c r="Y249" t="s">
        <v>55</v>
      </c>
      <c r="AC249" s="2">
        <f t="shared" si="27"/>
        <v>2</v>
      </c>
      <c r="AD249" s="2">
        <f t="shared" si="28"/>
        <v>16</v>
      </c>
      <c r="AE249" s="2">
        <f t="shared" si="29"/>
        <v>14</v>
      </c>
      <c r="AF249" s="2">
        <f t="shared" si="30"/>
        <v>20</v>
      </c>
      <c r="AG249" s="2">
        <f t="shared" si="31"/>
        <v>4</v>
      </c>
      <c r="AH249" s="4">
        <f t="shared" si="32"/>
        <v>44940.47960648148</v>
      </c>
      <c r="AI249" s="2" t="str">
        <f t="shared" si="33"/>
        <v/>
      </c>
      <c r="AJ249" s="2" t="str">
        <f t="shared" si="34"/>
        <v/>
      </c>
      <c r="AK249" s="2" t="str">
        <f t="shared" si="35"/>
        <v/>
      </c>
    </row>
    <row r="250" spans="1:37" x14ac:dyDescent="0.25">
      <c r="A250">
        <v>1792</v>
      </c>
      <c r="B250" t="s">
        <v>319</v>
      </c>
      <c r="C250" t="s">
        <v>94</v>
      </c>
      <c r="D250" t="s">
        <v>266</v>
      </c>
      <c r="E250" t="s">
        <v>290</v>
      </c>
      <c r="F250" t="s">
        <v>291</v>
      </c>
      <c r="G250" t="s">
        <v>269</v>
      </c>
      <c r="H250" s="1">
        <v>44828.47960648148</v>
      </c>
      <c r="I250" s="1">
        <v>44831.47960648148</v>
      </c>
      <c r="J250" t="s">
        <v>44</v>
      </c>
      <c r="K250" s="1"/>
      <c r="T250">
        <v>0</v>
      </c>
      <c r="AC250" s="2">
        <f t="shared" si="27"/>
        <v>3</v>
      </c>
      <c r="AD250" s="2" t="str">
        <f t="shared" si="28"/>
        <v/>
      </c>
      <c r="AE250" s="2" t="str">
        <f t="shared" si="29"/>
        <v/>
      </c>
      <c r="AF250" s="2" t="str">
        <f t="shared" si="30"/>
        <v/>
      </c>
      <c r="AG250" s="2" t="str">
        <f t="shared" si="31"/>
        <v/>
      </c>
      <c r="AH250" s="4" t="str">
        <f t="shared" si="32"/>
        <v/>
      </c>
      <c r="AI250" s="2" t="str">
        <f t="shared" si="33"/>
        <v/>
      </c>
      <c r="AJ250" s="2" t="str">
        <f t="shared" si="34"/>
        <v/>
      </c>
      <c r="AK250" s="2" t="str">
        <f t="shared" si="35"/>
        <v/>
      </c>
    </row>
    <row r="251" spans="1:37" x14ac:dyDescent="0.25">
      <c r="A251">
        <v>1681</v>
      </c>
      <c r="B251" t="s">
        <v>320</v>
      </c>
      <c r="C251" t="s">
        <v>94</v>
      </c>
      <c r="D251" t="s">
        <v>266</v>
      </c>
      <c r="E251" t="s">
        <v>290</v>
      </c>
      <c r="F251" t="s">
        <v>291</v>
      </c>
      <c r="G251" t="s">
        <v>269</v>
      </c>
      <c r="H251" s="1">
        <v>44664.28056712963</v>
      </c>
      <c r="I251" s="1">
        <v>44665.28056712963</v>
      </c>
      <c r="J251" t="s">
        <v>32</v>
      </c>
      <c r="K251" s="1">
        <v>44677.28056712963</v>
      </c>
      <c r="L251" t="s">
        <v>33</v>
      </c>
      <c r="M251" t="s">
        <v>67</v>
      </c>
      <c r="R251" s="4">
        <v>44678.28056712963</v>
      </c>
      <c r="T251">
        <v>0</v>
      </c>
      <c r="Y251" t="s">
        <v>55</v>
      </c>
      <c r="AC251" s="2">
        <f t="shared" si="27"/>
        <v>1</v>
      </c>
      <c r="AD251" s="2">
        <f t="shared" si="28"/>
        <v>13</v>
      </c>
      <c r="AE251" s="2">
        <f t="shared" si="29"/>
        <v>12</v>
      </c>
      <c r="AF251" s="2">
        <f t="shared" si="30"/>
        <v>14</v>
      </c>
      <c r="AG251" s="2">
        <f t="shared" si="31"/>
        <v>1</v>
      </c>
      <c r="AH251" s="4">
        <f t="shared" si="32"/>
        <v>44768.28056712963</v>
      </c>
      <c r="AI251" s="2" t="str">
        <f t="shared" si="33"/>
        <v/>
      </c>
      <c r="AJ251" s="2" t="str">
        <f t="shared" si="34"/>
        <v/>
      </c>
      <c r="AK251" s="2" t="str">
        <f t="shared" si="35"/>
        <v/>
      </c>
    </row>
    <row r="252" spans="1:37" x14ac:dyDescent="0.25">
      <c r="A252">
        <v>1670</v>
      </c>
      <c r="B252" t="s">
        <v>321</v>
      </c>
      <c r="C252" t="s">
        <v>94</v>
      </c>
      <c r="D252" t="s">
        <v>266</v>
      </c>
      <c r="E252" t="s">
        <v>290</v>
      </c>
      <c r="F252" t="s">
        <v>291</v>
      </c>
      <c r="G252" t="s">
        <v>269</v>
      </c>
      <c r="H252" s="1">
        <v>44674.935347222221</v>
      </c>
      <c r="I252" s="1">
        <v>44676.935347222221</v>
      </c>
      <c r="J252" t="s">
        <v>44</v>
      </c>
      <c r="K252" s="1"/>
      <c r="T252">
        <v>0</v>
      </c>
      <c r="AC252" s="2">
        <f t="shared" si="27"/>
        <v>2</v>
      </c>
      <c r="AD252" s="2" t="str">
        <f t="shared" si="28"/>
        <v/>
      </c>
      <c r="AE252" s="2" t="str">
        <f t="shared" si="29"/>
        <v/>
      </c>
      <c r="AF252" s="2" t="str">
        <f t="shared" si="30"/>
        <v/>
      </c>
      <c r="AG252" s="2" t="str">
        <f t="shared" si="31"/>
        <v/>
      </c>
      <c r="AH252" s="4" t="str">
        <f t="shared" si="32"/>
        <v/>
      </c>
      <c r="AI252" s="2" t="str">
        <f t="shared" si="33"/>
        <v/>
      </c>
      <c r="AJ252" s="2" t="str">
        <f t="shared" si="34"/>
        <v/>
      </c>
      <c r="AK252" s="2" t="str">
        <f t="shared" si="35"/>
        <v/>
      </c>
    </row>
    <row r="253" spans="1:37" x14ac:dyDescent="0.25">
      <c r="A253">
        <v>1666</v>
      </c>
      <c r="B253" t="s">
        <v>322</v>
      </c>
      <c r="C253" t="s">
        <v>94</v>
      </c>
      <c r="D253" t="s">
        <v>266</v>
      </c>
      <c r="E253" t="s">
        <v>290</v>
      </c>
      <c r="F253" t="s">
        <v>291</v>
      </c>
      <c r="G253" t="s">
        <v>269</v>
      </c>
      <c r="H253" s="1">
        <v>44673.935347222221</v>
      </c>
      <c r="I253" s="1">
        <v>44677.935347222221</v>
      </c>
      <c r="J253" t="s">
        <v>32</v>
      </c>
      <c r="K253" s="1">
        <v>44696.935347222221</v>
      </c>
      <c r="L253" t="s">
        <v>39</v>
      </c>
      <c r="N253" s="4">
        <v>44701.935347222221</v>
      </c>
      <c r="O253" t="s">
        <v>39</v>
      </c>
      <c r="R253" s="4">
        <v>44699.935347222221</v>
      </c>
      <c r="T253">
        <v>0</v>
      </c>
      <c r="AC253" s="2">
        <f t="shared" si="27"/>
        <v>4</v>
      </c>
      <c r="AD253" s="2">
        <f t="shared" si="28"/>
        <v>23</v>
      </c>
      <c r="AE253" s="2">
        <f t="shared" si="29"/>
        <v>19</v>
      </c>
      <c r="AF253" s="2">
        <f t="shared" si="30"/>
        <v>26</v>
      </c>
      <c r="AG253" s="2">
        <f t="shared" si="31"/>
        <v>3</v>
      </c>
      <c r="AH253" s="4">
        <f t="shared" si="32"/>
        <v>44789.935347222221</v>
      </c>
      <c r="AI253" s="2" t="str">
        <f t="shared" si="33"/>
        <v/>
      </c>
      <c r="AJ253" s="2" t="str">
        <f t="shared" si="34"/>
        <v/>
      </c>
      <c r="AK253" s="2" t="str">
        <f t="shared" si="35"/>
        <v/>
      </c>
    </row>
    <row r="254" spans="1:37" x14ac:dyDescent="0.25">
      <c r="A254">
        <v>1663</v>
      </c>
      <c r="B254" t="s">
        <v>323</v>
      </c>
      <c r="C254" t="s">
        <v>94</v>
      </c>
      <c r="D254" t="s">
        <v>266</v>
      </c>
      <c r="E254" t="s">
        <v>290</v>
      </c>
      <c r="F254" t="s">
        <v>291</v>
      </c>
      <c r="G254" t="s">
        <v>269</v>
      </c>
      <c r="H254" s="1">
        <v>44673.935347222221</v>
      </c>
      <c r="I254" s="1">
        <v>44675.935347222221</v>
      </c>
      <c r="J254" t="s">
        <v>32</v>
      </c>
      <c r="K254" s="1">
        <v>44690.935347222221</v>
      </c>
      <c r="L254" t="s">
        <v>33</v>
      </c>
      <c r="M254" t="s">
        <v>34</v>
      </c>
      <c r="T254">
        <v>0</v>
      </c>
      <c r="Y254" t="s">
        <v>35</v>
      </c>
      <c r="AC254" s="2">
        <f t="shared" si="27"/>
        <v>2</v>
      </c>
      <c r="AD254" s="2">
        <f t="shared" si="28"/>
        <v>17</v>
      </c>
      <c r="AE254" s="2">
        <f t="shared" si="29"/>
        <v>15</v>
      </c>
      <c r="AF254" s="2" t="str">
        <f t="shared" si="30"/>
        <v/>
      </c>
      <c r="AG254" s="2" t="str">
        <f t="shared" si="31"/>
        <v/>
      </c>
      <c r="AH254" s="4" t="str">
        <f t="shared" si="32"/>
        <v/>
      </c>
      <c r="AI254" s="2" t="str">
        <f t="shared" si="33"/>
        <v/>
      </c>
      <c r="AJ254" s="2" t="str">
        <f t="shared" si="34"/>
        <v/>
      </c>
      <c r="AK254" s="2" t="str">
        <f t="shared" si="35"/>
        <v/>
      </c>
    </row>
    <row r="255" spans="1:37" x14ac:dyDescent="0.25">
      <c r="A255">
        <v>1662</v>
      </c>
      <c r="B255" t="s">
        <v>324</v>
      </c>
      <c r="C255" t="s">
        <v>94</v>
      </c>
      <c r="D255" t="s">
        <v>266</v>
      </c>
      <c r="E255" t="s">
        <v>290</v>
      </c>
      <c r="F255" t="s">
        <v>291</v>
      </c>
      <c r="G255" t="s">
        <v>269</v>
      </c>
      <c r="H255" s="1">
        <v>44671.935347222221</v>
      </c>
      <c r="I255" s="1">
        <v>44674.935347222221</v>
      </c>
      <c r="J255" t="s">
        <v>32</v>
      </c>
      <c r="K255" s="1">
        <v>44692.935347222221</v>
      </c>
      <c r="L255" t="s">
        <v>33</v>
      </c>
      <c r="M255" t="s">
        <v>51</v>
      </c>
      <c r="R255" s="4">
        <v>44694.935347222221</v>
      </c>
      <c r="T255">
        <v>0</v>
      </c>
      <c r="Y255" t="s">
        <v>55</v>
      </c>
      <c r="AC255" s="2">
        <f t="shared" si="27"/>
        <v>3</v>
      </c>
      <c r="AD255" s="2">
        <f t="shared" si="28"/>
        <v>21</v>
      </c>
      <c r="AE255" s="2">
        <f t="shared" si="29"/>
        <v>18</v>
      </c>
      <c r="AF255" s="2">
        <f t="shared" si="30"/>
        <v>23</v>
      </c>
      <c r="AG255" s="2">
        <f t="shared" si="31"/>
        <v>2</v>
      </c>
      <c r="AH255" s="4">
        <f t="shared" si="32"/>
        <v>44784.935347222221</v>
      </c>
      <c r="AI255" s="2" t="str">
        <f t="shared" si="33"/>
        <v/>
      </c>
      <c r="AJ255" s="2" t="str">
        <f t="shared" si="34"/>
        <v/>
      </c>
      <c r="AK255" s="2" t="str">
        <f t="shared" si="35"/>
        <v/>
      </c>
    </row>
    <row r="256" spans="1:37" x14ac:dyDescent="0.25">
      <c r="A256">
        <v>1447</v>
      </c>
      <c r="B256" t="s">
        <v>325</v>
      </c>
      <c r="C256" t="s">
        <v>94</v>
      </c>
      <c r="D256" t="s">
        <v>266</v>
      </c>
      <c r="E256" t="s">
        <v>290</v>
      </c>
      <c r="F256" t="s">
        <v>291</v>
      </c>
      <c r="G256" t="s">
        <v>269</v>
      </c>
      <c r="H256" s="1">
        <v>45014.427199074074</v>
      </c>
      <c r="I256" s="1">
        <v>45015.427199074074</v>
      </c>
      <c r="J256" t="s">
        <v>32</v>
      </c>
      <c r="K256" s="1">
        <v>45032.427199074074</v>
      </c>
      <c r="L256" t="s">
        <v>57</v>
      </c>
      <c r="N256" s="4">
        <v>45039.427199074074</v>
      </c>
      <c r="O256" t="s">
        <v>57</v>
      </c>
      <c r="P256" s="4">
        <v>45034.427199074074</v>
      </c>
      <c r="Q256" s="4">
        <v>45037.427199074074</v>
      </c>
      <c r="R256" s="4">
        <v>45036.427199074074</v>
      </c>
      <c r="S256" s="4">
        <v>45038.427199074074</v>
      </c>
      <c r="T256">
        <v>1</v>
      </c>
      <c r="U256" s="4">
        <v>45039.427199074074</v>
      </c>
      <c r="V256" s="4">
        <v>45041.427199074074</v>
      </c>
      <c r="W256" s="4">
        <v>45044.427199074074</v>
      </c>
      <c r="Z256" s="4">
        <v>45061.427199074074</v>
      </c>
      <c r="AC256" s="2">
        <f t="shared" si="27"/>
        <v>1</v>
      </c>
      <c r="AD256" s="2">
        <f t="shared" si="28"/>
        <v>18</v>
      </c>
      <c r="AE256" s="2">
        <f t="shared" si="29"/>
        <v>17</v>
      </c>
      <c r="AF256" s="2">
        <f t="shared" si="30"/>
        <v>22</v>
      </c>
      <c r="AG256" s="2">
        <f t="shared" si="31"/>
        <v>4</v>
      </c>
      <c r="AH256" s="4">
        <f t="shared" si="32"/>
        <v>45126.427199074074</v>
      </c>
      <c r="AI256" s="2">
        <f t="shared" si="33"/>
        <v>1</v>
      </c>
      <c r="AJ256" s="2">
        <f t="shared" si="34"/>
        <v>25</v>
      </c>
      <c r="AK256" s="2">
        <f t="shared" si="35"/>
        <v>8</v>
      </c>
    </row>
    <row r="257" spans="1:37" x14ac:dyDescent="0.25">
      <c r="A257">
        <v>1446</v>
      </c>
      <c r="B257" t="s">
        <v>326</v>
      </c>
      <c r="C257" t="s">
        <v>94</v>
      </c>
      <c r="D257" t="s">
        <v>266</v>
      </c>
      <c r="E257" t="s">
        <v>290</v>
      </c>
      <c r="F257" t="s">
        <v>291</v>
      </c>
      <c r="G257" t="s">
        <v>269</v>
      </c>
      <c r="H257" s="1">
        <v>45015.427199074074</v>
      </c>
      <c r="I257" s="1">
        <v>45016.427199074074</v>
      </c>
      <c r="J257" t="s">
        <v>44</v>
      </c>
      <c r="K257" s="1"/>
      <c r="T257">
        <v>0</v>
      </c>
      <c r="AC257" s="2">
        <f t="shared" si="27"/>
        <v>1</v>
      </c>
      <c r="AD257" s="2" t="str">
        <f t="shared" si="28"/>
        <v/>
      </c>
      <c r="AE257" s="2" t="str">
        <f t="shared" si="29"/>
        <v/>
      </c>
      <c r="AF257" s="2" t="str">
        <f t="shared" si="30"/>
        <v/>
      </c>
      <c r="AG257" s="2" t="str">
        <f t="shared" si="31"/>
        <v/>
      </c>
      <c r="AH257" s="4" t="str">
        <f t="shared" si="32"/>
        <v/>
      </c>
      <c r="AI257" s="2" t="str">
        <f t="shared" si="33"/>
        <v/>
      </c>
      <c r="AJ257" s="2" t="str">
        <f t="shared" si="34"/>
        <v/>
      </c>
      <c r="AK257" s="2" t="str">
        <f t="shared" si="35"/>
        <v/>
      </c>
    </row>
    <row r="258" spans="1:37" x14ac:dyDescent="0.25">
      <c r="A258">
        <v>1410</v>
      </c>
      <c r="B258" t="s">
        <v>327</v>
      </c>
      <c r="C258" t="s">
        <v>94</v>
      </c>
      <c r="D258" t="s">
        <v>266</v>
      </c>
      <c r="E258" t="s">
        <v>290</v>
      </c>
      <c r="F258" t="s">
        <v>291</v>
      </c>
      <c r="G258" t="s">
        <v>269</v>
      </c>
      <c r="H258" s="1">
        <v>44614.306493055556</v>
      </c>
      <c r="I258" s="1">
        <v>44617.306493055556</v>
      </c>
      <c r="J258" t="s">
        <v>32</v>
      </c>
      <c r="K258" s="1">
        <v>44627.306493055556</v>
      </c>
      <c r="L258" t="s">
        <v>33</v>
      </c>
      <c r="M258" t="s">
        <v>51</v>
      </c>
      <c r="T258">
        <v>0</v>
      </c>
      <c r="Y258" t="s">
        <v>55</v>
      </c>
      <c r="AC258" s="2">
        <f t="shared" si="27"/>
        <v>3</v>
      </c>
      <c r="AD258" s="2">
        <f t="shared" si="28"/>
        <v>13</v>
      </c>
      <c r="AE258" s="2">
        <f t="shared" si="29"/>
        <v>10</v>
      </c>
      <c r="AF258" s="2" t="str">
        <f t="shared" si="30"/>
        <v/>
      </c>
      <c r="AG258" s="2" t="str">
        <f t="shared" si="31"/>
        <v/>
      </c>
      <c r="AH258" s="4" t="str">
        <f t="shared" si="32"/>
        <v/>
      </c>
      <c r="AI258" s="2" t="str">
        <f t="shared" si="33"/>
        <v/>
      </c>
      <c r="AJ258" s="2" t="str">
        <f t="shared" si="34"/>
        <v/>
      </c>
      <c r="AK258" s="2" t="str">
        <f t="shared" si="35"/>
        <v/>
      </c>
    </row>
    <row r="259" spans="1:37" x14ac:dyDescent="0.25">
      <c r="A259">
        <v>1382</v>
      </c>
      <c r="B259" t="s">
        <v>328</v>
      </c>
      <c r="C259" t="s">
        <v>94</v>
      </c>
      <c r="D259" t="s">
        <v>266</v>
      </c>
      <c r="E259" t="s">
        <v>290</v>
      </c>
      <c r="F259" t="s">
        <v>291</v>
      </c>
      <c r="G259" t="s">
        <v>269</v>
      </c>
      <c r="H259" s="1">
        <v>45042.733506944445</v>
      </c>
      <c r="I259" s="1">
        <v>45045.733506944445</v>
      </c>
      <c r="J259" t="s">
        <v>32</v>
      </c>
      <c r="K259" s="1">
        <v>45053.733506944445</v>
      </c>
      <c r="L259" t="s">
        <v>33</v>
      </c>
      <c r="M259" t="s">
        <v>92</v>
      </c>
      <c r="R259" s="4">
        <v>45057.733506944445</v>
      </c>
      <c r="T259">
        <v>0</v>
      </c>
      <c r="Y259" t="s">
        <v>55</v>
      </c>
      <c r="AC259" s="2">
        <f t="shared" ref="AC259:AC322" si="36">IF(AND(I259&lt;&gt;"",H259&lt;&gt;""), I259-H259, "")</f>
        <v>3</v>
      </c>
      <c r="AD259" s="2">
        <f t="shared" ref="AD259:AD322" si="37">IF(AND(K259&lt;&gt;"",H259&lt;&gt;""), K259-H259, "")</f>
        <v>11</v>
      </c>
      <c r="AE259" s="2">
        <f t="shared" ref="AE259:AE322" si="38">IF(AND(K259&lt;&gt;"",I259&lt;&gt;""), K259-I259, "")</f>
        <v>8</v>
      </c>
      <c r="AF259" s="2">
        <f t="shared" ref="AF259:AF322" si="39">IF(AND(R259&lt;&gt;"",H259&lt;&gt;""), R259-H259, "")</f>
        <v>15</v>
      </c>
      <c r="AG259" s="2">
        <f t="shared" ref="AG259:AG322" si="40">IF(AND(R259&lt;&gt;"",K259&lt;&gt;""), R259-K259, "")</f>
        <v>4</v>
      </c>
      <c r="AH259" s="4">
        <f t="shared" ref="AH259:AH322" si="41">IF(R259&lt;&gt;"", R259+90, "")</f>
        <v>45147.733506944445</v>
      </c>
      <c r="AI259" s="2" t="str">
        <f t="shared" ref="AI259:AI322" si="42">IF(AND(U259&lt;&gt;"",S259&lt;&gt;""), U259-S259, "")</f>
        <v/>
      </c>
      <c r="AJ259" s="2" t="str">
        <f t="shared" ref="AJ259:AJ322" si="43">IF(AND(Z259&lt;&gt;"",R259&lt;&gt;""), Z259-R259, "")</f>
        <v/>
      </c>
      <c r="AK259" s="2" t="str">
        <f t="shared" ref="AK259:AK322" si="44">IF(AND(W259&lt;&gt;"",R259&lt;&gt;""), W259-R259, "")</f>
        <v/>
      </c>
    </row>
    <row r="260" spans="1:37" x14ac:dyDescent="0.25">
      <c r="A260">
        <v>1328</v>
      </c>
      <c r="B260" t="s">
        <v>329</v>
      </c>
      <c r="C260" t="s">
        <v>94</v>
      </c>
      <c r="D260" t="s">
        <v>266</v>
      </c>
      <c r="E260" t="s">
        <v>290</v>
      </c>
      <c r="F260" t="s">
        <v>291</v>
      </c>
      <c r="G260" t="s">
        <v>269</v>
      </c>
      <c r="H260" s="1">
        <v>45157.187118055554</v>
      </c>
      <c r="I260" s="1">
        <v>45161.187118055554</v>
      </c>
      <c r="J260" t="s">
        <v>32</v>
      </c>
      <c r="K260" s="1">
        <v>45169.187118055554</v>
      </c>
      <c r="L260" t="s">
        <v>33</v>
      </c>
      <c r="M260" t="s">
        <v>92</v>
      </c>
      <c r="R260" s="4">
        <v>45171.187118055554</v>
      </c>
      <c r="T260">
        <v>0</v>
      </c>
      <c r="Y260" t="s">
        <v>55</v>
      </c>
      <c r="AC260" s="2">
        <f t="shared" si="36"/>
        <v>4</v>
      </c>
      <c r="AD260" s="2">
        <f t="shared" si="37"/>
        <v>12</v>
      </c>
      <c r="AE260" s="2">
        <f t="shared" si="38"/>
        <v>8</v>
      </c>
      <c r="AF260" s="2">
        <f t="shared" si="39"/>
        <v>14</v>
      </c>
      <c r="AG260" s="2">
        <f t="shared" si="40"/>
        <v>2</v>
      </c>
      <c r="AH260" s="4">
        <f t="shared" si="41"/>
        <v>45261.187118055554</v>
      </c>
      <c r="AI260" s="2" t="str">
        <f t="shared" si="42"/>
        <v/>
      </c>
      <c r="AJ260" s="2" t="str">
        <f t="shared" si="43"/>
        <v/>
      </c>
      <c r="AK260" s="2" t="str">
        <f t="shared" si="44"/>
        <v/>
      </c>
    </row>
    <row r="261" spans="1:37" x14ac:dyDescent="0.25">
      <c r="A261">
        <v>1327</v>
      </c>
      <c r="B261" t="s">
        <v>330</v>
      </c>
      <c r="C261" t="s">
        <v>94</v>
      </c>
      <c r="D261" t="s">
        <v>266</v>
      </c>
      <c r="E261" t="s">
        <v>290</v>
      </c>
      <c r="F261" t="s">
        <v>291</v>
      </c>
      <c r="G261" t="s">
        <v>269</v>
      </c>
      <c r="H261" s="1">
        <v>45161.187118055554</v>
      </c>
      <c r="I261" s="1">
        <v>45165.187118055554</v>
      </c>
      <c r="J261" t="s">
        <v>44</v>
      </c>
      <c r="K261" s="1"/>
      <c r="T261">
        <v>0</v>
      </c>
      <c r="AC261" s="2">
        <f t="shared" si="36"/>
        <v>4</v>
      </c>
      <c r="AD261" s="2" t="str">
        <f t="shared" si="37"/>
        <v/>
      </c>
      <c r="AE261" s="2" t="str">
        <f t="shared" si="38"/>
        <v/>
      </c>
      <c r="AF261" s="2" t="str">
        <f t="shared" si="39"/>
        <v/>
      </c>
      <c r="AG261" s="2" t="str">
        <f t="shared" si="40"/>
        <v/>
      </c>
      <c r="AH261" s="4" t="str">
        <f t="shared" si="41"/>
        <v/>
      </c>
      <c r="AI261" s="2" t="str">
        <f t="shared" si="42"/>
        <v/>
      </c>
      <c r="AJ261" s="2" t="str">
        <f t="shared" si="43"/>
        <v/>
      </c>
      <c r="AK261" s="2" t="str">
        <f t="shared" si="44"/>
        <v/>
      </c>
    </row>
    <row r="262" spans="1:37" x14ac:dyDescent="0.25">
      <c r="A262">
        <v>1298</v>
      </c>
      <c r="B262" t="s">
        <v>331</v>
      </c>
      <c r="C262" t="s">
        <v>94</v>
      </c>
      <c r="D262" t="s">
        <v>266</v>
      </c>
      <c r="E262" t="s">
        <v>290</v>
      </c>
      <c r="F262" t="s">
        <v>291</v>
      </c>
      <c r="G262" t="s">
        <v>269</v>
      </c>
      <c r="H262" s="1">
        <v>45091.672731481478</v>
      </c>
      <c r="I262" s="1">
        <v>45093.672731481478</v>
      </c>
      <c r="J262" t="s">
        <v>32</v>
      </c>
      <c r="K262" s="1">
        <v>45108.672731481478</v>
      </c>
      <c r="L262" t="s">
        <v>33</v>
      </c>
      <c r="M262" t="s">
        <v>108</v>
      </c>
      <c r="T262">
        <v>0</v>
      </c>
      <c r="Y262" t="s">
        <v>35</v>
      </c>
      <c r="AC262" s="2">
        <f t="shared" si="36"/>
        <v>2</v>
      </c>
      <c r="AD262" s="2">
        <f t="shared" si="37"/>
        <v>17</v>
      </c>
      <c r="AE262" s="2">
        <f t="shared" si="38"/>
        <v>15</v>
      </c>
      <c r="AF262" s="2" t="str">
        <f t="shared" si="39"/>
        <v/>
      </c>
      <c r="AG262" s="2" t="str">
        <f t="shared" si="40"/>
        <v/>
      </c>
      <c r="AH262" s="4" t="str">
        <f t="shared" si="41"/>
        <v/>
      </c>
      <c r="AI262" s="2" t="str">
        <f t="shared" si="42"/>
        <v/>
      </c>
      <c r="AJ262" s="2" t="str">
        <f t="shared" si="43"/>
        <v/>
      </c>
      <c r="AK262" s="2" t="str">
        <f t="shared" si="44"/>
        <v/>
      </c>
    </row>
    <row r="263" spans="1:37" x14ac:dyDescent="0.25">
      <c r="A263">
        <v>1291</v>
      </c>
      <c r="B263" t="s">
        <v>332</v>
      </c>
      <c r="C263" t="s">
        <v>94</v>
      </c>
      <c r="D263" t="s">
        <v>266</v>
      </c>
      <c r="E263" t="s">
        <v>290</v>
      </c>
      <c r="F263" t="s">
        <v>291</v>
      </c>
      <c r="G263" t="s">
        <v>269</v>
      </c>
      <c r="H263" s="1">
        <v>45092.672731481478</v>
      </c>
      <c r="I263" s="1">
        <v>45095.672731481478</v>
      </c>
      <c r="J263" t="s">
        <v>32</v>
      </c>
      <c r="K263" s="1">
        <v>45104.672731481478</v>
      </c>
      <c r="L263" t="s">
        <v>33</v>
      </c>
      <c r="M263" t="s">
        <v>108</v>
      </c>
      <c r="R263" s="4">
        <v>45105.672731481478</v>
      </c>
      <c r="T263">
        <v>0</v>
      </c>
      <c r="Y263" t="s">
        <v>55</v>
      </c>
      <c r="AC263" s="2">
        <f t="shared" si="36"/>
        <v>3</v>
      </c>
      <c r="AD263" s="2">
        <f t="shared" si="37"/>
        <v>12</v>
      </c>
      <c r="AE263" s="2">
        <f t="shared" si="38"/>
        <v>9</v>
      </c>
      <c r="AF263" s="2">
        <f t="shared" si="39"/>
        <v>13</v>
      </c>
      <c r="AG263" s="2">
        <f t="shared" si="40"/>
        <v>1</v>
      </c>
      <c r="AH263" s="4">
        <f t="shared" si="41"/>
        <v>45195.672731481478</v>
      </c>
      <c r="AI263" s="2" t="str">
        <f t="shared" si="42"/>
        <v/>
      </c>
      <c r="AJ263" s="2" t="str">
        <f t="shared" si="43"/>
        <v/>
      </c>
      <c r="AK263" s="2" t="str">
        <f t="shared" si="44"/>
        <v/>
      </c>
    </row>
    <row r="264" spans="1:37" x14ac:dyDescent="0.25">
      <c r="A264">
        <v>1157</v>
      </c>
      <c r="B264" t="s">
        <v>333</v>
      </c>
      <c r="C264" t="s">
        <v>94</v>
      </c>
      <c r="D264" t="s">
        <v>266</v>
      </c>
      <c r="E264" t="s">
        <v>290</v>
      </c>
      <c r="F264" t="s">
        <v>291</v>
      </c>
      <c r="G264" t="s">
        <v>269</v>
      </c>
      <c r="H264" s="1">
        <v>44638.808749999997</v>
      </c>
      <c r="I264" s="1">
        <v>44642.808749999997</v>
      </c>
      <c r="J264" t="s">
        <v>32</v>
      </c>
      <c r="K264" s="1">
        <v>44656.808749999997</v>
      </c>
      <c r="L264" t="s">
        <v>33</v>
      </c>
      <c r="M264" t="s">
        <v>67</v>
      </c>
      <c r="R264" s="4">
        <v>44659.808749999997</v>
      </c>
      <c r="T264">
        <v>0</v>
      </c>
      <c r="Y264" t="s">
        <v>35</v>
      </c>
      <c r="AC264" s="2">
        <f t="shared" si="36"/>
        <v>4</v>
      </c>
      <c r="AD264" s="2">
        <f t="shared" si="37"/>
        <v>18</v>
      </c>
      <c r="AE264" s="2">
        <f t="shared" si="38"/>
        <v>14</v>
      </c>
      <c r="AF264" s="2">
        <f t="shared" si="39"/>
        <v>21</v>
      </c>
      <c r="AG264" s="2">
        <f t="shared" si="40"/>
        <v>3</v>
      </c>
      <c r="AH264" s="4">
        <f t="shared" si="41"/>
        <v>44749.808749999997</v>
      </c>
      <c r="AI264" s="2" t="str">
        <f t="shared" si="42"/>
        <v/>
      </c>
      <c r="AJ264" s="2" t="str">
        <f t="shared" si="43"/>
        <v/>
      </c>
      <c r="AK264" s="2" t="str">
        <f t="shared" si="44"/>
        <v/>
      </c>
    </row>
    <row r="265" spans="1:37" x14ac:dyDescent="0.25">
      <c r="A265">
        <v>1155</v>
      </c>
      <c r="B265" t="s">
        <v>334</v>
      </c>
      <c r="C265" t="s">
        <v>94</v>
      </c>
      <c r="D265" t="s">
        <v>266</v>
      </c>
      <c r="E265" t="s">
        <v>290</v>
      </c>
      <c r="F265" t="s">
        <v>291</v>
      </c>
      <c r="G265" t="s">
        <v>269</v>
      </c>
      <c r="H265" s="1">
        <v>44638.808749999997</v>
      </c>
      <c r="I265" s="1">
        <v>44641.808749999997</v>
      </c>
      <c r="J265" t="s">
        <v>32</v>
      </c>
      <c r="K265" s="1">
        <v>44649.808749999997</v>
      </c>
      <c r="L265" t="s">
        <v>39</v>
      </c>
      <c r="N265" s="4">
        <v>44655.808749999997</v>
      </c>
      <c r="O265" t="s">
        <v>39</v>
      </c>
      <c r="R265" s="4">
        <v>44652.808749999997</v>
      </c>
      <c r="T265">
        <v>0</v>
      </c>
      <c r="AC265" s="2">
        <f t="shared" si="36"/>
        <v>3</v>
      </c>
      <c r="AD265" s="2">
        <f t="shared" si="37"/>
        <v>11</v>
      </c>
      <c r="AE265" s="2">
        <f t="shared" si="38"/>
        <v>8</v>
      </c>
      <c r="AF265" s="2">
        <f t="shared" si="39"/>
        <v>14</v>
      </c>
      <c r="AG265" s="2">
        <f t="shared" si="40"/>
        <v>3</v>
      </c>
      <c r="AH265" s="4">
        <f t="shared" si="41"/>
        <v>44742.808749999997</v>
      </c>
      <c r="AI265" s="2" t="str">
        <f t="shared" si="42"/>
        <v/>
      </c>
      <c r="AJ265" s="2" t="str">
        <f t="shared" si="43"/>
        <v/>
      </c>
      <c r="AK265" s="2" t="str">
        <f t="shared" si="44"/>
        <v/>
      </c>
    </row>
    <row r="266" spans="1:37" x14ac:dyDescent="0.25">
      <c r="A266">
        <v>1154</v>
      </c>
      <c r="B266" t="s">
        <v>335</v>
      </c>
      <c r="C266" t="s">
        <v>94</v>
      </c>
      <c r="D266" t="s">
        <v>266</v>
      </c>
      <c r="E266" t="s">
        <v>290</v>
      </c>
      <c r="F266" t="s">
        <v>291</v>
      </c>
      <c r="G266" t="s">
        <v>269</v>
      </c>
      <c r="H266" s="1">
        <v>44638.808749999997</v>
      </c>
      <c r="I266" s="1">
        <v>44640.808749999997</v>
      </c>
      <c r="J266" t="s">
        <v>32</v>
      </c>
      <c r="K266" s="1">
        <v>44653.808749999997</v>
      </c>
      <c r="L266" t="s">
        <v>39</v>
      </c>
      <c r="N266" s="4">
        <v>44661.808749999997</v>
      </c>
      <c r="O266" t="s">
        <v>39</v>
      </c>
      <c r="R266" s="4">
        <v>44657.808749999997</v>
      </c>
      <c r="T266">
        <v>0</v>
      </c>
      <c r="AC266" s="2">
        <f t="shared" si="36"/>
        <v>2</v>
      </c>
      <c r="AD266" s="2">
        <f t="shared" si="37"/>
        <v>15</v>
      </c>
      <c r="AE266" s="2">
        <f t="shared" si="38"/>
        <v>13</v>
      </c>
      <c r="AF266" s="2">
        <f t="shared" si="39"/>
        <v>19</v>
      </c>
      <c r="AG266" s="2">
        <f t="shared" si="40"/>
        <v>4</v>
      </c>
      <c r="AH266" s="4">
        <f t="shared" si="41"/>
        <v>44747.808749999997</v>
      </c>
      <c r="AI266" s="2" t="str">
        <f t="shared" si="42"/>
        <v/>
      </c>
      <c r="AJ266" s="2" t="str">
        <f t="shared" si="43"/>
        <v/>
      </c>
      <c r="AK266" s="2" t="str">
        <f t="shared" si="44"/>
        <v/>
      </c>
    </row>
    <row r="267" spans="1:37" x14ac:dyDescent="0.25">
      <c r="A267">
        <v>1152</v>
      </c>
      <c r="B267" t="s">
        <v>336</v>
      </c>
      <c r="C267" t="s">
        <v>94</v>
      </c>
      <c r="D267" t="s">
        <v>266</v>
      </c>
      <c r="E267" t="s">
        <v>290</v>
      </c>
      <c r="F267" t="s">
        <v>291</v>
      </c>
      <c r="G267" t="s">
        <v>269</v>
      </c>
      <c r="H267" s="1">
        <v>44635.808749999997</v>
      </c>
      <c r="I267" s="1">
        <v>44638.808749999997</v>
      </c>
      <c r="J267" t="s">
        <v>32</v>
      </c>
      <c r="K267" s="1">
        <v>44658.808749999997</v>
      </c>
      <c r="L267" t="s">
        <v>164</v>
      </c>
      <c r="N267" s="4">
        <v>44665.808749999997</v>
      </c>
      <c r="O267" t="s">
        <v>164</v>
      </c>
      <c r="R267" s="4">
        <v>44662.808749999997</v>
      </c>
      <c r="T267">
        <v>0</v>
      </c>
      <c r="AC267" s="2">
        <f t="shared" si="36"/>
        <v>3</v>
      </c>
      <c r="AD267" s="2">
        <f t="shared" si="37"/>
        <v>23</v>
      </c>
      <c r="AE267" s="2">
        <f t="shared" si="38"/>
        <v>20</v>
      </c>
      <c r="AF267" s="2">
        <f t="shared" si="39"/>
        <v>27</v>
      </c>
      <c r="AG267" s="2">
        <f t="shared" si="40"/>
        <v>4</v>
      </c>
      <c r="AH267" s="4">
        <f t="shared" si="41"/>
        <v>44752.808749999997</v>
      </c>
      <c r="AI267" s="2" t="str">
        <f t="shared" si="42"/>
        <v/>
      </c>
      <c r="AJ267" s="2" t="str">
        <f t="shared" si="43"/>
        <v/>
      </c>
      <c r="AK267" s="2" t="str">
        <f t="shared" si="44"/>
        <v/>
      </c>
    </row>
    <row r="268" spans="1:37" x14ac:dyDescent="0.25">
      <c r="A268">
        <v>1151</v>
      </c>
      <c r="B268" t="s">
        <v>337</v>
      </c>
      <c r="C268" t="s">
        <v>94</v>
      </c>
      <c r="D268" t="s">
        <v>266</v>
      </c>
      <c r="E268" t="s">
        <v>290</v>
      </c>
      <c r="F268" t="s">
        <v>291</v>
      </c>
      <c r="G268" t="s">
        <v>269</v>
      </c>
      <c r="H268" s="1">
        <v>44637.808749999997</v>
      </c>
      <c r="I268" s="1">
        <v>44641.808749999997</v>
      </c>
      <c r="J268" t="s">
        <v>32</v>
      </c>
      <c r="K268" s="1">
        <v>44659.808749999997</v>
      </c>
      <c r="L268" t="s">
        <v>39</v>
      </c>
      <c r="N268" s="4">
        <v>44664.808749999997</v>
      </c>
      <c r="O268" t="s">
        <v>39</v>
      </c>
      <c r="R268" s="4">
        <v>44663.808749999997</v>
      </c>
      <c r="T268">
        <v>0</v>
      </c>
      <c r="AC268" s="2">
        <f t="shared" si="36"/>
        <v>4</v>
      </c>
      <c r="AD268" s="2">
        <f t="shared" si="37"/>
        <v>22</v>
      </c>
      <c r="AE268" s="2">
        <f t="shared" si="38"/>
        <v>18</v>
      </c>
      <c r="AF268" s="2">
        <f t="shared" si="39"/>
        <v>26</v>
      </c>
      <c r="AG268" s="2">
        <f t="shared" si="40"/>
        <v>4</v>
      </c>
      <c r="AH268" s="4">
        <f t="shared" si="41"/>
        <v>44753.808749999997</v>
      </c>
      <c r="AI268" s="2" t="str">
        <f t="shared" si="42"/>
        <v/>
      </c>
      <c r="AJ268" s="2" t="str">
        <f t="shared" si="43"/>
        <v/>
      </c>
      <c r="AK268" s="2" t="str">
        <f t="shared" si="44"/>
        <v/>
      </c>
    </row>
    <row r="269" spans="1:37" x14ac:dyDescent="0.25">
      <c r="A269">
        <v>1000</v>
      </c>
      <c r="B269" t="s">
        <v>338</v>
      </c>
      <c r="C269" t="s">
        <v>94</v>
      </c>
      <c r="D269" t="s">
        <v>266</v>
      </c>
      <c r="E269" t="s">
        <v>290</v>
      </c>
      <c r="F269" t="s">
        <v>291</v>
      </c>
      <c r="G269" t="s">
        <v>269</v>
      </c>
      <c r="H269" s="1">
        <v>45015.858425925922</v>
      </c>
      <c r="I269" s="1">
        <v>45018.858425925922</v>
      </c>
      <c r="J269" t="s">
        <v>32</v>
      </c>
      <c r="K269" s="1">
        <v>45033.858425925922</v>
      </c>
      <c r="L269" t="s">
        <v>39</v>
      </c>
      <c r="N269" s="4">
        <v>45039.858425925922</v>
      </c>
      <c r="O269" t="s">
        <v>39</v>
      </c>
      <c r="R269" s="4">
        <v>45037.858425925922</v>
      </c>
      <c r="T269">
        <v>0</v>
      </c>
      <c r="AC269" s="2">
        <f t="shared" si="36"/>
        <v>3</v>
      </c>
      <c r="AD269" s="2">
        <f t="shared" si="37"/>
        <v>18</v>
      </c>
      <c r="AE269" s="2">
        <f t="shared" si="38"/>
        <v>15</v>
      </c>
      <c r="AF269" s="2">
        <f t="shared" si="39"/>
        <v>22</v>
      </c>
      <c r="AG269" s="2">
        <f t="shared" si="40"/>
        <v>4</v>
      </c>
      <c r="AH269" s="4">
        <f t="shared" si="41"/>
        <v>45127.858425925922</v>
      </c>
      <c r="AI269" s="2" t="str">
        <f t="shared" si="42"/>
        <v/>
      </c>
      <c r="AJ269" s="2" t="str">
        <f t="shared" si="43"/>
        <v/>
      </c>
      <c r="AK269" s="2" t="str">
        <f t="shared" si="44"/>
        <v/>
      </c>
    </row>
    <row r="270" spans="1:37" x14ac:dyDescent="0.25">
      <c r="A270">
        <v>992</v>
      </c>
      <c r="B270" t="s">
        <v>339</v>
      </c>
      <c r="C270" t="s">
        <v>94</v>
      </c>
      <c r="D270" t="s">
        <v>266</v>
      </c>
      <c r="E270" t="s">
        <v>290</v>
      </c>
      <c r="F270" t="s">
        <v>291</v>
      </c>
      <c r="G270" t="s">
        <v>269</v>
      </c>
      <c r="H270" s="1">
        <v>45016.858425925922</v>
      </c>
      <c r="I270" s="1">
        <v>45018.858425925922</v>
      </c>
      <c r="J270" t="s">
        <v>32</v>
      </c>
      <c r="K270" s="1">
        <v>45024.858425925922</v>
      </c>
      <c r="L270" t="s">
        <v>33</v>
      </c>
      <c r="M270" t="s">
        <v>92</v>
      </c>
      <c r="T270">
        <v>0</v>
      </c>
      <c r="Y270" t="s">
        <v>35</v>
      </c>
      <c r="AC270" s="2">
        <f t="shared" si="36"/>
        <v>2</v>
      </c>
      <c r="AD270" s="2">
        <f t="shared" si="37"/>
        <v>8</v>
      </c>
      <c r="AE270" s="2">
        <f t="shared" si="38"/>
        <v>6</v>
      </c>
      <c r="AF270" s="2" t="str">
        <f t="shared" si="39"/>
        <v/>
      </c>
      <c r="AG270" s="2" t="str">
        <f t="shared" si="40"/>
        <v/>
      </c>
      <c r="AH270" s="4" t="str">
        <f t="shared" si="41"/>
        <v/>
      </c>
      <c r="AI270" s="2" t="str">
        <f t="shared" si="42"/>
        <v/>
      </c>
      <c r="AJ270" s="2" t="str">
        <f t="shared" si="43"/>
        <v/>
      </c>
      <c r="AK270" s="2" t="str">
        <f t="shared" si="44"/>
        <v/>
      </c>
    </row>
    <row r="271" spans="1:37" x14ac:dyDescent="0.25">
      <c r="A271">
        <v>991</v>
      </c>
      <c r="B271" t="s">
        <v>340</v>
      </c>
      <c r="C271" t="s">
        <v>94</v>
      </c>
      <c r="D271" t="s">
        <v>266</v>
      </c>
      <c r="E271" t="s">
        <v>290</v>
      </c>
      <c r="F271" t="s">
        <v>291</v>
      </c>
      <c r="G271" t="s">
        <v>269</v>
      </c>
      <c r="H271" s="1">
        <v>45010.858425925922</v>
      </c>
      <c r="I271" s="1">
        <v>45014.858425925922</v>
      </c>
      <c r="J271" t="s">
        <v>32</v>
      </c>
      <c r="K271" s="1">
        <v>45031.858425925922</v>
      </c>
      <c r="L271" t="s">
        <v>57</v>
      </c>
      <c r="N271" s="4">
        <v>45034.858425925922</v>
      </c>
      <c r="O271" t="s">
        <v>57</v>
      </c>
      <c r="P271" s="4">
        <v>45033.858425925922</v>
      </c>
      <c r="Q271" s="4">
        <v>45037.858425925922</v>
      </c>
      <c r="R271" s="4">
        <v>45033.858425925922</v>
      </c>
      <c r="S271" s="4">
        <v>45040.858425925922</v>
      </c>
      <c r="T271">
        <v>1</v>
      </c>
      <c r="U271" s="4">
        <v>45042.858425925922</v>
      </c>
      <c r="V271" s="4">
        <v>45044.858425925922</v>
      </c>
      <c r="W271" s="4">
        <v>45045.858425925922</v>
      </c>
      <c r="Z271" s="4">
        <v>45060.858425925922</v>
      </c>
      <c r="AC271" s="2">
        <f t="shared" si="36"/>
        <v>4</v>
      </c>
      <c r="AD271" s="2">
        <f t="shared" si="37"/>
        <v>21</v>
      </c>
      <c r="AE271" s="2">
        <f t="shared" si="38"/>
        <v>17</v>
      </c>
      <c r="AF271" s="2">
        <f t="shared" si="39"/>
        <v>23</v>
      </c>
      <c r="AG271" s="2">
        <f t="shared" si="40"/>
        <v>2</v>
      </c>
      <c r="AH271" s="4">
        <f t="shared" si="41"/>
        <v>45123.858425925922</v>
      </c>
      <c r="AI271" s="2">
        <f t="shared" si="42"/>
        <v>2</v>
      </c>
      <c r="AJ271" s="2">
        <f t="shared" si="43"/>
        <v>27</v>
      </c>
      <c r="AK271" s="2">
        <f t="shared" si="44"/>
        <v>12</v>
      </c>
    </row>
    <row r="272" spans="1:37" x14ac:dyDescent="0.25">
      <c r="A272">
        <v>957</v>
      </c>
      <c r="B272" t="s">
        <v>341</v>
      </c>
      <c r="C272" t="s">
        <v>94</v>
      </c>
      <c r="D272" t="s">
        <v>266</v>
      </c>
      <c r="E272" t="s">
        <v>290</v>
      </c>
      <c r="F272" t="s">
        <v>291</v>
      </c>
      <c r="G272" t="s">
        <v>269</v>
      </c>
      <c r="H272" s="1">
        <v>45141.997118055559</v>
      </c>
      <c r="I272" s="1">
        <v>45142.997118055559</v>
      </c>
      <c r="J272" t="s">
        <v>32</v>
      </c>
      <c r="K272" s="1">
        <v>45161.997118055559</v>
      </c>
      <c r="L272" t="s">
        <v>57</v>
      </c>
      <c r="N272" s="4">
        <v>45168.997118055559</v>
      </c>
      <c r="O272" t="s">
        <v>57</v>
      </c>
      <c r="P272" s="4">
        <v>45163.997118055559</v>
      </c>
      <c r="Q272" s="4">
        <v>45166.997118055559</v>
      </c>
      <c r="R272" s="4">
        <v>45164.997118055559</v>
      </c>
      <c r="S272" s="4">
        <v>45170.997118055559</v>
      </c>
      <c r="T272">
        <v>1</v>
      </c>
      <c r="U272" s="4">
        <v>45174.997118055559</v>
      </c>
      <c r="V272" s="4">
        <v>45177.997118055559</v>
      </c>
      <c r="W272" s="4">
        <v>45178.997118055559</v>
      </c>
      <c r="Z272" s="4">
        <v>45190.997118055559</v>
      </c>
      <c r="AC272" s="2">
        <f t="shared" si="36"/>
        <v>1</v>
      </c>
      <c r="AD272" s="2">
        <f t="shared" si="37"/>
        <v>20</v>
      </c>
      <c r="AE272" s="2">
        <f t="shared" si="38"/>
        <v>19</v>
      </c>
      <c r="AF272" s="2">
        <f t="shared" si="39"/>
        <v>23</v>
      </c>
      <c r="AG272" s="2">
        <f t="shared" si="40"/>
        <v>3</v>
      </c>
      <c r="AH272" s="4">
        <f t="shared" si="41"/>
        <v>45254.997118055559</v>
      </c>
      <c r="AI272" s="2">
        <f t="shared" si="42"/>
        <v>4</v>
      </c>
      <c r="AJ272" s="2">
        <f t="shared" si="43"/>
        <v>26</v>
      </c>
      <c r="AK272" s="2">
        <f t="shared" si="44"/>
        <v>14</v>
      </c>
    </row>
    <row r="273" spans="1:37" x14ac:dyDescent="0.25">
      <c r="A273">
        <v>956</v>
      </c>
      <c r="B273" t="s">
        <v>342</v>
      </c>
      <c r="C273" t="s">
        <v>94</v>
      </c>
      <c r="D273" t="s">
        <v>266</v>
      </c>
      <c r="E273" t="s">
        <v>290</v>
      </c>
      <c r="F273" t="s">
        <v>291</v>
      </c>
      <c r="G273" t="s">
        <v>269</v>
      </c>
      <c r="H273" s="1">
        <v>45141.997118055559</v>
      </c>
      <c r="I273" s="1">
        <v>45143.997118055559</v>
      </c>
      <c r="J273" t="s">
        <v>32</v>
      </c>
      <c r="K273" s="1">
        <v>45152.997118055559</v>
      </c>
      <c r="L273" t="s">
        <v>33</v>
      </c>
      <c r="M273" t="s">
        <v>92</v>
      </c>
      <c r="R273" s="4">
        <v>45153.997118055559</v>
      </c>
      <c r="T273">
        <v>0</v>
      </c>
      <c r="Y273" t="s">
        <v>35</v>
      </c>
      <c r="AC273" s="2">
        <f t="shared" si="36"/>
        <v>2</v>
      </c>
      <c r="AD273" s="2">
        <f t="shared" si="37"/>
        <v>11</v>
      </c>
      <c r="AE273" s="2">
        <f t="shared" si="38"/>
        <v>9</v>
      </c>
      <c r="AF273" s="2">
        <f t="shared" si="39"/>
        <v>12</v>
      </c>
      <c r="AG273" s="2">
        <f t="shared" si="40"/>
        <v>1</v>
      </c>
      <c r="AH273" s="4">
        <f t="shared" si="41"/>
        <v>45243.997118055559</v>
      </c>
      <c r="AI273" s="2" t="str">
        <f t="shared" si="42"/>
        <v/>
      </c>
      <c r="AJ273" s="2" t="str">
        <f t="shared" si="43"/>
        <v/>
      </c>
      <c r="AK273" s="2" t="str">
        <f t="shared" si="44"/>
        <v/>
      </c>
    </row>
    <row r="274" spans="1:37" x14ac:dyDescent="0.25">
      <c r="A274">
        <v>948</v>
      </c>
      <c r="B274" t="s">
        <v>343</v>
      </c>
      <c r="C274" t="s">
        <v>94</v>
      </c>
      <c r="D274" t="s">
        <v>266</v>
      </c>
      <c r="E274" t="s">
        <v>290</v>
      </c>
      <c r="F274" t="s">
        <v>291</v>
      </c>
      <c r="G274" t="s">
        <v>269</v>
      </c>
      <c r="H274" s="1">
        <v>44864.043067129627</v>
      </c>
      <c r="I274" s="1">
        <v>44865.043067129627</v>
      </c>
      <c r="J274" t="s">
        <v>44</v>
      </c>
      <c r="K274" s="1"/>
      <c r="T274">
        <v>0</v>
      </c>
      <c r="AC274" s="2">
        <f t="shared" si="36"/>
        <v>1</v>
      </c>
      <c r="AD274" s="2" t="str">
        <f t="shared" si="37"/>
        <v/>
      </c>
      <c r="AE274" s="2" t="str">
        <f t="shared" si="38"/>
        <v/>
      </c>
      <c r="AF274" s="2" t="str">
        <f t="shared" si="39"/>
        <v/>
      </c>
      <c r="AG274" s="2" t="str">
        <f t="shared" si="40"/>
        <v/>
      </c>
      <c r="AH274" s="4" t="str">
        <f t="shared" si="41"/>
        <v/>
      </c>
      <c r="AI274" s="2" t="str">
        <f t="shared" si="42"/>
        <v/>
      </c>
      <c r="AJ274" s="2" t="str">
        <f t="shared" si="43"/>
        <v/>
      </c>
      <c r="AK274" s="2" t="str">
        <f t="shared" si="44"/>
        <v/>
      </c>
    </row>
    <row r="275" spans="1:37" x14ac:dyDescent="0.25">
      <c r="A275">
        <v>947</v>
      </c>
      <c r="B275" t="s">
        <v>344</v>
      </c>
      <c r="C275" t="s">
        <v>94</v>
      </c>
      <c r="D275" t="s">
        <v>266</v>
      </c>
      <c r="E275" t="s">
        <v>290</v>
      </c>
      <c r="F275" t="s">
        <v>291</v>
      </c>
      <c r="G275" t="s">
        <v>269</v>
      </c>
      <c r="H275" s="1">
        <v>44862.043067129627</v>
      </c>
      <c r="I275" s="1">
        <v>44864.043067129627</v>
      </c>
      <c r="J275" t="s">
        <v>32</v>
      </c>
      <c r="K275" s="1">
        <v>44875.043067129627</v>
      </c>
      <c r="L275" t="s">
        <v>33</v>
      </c>
      <c r="M275" t="s">
        <v>51</v>
      </c>
      <c r="R275" s="4">
        <v>44876.043067129627</v>
      </c>
      <c r="T275">
        <v>0</v>
      </c>
      <c r="Y275" t="s">
        <v>35</v>
      </c>
      <c r="AC275" s="2">
        <f t="shared" si="36"/>
        <v>2</v>
      </c>
      <c r="AD275" s="2">
        <f t="shared" si="37"/>
        <v>13</v>
      </c>
      <c r="AE275" s="2">
        <f t="shared" si="38"/>
        <v>11</v>
      </c>
      <c r="AF275" s="2">
        <f t="shared" si="39"/>
        <v>14</v>
      </c>
      <c r="AG275" s="2">
        <f t="shared" si="40"/>
        <v>1</v>
      </c>
      <c r="AH275" s="4">
        <f t="shared" si="41"/>
        <v>44966.043067129627</v>
      </c>
      <c r="AI275" s="2" t="str">
        <f t="shared" si="42"/>
        <v/>
      </c>
      <c r="AJ275" s="2" t="str">
        <f t="shared" si="43"/>
        <v/>
      </c>
      <c r="AK275" s="2" t="str">
        <f t="shared" si="44"/>
        <v/>
      </c>
    </row>
    <row r="276" spans="1:37" x14ac:dyDescent="0.25">
      <c r="A276">
        <v>908</v>
      </c>
      <c r="B276" t="s">
        <v>345</v>
      </c>
      <c r="C276" t="s">
        <v>94</v>
      </c>
      <c r="D276" t="s">
        <v>266</v>
      </c>
      <c r="E276" t="s">
        <v>290</v>
      </c>
      <c r="F276" t="s">
        <v>291</v>
      </c>
      <c r="G276" t="s">
        <v>269</v>
      </c>
      <c r="H276" s="1">
        <v>45162.249560185184</v>
      </c>
      <c r="I276" s="1">
        <v>45163.249560185184</v>
      </c>
      <c r="J276" t="s">
        <v>32</v>
      </c>
      <c r="K276" s="1">
        <v>45170.249560185184</v>
      </c>
      <c r="L276" t="s">
        <v>33</v>
      </c>
      <c r="M276" t="s">
        <v>108</v>
      </c>
      <c r="R276" s="4">
        <v>45171.249560185184</v>
      </c>
      <c r="T276">
        <v>0</v>
      </c>
      <c r="Y276" t="s">
        <v>35</v>
      </c>
      <c r="AC276" s="2">
        <f t="shared" si="36"/>
        <v>1</v>
      </c>
      <c r="AD276" s="2">
        <f t="shared" si="37"/>
        <v>8</v>
      </c>
      <c r="AE276" s="2">
        <f t="shared" si="38"/>
        <v>7</v>
      </c>
      <c r="AF276" s="2">
        <f t="shared" si="39"/>
        <v>9</v>
      </c>
      <c r="AG276" s="2">
        <f t="shared" si="40"/>
        <v>1</v>
      </c>
      <c r="AH276" s="4">
        <f t="shared" si="41"/>
        <v>45261.249560185184</v>
      </c>
      <c r="AI276" s="2" t="str">
        <f t="shared" si="42"/>
        <v/>
      </c>
      <c r="AJ276" s="2" t="str">
        <f t="shared" si="43"/>
        <v/>
      </c>
      <c r="AK276" s="2" t="str">
        <f t="shared" si="44"/>
        <v/>
      </c>
    </row>
    <row r="277" spans="1:37" x14ac:dyDescent="0.25">
      <c r="A277">
        <v>903</v>
      </c>
      <c r="B277" t="s">
        <v>346</v>
      </c>
      <c r="C277" t="s">
        <v>94</v>
      </c>
      <c r="D277" t="s">
        <v>266</v>
      </c>
      <c r="E277" t="s">
        <v>290</v>
      </c>
      <c r="F277" t="s">
        <v>291</v>
      </c>
      <c r="G277" t="s">
        <v>269</v>
      </c>
      <c r="H277" s="1">
        <v>45160.249560185184</v>
      </c>
      <c r="I277" s="1">
        <v>45164.249560185184</v>
      </c>
      <c r="J277" t="s">
        <v>44</v>
      </c>
      <c r="K277" s="1"/>
      <c r="T277">
        <v>0</v>
      </c>
      <c r="AC277" s="2">
        <f t="shared" si="36"/>
        <v>4</v>
      </c>
      <c r="AD277" s="2" t="str">
        <f t="shared" si="37"/>
        <v/>
      </c>
      <c r="AE277" s="2" t="str">
        <f t="shared" si="38"/>
        <v/>
      </c>
      <c r="AF277" s="2" t="str">
        <f t="shared" si="39"/>
        <v/>
      </c>
      <c r="AG277" s="2" t="str">
        <f t="shared" si="40"/>
        <v/>
      </c>
      <c r="AH277" s="4" t="str">
        <f t="shared" si="41"/>
        <v/>
      </c>
      <c r="AI277" s="2" t="str">
        <f t="shared" si="42"/>
        <v/>
      </c>
      <c r="AJ277" s="2" t="str">
        <f t="shared" si="43"/>
        <v/>
      </c>
      <c r="AK277" s="2" t="str">
        <f t="shared" si="44"/>
        <v/>
      </c>
    </row>
    <row r="278" spans="1:37" x14ac:dyDescent="0.25">
      <c r="A278">
        <v>838</v>
      </c>
      <c r="B278" t="s">
        <v>347</v>
      </c>
      <c r="C278" t="s">
        <v>94</v>
      </c>
      <c r="D278" t="s">
        <v>266</v>
      </c>
      <c r="E278" t="s">
        <v>290</v>
      </c>
      <c r="F278" t="s">
        <v>291</v>
      </c>
      <c r="G278" t="s">
        <v>269</v>
      </c>
      <c r="H278" s="1">
        <v>44753.707071759258</v>
      </c>
      <c r="I278" s="1">
        <v>44754.707071759258</v>
      </c>
      <c r="J278" t="s">
        <v>32</v>
      </c>
      <c r="K278" s="1">
        <v>44778.707071759258</v>
      </c>
      <c r="L278" t="s">
        <v>39</v>
      </c>
      <c r="N278" s="4">
        <v>44782.707071759258</v>
      </c>
      <c r="O278" t="s">
        <v>39</v>
      </c>
      <c r="R278" s="4">
        <v>44780.707071759258</v>
      </c>
      <c r="T278">
        <v>0</v>
      </c>
      <c r="AC278" s="2">
        <f t="shared" si="36"/>
        <v>1</v>
      </c>
      <c r="AD278" s="2">
        <f t="shared" si="37"/>
        <v>25</v>
      </c>
      <c r="AE278" s="2">
        <f t="shared" si="38"/>
        <v>24</v>
      </c>
      <c r="AF278" s="2">
        <f t="shared" si="39"/>
        <v>27</v>
      </c>
      <c r="AG278" s="2">
        <f t="shared" si="40"/>
        <v>2</v>
      </c>
      <c r="AH278" s="4">
        <f t="shared" si="41"/>
        <v>44870.707071759258</v>
      </c>
      <c r="AI278" s="2" t="str">
        <f t="shared" si="42"/>
        <v/>
      </c>
      <c r="AJ278" s="2" t="str">
        <f t="shared" si="43"/>
        <v/>
      </c>
      <c r="AK278" s="2" t="str">
        <f t="shared" si="44"/>
        <v/>
      </c>
    </row>
    <row r="279" spans="1:37" x14ac:dyDescent="0.25">
      <c r="A279">
        <v>833</v>
      </c>
      <c r="B279" t="s">
        <v>348</v>
      </c>
      <c r="C279" t="s">
        <v>94</v>
      </c>
      <c r="D279" t="s">
        <v>266</v>
      </c>
      <c r="E279" t="s">
        <v>290</v>
      </c>
      <c r="F279" t="s">
        <v>291</v>
      </c>
      <c r="G279" t="s">
        <v>269</v>
      </c>
      <c r="H279" s="1">
        <v>44755.707071759258</v>
      </c>
      <c r="I279" s="1">
        <v>44758.707071759258</v>
      </c>
      <c r="J279" t="s">
        <v>44</v>
      </c>
      <c r="K279" s="1"/>
      <c r="T279">
        <v>0</v>
      </c>
      <c r="AC279" s="2">
        <f t="shared" si="36"/>
        <v>3</v>
      </c>
      <c r="AD279" s="2" t="str">
        <f t="shared" si="37"/>
        <v/>
      </c>
      <c r="AE279" s="2" t="str">
        <f t="shared" si="38"/>
        <v/>
      </c>
      <c r="AF279" s="2" t="str">
        <f t="shared" si="39"/>
        <v/>
      </c>
      <c r="AG279" s="2" t="str">
        <f t="shared" si="40"/>
        <v/>
      </c>
      <c r="AH279" s="4" t="str">
        <f t="shared" si="41"/>
        <v/>
      </c>
      <c r="AI279" s="2" t="str">
        <f t="shared" si="42"/>
        <v/>
      </c>
      <c r="AJ279" s="2" t="str">
        <f t="shared" si="43"/>
        <v/>
      </c>
      <c r="AK279" s="2" t="str">
        <f t="shared" si="44"/>
        <v/>
      </c>
    </row>
    <row r="280" spans="1:37" x14ac:dyDescent="0.25">
      <c r="A280">
        <v>829</v>
      </c>
      <c r="B280" t="s">
        <v>349</v>
      </c>
      <c r="C280" t="s">
        <v>94</v>
      </c>
      <c r="D280" t="s">
        <v>266</v>
      </c>
      <c r="E280" t="s">
        <v>290</v>
      </c>
      <c r="F280" t="s">
        <v>291</v>
      </c>
      <c r="G280" t="s">
        <v>269</v>
      </c>
      <c r="H280" s="1">
        <v>44624.625335648147</v>
      </c>
      <c r="I280" s="1">
        <v>44626.625335648147</v>
      </c>
      <c r="J280" t="s">
        <v>32</v>
      </c>
      <c r="K280" s="1">
        <v>44647.625335648147</v>
      </c>
      <c r="L280" t="s">
        <v>57</v>
      </c>
      <c r="N280" s="4">
        <v>44651.625335648147</v>
      </c>
      <c r="O280" t="s">
        <v>57</v>
      </c>
      <c r="P280" s="4">
        <v>44648.625335648147</v>
      </c>
      <c r="Q280" s="4">
        <v>44652.625335648147</v>
      </c>
      <c r="R280" s="4">
        <v>44649.625335648147</v>
      </c>
      <c r="S280" s="4">
        <v>44654.625335648147</v>
      </c>
      <c r="T280">
        <v>1</v>
      </c>
      <c r="U280" s="4">
        <v>44657.625335648147</v>
      </c>
      <c r="V280" s="4">
        <v>44659.625335648147</v>
      </c>
      <c r="W280" s="4">
        <v>44662.625335648147</v>
      </c>
      <c r="Z280" s="4">
        <v>44675.625335648147</v>
      </c>
      <c r="AC280" s="2">
        <f t="shared" si="36"/>
        <v>2</v>
      </c>
      <c r="AD280" s="2">
        <f t="shared" si="37"/>
        <v>23</v>
      </c>
      <c r="AE280" s="2">
        <f t="shared" si="38"/>
        <v>21</v>
      </c>
      <c r="AF280" s="2">
        <f t="shared" si="39"/>
        <v>25</v>
      </c>
      <c r="AG280" s="2">
        <f t="shared" si="40"/>
        <v>2</v>
      </c>
      <c r="AH280" s="4">
        <f t="shared" si="41"/>
        <v>44739.625335648147</v>
      </c>
      <c r="AI280" s="2">
        <f t="shared" si="42"/>
        <v>3</v>
      </c>
      <c r="AJ280" s="2">
        <f t="shared" si="43"/>
        <v>26</v>
      </c>
      <c r="AK280" s="2">
        <f t="shared" si="44"/>
        <v>13</v>
      </c>
    </row>
    <row r="281" spans="1:37" x14ac:dyDescent="0.25">
      <c r="A281">
        <v>828</v>
      </c>
      <c r="B281" t="s">
        <v>350</v>
      </c>
      <c r="C281" t="s">
        <v>94</v>
      </c>
      <c r="D281" t="s">
        <v>266</v>
      </c>
      <c r="E281" t="s">
        <v>290</v>
      </c>
      <c r="F281" t="s">
        <v>291</v>
      </c>
      <c r="G281" t="s">
        <v>269</v>
      </c>
      <c r="H281" s="1">
        <v>44626.625335648147</v>
      </c>
      <c r="I281" s="1">
        <v>44629.625335648147</v>
      </c>
      <c r="J281" t="s">
        <v>32</v>
      </c>
      <c r="K281" s="1">
        <v>44640.625335648147</v>
      </c>
      <c r="L281" t="s">
        <v>164</v>
      </c>
      <c r="N281" s="4">
        <v>44644.625335648147</v>
      </c>
      <c r="O281" t="s">
        <v>164</v>
      </c>
      <c r="R281" s="4">
        <v>44641.625335648147</v>
      </c>
      <c r="T281">
        <v>0</v>
      </c>
      <c r="AC281" s="2">
        <f t="shared" si="36"/>
        <v>3</v>
      </c>
      <c r="AD281" s="2">
        <f t="shared" si="37"/>
        <v>14</v>
      </c>
      <c r="AE281" s="2">
        <f t="shared" si="38"/>
        <v>11</v>
      </c>
      <c r="AF281" s="2">
        <f t="shared" si="39"/>
        <v>15</v>
      </c>
      <c r="AG281" s="2">
        <f t="shared" si="40"/>
        <v>1</v>
      </c>
      <c r="AH281" s="4">
        <f t="shared" si="41"/>
        <v>44731.625335648147</v>
      </c>
      <c r="AI281" s="2" t="str">
        <f t="shared" si="42"/>
        <v/>
      </c>
      <c r="AJ281" s="2" t="str">
        <f t="shared" si="43"/>
        <v/>
      </c>
      <c r="AK281" s="2" t="str">
        <f t="shared" si="44"/>
        <v/>
      </c>
    </row>
    <row r="282" spans="1:37" x14ac:dyDescent="0.25">
      <c r="A282">
        <v>826</v>
      </c>
      <c r="B282" t="s">
        <v>351</v>
      </c>
      <c r="C282" t="s">
        <v>94</v>
      </c>
      <c r="D282" t="s">
        <v>266</v>
      </c>
      <c r="E282" t="s">
        <v>290</v>
      </c>
      <c r="F282" t="s">
        <v>291</v>
      </c>
      <c r="G282" t="s">
        <v>269</v>
      </c>
      <c r="H282" s="1">
        <v>44626.625335648147</v>
      </c>
      <c r="I282" s="1">
        <v>44629.625335648147</v>
      </c>
      <c r="J282" t="s">
        <v>32</v>
      </c>
      <c r="K282" s="1">
        <v>44646.625335648147</v>
      </c>
      <c r="L282" t="s">
        <v>57</v>
      </c>
      <c r="N282" s="4">
        <v>44651.625335648147</v>
      </c>
      <c r="O282" t="s">
        <v>57</v>
      </c>
      <c r="P282" s="4">
        <v>44648.625335648147</v>
      </c>
      <c r="Q282" s="4">
        <v>44652.625335648147</v>
      </c>
      <c r="R282" s="4">
        <v>44650.625335648147</v>
      </c>
      <c r="S282" s="4">
        <v>44654.625335648147</v>
      </c>
      <c r="T282">
        <v>1</v>
      </c>
      <c r="U282" s="4">
        <v>44655.625335648147</v>
      </c>
      <c r="V282" s="4">
        <v>44657.625335648147</v>
      </c>
      <c r="W282" s="4">
        <v>44660.625335648147</v>
      </c>
      <c r="Z282" s="4">
        <v>44671.625335648147</v>
      </c>
      <c r="AC282" s="2">
        <f t="shared" si="36"/>
        <v>3</v>
      </c>
      <c r="AD282" s="2">
        <f t="shared" si="37"/>
        <v>20</v>
      </c>
      <c r="AE282" s="2">
        <f t="shared" si="38"/>
        <v>17</v>
      </c>
      <c r="AF282" s="2">
        <f t="shared" si="39"/>
        <v>24</v>
      </c>
      <c r="AG282" s="2">
        <f t="shared" si="40"/>
        <v>4</v>
      </c>
      <c r="AH282" s="4">
        <f t="shared" si="41"/>
        <v>44740.625335648147</v>
      </c>
      <c r="AI282" s="2">
        <f t="shared" si="42"/>
        <v>1</v>
      </c>
      <c r="AJ282" s="2">
        <f t="shared" si="43"/>
        <v>21</v>
      </c>
      <c r="AK282" s="2">
        <f t="shared" si="44"/>
        <v>10</v>
      </c>
    </row>
    <row r="283" spans="1:37" x14ac:dyDescent="0.25">
      <c r="A283">
        <v>799</v>
      </c>
      <c r="B283" t="s">
        <v>352</v>
      </c>
      <c r="C283" t="s">
        <v>94</v>
      </c>
      <c r="D283" t="s">
        <v>266</v>
      </c>
      <c r="E283" t="s">
        <v>290</v>
      </c>
      <c r="F283" t="s">
        <v>291</v>
      </c>
      <c r="G283" t="s">
        <v>269</v>
      </c>
      <c r="H283" s="1">
        <v>44905.674583333333</v>
      </c>
      <c r="I283" s="1">
        <v>44909.674583333333</v>
      </c>
      <c r="J283" t="s">
        <v>32</v>
      </c>
      <c r="K283" s="1">
        <v>44926.674583333333</v>
      </c>
      <c r="L283" t="s">
        <v>33</v>
      </c>
      <c r="M283" t="s">
        <v>51</v>
      </c>
      <c r="T283">
        <v>0</v>
      </c>
      <c r="Y283" t="s">
        <v>35</v>
      </c>
      <c r="AC283" s="2">
        <f t="shared" si="36"/>
        <v>4</v>
      </c>
      <c r="AD283" s="2">
        <f t="shared" si="37"/>
        <v>21</v>
      </c>
      <c r="AE283" s="2">
        <f t="shared" si="38"/>
        <v>17</v>
      </c>
      <c r="AF283" s="2" t="str">
        <f t="shared" si="39"/>
        <v/>
      </c>
      <c r="AG283" s="2" t="str">
        <f t="shared" si="40"/>
        <v/>
      </c>
      <c r="AH283" s="4" t="str">
        <f t="shared" si="41"/>
        <v/>
      </c>
      <c r="AI283" s="2" t="str">
        <f t="shared" si="42"/>
        <v/>
      </c>
      <c r="AJ283" s="2" t="str">
        <f t="shared" si="43"/>
        <v/>
      </c>
      <c r="AK283" s="2" t="str">
        <f t="shared" si="44"/>
        <v/>
      </c>
    </row>
    <row r="284" spans="1:37" x14ac:dyDescent="0.25">
      <c r="A284">
        <v>769</v>
      </c>
      <c r="B284" t="s">
        <v>353</v>
      </c>
      <c r="C284" t="s">
        <v>94</v>
      </c>
      <c r="D284" t="s">
        <v>266</v>
      </c>
      <c r="E284" t="s">
        <v>290</v>
      </c>
      <c r="F284" t="s">
        <v>291</v>
      </c>
      <c r="G284" t="s">
        <v>269</v>
      </c>
      <c r="H284" s="1">
        <v>44726.736145833333</v>
      </c>
      <c r="I284" s="1">
        <v>44729.736145833333</v>
      </c>
      <c r="J284" t="s">
        <v>32</v>
      </c>
      <c r="K284" s="1">
        <v>44746.736145833333</v>
      </c>
      <c r="L284" t="s">
        <v>164</v>
      </c>
      <c r="N284" s="4">
        <v>44748.736145833333</v>
      </c>
      <c r="O284" t="s">
        <v>164</v>
      </c>
      <c r="R284" s="4">
        <v>44747.736145833333</v>
      </c>
      <c r="T284">
        <v>0</v>
      </c>
      <c r="AC284" s="2">
        <f t="shared" si="36"/>
        <v>3</v>
      </c>
      <c r="AD284" s="2">
        <f t="shared" si="37"/>
        <v>20</v>
      </c>
      <c r="AE284" s="2">
        <f t="shared" si="38"/>
        <v>17</v>
      </c>
      <c r="AF284" s="2">
        <f t="shared" si="39"/>
        <v>21</v>
      </c>
      <c r="AG284" s="2">
        <f t="shared" si="40"/>
        <v>1</v>
      </c>
      <c r="AH284" s="4">
        <f t="shared" si="41"/>
        <v>44837.736145833333</v>
      </c>
      <c r="AI284" s="2" t="str">
        <f t="shared" si="42"/>
        <v/>
      </c>
      <c r="AJ284" s="2" t="str">
        <f t="shared" si="43"/>
        <v/>
      </c>
      <c r="AK284" s="2" t="str">
        <f t="shared" si="44"/>
        <v/>
      </c>
    </row>
    <row r="285" spans="1:37" x14ac:dyDescent="0.25">
      <c r="A285">
        <v>768</v>
      </c>
      <c r="B285" t="s">
        <v>354</v>
      </c>
      <c r="C285" t="s">
        <v>94</v>
      </c>
      <c r="D285" t="s">
        <v>266</v>
      </c>
      <c r="E285" t="s">
        <v>290</v>
      </c>
      <c r="F285" t="s">
        <v>291</v>
      </c>
      <c r="G285" t="s">
        <v>269</v>
      </c>
      <c r="H285" s="1">
        <v>44729.736145833333</v>
      </c>
      <c r="I285" s="1">
        <v>44731.736145833333</v>
      </c>
      <c r="J285" t="s">
        <v>32</v>
      </c>
      <c r="K285" s="1">
        <v>44742.736145833333</v>
      </c>
      <c r="L285" t="s">
        <v>33</v>
      </c>
      <c r="M285" t="s">
        <v>51</v>
      </c>
      <c r="R285" s="4">
        <v>44745.736145833333</v>
      </c>
      <c r="T285">
        <v>0</v>
      </c>
      <c r="Y285" t="s">
        <v>35</v>
      </c>
      <c r="AC285" s="2">
        <f t="shared" si="36"/>
        <v>2</v>
      </c>
      <c r="AD285" s="2">
        <f t="shared" si="37"/>
        <v>13</v>
      </c>
      <c r="AE285" s="2">
        <f t="shared" si="38"/>
        <v>11</v>
      </c>
      <c r="AF285" s="2">
        <f t="shared" si="39"/>
        <v>16</v>
      </c>
      <c r="AG285" s="2">
        <f t="shared" si="40"/>
        <v>3</v>
      </c>
      <c r="AH285" s="4">
        <f t="shared" si="41"/>
        <v>44835.736145833333</v>
      </c>
      <c r="AI285" s="2" t="str">
        <f t="shared" si="42"/>
        <v/>
      </c>
      <c r="AJ285" s="2" t="str">
        <f t="shared" si="43"/>
        <v/>
      </c>
      <c r="AK285" s="2" t="str">
        <f t="shared" si="44"/>
        <v/>
      </c>
    </row>
    <row r="286" spans="1:37" x14ac:dyDescent="0.25">
      <c r="A286">
        <v>764</v>
      </c>
      <c r="B286" t="s">
        <v>355</v>
      </c>
      <c r="C286" t="s">
        <v>94</v>
      </c>
      <c r="D286" t="s">
        <v>266</v>
      </c>
      <c r="E286" t="s">
        <v>290</v>
      </c>
      <c r="F286" t="s">
        <v>291</v>
      </c>
      <c r="G286" t="s">
        <v>269</v>
      </c>
      <c r="H286" s="1">
        <v>44724.736145833333</v>
      </c>
      <c r="I286" s="1">
        <v>44728.736145833333</v>
      </c>
      <c r="J286" t="s">
        <v>32</v>
      </c>
      <c r="K286" s="1">
        <v>44737.736145833333</v>
      </c>
      <c r="L286" t="s">
        <v>33</v>
      </c>
      <c r="M286" t="s">
        <v>92</v>
      </c>
      <c r="T286">
        <v>0</v>
      </c>
      <c r="Y286" t="s">
        <v>55</v>
      </c>
      <c r="AC286" s="2">
        <f t="shared" si="36"/>
        <v>4</v>
      </c>
      <c r="AD286" s="2">
        <f t="shared" si="37"/>
        <v>13</v>
      </c>
      <c r="AE286" s="2">
        <f t="shared" si="38"/>
        <v>9</v>
      </c>
      <c r="AF286" s="2" t="str">
        <f t="shared" si="39"/>
        <v/>
      </c>
      <c r="AG286" s="2" t="str">
        <f t="shared" si="40"/>
        <v/>
      </c>
      <c r="AH286" s="4" t="str">
        <f t="shared" si="41"/>
        <v/>
      </c>
      <c r="AI286" s="2" t="str">
        <f t="shared" si="42"/>
        <v/>
      </c>
      <c r="AJ286" s="2" t="str">
        <f t="shared" si="43"/>
        <v/>
      </c>
      <c r="AK286" s="2" t="str">
        <f t="shared" si="44"/>
        <v/>
      </c>
    </row>
    <row r="287" spans="1:37" x14ac:dyDescent="0.25">
      <c r="A287">
        <v>725</v>
      </c>
      <c r="B287" t="s">
        <v>356</v>
      </c>
      <c r="C287" t="s">
        <v>94</v>
      </c>
      <c r="D287" t="s">
        <v>266</v>
      </c>
      <c r="E287" t="s">
        <v>290</v>
      </c>
      <c r="F287" t="s">
        <v>291</v>
      </c>
      <c r="G287" t="s">
        <v>269</v>
      </c>
      <c r="H287" s="1">
        <v>44607.660578703704</v>
      </c>
      <c r="I287" s="1">
        <v>44608.660578703704</v>
      </c>
      <c r="J287" t="s">
        <v>32</v>
      </c>
      <c r="K287" s="1">
        <v>44614.660578703704</v>
      </c>
      <c r="L287" t="s">
        <v>33</v>
      </c>
      <c r="M287" t="s">
        <v>108</v>
      </c>
      <c r="R287" s="4">
        <v>44618.660578703704</v>
      </c>
      <c r="T287">
        <v>0</v>
      </c>
      <c r="Y287" t="s">
        <v>35</v>
      </c>
      <c r="AC287" s="2">
        <f t="shared" si="36"/>
        <v>1</v>
      </c>
      <c r="AD287" s="2">
        <f t="shared" si="37"/>
        <v>7</v>
      </c>
      <c r="AE287" s="2">
        <f t="shared" si="38"/>
        <v>6</v>
      </c>
      <c r="AF287" s="2">
        <f t="shared" si="39"/>
        <v>11</v>
      </c>
      <c r="AG287" s="2">
        <f t="shared" si="40"/>
        <v>4</v>
      </c>
      <c r="AH287" s="4">
        <f t="shared" si="41"/>
        <v>44708.660578703704</v>
      </c>
      <c r="AI287" s="2" t="str">
        <f t="shared" si="42"/>
        <v/>
      </c>
      <c r="AJ287" s="2" t="str">
        <f t="shared" si="43"/>
        <v/>
      </c>
      <c r="AK287" s="2" t="str">
        <f t="shared" si="44"/>
        <v/>
      </c>
    </row>
    <row r="288" spans="1:37" x14ac:dyDescent="0.25">
      <c r="A288">
        <v>724</v>
      </c>
      <c r="B288" t="s">
        <v>357</v>
      </c>
      <c r="C288" t="s">
        <v>94</v>
      </c>
      <c r="D288" t="s">
        <v>266</v>
      </c>
      <c r="E288" t="s">
        <v>290</v>
      </c>
      <c r="F288" t="s">
        <v>291</v>
      </c>
      <c r="G288" t="s">
        <v>269</v>
      </c>
      <c r="H288" s="1">
        <v>44604.660578703704</v>
      </c>
      <c r="I288" s="1">
        <v>44606.660578703704</v>
      </c>
      <c r="J288" t="s">
        <v>32</v>
      </c>
      <c r="K288" s="1">
        <v>44622.660578703704</v>
      </c>
      <c r="L288" t="s">
        <v>33</v>
      </c>
      <c r="M288" t="s">
        <v>108</v>
      </c>
      <c r="T288">
        <v>0</v>
      </c>
      <c r="Y288" t="s">
        <v>55</v>
      </c>
      <c r="AC288" s="2">
        <f t="shared" si="36"/>
        <v>2</v>
      </c>
      <c r="AD288" s="2">
        <f t="shared" si="37"/>
        <v>18</v>
      </c>
      <c r="AE288" s="2">
        <f t="shared" si="38"/>
        <v>16</v>
      </c>
      <c r="AF288" s="2" t="str">
        <f t="shared" si="39"/>
        <v/>
      </c>
      <c r="AG288" s="2" t="str">
        <f t="shared" si="40"/>
        <v/>
      </c>
      <c r="AH288" s="4" t="str">
        <f t="shared" si="41"/>
        <v/>
      </c>
      <c r="AI288" s="2" t="str">
        <f t="shared" si="42"/>
        <v/>
      </c>
      <c r="AJ288" s="2" t="str">
        <f t="shared" si="43"/>
        <v/>
      </c>
      <c r="AK288" s="2" t="str">
        <f t="shared" si="44"/>
        <v/>
      </c>
    </row>
    <row r="289" spans="1:37" x14ac:dyDescent="0.25">
      <c r="A289">
        <v>723</v>
      </c>
      <c r="B289" t="s">
        <v>358</v>
      </c>
      <c r="C289" t="s">
        <v>94</v>
      </c>
      <c r="D289" t="s">
        <v>266</v>
      </c>
      <c r="E289" t="s">
        <v>290</v>
      </c>
      <c r="F289" t="s">
        <v>291</v>
      </c>
      <c r="G289" t="s">
        <v>269</v>
      </c>
      <c r="H289" s="1">
        <v>44602.660578703704</v>
      </c>
      <c r="I289" s="1">
        <v>44606.660578703704</v>
      </c>
      <c r="J289" t="s">
        <v>32</v>
      </c>
      <c r="K289" s="1">
        <v>44619.660578703704</v>
      </c>
      <c r="L289" t="s">
        <v>33</v>
      </c>
      <c r="M289" t="s">
        <v>108</v>
      </c>
      <c r="T289">
        <v>0</v>
      </c>
      <c r="Y289" t="s">
        <v>35</v>
      </c>
      <c r="AC289" s="2">
        <f t="shared" si="36"/>
        <v>4</v>
      </c>
      <c r="AD289" s="2">
        <f t="shared" si="37"/>
        <v>17</v>
      </c>
      <c r="AE289" s="2">
        <f t="shared" si="38"/>
        <v>13</v>
      </c>
      <c r="AF289" s="2" t="str">
        <f t="shared" si="39"/>
        <v/>
      </c>
      <c r="AG289" s="2" t="str">
        <f t="shared" si="40"/>
        <v/>
      </c>
      <c r="AH289" s="4" t="str">
        <f t="shared" si="41"/>
        <v/>
      </c>
      <c r="AI289" s="2" t="str">
        <f t="shared" si="42"/>
        <v/>
      </c>
      <c r="AJ289" s="2" t="str">
        <f t="shared" si="43"/>
        <v/>
      </c>
      <c r="AK289" s="2" t="str">
        <f t="shared" si="44"/>
        <v/>
      </c>
    </row>
    <row r="290" spans="1:37" x14ac:dyDescent="0.25">
      <c r="A290">
        <v>722</v>
      </c>
      <c r="B290" t="s">
        <v>359</v>
      </c>
      <c r="C290" t="s">
        <v>94</v>
      </c>
      <c r="D290" t="s">
        <v>266</v>
      </c>
      <c r="E290" t="s">
        <v>290</v>
      </c>
      <c r="F290" t="s">
        <v>291</v>
      </c>
      <c r="G290" t="s">
        <v>269</v>
      </c>
      <c r="H290" s="1">
        <v>44602.660578703704</v>
      </c>
      <c r="I290" s="1">
        <v>44606.660578703704</v>
      </c>
      <c r="J290" t="s">
        <v>32</v>
      </c>
      <c r="K290" s="1">
        <v>44624.660578703704</v>
      </c>
      <c r="L290" t="s">
        <v>33</v>
      </c>
      <c r="M290" t="s">
        <v>34</v>
      </c>
      <c r="T290">
        <v>0</v>
      </c>
      <c r="Y290" t="s">
        <v>35</v>
      </c>
      <c r="AC290" s="2">
        <f t="shared" si="36"/>
        <v>4</v>
      </c>
      <c r="AD290" s="2">
        <f t="shared" si="37"/>
        <v>22</v>
      </c>
      <c r="AE290" s="2">
        <f t="shared" si="38"/>
        <v>18</v>
      </c>
      <c r="AF290" s="2" t="str">
        <f t="shared" si="39"/>
        <v/>
      </c>
      <c r="AG290" s="2" t="str">
        <f t="shared" si="40"/>
        <v/>
      </c>
      <c r="AH290" s="4" t="str">
        <f t="shared" si="41"/>
        <v/>
      </c>
      <c r="AI290" s="2" t="str">
        <f t="shared" si="42"/>
        <v/>
      </c>
      <c r="AJ290" s="2" t="str">
        <f t="shared" si="43"/>
        <v/>
      </c>
      <c r="AK290" s="2" t="str">
        <f t="shared" si="44"/>
        <v/>
      </c>
    </row>
    <row r="291" spans="1:37" x14ac:dyDescent="0.25">
      <c r="A291">
        <v>721</v>
      </c>
      <c r="B291" t="s">
        <v>360</v>
      </c>
      <c r="C291" t="s">
        <v>94</v>
      </c>
      <c r="D291" t="s">
        <v>266</v>
      </c>
      <c r="E291" t="s">
        <v>290</v>
      </c>
      <c r="F291" t="s">
        <v>291</v>
      </c>
      <c r="G291" t="s">
        <v>269</v>
      </c>
      <c r="H291" s="1">
        <v>44603.660578703704</v>
      </c>
      <c r="I291" s="1">
        <v>44607.660578703704</v>
      </c>
      <c r="J291" t="s">
        <v>32</v>
      </c>
      <c r="K291" s="1">
        <v>44619.660578703704</v>
      </c>
      <c r="L291" t="s">
        <v>164</v>
      </c>
      <c r="N291" s="4">
        <v>44624.660578703704</v>
      </c>
      <c r="O291" t="s">
        <v>164</v>
      </c>
      <c r="R291" s="4">
        <v>44620.660578703704</v>
      </c>
      <c r="T291">
        <v>0</v>
      </c>
      <c r="AC291" s="2">
        <f t="shared" si="36"/>
        <v>4</v>
      </c>
      <c r="AD291" s="2">
        <f t="shared" si="37"/>
        <v>16</v>
      </c>
      <c r="AE291" s="2">
        <f t="shared" si="38"/>
        <v>12</v>
      </c>
      <c r="AF291" s="2">
        <f t="shared" si="39"/>
        <v>17</v>
      </c>
      <c r="AG291" s="2">
        <f t="shared" si="40"/>
        <v>1</v>
      </c>
      <c r="AH291" s="4">
        <f t="shared" si="41"/>
        <v>44710.660578703704</v>
      </c>
      <c r="AI291" s="2" t="str">
        <f t="shared" si="42"/>
        <v/>
      </c>
      <c r="AJ291" s="2" t="str">
        <f t="shared" si="43"/>
        <v/>
      </c>
      <c r="AK291" s="2" t="str">
        <f t="shared" si="44"/>
        <v/>
      </c>
    </row>
    <row r="292" spans="1:37" x14ac:dyDescent="0.25">
      <c r="A292">
        <v>718</v>
      </c>
      <c r="B292" t="s">
        <v>361</v>
      </c>
      <c r="C292" t="s">
        <v>94</v>
      </c>
      <c r="D292" t="s">
        <v>266</v>
      </c>
      <c r="E292" t="s">
        <v>290</v>
      </c>
      <c r="F292" t="s">
        <v>291</v>
      </c>
      <c r="G292" t="s">
        <v>269</v>
      </c>
      <c r="H292" s="1">
        <v>44629.686331018522</v>
      </c>
      <c r="I292" s="1">
        <v>44630.686331018522</v>
      </c>
      <c r="J292" t="s">
        <v>32</v>
      </c>
      <c r="K292" s="1">
        <v>44643.686331018522</v>
      </c>
      <c r="L292" t="s">
        <v>39</v>
      </c>
      <c r="N292" s="4">
        <v>44645.686331018522</v>
      </c>
      <c r="O292" t="s">
        <v>39</v>
      </c>
      <c r="R292" s="4">
        <v>44644.686331018522</v>
      </c>
      <c r="T292">
        <v>0</v>
      </c>
      <c r="AC292" s="2">
        <f t="shared" si="36"/>
        <v>1</v>
      </c>
      <c r="AD292" s="2">
        <f t="shared" si="37"/>
        <v>14</v>
      </c>
      <c r="AE292" s="2">
        <f t="shared" si="38"/>
        <v>13</v>
      </c>
      <c r="AF292" s="2">
        <f t="shared" si="39"/>
        <v>15</v>
      </c>
      <c r="AG292" s="2">
        <f t="shared" si="40"/>
        <v>1</v>
      </c>
      <c r="AH292" s="4">
        <f t="shared" si="41"/>
        <v>44734.686331018522</v>
      </c>
      <c r="AI292" s="2" t="str">
        <f t="shared" si="42"/>
        <v/>
      </c>
      <c r="AJ292" s="2" t="str">
        <f t="shared" si="43"/>
        <v/>
      </c>
      <c r="AK292" s="2" t="str">
        <f t="shared" si="44"/>
        <v/>
      </c>
    </row>
    <row r="293" spans="1:37" x14ac:dyDescent="0.25">
      <c r="A293">
        <v>712</v>
      </c>
      <c r="B293" t="s">
        <v>362</v>
      </c>
      <c r="C293" t="s">
        <v>94</v>
      </c>
      <c r="D293" t="s">
        <v>266</v>
      </c>
      <c r="E293" t="s">
        <v>290</v>
      </c>
      <c r="F293" t="s">
        <v>291</v>
      </c>
      <c r="G293" t="s">
        <v>269</v>
      </c>
      <c r="H293" s="1">
        <v>44629.686331018522</v>
      </c>
      <c r="I293" s="1">
        <v>44633.686331018522</v>
      </c>
      <c r="J293" t="s">
        <v>32</v>
      </c>
      <c r="K293" s="1">
        <v>44648.686331018522</v>
      </c>
      <c r="L293" t="s">
        <v>33</v>
      </c>
      <c r="M293" t="s">
        <v>34</v>
      </c>
      <c r="R293" s="4">
        <v>44651.686331018522</v>
      </c>
      <c r="T293">
        <v>0</v>
      </c>
      <c r="Y293" t="s">
        <v>55</v>
      </c>
      <c r="AC293" s="2">
        <f t="shared" si="36"/>
        <v>4</v>
      </c>
      <c r="AD293" s="2">
        <f t="shared" si="37"/>
        <v>19</v>
      </c>
      <c r="AE293" s="2">
        <f t="shared" si="38"/>
        <v>15</v>
      </c>
      <c r="AF293" s="2">
        <f t="shared" si="39"/>
        <v>22</v>
      </c>
      <c r="AG293" s="2">
        <f t="shared" si="40"/>
        <v>3</v>
      </c>
      <c r="AH293" s="4">
        <f t="shared" si="41"/>
        <v>44741.686331018522</v>
      </c>
      <c r="AI293" s="2" t="str">
        <f t="shared" si="42"/>
        <v/>
      </c>
      <c r="AJ293" s="2" t="str">
        <f t="shared" si="43"/>
        <v/>
      </c>
      <c r="AK293" s="2" t="str">
        <f t="shared" si="44"/>
        <v/>
      </c>
    </row>
    <row r="294" spans="1:37" x14ac:dyDescent="0.25">
      <c r="A294">
        <v>676</v>
      </c>
      <c r="B294" t="s">
        <v>363</v>
      </c>
      <c r="C294" t="s">
        <v>94</v>
      </c>
      <c r="D294" t="s">
        <v>266</v>
      </c>
      <c r="E294" t="s">
        <v>290</v>
      </c>
      <c r="F294" t="s">
        <v>291</v>
      </c>
      <c r="G294" t="s">
        <v>269</v>
      </c>
      <c r="H294" s="1">
        <v>45142.885671296295</v>
      </c>
      <c r="I294" s="1">
        <v>45146.885671296295</v>
      </c>
      <c r="J294" t="s">
        <v>32</v>
      </c>
      <c r="K294" s="1">
        <v>45162.885671296295</v>
      </c>
      <c r="L294" t="s">
        <v>164</v>
      </c>
      <c r="N294" s="4">
        <v>45167.885671296295</v>
      </c>
      <c r="O294" t="s">
        <v>164</v>
      </c>
      <c r="R294" s="4">
        <v>45165.885671296295</v>
      </c>
      <c r="T294">
        <v>0</v>
      </c>
      <c r="AC294" s="2">
        <f t="shared" si="36"/>
        <v>4</v>
      </c>
      <c r="AD294" s="2">
        <f t="shared" si="37"/>
        <v>20</v>
      </c>
      <c r="AE294" s="2">
        <f t="shared" si="38"/>
        <v>16</v>
      </c>
      <c r="AF294" s="2">
        <f t="shared" si="39"/>
        <v>23</v>
      </c>
      <c r="AG294" s="2">
        <f t="shared" si="40"/>
        <v>3</v>
      </c>
      <c r="AH294" s="4">
        <f t="shared" si="41"/>
        <v>45255.885671296295</v>
      </c>
      <c r="AI294" s="2" t="str">
        <f t="shared" si="42"/>
        <v/>
      </c>
      <c r="AJ294" s="2" t="str">
        <f t="shared" si="43"/>
        <v/>
      </c>
      <c r="AK294" s="2" t="str">
        <f t="shared" si="44"/>
        <v/>
      </c>
    </row>
    <row r="295" spans="1:37" x14ac:dyDescent="0.25">
      <c r="A295">
        <v>674</v>
      </c>
      <c r="B295" t="s">
        <v>364</v>
      </c>
      <c r="C295" t="s">
        <v>94</v>
      </c>
      <c r="D295" t="s">
        <v>266</v>
      </c>
      <c r="E295" t="s">
        <v>290</v>
      </c>
      <c r="F295" t="s">
        <v>291</v>
      </c>
      <c r="G295" t="s">
        <v>269</v>
      </c>
      <c r="H295" s="1">
        <v>45139.885671296295</v>
      </c>
      <c r="I295" s="1">
        <v>45142.885671296295</v>
      </c>
      <c r="J295" t="s">
        <v>32</v>
      </c>
      <c r="K295" s="1">
        <v>45159.885671296295</v>
      </c>
      <c r="L295" t="s">
        <v>33</v>
      </c>
      <c r="M295" t="s">
        <v>108</v>
      </c>
      <c r="R295" s="4">
        <v>45161.885671296295</v>
      </c>
      <c r="T295">
        <v>0</v>
      </c>
      <c r="Y295" t="s">
        <v>35</v>
      </c>
      <c r="AC295" s="2">
        <f t="shared" si="36"/>
        <v>3</v>
      </c>
      <c r="AD295" s="2">
        <f t="shared" si="37"/>
        <v>20</v>
      </c>
      <c r="AE295" s="2">
        <f t="shared" si="38"/>
        <v>17</v>
      </c>
      <c r="AF295" s="2">
        <f t="shared" si="39"/>
        <v>22</v>
      </c>
      <c r="AG295" s="2">
        <f t="shared" si="40"/>
        <v>2</v>
      </c>
      <c r="AH295" s="4">
        <f t="shared" si="41"/>
        <v>45251.885671296295</v>
      </c>
      <c r="AI295" s="2" t="str">
        <f t="shared" si="42"/>
        <v/>
      </c>
      <c r="AJ295" s="2" t="str">
        <f t="shared" si="43"/>
        <v/>
      </c>
      <c r="AK295" s="2" t="str">
        <f t="shared" si="44"/>
        <v/>
      </c>
    </row>
    <row r="296" spans="1:37" x14ac:dyDescent="0.25">
      <c r="A296">
        <v>632</v>
      </c>
      <c r="B296" t="s">
        <v>365</v>
      </c>
      <c r="C296" t="s">
        <v>94</v>
      </c>
      <c r="D296" t="s">
        <v>266</v>
      </c>
      <c r="E296" t="s">
        <v>290</v>
      </c>
      <c r="F296" t="s">
        <v>291</v>
      </c>
      <c r="G296" t="s">
        <v>269</v>
      </c>
      <c r="H296" s="1">
        <v>44827.302743055552</v>
      </c>
      <c r="I296" s="1">
        <v>44831.302743055552</v>
      </c>
      <c r="J296" t="s">
        <v>32</v>
      </c>
      <c r="K296" s="1">
        <v>44842.302743055552</v>
      </c>
      <c r="L296" t="s">
        <v>33</v>
      </c>
      <c r="M296" t="s">
        <v>67</v>
      </c>
      <c r="T296">
        <v>0</v>
      </c>
      <c r="Y296" t="s">
        <v>55</v>
      </c>
      <c r="AC296" s="2">
        <f t="shared" si="36"/>
        <v>4</v>
      </c>
      <c r="AD296" s="2">
        <f t="shared" si="37"/>
        <v>15</v>
      </c>
      <c r="AE296" s="2">
        <f t="shared" si="38"/>
        <v>11</v>
      </c>
      <c r="AF296" s="2" t="str">
        <f t="shared" si="39"/>
        <v/>
      </c>
      <c r="AG296" s="2" t="str">
        <f t="shared" si="40"/>
        <v/>
      </c>
      <c r="AH296" s="4" t="str">
        <f t="shared" si="41"/>
        <v/>
      </c>
      <c r="AI296" s="2" t="str">
        <f t="shared" si="42"/>
        <v/>
      </c>
      <c r="AJ296" s="2" t="str">
        <f t="shared" si="43"/>
        <v/>
      </c>
      <c r="AK296" s="2" t="str">
        <f t="shared" si="44"/>
        <v/>
      </c>
    </row>
    <row r="297" spans="1:37" x14ac:dyDescent="0.25">
      <c r="A297">
        <v>617</v>
      </c>
      <c r="B297" t="s">
        <v>366</v>
      </c>
      <c r="C297" t="s">
        <v>94</v>
      </c>
      <c r="D297" t="s">
        <v>266</v>
      </c>
      <c r="E297" t="s">
        <v>290</v>
      </c>
      <c r="F297" t="s">
        <v>291</v>
      </c>
      <c r="G297" t="s">
        <v>269</v>
      </c>
      <c r="H297" s="1">
        <v>45154.885648148149</v>
      </c>
      <c r="I297" s="1">
        <v>45157.885648148149</v>
      </c>
      <c r="J297" t="s">
        <v>32</v>
      </c>
      <c r="K297" s="1">
        <v>45178.885648148149</v>
      </c>
      <c r="L297" t="s">
        <v>57</v>
      </c>
      <c r="N297" s="4">
        <v>45184.885648148149</v>
      </c>
      <c r="O297" t="s">
        <v>57</v>
      </c>
      <c r="P297" s="4">
        <v>45179.885648148149</v>
      </c>
      <c r="Q297" s="4">
        <v>45180.885648148149</v>
      </c>
      <c r="R297" s="4">
        <v>45180.885648148149</v>
      </c>
      <c r="S297" s="4">
        <v>45182.885648148149</v>
      </c>
      <c r="T297">
        <v>1</v>
      </c>
      <c r="U297" s="4">
        <v>45185.885648148149</v>
      </c>
      <c r="V297" s="4">
        <v>45186.885648148149</v>
      </c>
      <c r="W297" s="4">
        <v>45188.885648148149</v>
      </c>
      <c r="Z297" s="4">
        <v>45205.885648148149</v>
      </c>
      <c r="AC297" s="2">
        <f t="shared" si="36"/>
        <v>3</v>
      </c>
      <c r="AD297" s="2">
        <f t="shared" si="37"/>
        <v>24</v>
      </c>
      <c r="AE297" s="2">
        <f t="shared" si="38"/>
        <v>21</v>
      </c>
      <c r="AF297" s="2">
        <f t="shared" si="39"/>
        <v>26</v>
      </c>
      <c r="AG297" s="2">
        <f t="shared" si="40"/>
        <v>2</v>
      </c>
      <c r="AH297" s="4">
        <f t="shared" si="41"/>
        <v>45270.885648148149</v>
      </c>
      <c r="AI297" s="2">
        <f t="shared" si="42"/>
        <v>3</v>
      </c>
      <c r="AJ297" s="2">
        <f t="shared" si="43"/>
        <v>25</v>
      </c>
      <c r="AK297" s="2">
        <f t="shared" si="44"/>
        <v>8</v>
      </c>
    </row>
    <row r="298" spans="1:37" x14ac:dyDescent="0.25">
      <c r="A298">
        <v>614</v>
      </c>
      <c r="B298" t="s">
        <v>367</v>
      </c>
      <c r="C298" t="s">
        <v>94</v>
      </c>
      <c r="D298" t="s">
        <v>266</v>
      </c>
      <c r="E298" t="s">
        <v>290</v>
      </c>
      <c r="F298" t="s">
        <v>291</v>
      </c>
      <c r="G298" t="s">
        <v>269</v>
      </c>
      <c r="H298" s="1">
        <v>45156.885648148149</v>
      </c>
      <c r="I298" s="1">
        <v>45157.885648148149</v>
      </c>
      <c r="J298" t="s">
        <v>32</v>
      </c>
      <c r="K298" s="1">
        <v>45165.885648148149</v>
      </c>
      <c r="L298" t="s">
        <v>57</v>
      </c>
      <c r="N298" s="4">
        <v>45170.885648148149</v>
      </c>
      <c r="O298" t="s">
        <v>57</v>
      </c>
      <c r="P298" s="4">
        <v>45167.885648148149</v>
      </c>
      <c r="Q298" s="4">
        <v>45170.885648148149</v>
      </c>
      <c r="R298" s="4">
        <v>45168.885648148149</v>
      </c>
      <c r="S298" s="4">
        <v>45173.885648148149</v>
      </c>
      <c r="T298">
        <v>1</v>
      </c>
      <c r="U298" s="4">
        <v>45177.885648148149</v>
      </c>
      <c r="V298" s="4">
        <v>45179.885648148149</v>
      </c>
      <c r="W298" s="4">
        <v>45180.885648148149</v>
      </c>
      <c r="Z298" s="4">
        <v>45195.885648148149</v>
      </c>
      <c r="AC298" s="2">
        <f t="shared" si="36"/>
        <v>1</v>
      </c>
      <c r="AD298" s="2">
        <f t="shared" si="37"/>
        <v>9</v>
      </c>
      <c r="AE298" s="2">
        <f t="shared" si="38"/>
        <v>8</v>
      </c>
      <c r="AF298" s="2">
        <f t="shared" si="39"/>
        <v>12</v>
      </c>
      <c r="AG298" s="2">
        <f t="shared" si="40"/>
        <v>3</v>
      </c>
      <c r="AH298" s="4">
        <f t="shared" si="41"/>
        <v>45258.885648148149</v>
      </c>
      <c r="AI298" s="2">
        <f t="shared" si="42"/>
        <v>4</v>
      </c>
      <c r="AJ298" s="2">
        <f t="shared" si="43"/>
        <v>27</v>
      </c>
      <c r="AK298" s="2">
        <f t="shared" si="44"/>
        <v>12</v>
      </c>
    </row>
    <row r="299" spans="1:37" x14ac:dyDescent="0.25">
      <c r="A299">
        <v>613</v>
      </c>
      <c r="B299" t="s">
        <v>368</v>
      </c>
      <c r="C299" t="s">
        <v>94</v>
      </c>
      <c r="D299" t="s">
        <v>266</v>
      </c>
      <c r="E299" t="s">
        <v>290</v>
      </c>
      <c r="F299" t="s">
        <v>291</v>
      </c>
      <c r="G299" t="s">
        <v>269</v>
      </c>
      <c r="H299" s="1">
        <v>45152.885648148149</v>
      </c>
      <c r="I299" s="1">
        <v>45155.885648148149</v>
      </c>
      <c r="J299" t="s">
        <v>32</v>
      </c>
      <c r="K299" s="1">
        <v>45177.885648148149</v>
      </c>
      <c r="L299" t="s">
        <v>57</v>
      </c>
      <c r="N299" s="4">
        <v>45182.885648148149</v>
      </c>
      <c r="O299" t="s">
        <v>57</v>
      </c>
      <c r="P299" s="4">
        <v>45178.885648148149</v>
      </c>
      <c r="Q299" s="4">
        <v>45181.885648148149</v>
      </c>
      <c r="R299" s="4">
        <v>45180.885648148149</v>
      </c>
      <c r="S299" s="4">
        <v>45190.885648148149</v>
      </c>
      <c r="T299">
        <v>1</v>
      </c>
      <c r="U299" s="4">
        <v>45194.885648148149</v>
      </c>
      <c r="V299" s="4">
        <v>45195.885648148149</v>
      </c>
      <c r="W299" s="4">
        <v>45197.885648148149</v>
      </c>
      <c r="Z299" s="4">
        <v>45210.885648148149</v>
      </c>
      <c r="AC299" s="2">
        <f t="shared" si="36"/>
        <v>3</v>
      </c>
      <c r="AD299" s="2">
        <f t="shared" si="37"/>
        <v>25</v>
      </c>
      <c r="AE299" s="2">
        <f t="shared" si="38"/>
        <v>22</v>
      </c>
      <c r="AF299" s="2">
        <f t="shared" si="39"/>
        <v>28</v>
      </c>
      <c r="AG299" s="2">
        <f t="shared" si="40"/>
        <v>3</v>
      </c>
      <c r="AH299" s="4">
        <f t="shared" si="41"/>
        <v>45270.885648148149</v>
      </c>
      <c r="AI299" s="2">
        <f t="shared" si="42"/>
        <v>4</v>
      </c>
      <c r="AJ299" s="2">
        <f t="shared" si="43"/>
        <v>30</v>
      </c>
      <c r="AK299" s="2">
        <f t="shared" si="44"/>
        <v>17</v>
      </c>
    </row>
    <row r="300" spans="1:37" x14ac:dyDescent="0.25">
      <c r="A300">
        <v>578</v>
      </c>
      <c r="B300" t="s">
        <v>369</v>
      </c>
      <c r="C300" t="s">
        <v>94</v>
      </c>
      <c r="D300" t="s">
        <v>266</v>
      </c>
      <c r="E300" t="s">
        <v>290</v>
      </c>
      <c r="F300" t="s">
        <v>291</v>
      </c>
      <c r="G300" t="s">
        <v>269</v>
      </c>
      <c r="H300" s="1">
        <v>44908.089930555558</v>
      </c>
      <c r="I300" s="1">
        <v>44911.089930555558</v>
      </c>
      <c r="J300" t="s">
        <v>32</v>
      </c>
      <c r="K300" s="1">
        <v>44931.089930555558</v>
      </c>
      <c r="L300" t="s">
        <v>57</v>
      </c>
      <c r="N300" s="4">
        <v>44935.089930555558</v>
      </c>
      <c r="O300" t="s">
        <v>57</v>
      </c>
      <c r="P300" s="4">
        <v>44933.089930555558</v>
      </c>
      <c r="Q300" s="4">
        <v>44935.089930555558</v>
      </c>
      <c r="R300" s="4">
        <v>44932.089930555558</v>
      </c>
      <c r="S300" s="4">
        <v>44936.089930555558</v>
      </c>
      <c r="T300">
        <v>1</v>
      </c>
      <c r="U300" s="4">
        <v>44938.089930555558</v>
      </c>
      <c r="V300" s="4">
        <v>44941.089930555558</v>
      </c>
      <c r="W300" s="4">
        <v>44943.089930555558</v>
      </c>
      <c r="Z300" s="4">
        <v>44951.089930555558</v>
      </c>
      <c r="AC300" s="2">
        <f t="shared" si="36"/>
        <v>3</v>
      </c>
      <c r="AD300" s="2">
        <f t="shared" si="37"/>
        <v>23</v>
      </c>
      <c r="AE300" s="2">
        <f t="shared" si="38"/>
        <v>20</v>
      </c>
      <c r="AF300" s="2">
        <f t="shared" si="39"/>
        <v>24</v>
      </c>
      <c r="AG300" s="2">
        <f t="shared" si="40"/>
        <v>1</v>
      </c>
      <c r="AH300" s="4">
        <f t="shared" si="41"/>
        <v>45022.089930555558</v>
      </c>
      <c r="AI300" s="2">
        <f t="shared" si="42"/>
        <v>2</v>
      </c>
      <c r="AJ300" s="2">
        <f t="shared" si="43"/>
        <v>19</v>
      </c>
      <c r="AK300" s="2">
        <f t="shared" si="44"/>
        <v>11</v>
      </c>
    </row>
    <row r="301" spans="1:37" x14ac:dyDescent="0.25">
      <c r="A301">
        <v>572</v>
      </c>
      <c r="B301" t="s">
        <v>370</v>
      </c>
      <c r="C301" t="s">
        <v>94</v>
      </c>
      <c r="D301" t="s">
        <v>266</v>
      </c>
      <c r="E301" t="s">
        <v>290</v>
      </c>
      <c r="F301" t="s">
        <v>291</v>
      </c>
      <c r="G301" t="s">
        <v>269</v>
      </c>
      <c r="H301" s="1">
        <v>44913.089930555558</v>
      </c>
      <c r="I301" s="1">
        <v>44914.089930555558</v>
      </c>
      <c r="J301" t="s">
        <v>32</v>
      </c>
      <c r="K301" s="1">
        <v>44921.089930555558</v>
      </c>
      <c r="L301" t="s">
        <v>33</v>
      </c>
      <c r="M301" t="s">
        <v>51</v>
      </c>
      <c r="R301" s="4">
        <v>44923.089930555558</v>
      </c>
      <c r="T301">
        <v>0</v>
      </c>
      <c r="Y301" t="s">
        <v>55</v>
      </c>
      <c r="AC301" s="2">
        <f t="shared" si="36"/>
        <v>1</v>
      </c>
      <c r="AD301" s="2">
        <f t="shared" si="37"/>
        <v>8</v>
      </c>
      <c r="AE301" s="2">
        <f t="shared" si="38"/>
        <v>7</v>
      </c>
      <c r="AF301" s="2">
        <f t="shared" si="39"/>
        <v>10</v>
      </c>
      <c r="AG301" s="2">
        <f t="shared" si="40"/>
        <v>2</v>
      </c>
      <c r="AH301" s="4">
        <f t="shared" si="41"/>
        <v>45013.089930555558</v>
      </c>
      <c r="AI301" s="2" t="str">
        <f t="shared" si="42"/>
        <v/>
      </c>
      <c r="AJ301" s="2" t="str">
        <f t="shared" si="43"/>
        <v/>
      </c>
      <c r="AK301" s="2" t="str">
        <f t="shared" si="44"/>
        <v/>
      </c>
    </row>
    <row r="302" spans="1:37" x14ac:dyDescent="0.25">
      <c r="A302">
        <v>499</v>
      </c>
      <c r="B302" t="s">
        <v>371</v>
      </c>
      <c r="C302" t="s">
        <v>94</v>
      </c>
      <c r="D302" t="s">
        <v>266</v>
      </c>
      <c r="E302" t="s">
        <v>290</v>
      </c>
      <c r="F302" t="s">
        <v>291</v>
      </c>
      <c r="G302" t="s">
        <v>269</v>
      </c>
      <c r="H302" s="1">
        <v>45166.411724537036</v>
      </c>
      <c r="I302" s="1">
        <v>45170.411724537036</v>
      </c>
      <c r="J302" t="s">
        <v>32</v>
      </c>
      <c r="K302" s="1">
        <v>45182.411724537036</v>
      </c>
      <c r="L302" t="s">
        <v>39</v>
      </c>
      <c r="N302" s="4">
        <v>45188.411724537036</v>
      </c>
      <c r="O302" t="s">
        <v>39</v>
      </c>
      <c r="R302" s="4">
        <v>45186.411724537036</v>
      </c>
      <c r="T302">
        <v>0</v>
      </c>
      <c r="AC302" s="2">
        <f t="shared" si="36"/>
        <v>4</v>
      </c>
      <c r="AD302" s="2">
        <f t="shared" si="37"/>
        <v>16</v>
      </c>
      <c r="AE302" s="2">
        <f t="shared" si="38"/>
        <v>12</v>
      </c>
      <c r="AF302" s="2">
        <f t="shared" si="39"/>
        <v>20</v>
      </c>
      <c r="AG302" s="2">
        <f t="shared" si="40"/>
        <v>4</v>
      </c>
      <c r="AH302" s="4">
        <f t="shared" si="41"/>
        <v>45276.411724537036</v>
      </c>
      <c r="AI302" s="2" t="str">
        <f t="shared" si="42"/>
        <v/>
      </c>
      <c r="AJ302" s="2" t="str">
        <f t="shared" si="43"/>
        <v/>
      </c>
      <c r="AK302" s="2" t="str">
        <f t="shared" si="44"/>
        <v/>
      </c>
    </row>
    <row r="303" spans="1:37" x14ac:dyDescent="0.25">
      <c r="A303">
        <v>489</v>
      </c>
      <c r="B303" t="s">
        <v>372</v>
      </c>
      <c r="C303" t="s">
        <v>94</v>
      </c>
      <c r="D303" t="s">
        <v>266</v>
      </c>
      <c r="E303" t="s">
        <v>290</v>
      </c>
      <c r="F303" t="s">
        <v>291</v>
      </c>
      <c r="G303" t="s">
        <v>269</v>
      </c>
      <c r="H303" s="1">
        <v>44933.566712962966</v>
      </c>
      <c r="I303" s="1">
        <v>44935.566712962966</v>
      </c>
      <c r="J303" t="s">
        <v>32</v>
      </c>
      <c r="K303" s="1">
        <v>44940.566712962966</v>
      </c>
      <c r="L303" t="s">
        <v>33</v>
      </c>
      <c r="M303" t="s">
        <v>108</v>
      </c>
      <c r="R303" s="4">
        <v>44943.566712962966</v>
      </c>
      <c r="T303">
        <v>0</v>
      </c>
      <c r="Y303" t="s">
        <v>55</v>
      </c>
      <c r="AC303" s="2">
        <f t="shared" si="36"/>
        <v>2</v>
      </c>
      <c r="AD303" s="2">
        <f t="shared" si="37"/>
        <v>7</v>
      </c>
      <c r="AE303" s="2">
        <f t="shared" si="38"/>
        <v>5</v>
      </c>
      <c r="AF303" s="2">
        <f t="shared" si="39"/>
        <v>10</v>
      </c>
      <c r="AG303" s="2">
        <f t="shared" si="40"/>
        <v>3</v>
      </c>
      <c r="AH303" s="4">
        <f t="shared" si="41"/>
        <v>45033.566712962966</v>
      </c>
      <c r="AI303" s="2" t="str">
        <f t="shared" si="42"/>
        <v/>
      </c>
      <c r="AJ303" s="2" t="str">
        <f t="shared" si="43"/>
        <v/>
      </c>
      <c r="AK303" s="2" t="str">
        <f t="shared" si="44"/>
        <v/>
      </c>
    </row>
    <row r="304" spans="1:37" x14ac:dyDescent="0.25">
      <c r="A304">
        <v>482</v>
      </c>
      <c r="B304" t="s">
        <v>373</v>
      </c>
      <c r="C304" t="s">
        <v>94</v>
      </c>
      <c r="D304" t="s">
        <v>266</v>
      </c>
      <c r="E304" t="s">
        <v>290</v>
      </c>
      <c r="F304" t="s">
        <v>291</v>
      </c>
      <c r="G304" t="s">
        <v>269</v>
      </c>
      <c r="H304" s="1">
        <v>44928.566712962966</v>
      </c>
      <c r="I304" s="1">
        <v>44932.566712962966</v>
      </c>
      <c r="J304" t="s">
        <v>32</v>
      </c>
      <c r="K304" s="1">
        <v>44946.566712962966</v>
      </c>
      <c r="L304" t="s">
        <v>39</v>
      </c>
      <c r="N304" s="4">
        <v>44949.566712962966</v>
      </c>
      <c r="O304" t="s">
        <v>39</v>
      </c>
      <c r="R304" s="4">
        <v>44948.566712962966</v>
      </c>
      <c r="T304">
        <v>0</v>
      </c>
      <c r="AC304" s="2">
        <f t="shared" si="36"/>
        <v>4</v>
      </c>
      <c r="AD304" s="2">
        <f t="shared" si="37"/>
        <v>18</v>
      </c>
      <c r="AE304" s="2">
        <f t="shared" si="38"/>
        <v>14</v>
      </c>
      <c r="AF304" s="2">
        <f t="shared" si="39"/>
        <v>20</v>
      </c>
      <c r="AG304" s="2">
        <f t="shared" si="40"/>
        <v>2</v>
      </c>
      <c r="AH304" s="4">
        <f t="shared" si="41"/>
        <v>45038.566712962966</v>
      </c>
      <c r="AI304" s="2" t="str">
        <f t="shared" si="42"/>
        <v/>
      </c>
      <c r="AJ304" s="2" t="str">
        <f t="shared" si="43"/>
        <v/>
      </c>
      <c r="AK304" s="2" t="str">
        <f t="shared" si="44"/>
        <v/>
      </c>
    </row>
    <row r="305" spans="1:37" x14ac:dyDescent="0.25">
      <c r="A305">
        <v>474</v>
      </c>
      <c r="B305" t="s">
        <v>374</v>
      </c>
      <c r="C305" t="s">
        <v>94</v>
      </c>
      <c r="D305" t="s">
        <v>266</v>
      </c>
      <c r="E305" t="s">
        <v>290</v>
      </c>
      <c r="F305" t="s">
        <v>291</v>
      </c>
      <c r="G305" t="s">
        <v>269</v>
      </c>
      <c r="H305" s="1">
        <v>44672.075752314813</v>
      </c>
      <c r="I305" s="1">
        <v>44676.075752314813</v>
      </c>
      <c r="J305" t="s">
        <v>32</v>
      </c>
      <c r="K305" s="1">
        <v>44690.075752314813</v>
      </c>
      <c r="L305" t="s">
        <v>33</v>
      </c>
      <c r="M305" t="s">
        <v>51</v>
      </c>
      <c r="T305">
        <v>0</v>
      </c>
      <c r="Y305" t="s">
        <v>35</v>
      </c>
      <c r="AC305" s="2">
        <f t="shared" si="36"/>
        <v>4</v>
      </c>
      <c r="AD305" s="2">
        <f t="shared" si="37"/>
        <v>18</v>
      </c>
      <c r="AE305" s="2">
        <f t="shared" si="38"/>
        <v>14</v>
      </c>
      <c r="AF305" s="2" t="str">
        <f t="shared" si="39"/>
        <v/>
      </c>
      <c r="AG305" s="2" t="str">
        <f t="shared" si="40"/>
        <v/>
      </c>
      <c r="AH305" s="4" t="str">
        <f t="shared" si="41"/>
        <v/>
      </c>
      <c r="AI305" s="2" t="str">
        <f t="shared" si="42"/>
        <v/>
      </c>
      <c r="AJ305" s="2" t="str">
        <f t="shared" si="43"/>
        <v/>
      </c>
      <c r="AK305" s="2" t="str">
        <f t="shared" si="44"/>
        <v/>
      </c>
    </row>
    <row r="306" spans="1:37" x14ac:dyDescent="0.25">
      <c r="A306">
        <v>472</v>
      </c>
      <c r="B306" t="s">
        <v>375</v>
      </c>
      <c r="C306" t="s">
        <v>94</v>
      </c>
      <c r="D306" t="s">
        <v>266</v>
      </c>
      <c r="E306" t="s">
        <v>290</v>
      </c>
      <c r="F306" t="s">
        <v>291</v>
      </c>
      <c r="G306" t="s">
        <v>269</v>
      </c>
      <c r="H306" s="1">
        <v>44673.075752314813</v>
      </c>
      <c r="I306" s="1">
        <v>44677.075752314813</v>
      </c>
      <c r="J306" t="s">
        <v>32</v>
      </c>
      <c r="K306" s="1">
        <v>44693.075752314813</v>
      </c>
      <c r="L306" t="s">
        <v>39</v>
      </c>
      <c r="N306" s="4">
        <v>44699.075752314813</v>
      </c>
      <c r="O306" t="s">
        <v>39</v>
      </c>
      <c r="R306" s="4">
        <v>44695.075752314813</v>
      </c>
      <c r="T306">
        <v>0</v>
      </c>
      <c r="AC306" s="2">
        <f t="shared" si="36"/>
        <v>4</v>
      </c>
      <c r="AD306" s="2">
        <f t="shared" si="37"/>
        <v>20</v>
      </c>
      <c r="AE306" s="2">
        <f t="shared" si="38"/>
        <v>16</v>
      </c>
      <c r="AF306" s="2">
        <f t="shared" si="39"/>
        <v>22</v>
      </c>
      <c r="AG306" s="2">
        <f t="shared" si="40"/>
        <v>2</v>
      </c>
      <c r="AH306" s="4">
        <f t="shared" si="41"/>
        <v>44785.075752314813</v>
      </c>
      <c r="AI306" s="2" t="str">
        <f t="shared" si="42"/>
        <v/>
      </c>
      <c r="AJ306" s="2" t="str">
        <f t="shared" si="43"/>
        <v/>
      </c>
      <c r="AK306" s="2" t="str">
        <f t="shared" si="44"/>
        <v/>
      </c>
    </row>
    <row r="307" spans="1:37" x14ac:dyDescent="0.25">
      <c r="A307">
        <v>471</v>
      </c>
      <c r="B307" t="s">
        <v>376</v>
      </c>
      <c r="C307" t="s">
        <v>94</v>
      </c>
      <c r="D307" t="s">
        <v>266</v>
      </c>
      <c r="E307" t="s">
        <v>290</v>
      </c>
      <c r="F307" t="s">
        <v>291</v>
      </c>
      <c r="G307" t="s">
        <v>269</v>
      </c>
      <c r="H307" s="1">
        <v>44676.075752314813</v>
      </c>
      <c r="I307" s="1">
        <v>44677.075752314813</v>
      </c>
      <c r="J307" t="s">
        <v>32</v>
      </c>
      <c r="K307" s="1">
        <v>44688.075752314813</v>
      </c>
      <c r="L307" t="s">
        <v>33</v>
      </c>
      <c r="M307" t="s">
        <v>67</v>
      </c>
      <c r="R307" s="4">
        <v>44689.075752314813</v>
      </c>
      <c r="T307">
        <v>0</v>
      </c>
      <c r="Y307" t="s">
        <v>35</v>
      </c>
      <c r="AC307" s="2">
        <f t="shared" si="36"/>
        <v>1</v>
      </c>
      <c r="AD307" s="2">
        <f t="shared" si="37"/>
        <v>12</v>
      </c>
      <c r="AE307" s="2">
        <f t="shared" si="38"/>
        <v>11</v>
      </c>
      <c r="AF307" s="2">
        <f t="shared" si="39"/>
        <v>13</v>
      </c>
      <c r="AG307" s="2">
        <f t="shared" si="40"/>
        <v>1</v>
      </c>
      <c r="AH307" s="4">
        <f t="shared" si="41"/>
        <v>44779.075752314813</v>
      </c>
      <c r="AI307" s="2" t="str">
        <f t="shared" si="42"/>
        <v/>
      </c>
      <c r="AJ307" s="2" t="str">
        <f t="shared" si="43"/>
        <v/>
      </c>
      <c r="AK307" s="2" t="str">
        <f t="shared" si="44"/>
        <v/>
      </c>
    </row>
    <row r="308" spans="1:37" x14ac:dyDescent="0.25">
      <c r="A308">
        <v>387</v>
      </c>
      <c r="B308" t="s">
        <v>377</v>
      </c>
      <c r="C308" t="s">
        <v>94</v>
      </c>
      <c r="D308" t="s">
        <v>266</v>
      </c>
      <c r="E308" t="s">
        <v>290</v>
      </c>
      <c r="F308" t="s">
        <v>291</v>
      </c>
      <c r="G308" t="s">
        <v>269</v>
      </c>
      <c r="H308" s="1">
        <v>44874.3830787037</v>
      </c>
      <c r="I308" s="1">
        <v>44875.3830787037</v>
      </c>
      <c r="J308" t="s">
        <v>32</v>
      </c>
      <c r="K308" s="1">
        <v>44888.3830787037</v>
      </c>
      <c r="L308" t="s">
        <v>33</v>
      </c>
      <c r="M308" t="s">
        <v>108</v>
      </c>
      <c r="R308" s="4">
        <v>44890.3830787037</v>
      </c>
      <c r="T308">
        <v>0</v>
      </c>
      <c r="Y308" t="s">
        <v>55</v>
      </c>
      <c r="AC308" s="2">
        <f t="shared" si="36"/>
        <v>1</v>
      </c>
      <c r="AD308" s="2">
        <f t="shared" si="37"/>
        <v>14</v>
      </c>
      <c r="AE308" s="2">
        <f t="shared" si="38"/>
        <v>13</v>
      </c>
      <c r="AF308" s="2">
        <f t="shared" si="39"/>
        <v>16</v>
      </c>
      <c r="AG308" s="2">
        <f t="shared" si="40"/>
        <v>2</v>
      </c>
      <c r="AH308" s="4">
        <f t="shared" si="41"/>
        <v>44980.3830787037</v>
      </c>
      <c r="AI308" s="2" t="str">
        <f t="shared" si="42"/>
        <v/>
      </c>
      <c r="AJ308" s="2" t="str">
        <f t="shared" si="43"/>
        <v/>
      </c>
      <c r="AK308" s="2" t="str">
        <f t="shared" si="44"/>
        <v/>
      </c>
    </row>
    <row r="309" spans="1:37" x14ac:dyDescent="0.25">
      <c r="A309">
        <v>382</v>
      </c>
      <c r="B309" t="s">
        <v>378</v>
      </c>
      <c r="C309" t="s">
        <v>94</v>
      </c>
      <c r="D309" t="s">
        <v>266</v>
      </c>
      <c r="E309" t="s">
        <v>290</v>
      </c>
      <c r="F309" t="s">
        <v>291</v>
      </c>
      <c r="G309" t="s">
        <v>269</v>
      </c>
      <c r="H309" s="1">
        <v>44872.3830787037</v>
      </c>
      <c r="I309" s="1">
        <v>44875.3830787037</v>
      </c>
      <c r="J309" t="s">
        <v>32</v>
      </c>
      <c r="K309" s="1">
        <v>44894.3830787037</v>
      </c>
      <c r="L309" t="s">
        <v>164</v>
      </c>
      <c r="N309" s="4">
        <v>44900.3830787037</v>
      </c>
      <c r="O309" t="s">
        <v>164</v>
      </c>
      <c r="R309" s="4">
        <v>44896.3830787037</v>
      </c>
      <c r="T309">
        <v>0</v>
      </c>
      <c r="AC309" s="2">
        <f t="shared" si="36"/>
        <v>3</v>
      </c>
      <c r="AD309" s="2">
        <f t="shared" si="37"/>
        <v>22</v>
      </c>
      <c r="AE309" s="2">
        <f t="shared" si="38"/>
        <v>19</v>
      </c>
      <c r="AF309" s="2">
        <f t="shared" si="39"/>
        <v>24</v>
      </c>
      <c r="AG309" s="2">
        <f t="shared" si="40"/>
        <v>2</v>
      </c>
      <c r="AH309" s="4">
        <f t="shared" si="41"/>
        <v>44986.3830787037</v>
      </c>
      <c r="AI309" s="2" t="str">
        <f t="shared" si="42"/>
        <v/>
      </c>
      <c r="AJ309" s="2" t="str">
        <f t="shared" si="43"/>
        <v/>
      </c>
      <c r="AK309" s="2" t="str">
        <f t="shared" si="44"/>
        <v/>
      </c>
    </row>
    <row r="310" spans="1:37" x14ac:dyDescent="0.25">
      <c r="A310">
        <v>374</v>
      </c>
      <c r="B310" t="s">
        <v>379</v>
      </c>
      <c r="C310" t="s">
        <v>94</v>
      </c>
      <c r="D310" t="s">
        <v>266</v>
      </c>
      <c r="E310" t="s">
        <v>290</v>
      </c>
      <c r="F310" t="s">
        <v>291</v>
      </c>
      <c r="G310" t="s">
        <v>269</v>
      </c>
      <c r="H310" s="1">
        <v>44665.356712962966</v>
      </c>
      <c r="I310" s="1">
        <v>44669.356712962966</v>
      </c>
      <c r="J310" t="s">
        <v>32</v>
      </c>
      <c r="K310" s="1">
        <v>44682.356712962966</v>
      </c>
      <c r="L310" t="s">
        <v>57</v>
      </c>
      <c r="N310" s="4">
        <v>44688.356712962966</v>
      </c>
      <c r="O310" t="s">
        <v>57</v>
      </c>
      <c r="P310" s="4">
        <v>44683.356712962966</v>
      </c>
      <c r="Q310" s="4">
        <v>44686.356712962966</v>
      </c>
      <c r="R310" s="4">
        <v>44684.356712962966</v>
      </c>
      <c r="S310" s="4">
        <v>44688.356712962966</v>
      </c>
      <c r="T310">
        <v>1</v>
      </c>
      <c r="U310" s="4">
        <v>44689.356712962966</v>
      </c>
      <c r="V310" s="4">
        <v>44690.356712962966</v>
      </c>
      <c r="W310" s="4">
        <v>44692.356712962966</v>
      </c>
      <c r="Z310" s="4">
        <v>44702.356712962966</v>
      </c>
      <c r="AC310" s="2">
        <f t="shared" si="36"/>
        <v>4</v>
      </c>
      <c r="AD310" s="2">
        <f t="shared" si="37"/>
        <v>17</v>
      </c>
      <c r="AE310" s="2">
        <f t="shared" si="38"/>
        <v>13</v>
      </c>
      <c r="AF310" s="2">
        <f t="shared" si="39"/>
        <v>19</v>
      </c>
      <c r="AG310" s="2">
        <f t="shared" si="40"/>
        <v>2</v>
      </c>
      <c r="AH310" s="4">
        <f t="shared" si="41"/>
        <v>44774.356712962966</v>
      </c>
      <c r="AI310" s="2">
        <f t="shared" si="42"/>
        <v>1</v>
      </c>
      <c r="AJ310" s="2">
        <f t="shared" si="43"/>
        <v>18</v>
      </c>
      <c r="AK310" s="2">
        <f t="shared" si="44"/>
        <v>8</v>
      </c>
    </row>
    <row r="311" spans="1:37" x14ac:dyDescent="0.25">
      <c r="A311">
        <v>371</v>
      </c>
      <c r="B311" t="s">
        <v>380</v>
      </c>
      <c r="C311" t="s">
        <v>94</v>
      </c>
      <c r="D311" t="s">
        <v>266</v>
      </c>
      <c r="E311" t="s">
        <v>290</v>
      </c>
      <c r="F311" t="s">
        <v>291</v>
      </c>
      <c r="G311" t="s">
        <v>269</v>
      </c>
      <c r="H311" s="1">
        <v>44663.356712962966</v>
      </c>
      <c r="I311" s="1">
        <v>44665.356712962966</v>
      </c>
      <c r="J311" t="s">
        <v>32</v>
      </c>
      <c r="K311" s="1">
        <v>44685.356712962966</v>
      </c>
      <c r="L311" t="s">
        <v>39</v>
      </c>
      <c r="N311" s="4">
        <v>44690.356712962966</v>
      </c>
      <c r="O311" t="s">
        <v>39</v>
      </c>
      <c r="R311" s="4">
        <v>44689.356712962966</v>
      </c>
      <c r="T311">
        <v>0</v>
      </c>
      <c r="AC311" s="2">
        <f t="shared" si="36"/>
        <v>2</v>
      </c>
      <c r="AD311" s="2">
        <f t="shared" si="37"/>
        <v>22</v>
      </c>
      <c r="AE311" s="2">
        <f t="shared" si="38"/>
        <v>20</v>
      </c>
      <c r="AF311" s="2">
        <f t="shared" si="39"/>
        <v>26</v>
      </c>
      <c r="AG311" s="2">
        <f t="shared" si="40"/>
        <v>4</v>
      </c>
      <c r="AH311" s="4">
        <f t="shared" si="41"/>
        <v>44779.356712962966</v>
      </c>
      <c r="AI311" s="2" t="str">
        <f t="shared" si="42"/>
        <v/>
      </c>
      <c r="AJ311" s="2" t="str">
        <f t="shared" si="43"/>
        <v/>
      </c>
      <c r="AK311" s="2" t="str">
        <f t="shared" si="44"/>
        <v/>
      </c>
    </row>
    <row r="312" spans="1:37" x14ac:dyDescent="0.25">
      <c r="A312">
        <v>137</v>
      </c>
      <c r="B312" t="s">
        <v>381</v>
      </c>
      <c r="C312" t="s">
        <v>94</v>
      </c>
      <c r="D312" t="s">
        <v>266</v>
      </c>
      <c r="E312" t="s">
        <v>290</v>
      </c>
      <c r="F312" t="s">
        <v>291</v>
      </c>
      <c r="G312" t="s">
        <v>269</v>
      </c>
      <c r="H312" s="1">
        <v>44764.802951388891</v>
      </c>
      <c r="I312" s="1">
        <v>44766.802951388891</v>
      </c>
      <c r="J312" t="s">
        <v>44</v>
      </c>
      <c r="K312" s="1"/>
      <c r="T312">
        <v>0</v>
      </c>
      <c r="AC312" s="2">
        <f t="shared" si="36"/>
        <v>2</v>
      </c>
      <c r="AD312" s="2" t="str">
        <f t="shared" si="37"/>
        <v/>
      </c>
      <c r="AE312" s="2" t="str">
        <f t="shared" si="38"/>
        <v/>
      </c>
      <c r="AF312" s="2" t="str">
        <f t="shared" si="39"/>
        <v/>
      </c>
      <c r="AG312" s="2" t="str">
        <f t="shared" si="40"/>
        <v/>
      </c>
      <c r="AH312" s="4" t="str">
        <f t="shared" si="41"/>
        <v/>
      </c>
      <c r="AI312" s="2" t="str">
        <f t="shared" si="42"/>
        <v/>
      </c>
      <c r="AJ312" s="2" t="str">
        <f t="shared" si="43"/>
        <v/>
      </c>
      <c r="AK312" s="2" t="str">
        <f t="shared" si="44"/>
        <v/>
      </c>
    </row>
    <row r="313" spans="1:37" x14ac:dyDescent="0.25">
      <c r="A313">
        <v>133</v>
      </c>
      <c r="B313" t="s">
        <v>382</v>
      </c>
      <c r="C313" t="s">
        <v>94</v>
      </c>
      <c r="D313" t="s">
        <v>266</v>
      </c>
      <c r="E313" t="s">
        <v>290</v>
      </c>
      <c r="F313" t="s">
        <v>291</v>
      </c>
      <c r="G313" t="s">
        <v>269</v>
      </c>
      <c r="H313" s="1">
        <v>44765.802951388891</v>
      </c>
      <c r="I313" s="1">
        <v>44767.802951388891</v>
      </c>
      <c r="J313" t="s">
        <v>32</v>
      </c>
      <c r="K313" s="1">
        <v>44774.802951388891</v>
      </c>
      <c r="L313" t="s">
        <v>33</v>
      </c>
      <c r="M313" t="s">
        <v>51</v>
      </c>
      <c r="R313" s="4">
        <v>44777.802951388891</v>
      </c>
      <c r="T313">
        <v>0</v>
      </c>
      <c r="Y313" t="s">
        <v>35</v>
      </c>
      <c r="AC313" s="2">
        <f t="shared" si="36"/>
        <v>2</v>
      </c>
      <c r="AD313" s="2">
        <f t="shared" si="37"/>
        <v>9</v>
      </c>
      <c r="AE313" s="2">
        <f t="shared" si="38"/>
        <v>7</v>
      </c>
      <c r="AF313" s="2">
        <f t="shared" si="39"/>
        <v>12</v>
      </c>
      <c r="AG313" s="2">
        <f t="shared" si="40"/>
        <v>3</v>
      </c>
      <c r="AH313" s="4">
        <f t="shared" si="41"/>
        <v>44867.802951388891</v>
      </c>
      <c r="AI313" s="2" t="str">
        <f t="shared" si="42"/>
        <v/>
      </c>
      <c r="AJ313" s="2" t="str">
        <f t="shared" si="43"/>
        <v/>
      </c>
      <c r="AK313" s="2" t="str">
        <f t="shared" si="44"/>
        <v/>
      </c>
    </row>
    <row r="314" spans="1:37" x14ac:dyDescent="0.25">
      <c r="A314">
        <v>68</v>
      </c>
      <c r="B314" t="s">
        <v>383</v>
      </c>
      <c r="C314" t="s">
        <v>94</v>
      </c>
      <c r="D314" t="s">
        <v>266</v>
      </c>
      <c r="E314" t="s">
        <v>290</v>
      </c>
      <c r="F314" t="s">
        <v>291</v>
      </c>
      <c r="G314" t="s">
        <v>269</v>
      </c>
      <c r="H314" s="1">
        <v>45165.755949074075</v>
      </c>
      <c r="I314" s="1">
        <v>45169.755949074075</v>
      </c>
      <c r="J314" t="s">
        <v>32</v>
      </c>
      <c r="K314" s="1">
        <v>45177.755949074075</v>
      </c>
      <c r="L314" t="s">
        <v>57</v>
      </c>
      <c r="N314" s="4">
        <v>45180.755949074075</v>
      </c>
      <c r="O314" t="s">
        <v>57</v>
      </c>
      <c r="P314" s="4">
        <v>45178.755949074075</v>
      </c>
      <c r="Q314" s="4">
        <v>45182.755949074075</v>
      </c>
      <c r="R314" s="4">
        <v>45179.755949074075</v>
      </c>
      <c r="S314" s="4">
        <v>45180.755949074075</v>
      </c>
      <c r="T314">
        <v>1</v>
      </c>
      <c r="U314" s="4">
        <v>45181.755949074075</v>
      </c>
      <c r="V314" s="4">
        <v>45182.755949074075</v>
      </c>
      <c r="W314" s="4">
        <v>45183.755949074075</v>
      </c>
      <c r="Z314" s="4">
        <v>45199.755949074075</v>
      </c>
      <c r="AC314" s="2">
        <f t="shared" si="36"/>
        <v>4</v>
      </c>
      <c r="AD314" s="2">
        <f t="shared" si="37"/>
        <v>12</v>
      </c>
      <c r="AE314" s="2">
        <f t="shared" si="38"/>
        <v>8</v>
      </c>
      <c r="AF314" s="2">
        <f t="shared" si="39"/>
        <v>14</v>
      </c>
      <c r="AG314" s="2">
        <f t="shared" si="40"/>
        <v>2</v>
      </c>
      <c r="AH314" s="4">
        <f t="shared" si="41"/>
        <v>45269.755949074075</v>
      </c>
      <c r="AI314" s="2">
        <f t="shared" si="42"/>
        <v>1</v>
      </c>
      <c r="AJ314" s="2">
        <f t="shared" si="43"/>
        <v>20</v>
      </c>
      <c r="AK314" s="2">
        <f t="shared" si="44"/>
        <v>4</v>
      </c>
    </row>
    <row r="315" spans="1:37" x14ac:dyDescent="0.25">
      <c r="A315">
        <v>67</v>
      </c>
      <c r="B315" t="s">
        <v>384</v>
      </c>
      <c r="C315" t="s">
        <v>94</v>
      </c>
      <c r="D315" t="s">
        <v>266</v>
      </c>
      <c r="E315" t="s">
        <v>290</v>
      </c>
      <c r="F315" t="s">
        <v>291</v>
      </c>
      <c r="G315" t="s">
        <v>269</v>
      </c>
      <c r="H315" s="1">
        <v>45168.755949074075</v>
      </c>
      <c r="I315" s="1">
        <v>45169.755949074075</v>
      </c>
      <c r="J315" t="s">
        <v>32</v>
      </c>
      <c r="K315" s="1">
        <v>45187.755949074075</v>
      </c>
      <c r="L315" t="s">
        <v>39</v>
      </c>
      <c r="N315" s="4">
        <v>45195.755949074075</v>
      </c>
      <c r="O315" t="s">
        <v>39</v>
      </c>
      <c r="R315" s="4">
        <v>45191.755949074075</v>
      </c>
      <c r="T315">
        <v>0</v>
      </c>
      <c r="AC315" s="2">
        <f t="shared" si="36"/>
        <v>1</v>
      </c>
      <c r="AD315" s="2">
        <f t="shared" si="37"/>
        <v>19</v>
      </c>
      <c r="AE315" s="2">
        <f t="shared" si="38"/>
        <v>18</v>
      </c>
      <c r="AF315" s="2">
        <f t="shared" si="39"/>
        <v>23</v>
      </c>
      <c r="AG315" s="2">
        <f t="shared" si="40"/>
        <v>4</v>
      </c>
      <c r="AH315" s="4">
        <f t="shared" si="41"/>
        <v>45281.755949074075</v>
      </c>
      <c r="AI315" s="2" t="str">
        <f t="shared" si="42"/>
        <v/>
      </c>
      <c r="AJ315" s="2" t="str">
        <f t="shared" si="43"/>
        <v/>
      </c>
      <c r="AK315" s="2" t="str">
        <f t="shared" si="44"/>
        <v/>
      </c>
    </row>
    <row r="316" spans="1:37" x14ac:dyDescent="0.25">
      <c r="A316">
        <v>3</v>
      </c>
      <c r="B316" t="s">
        <v>385</v>
      </c>
      <c r="C316" t="s">
        <v>94</v>
      </c>
      <c r="D316" t="s">
        <v>266</v>
      </c>
      <c r="E316" t="s">
        <v>290</v>
      </c>
      <c r="F316" t="s">
        <v>291</v>
      </c>
      <c r="G316" t="s">
        <v>269</v>
      </c>
      <c r="H316" s="1">
        <v>45073.372060185182</v>
      </c>
      <c r="I316" s="1">
        <v>45077.372060185182</v>
      </c>
      <c r="J316" t="s">
        <v>32</v>
      </c>
      <c r="K316" s="1">
        <v>45098.372060185182</v>
      </c>
      <c r="L316" t="s">
        <v>33</v>
      </c>
      <c r="M316" t="s">
        <v>92</v>
      </c>
      <c r="T316">
        <v>0</v>
      </c>
      <c r="Y316" t="s">
        <v>35</v>
      </c>
      <c r="AC316" s="2">
        <f t="shared" si="36"/>
        <v>4</v>
      </c>
      <c r="AD316" s="2">
        <f t="shared" si="37"/>
        <v>25</v>
      </c>
      <c r="AE316" s="2">
        <f t="shared" si="38"/>
        <v>21</v>
      </c>
      <c r="AF316" s="2" t="str">
        <f t="shared" si="39"/>
        <v/>
      </c>
      <c r="AG316" s="2" t="str">
        <f t="shared" si="40"/>
        <v/>
      </c>
      <c r="AH316" s="4" t="str">
        <f t="shared" si="41"/>
        <v/>
      </c>
      <c r="AI316" s="2" t="str">
        <f t="shared" si="42"/>
        <v/>
      </c>
      <c r="AJ316" s="2" t="str">
        <f t="shared" si="43"/>
        <v/>
      </c>
      <c r="AK316" s="2" t="str">
        <f t="shared" si="44"/>
        <v/>
      </c>
    </row>
    <row r="317" spans="1:37" x14ac:dyDescent="0.25">
      <c r="A317">
        <v>2976</v>
      </c>
      <c r="B317" t="s">
        <v>386</v>
      </c>
      <c r="C317" t="s">
        <v>94</v>
      </c>
      <c r="D317" t="s">
        <v>387</v>
      </c>
      <c r="E317" t="s">
        <v>388</v>
      </c>
      <c r="F317" t="s">
        <v>389</v>
      </c>
      <c r="G317" t="s">
        <v>31</v>
      </c>
      <c r="H317" s="1">
        <v>44761.636782407404</v>
      </c>
      <c r="I317" s="1">
        <v>44764.636782407404</v>
      </c>
      <c r="J317" t="s">
        <v>32</v>
      </c>
      <c r="K317" s="1">
        <v>44769.636782407404</v>
      </c>
      <c r="L317" t="s">
        <v>33</v>
      </c>
      <c r="M317" t="s">
        <v>108</v>
      </c>
      <c r="R317" s="4">
        <v>44770.636782407404</v>
      </c>
      <c r="T317">
        <v>0</v>
      </c>
      <c r="Y317" t="s">
        <v>35</v>
      </c>
      <c r="AC317" s="2">
        <f t="shared" si="36"/>
        <v>3</v>
      </c>
      <c r="AD317" s="2">
        <f t="shared" si="37"/>
        <v>8</v>
      </c>
      <c r="AE317" s="2">
        <f t="shared" si="38"/>
        <v>5</v>
      </c>
      <c r="AF317" s="2">
        <f t="shared" si="39"/>
        <v>9</v>
      </c>
      <c r="AG317" s="2">
        <f t="shared" si="40"/>
        <v>1</v>
      </c>
      <c r="AH317" s="4">
        <f t="shared" si="41"/>
        <v>44860.636782407404</v>
      </c>
      <c r="AI317" s="2" t="str">
        <f t="shared" si="42"/>
        <v/>
      </c>
      <c r="AJ317" s="2" t="str">
        <f t="shared" si="43"/>
        <v/>
      </c>
      <c r="AK317" s="2" t="str">
        <f t="shared" si="44"/>
        <v/>
      </c>
    </row>
    <row r="318" spans="1:37" x14ac:dyDescent="0.25">
      <c r="A318">
        <v>2858</v>
      </c>
      <c r="B318" t="s">
        <v>390</v>
      </c>
      <c r="C318" t="s">
        <v>94</v>
      </c>
      <c r="D318" t="s">
        <v>387</v>
      </c>
      <c r="E318" t="s">
        <v>388</v>
      </c>
      <c r="F318" t="s">
        <v>389</v>
      </c>
      <c r="G318" t="s">
        <v>31</v>
      </c>
      <c r="H318" s="1">
        <v>45035.4996875</v>
      </c>
      <c r="I318" s="1">
        <v>45038.4996875</v>
      </c>
      <c r="J318" t="s">
        <v>32</v>
      </c>
      <c r="K318" s="1">
        <v>45057.4996875</v>
      </c>
      <c r="L318" t="s">
        <v>33</v>
      </c>
      <c r="M318" t="s">
        <v>92</v>
      </c>
      <c r="R318" s="4">
        <v>45058.4996875</v>
      </c>
      <c r="T318">
        <v>0</v>
      </c>
      <c r="Y318" t="s">
        <v>35</v>
      </c>
      <c r="AC318" s="2">
        <f t="shared" si="36"/>
        <v>3</v>
      </c>
      <c r="AD318" s="2">
        <f t="shared" si="37"/>
        <v>22</v>
      </c>
      <c r="AE318" s="2">
        <f t="shared" si="38"/>
        <v>19</v>
      </c>
      <c r="AF318" s="2">
        <f t="shared" si="39"/>
        <v>23</v>
      </c>
      <c r="AG318" s="2">
        <f t="shared" si="40"/>
        <v>1</v>
      </c>
      <c r="AH318" s="4">
        <f t="shared" si="41"/>
        <v>45148.4996875</v>
      </c>
      <c r="AI318" s="2" t="str">
        <f t="shared" si="42"/>
        <v/>
      </c>
      <c r="AJ318" s="2" t="str">
        <f t="shared" si="43"/>
        <v/>
      </c>
      <c r="AK318" s="2" t="str">
        <f t="shared" si="44"/>
        <v/>
      </c>
    </row>
    <row r="319" spans="1:37" x14ac:dyDescent="0.25">
      <c r="A319">
        <v>2852</v>
      </c>
      <c r="B319" t="s">
        <v>391</v>
      </c>
      <c r="C319" t="s">
        <v>94</v>
      </c>
      <c r="D319" t="s">
        <v>387</v>
      </c>
      <c r="E319" t="s">
        <v>388</v>
      </c>
      <c r="F319" t="s">
        <v>389</v>
      </c>
      <c r="G319" t="s">
        <v>31</v>
      </c>
      <c r="H319" s="1">
        <v>45036.4996875</v>
      </c>
      <c r="I319" s="1">
        <v>45040.4996875</v>
      </c>
      <c r="J319" t="s">
        <v>44</v>
      </c>
      <c r="K319" s="1"/>
      <c r="T319">
        <v>0</v>
      </c>
      <c r="AC319" s="2">
        <f t="shared" si="36"/>
        <v>4</v>
      </c>
      <c r="AD319" s="2" t="str">
        <f t="shared" si="37"/>
        <v/>
      </c>
      <c r="AE319" s="2" t="str">
        <f t="shared" si="38"/>
        <v/>
      </c>
      <c r="AF319" s="2" t="str">
        <f t="shared" si="39"/>
        <v/>
      </c>
      <c r="AG319" s="2" t="str">
        <f t="shared" si="40"/>
        <v/>
      </c>
      <c r="AH319" s="4" t="str">
        <f t="shared" si="41"/>
        <v/>
      </c>
      <c r="AI319" s="2" t="str">
        <f t="shared" si="42"/>
        <v/>
      </c>
      <c r="AJ319" s="2" t="str">
        <f t="shared" si="43"/>
        <v/>
      </c>
      <c r="AK319" s="2" t="str">
        <f t="shared" si="44"/>
        <v/>
      </c>
    </row>
    <row r="320" spans="1:37" x14ac:dyDescent="0.25">
      <c r="A320">
        <v>2839</v>
      </c>
      <c r="B320" t="s">
        <v>392</v>
      </c>
      <c r="C320" t="s">
        <v>94</v>
      </c>
      <c r="D320" t="s">
        <v>387</v>
      </c>
      <c r="E320" t="s">
        <v>388</v>
      </c>
      <c r="F320" t="s">
        <v>389</v>
      </c>
      <c r="G320" t="s">
        <v>31</v>
      </c>
      <c r="H320" s="1">
        <v>44659.843564814815</v>
      </c>
      <c r="I320" s="1">
        <v>44660.843564814815</v>
      </c>
      <c r="J320" t="s">
        <v>32</v>
      </c>
      <c r="K320" s="1">
        <v>44670.843564814815</v>
      </c>
      <c r="L320" t="s">
        <v>33</v>
      </c>
      <c r="M320" t="s">
        <v>51</v>
      </c>
      <c r="T320">
        <v>0</v>
      </c>
      <c r="Y320" t="s">
        <v>35</v>
      </c>
      <c r="AC320" s="2">
        <f t="shared" si="36"/>
        <v>1</v>
      </c>
      <c r="AD320" s="2">
        <f t="shared" si="37"/>
        <v>11</v>
      </c>
      <c r="AE320" s="2">
        <f t="shared" si="38"/>
        <v>10</v>
      </c>
      <c r="AF320" s="2" t="str">
        <f t="shared" si="39"/>
        <v/>
      </c>
      <c r="AG320" s="2" t="str">
        <f t="shared" si="40"/>
        <v/>
      </c>
      <c r="AH320" s="4" t="str">
        <f t="shared" si="41"/>
        <v/>
      </c>
      <c r="AI320" s="2" t="str">
        <f t="shared" si="42"/>
        <v/>
      </c>
      <c r="AJ320" s="2" t="str">
        <f t="shared" si="43"/>
        <v/>
      </c>
      <c r="AK320" s="2" t="str">
        <f t="shared" si="44"/>
        <v/>
      </c>
    </row>
    <row r="321" spans="1:37" x14ac:dyDescent="0.25">
      <c r="A321">
        <v>2834</v>
      </c>
      <c r="B321" t="s">
        <v>393</v>
      </c>
      <c r="C321" t="s">
        <v>94</v>
      </c>
      <c r="D321" t="s">
        <v>387</v>
      </c>
      <c r="E321" t="s">
        <v>388</v>
      </c>
      <c r="F321" t="s">
        <v>389</v>
      </c>
      <c r="G321" t="s">
        <v>31</v>
      </c>
      <c r="H321" s="1">
        <v>44659.843564814815</v>
      </c>
      <c r="I321" s="1">
        <v>44660.843564814815</v>
      </c>
      <c r="J321" t="s">
        <v>32</v>
      </c>
      <c r="K321" s="1">
        <v>44678.843564814815</v>
      </c>
      <c r="L321" t="s">
        <v>33</v>
      </c>
      <c r="M321" t="s">
        <v>51</v>
      </c>
      <c r="T321">
        <v>0</v>
      </c>
      <c r="Y321" t="s">
        <v>35</v>
      </c>
      <c r="AC321" s="2">
        <f t="shared" si="36"/>
        <v>1</v>
      </c>
      <c r="AD321" s="2">
        <f t="shared" si="37"/>
        <v>19</v>
      </c>
      <c r="AE321" s="2">
        <f t="shared" si="38"/>
        <v>18</v>
      </c>
      <c r="AF321" s="2" t="str">
        <f t="shared" si="39"/>
        <v/>
      </c>
      <c r="AG321" s="2" t="str">
        <f t="shared" si="40"/>
        <v/>
      </c>
      <c r="AH321" s="4" t="str">
        <f t="shared" si="41"/>
        <v/>
      </c>
      <c r="AI321" s="2" t="str">
        <f t="shared" si="42"/>
        <v/>
      </c>
      <c r="AJ321" s="2" t="str">
        <f t="shared" si="43"/>
        <v/>
      </c>
      <c r="AK321" s="2" t="str">
        <f t="shared" si="44"/>
        <v/>
      </c>
    </row>
    <row r="322" spans="1:37" x14ac:dyDescent="0.25">
      <c r="A322">
        <v>2831</v>
      </c>
      <c r="B322" t="s">
        <v>394</v>
      </c>
      <c r="C322" t="s">
        <v>94</v>
      </c>
      <c r="D322" t="s">
        <v>387</v>
      </c>
      <c r="E322" t="s">
        <v>388</v>
      </c>
      <c r="F322" t="s">
        <v>389</v>
      </c>
      <c r="G322" t="s">
        <v>31</v>
      </c>
      <c r="H322" s="1">
        <v>44658.843564814815</v>
      </c>
      <c r="I322" s="1">
        <v>44660.843564814815</v>
      </c>
      <c r="J322" t="s">
        <v>32</v>
      </c>
      <c r="K322" s="1">
        <v>44679.843564814815</v>
      </c>
      <c r="L322" t="s">
        <v>33</v>
      </c>
      <c r="M322" t="s">
        <v>51</v>
      </c>
      <c r="R322" s="4">
        <v>44681.843564814815</v>
      </c>
      <c r="T322">
        <v>0</v>
      </c>
      <c r="Y322" t="s">
        <v>55</v>
      </c>
      <c r="AC322" s="2">
        <f t="shared" si="36"/>
        <v>2</v>
      </c>
      <c r="AD322" s="2">
        <f t="shared" si="37"/>
        <v>21</v>
      </c>
      <c r="AE322" s="2">
        <f t="shared" si="38"/>
        <v>19</v>
      </c>
      <c r="AF322" s="2">
        <f t="shared" si="39"/>
        <v>23</v>
      </c>
      <c r="AG322" s="2">
        <f t="shared" si="40"/>
        <v>2</v>
      </c>
      <c r="AH322" s="4">
        <f t="shared" si="41"/>
        <v>44771.843564814815</v>
      </c>
      <c r="AI322" s="2" t="str">
        <f t="shared" si="42"/>
        <v/>
      </c>
      <c r="AJ322" s="2" t="str">
        <f t="shared" si="43"/>
        <v/>
      </c>
      <c r="AK322" s="2" t="str">
        <f t="shared" si="44"/>
        <v/>
      </c>
    </row>
    <row r="323" spans="1:37" x14ac:dyDescent="0.25">
      <c r="A323">
        <v>2734</v>
      </c>
      <c r="B323" t="s">
        <v>395</v>
      </c>
      <c r="C323" t="s">
        <v>94</v>
      </c>
      <c r="D323" t="s">
        <v>387</v>
      </c>
      <c r="E323" t="s">
        <v>388</v>
      </c>
      <c r="F323" t="s">
        <v>389</v>
      </c>
      <c r="G323" t="s">
        <v>31</v>
      </c>
      <c r="H323" s="1">
        <v>44749.981076388889</v>
      </c>
      <c r="I323" s="1">
        <v>44752.981076388889</v>
      </c>
      <c r="J323" t="s">
        <v>44</v>
      </c>
      <c r="K323" s="1"/>
      <c r="T323">
        <v>0</v>
      </c>
      <c r="AC323" s="2">
        <f t="shared" ref="AC323:AC386" si="45">IF(AND(I323&lt;&gt;"",H323&lt;&gt;""), I323-H323, "")</f>
        <v>3</v>
      </c>
      <c r="AD323" s="2" t="str">
        <f t="shared" ref="AD323:AD386" si="46">IF(AND(K323&lt;&gt;"",H323&lt;&gt;""), K323-H323, "")</f>
        <v/>
      </c>
      <c r="AE323" s="2" t="str">
        <f t="shared" ref="AE323:AE386" si="47">IF(AND(K323&lt;&gt;"",I323&lt;&gt;""), K323-I323, "")</f>
        <v/>
      </c>
      <c r="AF323" s="2" t="str">
        <f t="shared" ref="AF323:AF386" si="48">IF(AND(R323&lt;&gt;"",H323&lt;&gt;""), R323-H323, "")</f>
        <v/>
      </c>
      <c r="AG323" s="2" t="str">
        <f t="shared" ref="AG323:AG386" si="49">IF(AND(R323&lt;&gt;"",K323&lt;&gt;""), R323-K323, "")</f>
        <v/>
      </c>
      <c r="AH323" s="4" t="str">
        <f t="shared" ref="AH323:AH386" si="50">IF(R323&lt;&gt;"", R323+90, "")</f>
        <v/>
      </c>
      <c r="AI323" s="2" t="str">
        <f t="shared" ref="AI323:AI386" si="51">IF(AND(U323&lt;&gt;"",S323&lt;&gt;""), U323-S323, "")</f>
        <v/>
      </c>
      <c r="AJ323" s="2" t="str">
        <f t="shared" ref="AJ323:AJ386" si="52">IF(AND(Z323&lt;&gt;"",R323&lt;&gt;""), Z323-R323, "")</f>
        <v/>
      </c>
      <c r="AK323" s="2" t="str">
        <f t="shared" ref="AK323:AK386" si="53">IF(AND(W323&lt;&gt;"",R323&lt;&gt;""), W323-R323, "")</f>
        <v/>
      </c>
    </row>
    <row r="324" spans="1:37" x14ac:dyDescent="0.25">
      <c r="A324">
        <v>2732</v>
      </c>
      <c r="B324" t="s">
        <v>396</v>
      </c>
      <c r="C324" t="s">
        <v>94</v>
      </c>
      <c r="D324" t="s">
        <v>387</v>
      </c>
      <c r="E324" t="s">
        <v>388</v>
      </c>
      <c r="F324" t="s">
        <v>389</v>
      </c>
      <c r="G324" t="s">
        <v>31</v>
      </c>
      <c r="H324" s="1">
        <v>44750.981076388889</v>
      </c>
      <c r="I324" s="1">
        <v>44753.981076388889</v>
      </c>
      <c r="J324" t="s">
        <v>32</v>
      </c>
      <c r="K324" s="1">
        <v>44762.981076388889</v>
      </c>
      <c r="L324" t="s">
        <v>33</v>
      </c>
      <c r="M324" t="s">
        <v>67</v>
      </c>
      <c r="R324" s="4">
        <v>44764.981076388889</v>
      </c>
      <c r="T324">
        <v>0</v>
      </c>
      <c r="Y324" t="s">
        <v>35</v>
      </c>
      <c r="AC324" s="2">
        <f t="shared" si="45"/>
        <v>3</v>
      </c>
      <c r="AD324" s="2">
        <f t="shared" si="46"/>
        <v>12</v>
      </c>
      <c r="AE324" s="2">
        <f t="shared" si="47"/>
        <v>9</v>
      </c>
      <c r="AF324" s="2">
        <f t="shared" si="48"/>
        <v>14</v>
      </c>
      <c r="AG324" s="2">
        <f t="shared" si="49"/>
        <v>2</v>
      </c>
      <c r="AH324" s="4">
        <f t="shared" si="50"/>
        <v>44854.981076388889</v>
      </c>
      <c r="AI324" s="2" t="str">
        <f t="shared" si="51"/>
        <v/>
      </c>
      <c r="AJ324" s="2" t="str">
        <f t="shared" si="52"/>
        <v/>
      </c>
      <c r="AK324" s="2" t="str">
        <f t="shared" si="53"/>
        <v/>
      </c>
    </row>
    <row r="325" spans="1:37" x14ac:dyDescent="0.25">
      <c r="A325">
        <v>2570</v>
      </c>
      <c r="B325" t="s">
        <v>397</v>
      </c>
      <c r="C325" t="s">
        <v>94</v>
      </c>
      <c r="D325" t="s">
        <v>387</v>
      </c>
      <c r="E325" t="s">
        <v>388</v>
      </c>
      <c r="F325" t="s">
        <v>389</v>
      </c>
      <c r="G325" t="s">
        <v>31</v>
      </c>
      <c r="H325" s="1">
        <v>44883.290763888886</v>
      </c>
      <c r="I325" s="1">
        <v>44887.290763888886</v>
      </c>
      <c r="J325" t="s">
        <v>32</v>
      </c>
      <c r="K325" s="1">
        <v>44896.290763888886</v>
      </c>
      <c r="L325" t="s">
        <v>33</v>
      </c>
      <c r="M325" t="s">
        <v>51</v>
      </c>
      <c r="R325" s="4">
        <v>44897.290763888886</v>
      </c>
      <c r="T325">
        <v>0</v>
      </c>
      <c r="Y325" t="s">
        <v>35</v>
      </c>
      <c r="AC325" s="2">
        <f t="shared" si="45"/>
        <v>4</v>
      </c>
      <c r="AD325" s="2">
        <f t="shared" si="46"/>
        <v>13</v>
      </c>
      <c r="AE325" s="2">
        <f t="shared" si="47"/>
        <v>9</v>
      </c>
      <c r="AF325" s="2">
        <f t="shared" si="48"/>
        <v>14</v>
      </c>
      <c r="AG325" s="2">
        <f t="shared" si="49"/>
        <v>1</v>
      </c>
      <c r="AH325" s="4">
        <f t="shared" si="50"/>
        <v>44987.290763888886</v>
      </c>
      <c r="AI325" s="2" t="str">
        <f t="shared" si="51"/>
        <v/>
      </c>
      <c r="AJ325" s="2" t="str">
        <f t="shared" si="52"/>
        <v/>
      </c>
      <c r="AK325" s="2" t="str">
        <f t="shared" si="53"/>
        <v/>
      </c>
    </row>
    <row r="326" spans="1:37" x14ac:dyDescent="0.25">
      <c r="A326">
        <v>2564</v>
      </c>
      <c r="B326" t="s">
        <v>398</v>
      </c>
      <c r="C326" t="s">
        <v>94</v>
      </c>
      <c r="D326" t="s">
        <v>387</v>
      </c>
      <c r="E326" t="s">
        <v>388</v>
      </c>
      <c r="F326" t="s">
        <v>389</v>
      </c>
      <c r="G326" t="s">
        <v>31</v>
      </c>
      <c r="H326" s="1">
        <v>44888.290763888886</v>
      </c>
      <c r="I326" s="1">
        <v>44890.290763888886</v>
      </c>
      <c r="J326" t="s">
        <v>32</v>
      </c>
      <c r="K326" s="1">
        <v>44906.290763888886</v>
      </c>
      <c r="L326" t="s">
        <v>39</v>
      </c>
      <c r="N326" s="4">
        <v>44911.290763888886</v>
      </c>
      <c r="O326" t="s">
        <v>39</v>
      </c>
      <c r="R326" s="4">
        <v>44909.290763888886</v>
      </c>
      <c r="T326">
        <v>0</v>
      </c>
      <c r="AC326" s="2">
        <f t="shared" si="45"/>
        <v>2</v>
      </c>
      <c r="AD326" s="2">
        <f t="shared" si="46"/>
        <v>18</v>
      </c>
      <c r="AE326" s="2">
        <f t="shared" si="47"/>
        <v>16</v>
      </c>
      <c r="AF326" s="2">
        <f t="shared" si="48"/>
        <v>21</v>
      </c>
      <c r="AG326" s="2">
        <f t="shared" si="49"/>
        <v>3</v>
      </c>
      <c r="AH326" s="4">
        <f t="shared" si="50"/>
        <v>44999.290763888886</v>
      </c>
      <c r="AI326" s="2" t="str">
        <f t="shared" si="51"/>
        <v/>
      </c>
      <c r="AJ326" s="2" t="str">
        <f t="shared" si="52"/>
        <v/>
      </c>
      <c r="AK326" s="2" t="str">
        <f t="shared" si="53"/>
        <v/>
      </c>
    </row>
    <row r="327" spans="1:37" x14ac:dyDescent="0.25">
      <c r="A327">
        <v>2539</v>
      </c>
      <c r="B327" t="s">
        <v>399</v>
      </c>
      <c r="C327" t="s">
        <v>94</v>
      </c>
      <c r="D327" t="s">
        <v>387</v>
      </c>
      <c r="E327" t="s">
        <v>388</v>
      </c>
      <c r="F327" t="s">
        <v>389</v>
      </c>
      <c r="G327" t="s">
        <v>31</v>
      </c>
      <c r="H327" s="1">
        <v>44683.058252314811</v>
      </c>
      <c r="I327" s="1">
        <v>44687.058252314811</v>
      </c>
      <c r="J327" t="s">
        <v>32</v>
      </c>
      <c r="K327" s="1">
        <v>44693.058252314811</v>
      </c>
      <c r="L327" t="s">
        <v>57</v>
      </c>
      <c r="N327" s="4">
        <v>44697.058252314811</v>
      </c>
      <c r="O327" t="s">
        <v>57</v>
      </c>
      <c r="P327" s="4">
        <v>44694.058252314811</v>
      </c>
      <c r="Q327" s="4">
        <v>44695.058252314811</v>
      </c>
      <c r="R327" s="4">
        <v>44695.058252314811</v>
      </c>
      <c r="S327" s="4">
        <v>44699.058252314811</v>
      </c>
      <c r="T327">
        <v>1</v>
      </c>
      <c r="U327" s="4">
        <v>44702.058252314811</v>
      </c>
      <c r="V327" s="4">
        <v>44703.058252314811</v>
      </c>
      <c r="W327" s="4">
        <v>44706.058252314811</v>
      </c>
      <c r="Z327" s="4">
        <v>44713.058252314811</v>
      </c>
      <c r="AC327" s="2">
        <f t="shared" si="45"/>
        <v>4</v>
      </c>
      <c r="AD327" s="2">
        <f t="shared" si="46"/>
        <v>10</v>
      </c>
      <c r="AE327" s="2">
        <f t="shared" si="47"/>
        <v>6</v>
      </c>
      <c r="AF327" s="2">
        <f t="shared" si="48"/>
        <v>12</v>
      </c>
      <c r="AG327" s="2">
        <f t="shared" si="49"/>
        <v>2</v>
      </c>
      <c r="AH327" s="4">
        <f t="shared" si="50"/>
        <v>44785.058252314811</v>
      </c>
      <c r="AI327" s="2">
        <f t="shared" si="51"/>
        <v>3</v>
      </c>
      <c r="AJ327" s="2">
        <f t="shared" si="52"/>
        <v>18</v>
      </c>
      <c r="AK327" s="2">
        <f t="shared" si="53"/>
        <v>11</v>
      </c>
    </row>
    <row r="328" spans="1:37" x14ac:dyDescent="0.25">
      <c r="A328">
        <v>2537</v>
      </c>
      <c r="B328" t="s">
        <v>400</v>
      </c>
      <c r="C328" t="s">
        <v>94</v>
      </c>
      <c r="D328" t="s">
        <v>387</v>
      </c>
      <c r="E328" t="s">
        <v>388</v>
      </c>
      <c r="F328" t="s">
        <v>389</v>
      </c>
      <c r="G328" t="s">
        <v>31</v>
      </c>
      <c r="H328" s="1">
        <v>44682.058252314811</v>
      </c>
      <c r="I328" s="1">
        <v>44685.058252314811</v>
      </c>
      <c r="J328" t="s">
        <v>32</v>
      </c>
      <c r="K328" s="1">
        <v>44698.058252314811</v>
      </c>
      <c r="L328" t="s">
        <v>39</v>
      </c>
      <c r="N328" s="4">
        <v>44701.058252314811</v>
      </c>
      <c r="O328" t="s">
        <v>39</v>
      </c>
      <c r="R328" s="4">
        <v>44699.058252314811</v>
      </c>
      <c r="T328">
        <v>0</v>
      </c>
      <c r="AC328" s="2">
        <f t="shared" si="45"/>
        <v>3</v>
      </c>
      <c r="AD328" s="2">
        <f t="shared" si="46"/>
        <v>16</v>
      </c>
      <c r="AE328" s="2">
        <f t="shared" si="47"/>
        <v>13</v>
      </c>
      <c r="AF328" s="2">
        <f t="shared" si="48"/>
        <v>17</v>
      </c>
      <c r="AG328" s="2">
        <f t="shared" si="49"/>
        <v>1</v>
      </c>
      <c r="AH328" s="4">
        <f t="shared" si="50"/>
        <v>44789.058252314811</v>
      </c>
      <c r="AI328" s="2" t="str">
        <f t="shared" si="51"/>
        <v/>
      </c>
      <c r="AJ328" s="2" t="str">
        <f t="shared" si="52"/>
        <v/>
      </c>
      <c r="AK328" s="2" t="str">
        <f t="shared" si="53"/>
        <v/>
      </c>
    </row>
    <row r="329" spans="1:37" x14ac:dyDescent="0.25">
      <c r="A329">
        <v>2534</v>
      </c>
      <c r="B329" t="s">
        <v>401</v>
      </c>
      <c r="C329" t="s">
        <v>94</v>
      </c>
      <c r="D329" t="s">
        <v>387</v>
      </c>
      <c r="E329" t="s">
        <v>388</v>
      </c>
      <c r="F329" t="s">
        <v>389</v>
      </c>
      <c r="G329" t="s">
        <v>31</v>
      </c>
      <c r="H329" s="1">
        <v>44682.058252314811</v>
      </c>
      <c r="I329" s="1">
        <v>44686.058252314811</v>
      </c>
      <c r="J329" t="s">
        <v>32</v>
      </c>
      <c r="K329" s="1">
        <v>44695.058252314811</v>
      </c>
      <c r="L329" t="s">
        <v>33</v>
      </c>
      <c r="M329" t="s">
        <v>51</v>
      </c>
      <c r="T329">
        <v>0</v>
      </c>
      <c r="Y329" t="s">
        <v>35</v>
      </c>
      <c r="AC329" s="2">
        <f t="shared" si="45"/>
        <v>4</v>
      </c>
      <c r="AD329" s="2">
        <f t="shared" si="46"/>
        <v>13</v>
      </c>
      <c r="AE329" s="2">
        <f t="shared" si="47"/>
        <v>9</v>
      </c>
      <c r="AF329" s="2" t="str">
        <f t="shared" si="48"/>
        <v/>
      </c>
      <c r="AG329" s="2" t="str">
        <f t="shared" si="49"/>
        <v/>
      </c>
      <c r="AH329" s="4" t="str">
        <f t="shared" si="50"/>
        <v/>
      </c>
      <c r="AI329" s="2" t="str">
        <f t="shared" si="51"/>
        <v/>
      </c>
      <c r="AJ329" s="2" t="str">
        <f t="shared" si="52"/>
        <v/>
      </c>
      <c r="AK329" s="2" t="str">
        <f t="shared" si="53"/>
        <v/>
      </c>
    </row>
    <row r="330" spans="1:37" x14ac:dyDescent="0.25">
      <c r="A330">
        <v>2532</v>
      </c>
      <c r="B330" t="s">
        <v>402</v>
      </c>
      <c r="C330" t="s">
        <v>94</v>
      </c>
      <c r="D330" t="s">
        <v>387</v>
      </c>
      <c r="E330" t="s">
        <v>388</v>
      </c>
      <c r="F330" t="s">
        <v>389</v>
      </c>
      <c r="G330" t="s">
        <v>31</v>
      </c>
      <c r="H330" s="1">
        <v>44682.058252314811</v>
      </c>
      <c r="I330" s="1">
        <v>44686.058252314811</v>
      </c>
      <c r="J330" t="s">
        <v>44</v>
      </c>
      <c r="K330" s="1"/>
      <c r="T330">
        <v>0</v>
      </c>
      <c r="AC330" s="2">
        <f t="shared" si="45"/>
        <v>4</v>
      </c>
      <c r="AD330" s="2" t="str">
        <f t="shared" si="46"/>
        <v/>
      </c>
      <c r="AE330" s="2" t="str">
        <f t="shared" si="47"/>
        <v/>
      </c>
      <c r="AF330" s="2" t="str">
        <f t="shared" si="48"/>
        <v/>
      </c>
      <c r="AG330" s="2" t="str">
        <f t="shared" si="49"/>
        <v/>
      </c>
      <c r="AH330" s="4" t="str">
        <f t="shared" si="50"/>
        <v/>
      </c>
      <c r="AI330" s="2" t="str">
        <f t="shared" si="51"/>
        <v/>
      </c>
      <c r="AJ330" s="2" t="str">
        <f t="shared" si="52"/>
        <v/>
      </c>
      <c r="AK330" s="2" t="str">
        <f t="shared" si="53"/>
        <v/>
      </c>
    </row>
    <row r="331" spans="1:37" x14ac:dyDescent="0.25">
      <c r="A331">
        <v>2520</v>
      </c>
      <c r="B331" t="s">
        <v>403</v>
      </c>
      <c r="C331" t="s">
        <v>94</v>
      </c>
      <c r="D331" t="s">
        <v>387</v>
      </c>
      <c r="E331" t="s">
        <v>388</v>
      </c>
      <c r="F331" t="s">
        <v>389</v>
      </c>
      <c r="G331" t="s">
        <v>31</v>
      </c>
      <c r="H331" s="1">
        <v>45171.133263888885</v>
      </c>
      <c r="I331" s="1">
        <v>45173.133263888885</v>
      </c>
      <c r="J331" t="s">
        <v>32</v>
      </c>
      <c r="K331" s="1">
        <v>45182.133263888885</v>
      </c>
      <c r="L331" t="s">
        <v>57</v>
      </c>
      <c r="N331" s="4">
        <v>45187.133263888885</v>
      </c>
      <c r="O331" t="s">
        <v>57</v>
      </c>
      <c r="P331" s="4">
        <v>45183.133263888885</v>
      </c>
      <c r="Q331" s="4">
        <v>45186.133263888885</v>
      </c>
      <c r="R331" s="4">
        <v>45185.133263888885</v>
      </c>
      <c r="S331" s="4">
        <v>45189.133263888885</v>
      </c>
      <c r="T331">
        <v>1</v>
      </c>
      <c r="U331" s="4">
        <v>45190.133263888885</v>
      </c>
      <c r="V331" s="4">
        <v>45192.133263888885</v>
      </c>
      <c r="W331" s="4">
        <v>45194.133263888885</v>
      </c>
      <c r="Z331" s="4">
        <v>45212.133263888885</v>
      </c>
      <c r="AC331" s="2">
        <f t="shared" si="45"/>
        <v>2</v>
      </c>
      <c r="AD331" s="2">
        <f t="shared" si="46"/>
        <v>11</v>
      </c>
      <c r="AE331" s="2">
        <f t="shared" si="47"/>
        <v>9</v>
      </c>
      <c r="AF331" s="2">
        <f t="shared" si="48"/>
        <v>14</v>
      </c>
      <c r="AG331" s="2">
        <f t="shared" si="49"/>
        <v>3</v>
      </c>
      <c r="AH331" s="4">
        <f t="shared" si="50"/>
        <v>45275.133263888885</v>
      </c>
      <c r="AI331" s="2">
        <f t="shared" si="51"/>
        <v>1</v>
      </c>
      <c r="AJ331" s="2">
        <f t="shared" si="52"/>
        <v>27</v>
      </c>
      <c r="AK331" s="2">
        <f t="shared" si="53"/>
        <v>9</v>
      </c>
    </row>
    <row r="332" spans="1:37" x14ac:dyDescent="0.25">
      <c r="A332">
        <v>2516</v>
      </c>
      <c r="B332" t="s">
        <v>404</v>
      </c>
      <c r="C332" t="s">
        <v>94</v>
      </c>
      <c r="D332" t="s">
        <v>387</v>
      </c>
      <c r="E332" t="s">
        <v>388</v>
      </c>
      <c r="F332" t="s">
        <v>389</v>
      </c>
      <c r="G332" t="s">
        <v>31</v>
      </c>
      <c r="H332" s="1">
        <v>45167.133263888885</v>
      </c>
      <c r="I332" s="1">
        <v>45171.133263888885</v>
      </c>
      <c r="J332" t="s">
        <v>32</v>
      </c>
      <c r="K332" s="1">
        <v>45191.133263888885</v>
      </c>
      <c r="L332" t="s">
        <v>33</v>
      </c>
      <c r="M332" t="s">
        <v>92</v>
      </c>
      <c r="R332" s="4">
        <v>45193.133263888885</v>
      </c>
      <c r="T332">
        <v>0</v>
      </c>
      <c r="Y332" t="s">
        <v>55</v>
      </c>
      <c r="AC332" s="2">
        <f t="shared" si="45"/>
        <v>4</v>
      </c>
      <c r="AD332" s="2">
        <f t="shared" si="46"/>
        <v>24</v>
      </c>
      <c r="AE332" s="2">
        <f t="shared" si="47"/>
        <v>20</v>
      </c>
      <c r="AF332" s="2">
        <f t="shared" si="48"/>
        <v>26</v>
      </c>
      <c r="AG332" s="2">
        <f t="shared" si="49"/>
        <v>2</v>
      </c>
      <c r="AH332" s="4">
        <f t="shared" si="50"/>
        <v>45283.133263888885</v>
      </c>
      <c r="AI332" s="2" t="str">
        <f t="shared" si="51"/>
        <v/>
      </c>
      <c r="AJ332" s="2" t="str">
        <f t="shared" si="52"/>
        <v/>
      </c>
      <c r="AK332" s="2" t="str">
        <f t="shared" si="53"/>
        <v/>
      </c>
    </row>
    <row r="333" spans="1:37" x14ac:dyDescent="0.25">
      <c r="A333">
        <v>2515</v>
      </c>
      <c r="B333" t="s">
        <v>405</v>
      </c>
      <c r="C333" t="s">
        <v>94</v>
      </c>
      <c r="D333" t="s">
        <v>387</v>
      </c>
      <c r="E333" t="s">
        <v>388</v>
      </c>
      <c r="F333" t="s">
        <v>389</v>
      </c>
      <c r="G333" t="s">
        <v>31</v>
      </c>
      <c r="H333" s="1">
        <v>45169.133263888885</v>
      </c>
      <c r="I333" s="1">
        <v>45171.133263888885</v>
      </c>
      <c r="J333" t="s">
        <v>44</v>
      </c>
      <c r="K333" s="1"/>
      <c r="T333">
        <v>0</v>
      </c>
      <c r="AC333" s="2">
        <f t="shared" si="45"/>
        <v>2</v>
      </c>
      <c r="AD333" s="2" t="str">
        <f t="shared" si="46"/>
        <v/>
      </c>
      <c r="AE333" s="2" t="str">
        <f t="shared" si="47"/>
        <v/>
      </c>
      <c r="AF333" s="2" t="str">
        <f t="shared" si="48"/>
        <v/>
      </c>
      <c r="AG333" s="2" t="str">
        <f t="shared" si="49"/>
        <v/>
      </c>
      <c r="AH333" s="4" t="str">
        <f t="shared" si="50"/>
        <v/>
      </c>
      <c r="AI333" s="2" t="str">
        <f t="shared" si="51"/>
        <v/>
      </c>
      <c r="AJ333" s="2" t="str">
        <f t="shared" si="52"/>
        <v/>
      </c>
      <c r="AK333" s="2" t="str">
        <f t="shared" si="53"/>
        <v/>
      </c>
    </row>
    <row r="334" spans="1:37" x14ac:dyDescent="0.25">
      <c r="A334">
        <v>2456</v>
      </c>
      <c r="B334" t="s">
        <v>406</v>
      </c>
      <c r="C334" t="s">
        <v>94</v>
      </c>
      <c r="D334" t="s">
        <v>387</v>
      </c>
      <c r="E334" t="s">
        <v>388</v>
      </c>
      <c r="F334" t="s">
        <v>389</v>
      </c>
      <c r="G334" t="s">
        <v>31</v>
      </c>
      <c r="H334" s="1">
        <v>45162.069826388892</v>
      </c>
      <c r="I334" s="1">
        <v>45163.069826388892</v>
      </c>
      <c r="J334" t="s">
        <v>32</v>
      </c>
      <c r="K334" s="1">
        <v>45171.069826388892</v>
      </c>
      <c r="L334" t="s">
        <v>57</v>
      </c>
      <c r="N334" s="4">
        <v>45178.069826388892</v>
      </c>
      <c r="O334" t="s">
        <v>57</v>
      </c>
      <c r="P334" s="4">
        <v>45173.069826388892</v>
      </c>
      <c r="Q334" s="4">
        <v>45175.069826388892</v>
      </c>
      <c r="R334" s="4">
        <v>45175.069826388892</v>
      </c>
      <c r="S334" s="4">
        <v>45179.069826388892</v>
      </c>
      <c r="T334">
        <v>1</v>
      </c>
      <c r="U334" s="4">
        <v>45180.069826388892</v>
      </c>
      <c r="V334" s="4">
        <v>45183.069826388892</v>
      </c>
      <c r="W334" s="4">
        <v>45186.069826388892</v>
      </c>
      <c r="Z334" s="4">
        <v>45205.069826388892</v>
      </c>
      <c r="AC334" s="2">
        <f t="shared" si="45"/>
        <v>1</v>
      </c>
      <c r="AD334" s="2">
        <f t="shared" si="46"/>
        <v>9</v>
      </c>
      <c r="AE334" s="2">
        <f t="shared" si="47"/>
        <v>8</v>
      </c>
      <c r="AF334" s="2">
        <f t="shared" si="48"/>
        <v>13</v>
      </c>
      <c r="AG334" s="2">
        <f t="shared" si="49"/>
        <v>4</v>
      </c>
      <c r="AH334" s="4">
        <f t="shared" si="50"/>
        <v>45265.069826388892</v>
      </c>
      <c r="AI334" s="2">
        <f t="shared" si="51"/>
        <v>1</v>
      </c>
      <c r="AJ334" s="2">
        <f t="shared" si="52"/>
        <v>30</v>
      </c>
      <c r="AK334" s="2">
        <f t="shared" si="53"/>
        <v>11</v>
      </c>
    </row>
    <row r="335" spans="1:37" x14ac:dyDescent="0.25">
      <c r="A335">
        <v>2450</v>
      </c>
      <c r="B335" t="s">
        <v>407</v>
      </c>
      <c r="C335" t="s">
        <v>94</v>
      </c>
      <c r="D335" t="s">
        <v>387</v>
      </c>
      <c r="E335" t="s">
        <v>388</v>
      </c>
      <c r="F335" t="s">
        <v>389</v>
      </c>
      <c r="G335" t="s">
        <v>31</v>
      </c>
      <c r="H335" s="1">
        <v>44863.772222222222</v>
      </c>
      <c r="I335" s="1">
        <v>44867.772222222222</v>
      </c>
      <c r="J335" t="s">
        <v>32</v>
      </c>
      <c r="K335" s="1">
        <v>44880.772222222222</v>
      </c>
      <c r="L335" t="s">
        <v>39</v>
      </c>
      <c r="N335" s="4">
        <v>44885.772222222222</v>
      </c>
      <c r="O335" t="s">
        <v>39</v>
      </c>
      <c r="R335" s="4">
        <v>44884.772222222222</v>
      </c>
      <c r="T335">
        <v>0</v>
      </c>
      <c r="AC335" s="2">
        <f t="shared" si="45"/>
        <v>4</v>
      </c>
      <c r="AD335" s="2">
        <f t="shared" si="46"/>
        <v>17</v>
      </c>
      <c r="AE335" s="2">
        <f t="shared" si="47"/>
        <v>13</v>
      </c>
      <c r="AF335" s="2">
        <f t="shared" si="48"/>
        <v>21</v>
      </c>
      <c r="AG335" s="2">
        <f t="shared" si="49"/>
        <v>4</v>
      </c>
      <c r="AH335" s="4">
        <f t="shared" si="50"/>
        <v>44974.772222222222</v>
      </c>
      <c r="AI335" s="2" t="str">
        <f t="shared" si="51"/>
        <v/>
      </c>
      <c r="AJ335" s="2" t="str">
        <f t="shared" si="52"/>
        <v/>
      </c>
      <c r="AK335" s="2" t="str">
        <f t="shared" si="53"/>
        <v/>
      </c>
    </row>
    <row r="336" spans="1:37" x14ac:dyDescent="0.25">
      <c r="A336">
        <v>2446</v>
      </c>
      <c r="B336" t="s">
        <v>408</v>
      </c>
      <c r="C336" t="s">
        <v>94</v>
      </c>
      <c r="D336" t="s">
        <v>387</v>
      </c>
      <c r="E336" t="s">
        <v>388</v>
      </c>
      <c r="F336" t="s">
        <v>389</v>
      </c>
      <c r="G336" t="s">
        <v>31</v>
      </c>
      <c r="H336" s="1">
        <v>44865.772222222222</v>
      </c>
      <c r="I336" s="1">
        <v>44867.772222222222</v>
      </c>
      <c r="J336" t="s">
        <v>32</v>
      </c>
      <c r="K336" s="1">
        <v>44880.772222222222</v>
      </c>
      <c r="L336" t="s">
        <v>33</v>
      </c>
      <c r="M336" t="s">
        <v>34</v>
      </c>
      <c r="T336">
        <v>0</v>
      </c>
      <c r="Y336" t="s">
        <v>55</v>
      </c>
      <c r="AC336" s="2">
        <f t="shared" si="45"/>
        <v>2</v>
      </c>
      <c r="AD336" s="2">
        <f t="shared" si="46"/>
        <v>15</v>
      </c>
      <c r="AE336" s="2">
        <f t="shared" si="47"/>
        <v>13</v>
      </c>
      <c r="AF336" s="2" t="str">
        <f t="shared" si="48"/>
        <v/>
      </c>
      <c r="AG336" s="2" t="str">
        <f t="shared" si="49"/>
        <v/>
      </c>
      <c r="AH336" s="4" t="str">
        <f t="shared" si="50"/>
        <v/>
      </c>
      <c r="AI336" s="2" t="str">
        <f t="shared" si="51"/>
        <v/>
      </c>
      <c r="AJ336" s="2" t="str">
        <f t="shared" si="52"/>
        <v/>
      </c>
      <c r="AK336" s="2" t="str">
        <f t="shared" si="53"/>
        <v/>
      </c>
    </row>
    <row r="337" spans="1:37" x14ac:dyDescent="0.25">
      <c r="A337">
        <v>2445</v>
      </c>
      <c r="B337" t="s">
        <v>409</v>
      </c>
      <c r="C337" t="s">
        <v>94</v>
      </c>
      <c r="D337" t="s">
        <v>387</v>
      </c>
      <c r="E337" t="s">
        <v>388</v>
      </c>
      <c r="F337" t="s">
        <v>389</v>
      </c>
      <c r="G337" t="s">
        <v>31</v>
      </c>
      <c r="H337" s="1">
        <v>44868.772222222222</v>
      </c>
      <c r="I337" s="1">
        <v>44870.772222222222</v>
      </c>
      <c r="J337" t="s">
        <v>44</v>
      </c>
      <c r="K337" s="1"/>
      <c r="T337">
        <v>0</v>
      </c>
      <c r="AC337" s="2">
        <f t="shared" si="45"/>
        <v>2</v>
      </c>
      <c r="AD337" s="2" t="str">
        <f t="shared" si="46"/>
        <v/>
      </c>
      <c r="AE337" s="2" t="str">
        <f t="shared" si="47"/>
        <v/>
      </c>
      <c r="AF337" s="2" t="str">
        <f t="shared" si="48"/>
        <v/>
      </c>
      <c r="AG337" s="2" t="str">
        <f t="shared" si="49"/>
        <v/>
      </c>
      <c r="AH337" s="4" t="str">
        <f t="shared" si="50"/>
        <v/>
      </c>
      <c r="AI337" s="2" t="str">
        <f t="shared" si="51"/>
        <v/>
      </c>
      <c r="AJ337" s="2" t="str">
        <f t="shared" si="52"/>
        <v/>
      </c>
      <c r="AK337" s="2" t="str">
        <f t="shared" si="53"/>
        <v/>
      </c>
    </row>
    <row r="338" spans="1:37" x14ac:dyDescent="0.25">
      <c r="A338">
        <v>2443</v>
      </c>
      <c r="B338" t="s">
        <v>410</v>
      </c>
      <c r="C338" t="s">
        <v>94</v>
      </c>
      <c r="D338" t="s">
        <v>387</v>
      </c>
      <c r="E338" t="s">
        <v>388</v>
      </c>
      <c r="F338" t="s">
        <v>389</v>
      </c>
      <c r="G338" t="s">
        <v>31</v>
      </c>
      <c r="H338" s="1">
        <v>44865.772222222222</v>
      </c>
      <c r="I338" s="1">
        <v>44869.772222222222</v>
      </c>
      <c r="J338" t="s">
        <v>32</v>
      </c>
      <c r="K338" s="1">
        <v>44879.772222222222</v>
      </c>
      <c r="L338" t="s">
        <v>33</v>
      </c>
      <c r="M338" t="s">
        <v>34</v>
      </c>
      <c r="R338" s="4">
        <v>44882.772222222222</v>
      </c>
      <c r="T338">
        <v>0</v>
      </c>
      <c r="Y338" t="s">
        <v>55</v>
      </c>
      <c r="AC338" s="2">
        <f t="shared" si="45"/>
        <v>4</v>
      </c>
      <c r="AD338" s="2">
        <f t="shared" si="46"/>
        <v>14</v>
      </c>
      <c r="AE338" s="2">
        <f t="shared" si="47"/>
        <v>10</v>
      </c>
      <c r="AF338" s="2">
        <f t="shared" si="48"/>
        <v>17</v>
      </c>
      <c r="AG338" s="2">
        <f t="shared" si="49"/>
        <v>3</v>
      </c>
      <c r="AH338" s="4">
        <f t="shared" si="50"/>
        <v>44972.772222222222</v>
      </c>
      <c r="AI338" s="2" t="str">
        <f t="shared" si="51"/>
        <v/>
      </c>
      <c r="AJ338" s="2" t="str">
        <f t="shared" si="52"/>
        <v/>
      </c>
      <c r="AK338" s="2" t="str">
        <f t="shared" si="53"/>
        <v/>
      </c>
    </row>
    <row r="339" spans="1:37" x14ac:dyDescent="0.25">
      <c r="A339">
        <v>2441</v>
      </c>
      <c r="B339" t="s">
        <v>411</v>
      </c>
      <c r="C339" t="s">
        <v>94</v>
      </c>
      <c r="D339" t="s">
        <v>387</v>
      </c>
      <c r="E339" t="s">
        <v>388</v>
      </c>
      <c r="F339" t="s">
        <v>389</v>
      </c>
      <c r="G339" t="s">
        <v>31</v>
      </c>
      <c r="H339" s="1">
        <v>44868.772222222222</v>
      </c>
      <c r="I339" s="1">
        <v>44872.772222222222</v>
      </c>
      <c r="J339" t="s">
        <v>32</v>
      </c>
      <c r="K339" s="1">
        <v>44880.772222222222</v>
      </c>
      <c r="L339" t="s">
        <v>33</v>
      </c>
      <c r="M339" t="s">
        <v>108</v>
      </c>
      <c r="R339" s="4">
        <v>44883.772222222222</v>
      </c>
      <c r="T339">
        <v>0</v>
      </c>
      <c r="Y339" t="s">
        <v>55</v>
      </c>
      <c r="AC339" s="2">
        <f t="shared" si="45"/>
        <v>4</v>
      </c>
      <c r="AD339" s="2">
        <f t="shared" si="46"/>
        <v>12</v>
      </c>
      <c r="AE339" s="2">
        <f t="shared" si="47"/>
        <v>8</v>
      </c>
      <c r="AF339" s="2">
        <f t="shared" si="48"/>
        <v>15</v>
      </c>
      <c r="AG339" s="2">
        <f t="shared" si="49"/>
        <v>3</v>
      </c>
      <c r="AH339" s="4">
        <f t="shared" si="50"/>
        <v>44973.772222222222</v>
      </c>
      <c r="AI339" s="2" t="str">
        <f t="shared" si="51"/>
        <v/>
      </c>
      <c r="AJ339" s="2" t="str">
        <f t="shared" si="52"/>
        <v/>
      </c>
      <c r="AK339" s="2" t="str">
        <f t="shared" si="53"/>
        <v/>
      </c>
    </row>
    <row r="340" spans="1:37" x14ac:dyDescent="0.25">
      <c r="A340">
        <v>2409</v>
      </c>
      <c r="B340" t="s">
        <v>412</v>
      </c>
      <c r="C340" t="s">
        <v>94</v>
      </c>
      <c r="D340" t="s">
        <v>387</v>
      </c>
      <c r="E340" t="s">
        <v>388</v>
      </c>
      <c r="F340" t="s">
        <v>389</v>
      </c>
      <c r="G340" t="s">
        <v>31</v>
      </c>
      <c r="H340" s="1">
        <v>45017.0859837963</v>
      </c>
      <c r="I340" s="1">
        <v>45019.0859837963</v>
      </c>
      <c r="J340" t="s">
        <v>32</v>
      </c>
      <c r="K340" s="1">
        <v>45036.0859837963</v>
      </c>
      <c r="L340" t="s">
        <v>39</v>
      </c>
      <c r="N340" s="4">
        <v>45041.0859837963</v>
      </c>
      <c r="O340" t="s">
        <v>39</v>
      </c>
      <c r="R340" s="4">
        <v>45038.0859837963</v>
      </c>
      <c r="T340">
        <v>0</v>
      </c>
      <c r="AC340" s="2">
        <f t="shared" si="45"/>
        <v>2</v>
      </c>
      <c r="AD340" s="2">
        <f t="shared" si="46"/>
        <v>19</v>
      </c>
      <c r="AE340" s="2">
        <f t="shared" si="47"/>
        <v>17</v>
      </c>
      <c r="AF340" s="2">
        <f t="shared" si="48"/>
        <v>21</v>
      </c>
      <c r="AG340" s="2">
        <f t="shared" si="49"/>
        <v>2</v>
      </c>
      <c r="AH340" s="4">
        <f t="shared" si="50"/>
        <v>45128.0859837963</v>
      </c>
      <c r="AI340" s="2" t="str">
        <f t="shared" si="51"/>
        <v/>
      </c>
      <c r="AJ340" s="2" t="str">
        <f t="shared" si="52"/>
        <v/>
      </c>
      <c r="AK340" s="2" t="str">
        <f t="shared" si="53"/>
        <v/>
      </c>
    </row>
    <row r="341" spans="1:37" x14ac:dyDescent="0.25">
      <c r="A341">
        <v>2407</v>
      </c>
      <c r="B341" t="s">
        <v>413</v>
      </c>
      <c r="C341" t="s">
        <v>94</v>
      </c>
      <c r="D341" t="s">
        <v>387</v>
      </c>
      <c r="E341" t="s">
        <v>388</v>
      </c>
      <c r="F341" t="s">
        <v>389</v>
      </c>
      <c r="G341" t="s">
        <v>31</v>
      </c>
      <c r="H341" s="1">
        <v>45013.0859837963</v>
      </c>
      <c r="I341" s="1">
        <v>45016.0859837963</v>
      </c>
      <c r="J341" t="s">
        <v>32</v>
      </c>
      <c r="K341" s="1">
        <v>45034.0859837963</v>
      </c>
      <c r="L341" t="s">
        <v>33</v>
      </c>
      <c r="M341" t="s">
        <v>51</v>
      </c>
      <c r="R341" s="4">
        <v>45035.0859837963</v>
      </c>
      <c r="T341">
        <v>0</v>
      </c>
      <c r="Y341" t="s">
        <v>55</v>
      </c>
      <c r="AC341" s="2">
        <f t="shared" si="45"/>
        <v>3</v>
      </c>
      <c r="AD341" s="2">
        <f t="shared" si="46"/>
        <v>21</v>
      </c>
      <c r="AE341" s="2">
        <f t="shared" si="47"/>
        <v>18</v>
      </c>
      <c r="AF341" s="2">
        <f t="shared" si="48"/>
        <v>22</v>
      </c>
      <c r="AG341" s="2">
        <f t="shared" si="49"/>
        <v>1</v>
      </c>
      <c r="AH341" s="4">
        <f t="shared" si="50"/>
        <v>45125.0859837963</v>
      </c>
      <c r="AI341" s="2" t="str">
        <f t="shared" si="51"/>
        <v/>
      </c>
      <c r="AJ341" s="2" t="str">
        <f t="shared" si="52"/>
        <v/>
      </c>
      <c r="AK341" s="2" t="str">
        <f t="shared" si="53"/>
        <v/>
      </c>
    </row>
    <row r="342" spans="1:37" x14ac:dyDescent="0.25">
      <c r="A342">
        <v>2402</v>
      </c>
      <c r="B342" t="s">
        <v>414</v>
      </c>
      <c r="C342" t="s">
        <v>94</v>
      </c>
      <c r="D342" t="s">
        <v>387</v>
      </c>
      <c r="E342" t="s">
        <v>388</v>
      </c>
      <c r="F342" t="s">
        <v>389</v>
      </c>
      <c r="G342" t="s">
        <v>31</v>
      </c>
      <c r="H342" s="1">
        <v>45015.0859837963</v>
      </c>
      <c r="I342" s="1">
        <v>45019.0859837963</v>
      </c>
      <c r="J342" t="s">
        <v>32</v>
      </c>
      <c r="K342" s="1">
        <v>45036.0859837963</v>
      </c>
      <c r="L342" t="s">
        <v>33</v>
      </c>
      <c r="M342" t="s">
        <v>67</v>
      </c>
      <c r="R342" s="4">
        <v>45038.0859837963</v>
      </c>
      <c r="T342">
        <v>0</v>
      </c>
      <c r="Y342" t="s">
        <v>35</v>
      </c>
      <c r="AC342" s="2">
        <f t="shared" si="45"/>
        <v>4</v>
      </c>
      <c r="AD342" s="2">
        <f t="shared" si="46"/>
        <v>21</v>
      </c>
      <c r="AE342" s="2">
        <f t="shared" si="47"/>
        <v>17</v>
      </c>
      <c r="AF342" s="2">
        <f t="shared" si="48"/>
        <v>23</v>
      </c>
      <c r="AG342" s="2">
        <f t="shared" si="49"/>
        <v>2</v>
      </c>
      <c r="AH342" s="4">
        <f t="shared" si="50"/>
        <v>45128.0859837963</v>
      </c>
      <c r="AI342" s="2" t="str">
        <f t="shared" si="51"/>
        <v/>
      </c>
      <c r="AJ342" s="2" t="str">
        <f t="shared" si="52"/>
        <v/>
      </c>
      <c r="AK342" s="2" t="str">
        <f t="shared" si="53"/>
        <v/>
      </c>
    </row>
    <row r="343" spans="1:37" x14ac:dyDescent="0.25">
      <c r="A343">
        <v>2389</v>
      </c>
      <c r="B343" t="s">
        <v>415</v>
      </c>
      <c r="C343" t="s">
        <v>94</v>
      </c>
      <c r="D343" t="s">
        <v>387</v>
      </c>
      <c r="E343" t="s">
        <v>388</v>
      </c>
      <c r="F343" t="s">
        <v>389</v>
      </c>
      <c r="G343" t="s">
        <v>31</v>
      </c>
      <c r="H343" s="1">
        <v>45032.529537037037</v>
      </c>
      <c r="I343" s="1">
        <v>45033.529537037037</v>
      </c>
      <c r="J343" t="s">
        <v>32</v>
      </c>
      <c r="K343" s="1">
        <v>45044.529537037037</v>
      </c>
      <c r="L343" t="s">
        <v>39</v>
      </c>
      <c r="N343" s="4">
        <v>45050.529537037037</v>
      </c>
      <c r="O343" t="s">
        <v>39</v>
      </c>
      <c r="R343" s="4">
        <v>45048.529537037037</v>
      </c>
      <c r="T343">
        <v>0</v>
      </c>
      <c r="AC343" s="2">
        <f t="shared" si="45"/>
        <v>1</v>
      </c>
      <c r="AD343" s="2">
        <f t="shared" si="46"/>
        <v>12</v>
      </c>
      <c r="AE343" s="2">
        <f t="shared" si="47"/>
        <v>11</v>
      </c>
      <c r="AF343" s="2">
        <f t="shared" si="48"/>
        <v>16</v>
      </c>
      <c r="AG343" s="2">
        <f t="shared" si="49"/>
        <v>4</v>
      </c>
      <c r="AH343" s="4">
        <f t="shared" si="50"/>
        <v>45138.529537037037</v>
      </c>
      <c r="AI343" s="2" t="str">
        <f t="shared" si="51"/>
        <v/>
      </c>
      <c r="AJ343" s="2" t="str">
        <f t="shared" si="52"/>
        <v/>
      </c>
      <c r="AK343" s="2" t="str">
        <f t="shared" si="53"/>
        <v/>
      </c>
    </row>
    <row r="344" spans="1:37" x14ac:dyDescent="0.25">
      <c r="A344">
        <v>2385</v>
      </c>
      <c r="B344" t="s">
        <v>416</v>
      </c>
      <c r="C344" t="s">
        <v>94</v>
      </c>
      <c r="D344" t="s">
        <v>387</v>
      </c>
      <c r="E344" t="s">
        <v>388</v>
      </c>
      <c r="F344" t="s">
        <v>389</v>
      </c>
      <c r="G344" t="s">
        <v>31</v>
      </c>
      <c r="H344" s="1">
        <v>45032.529537037037</v>
      </c>
      <c r="I344" s="1">
        <v>45033.529537037037</v>
      </c>
      <c r="J344" t="s">
        <v>32</v>
      </c>
      <c r="K344" s="1">
        <v>45039.529537037037</v>
      </c>
      <c r="L344" t="s">
        <v>33</v>
      </c>
      <c r="M344" t="s">
        <v>67</v>
      </c>
      <c r="T344">
        <v>0</v>
      </c>
      <c r="Y344" t="s">
        <v>55</v>
      </c>
      <c r="AC344" s="2">
        <f t="shared" si="45"/>
        <v>1</v>
      </c>
      <c r="AD344" s="2">
        <f t="shared" si="46"/>
        <v>7</v>
      </c>
      <c r="AE344" s="2">
        <f t="shared" si="47"/>
        <v>6</v>
      </c>
      <c r="AF344" s="2" t="str">
        <f t="shared" si="48"/>
        <v/>
      </c>
      <c r="AG344" s="2" t="str">
        <f t="shared" si="49"/>
        <v/>
      </c>
      <c r="AH344" s="4" t="str">
        <f t="shared" si="50"/>
        <v/>
      </c>
      <c r="AI344" s="2" t="str">
        <f t="shared" si="51"/>
        <v/>
      </c>
      <c r="AJ344" s="2" t="str">
        <f t="shared" si="52"/>
        <v/>
      </c>
      <c r="AK344" s="2" t="str">
        <f t="shared" si="53"/>
        <v/>
      </c>
    </row>
    <row r="345" spans="1:37" x14ac:dyDescent="0.25">
      <c r="A345">
        <v>2381</v>
      </c>
      <c r="B345" t="s">
        <v>417</v>
      </c>
      <c r="C345" t="s">
        <v>94</v>
      </c>
      <c r="D345" t="s">
        <v>387</v>
      </c>
      <c r="E345" t="s">
        <v>388</v>
      </c>
      <c r="F345" t="s">
        <v>389</v>
      </c>
      <c r="G345" t="s">
        <v>31</v>
      </c>
      <c r="H345" s="1">
        <v>45030.529537037037</v>
      </c>
      <c r="I345" s="1">
        <v>45031.529537037037</v>
      </c>
      <c r="J345" t="s">
        <v>32</v>
      </c>
      <c r="K345" s="1">
        <v>45049.529537037037</v>
      </c>
      <c r="L345" t="s">
        <v>57</v>
      </c>
      <c r="N345" s="4">
        <v>45054.529537037037</v>
      </c>
      <c r="O345" t="s">
        <v>57</v>
      </c>
      <c r="P345" s="4">
        <v>45050.529537037037</v>
      </c>
      <c r="Q345" s="4">
        <v>45054.529537037037</v>
      </c>
      <c r="R345" s="4">
        <v>45050.529537037037</v>
      </c>
      <c r="S345" s="4">
        <v>45060.529537037037</v>
      </c>
      <c r="T345">
        <v>1</v>
      </c>
      <c r="U345" s="4">
        <v>45062.529537037037</v>
      </c>
      <c r="V345" s="4">
        <v>45065.529537037037</v>
      </c>
      <c r="W345" s="4">
        <v>45068.529537037037</v>
      </c>
      <c r="Z345" s="4">
        <v>45076.529537037037</v>
      </c>
      <c r="AC345" s="2">
        <f t="shared" si="45"/>
        <v>1</v>
      </c>
      <c r="AD345" s="2">
        <f t="shared" si="46"/>
        <v>19</v>
      </c>
      <c r="AE345" s="2">
        <f t="shared" si="47"/>
        <v>18</v>
      </c>
      <c r="AF345" s="2">
        <f t="shared" si="48"/>
        <v>20</v>
      </c>
      <c r="AG345" s="2">
        <f t="shared" si="49"/>
        <v>1</v>
      </c>
      <c r="AH345" s="4">
        <f t="shared" si="50"/>
        <v>45140.529537037037</v>
      </c>
      <c r="AI345" s="2">
        <f t="shared" si="51"/>
        <v>2</v>
      </c>
      <c r="AJ345" s="2">
        <f t="shared" si="52"/>
        <v>26</v>
      </c>
      <c r="AK345" s="2">
        <f t="shared" si="53"/>
        <v>18</v>
      </c>
    </row>
    <row r="346" spans="1:37" x14ac:dyDescent="0.25">
      <c r="A346">
        <v>2367</v>
      </c>
      <c r="B346" t="s">
        <v>418</v>
      </c>
      <c r="C346" t="s">
        <v>94</v>
      </c>
      <c r="D346" t="s">
        <v>387</v>
      </c>
      <c r="E346" t="s">
        <v>388</v>
      </c>
      <c r="F346" t="s">
        <v>389</v>
      </c>
      <c r="G346" t="s">
        <v>31</v>
      </c>
      <c r="H346" s="1">
        <v>44972.268252314818</v>
      </c>
      <c r="I346" s="1">
        <v>44975.268252314818</v>
      </c>
      <c r="J346" t="s">
        <v>32</v>
      </c>
      <c r="K346" s="1">
        <v>44987.268252314818</v>
      </c>
      <c r="L346" t="s">
        <v>33</v>
      </c>
      <c r="M346" t="s">
        <v>51</v>
      </c>
      <c r="T346">
        <v>0</v>
      </c>
      <c r="Y346" t="s">
        <v>55</v>
      </c>
      <c r="AC346" s="2">
        <f t="shared" si="45"/>
        <v>3</v>
      </c>
      <c r="AD346" s="2">
        <f t="shared" si="46"/>
        <v>15</v>
      </c>
      <c r="AE346" s="2">
        <f t="shared" si="47"/>
        <v>12</v>
      </c>
      <c r="AF346" s="2" t="str">
        <f t="shared" si="48"/>
        <v/>
      </c>
      <c r="AG346" s="2" t="str">
        <f t="shared" si="49"/>
        <v/>
      </c>
      <c r="AH346" s="4" t="str">
        <f t="shared" si="50"/>
        <v/>
      </c>
      <c r="AI346" s="2" t="str">
        <f t="shared" si="51"/>
        <v/>
      </c>
      <c r="AJ346" s="2" t="str">
        <f t="shared" si="52"/>
        <v/>
      </c>
      <c r="AK346" s="2" t="str">
        <f t="shared" si="53"/>
        <v/>
      </c>
    </row>
    <row r="347" spans="1:37" x14ac:dyDescent="0.25">
      <c r="A347">
        <v>2362</v>
      </c>
      <c r="B347" t="s">
        <v>419</v>
      </c>
      <c r="C347" t="s">
        <v>94</v>
      </c>
      <c r="D347" t="s">
        <v>387</v>
      </c>
      <c r="E347" t="s">
        <v>388</v>
      </c>
      <c r="F347" t="s">
        <v>389</v>
      </c>
      <c r="G347" t="s">
        <v>31</v>
      </c>
      <c r="H347" s="1">
        <v>44973.268252314818</v>
      </c>
      <c r="I347" s="1">
        <v>44974.268252314818</v>
      </c>
      <c r="J347" t="s">
        <v>32</v>
      </c>
      <c r="K347" s="1">
        <v>44992.268252314818</v>
      </c>
      <c r="L347" t="s">
        <v>33</v>
      </c>
      <c r="M347" t="s">
        <v>51</v>
      </c>
      <c r="R347" s="4">
        <v>44995.268252314818</v>
      </c>
      <c r="T347">
        <v>0</v>
      </c>
      <c r="Y347" t="s">
        <v>35</v>
      </c>
      <c r="AC347" s="2">
        <f t="shared" si="45"/>
        <v>1</v>
      </c>
      <c r="AD347" s="2">
        <f t="shared" si="46"/>
        <v>19</v>
      </c>
      <c r="AE347" s="2">
        <f t="shared" si="47"/>
        <v>18</v>
      </c>
      <c r="AF347" s="2">
        <f t="shared" si="48"/>
        <v>22</v>
      </c>
      <c r="AG347" s="2">
        <f t="shared" si="49"/>
        <v>3</v>
      </c>
      <c r="AH347" s="4">
        <f t="shared" si="50"/>
        <v>45085.268252314818</v>
      </c>
      <c r="AI347" s="2" t="str">
        <f t="shared" si="51"/>
        <v/>
      </c>
      <c r="AJ347" s="2" t="str">
        <f t="shared" si="52"/>
        <v/>
      </c>
      <c r="AK347" s="2" t="str">
        <f t="shared" si="53"/>
        <v/>
      </c>
    </row>
    <row r="348" spans="1:37" x14ac:dyDescent="0.25">
      <c r="A348">
        <v>2319</v>
      </c>
      <c r="B348" t="s">
        <v>420</v>
      </c>
      <c r="C348" t="s">
        <v>94</v>
      </c>
      <c r="D348" t="s">
        <v>387</v>
      </c>
      <c r="E348" t="s">
        <v>388</v>
      </c>
      <c r="F348" t="s">
        <v>389</v>
      </c>
      <c r="G348" t="s">
        <v>31</v>
      </c>
      <c r="H348" s="1">
        <v>44674.037303240744</v>
      </c>
      <c r="I348" s="1">
        <v>44675.037303240744</v>
      </c>
      <c r="J348" t="s">
        <v>32</v>
      </c>
      <c r="K348" s="1">
        <v>44692.037303240744</v>
      </c>
      <c r="L348" t="s">
        <v>33</v>
      </c>
      <c r="M348" t="s">
        <v>108</v>
      </c>
      <c r="R348" s="4">
        <v>44694.037303240744</v>
      </c>
      <c r="T348">
        <v>0</v>
      </c>
      <c r="Y348" t="s">
        <v>55</v>
      </c>
      <c r="AC348" s="2">
        <f t="shared" si="45"/>
        <v>1</v>
      </c>
      <c r="AD348" s="2">
        <f t="shared" si="46"/>
        <v>18</v>
      </c>
      <c r="AE348" s="2">
        <f t="shared" si="47"/>
        <v>17</v>
      </c>
      <c r="AF348" s="2">
        <f t="shared" si="48"/>
        <v>20</v>
      </c>
      <c r="AG348" s="2">
        <f t="shared" si="49"/>
        <v>2</v>
      </c>
      <c r="AH348" s="4">
        <f t="shared" si="50"/>
        <v>44784.037303240744</v>
      </c>
      <c r="AI348" s="2" t="str">
        <f t="shared" si="51"/>
        <v/>
      </c>
      <c r="AJ348" s="2" t="str">
        <f t="shared" si="52"/>
        <v/>
      </c>
      <c r="AK348" s="2" t="str">
        <f t="shared" si="53"/>
        <v/>
      </c>
    </row>
    <row r="349" spans="1:37" x14ac:dyDescent="0.25">
      <c r="A349">
        <v>2268</v>
      </c>
      <c r="B349" t="s">
        <v>421</v>
      </c>
      <c r="C349" t="s">
        <v>94</v>
      </c>
      <c r="D349" t="s">
        <v>387</v>
      </c>
      <c r="E349" t="s">
        <v>388</v>
      </c>
      <c r="F349" t="s">
        <v>389</v>
      </c>
      <c r="G349" t="s">
        <v>31</v>
      </c>
      <c r="H349" s="1">
        <v>45026.937696759262</v>
      </c>
      <c r="I349" s="1">
        <v>45030.937696759262</v>
      </c>
      <c r="J349" t="s">
        <v>32</v>
      </c>
      <c r="K349" s="1">
        <v>45052.937696759262</v>
      </c>
      <c r="L349" t="s">
        <v>33</v>
      </c>
      <c r="M349" t="s">
        <v>108</v>
      </c>
      <c r="R349" s="4">
        <v>45056.937696759262</v>
      </c>
      <c r="T349">
        <v>0</v>
      </c>
      <c r="Y349" t="s">
        <v>55</v>
      </c>
      <c r="AC349" s="2">
        <f t="shared" si="45"/>
        <v>4</v>
      </c>
      <c r="AD349" s="2">
        <f t="shared" si="46"/>
        <v>26</v>
      </c>
      <c r="AE349" s="2">
        <f t="shared" si="47"/>
        <v>22</v>
      </c>
      <c r="AF349" s="2">
        <f t="shared" si="48"/>
        <v>30</v>
      </c>
      <c r="AG349" s="2">
        <f t="shared" si="49"/>
        <v>4</v>
      </c>
      <c r="AH349" s="4">
        <f t="shared" si="50"/>
        <v>45146.937696759262</v>
      </c>
      <c r="AI349" s="2" t="str">
        <f t="shared" si="51"/>
        <v/>
      </c>
      <c r="AJ349" s="2" t="str">
        <f t="shared" si="52"/>
        <v/>
      </c>
      <c r="AK349" s="2" t="str">
        <f t="shared" si="53"/>
        <v/>
      </c>
    </row>
    <row r="350" spans="1:37" x14ac:dyDescent="0.25">
      <c r="A350">
        <v>2266</v>
      </c>
      <c r="B350" t="s">
        <v>422</v>
      </c>
      <c r="C350" t="s">
        <v>94</v>
      </c>
      <c r="D350" t="s">
        <v>387</v>
      </c>
      <c r="E350" t="s">
        <v>388</v>
      </c>
      <c r="F350" t="s">
        <v>389</v>
      </c>
      <c r="G350" t="s">
        <v>31</v>
      </c>
      <c r="H350" s="1">
        <v>45030.937696759262</v>
      </c>
      <c r="I350" s="1">
        <v>45032.937696759262</v>
      </c>
      <c r="J350" t="s">
        <v>44</v>
      </c>
      <c r="K350" s="1"/>
      <c r="T350">
        <v>0</v>
      </c>
      <c r="AC350" s="2">
        <f t="shared" si="45"/>
        <v>2</v>
      </c>
      <c r="AD350" s="2" t="str">
        <f t="shared" si="46"/>
        <v/>
      </c>
      <c r="AE350" s="2" t="str">
        <f t="shared" si="47"/>
        <v/>
      </c>
      <c r="AF350" s="2" t="str">
        <f t="shared" si="48"/>
        <v/>
      </c>
      <c r="AG350" s="2" t="str">
        <f t="shared" si="49"/>
        <v/>
      </c>
      <c r="AH350" s="4" t="str">
        <f t="shared" si="50"/>
        <v/>
      </c>
      <c r="AI350" s="2" t="str">
        <f t="shared" si="51"/>
        <v/>
      </c>
      <c r="AJ350" s="2" t="str">
        <f t="shared" si="52"/>
        <v/>
      </c>
      <c r="AK350" s="2" t="str">
        <f t="shared" si="53"/>
        <v/>
      </c>
    </row>
    <row r="351" spans="1:37" x14ac:dyDescent="0.25">
      <c r="A351">
        <v>2261</v>
      </c>
      <c r="B351" t="s">
        <v>423</v>
      </c>
      <c r="C351" t="s">
        <v>94</v>
      </c>
      <c r="D351" t="s">
        <v>387</v>
      </c>
      <c r="E351" t="s">
        <v>388</v>
      </c>
      <c r="F351" t="s">
        <v>389</v>
      </c>
      <c r="G351" t="s">
        <v>31</v>
      </c>
      <c r="H351" s="1">
        <v>45027.937696759262</v>
      </c>
      <c r="I351" s="1">
        <v>45031.937696759262</v>
      </c>
      <c r="J351" t="s">
        <v>32</v>
      </c>
      <c r="K351" s="1">
        <v>45041.937696759262</v>
      </c>
      <c r="L351" t="s">
        <v>33</v>
      </c>
      <c r="M351" t="s">
        <v>34</v>
      </c>
      <c r="R351" s="4">
        <v>45045.937696759262</v>
      </c>
      <c r="T351">
        <v>0</v>
      </c>
      <c r="Y351" t="s">
        <v>35</v>
      </c>
      <c r="AC351" s="2">
        <f t="shared" si="45"/>
        <v>4</v>
      </c>
      <c r="AD351" s="2">
        <f t="shared" si="46"/>
        <v>14</v>
      </c>
      <c r="AE351" s="2">
        <f t="shared" si="47"/>
        <v>10</v>
      </c>
      <c r="AF351" s="2">
        <f t="shared" si="48"/>
        <v>18</v>
      </c>
      <c r="AG351" s="2">
        <f t="shared" si="49"/>
        <v>4</v>
      </c>
      <c r="AH351" s="4">
        <f t="shared" si="50"/>
        <v>45135.937696759262</v>
      </c>
      <c r="AI351" s="2" t="str">
        <f t="shared" si="51"/>
        <v/>
      </c>
      <c r="AJ351" s="2" t="str">
        <f t="shared" si="52"/>
        <v/>
      </c>
      <c r="AK351" s="2" t="str">
        <f t="shared" si="53"/>
        <v/>
      </c>
    </row>
    <row r="352" spans="1:37" x14ac:dyDescent="0.25">
      <c r="A352">
        <v>2242</v>
      </c>
      <c r="B352" t="s">
        <v>424</v>
      </c>
      <c r="C352" t="s">
        <v>94</v>
      </c>
      <c r="D352" t="s">
        <v>387</v>
      </c>
      <c r="E352" t="s">
        <v>388</v>
      </c>
      <c r="F352" t="s">
        <v>389</v>
      </c>
      <c r="G352" t="s">
        <v>31</v>
      </c>
      <c r="H352" s="1">
        <v>44926.601747685185</v>
      </c>
      <c r="I352" s="1">
        <v>44928.601747685185</v>
      </c>
      <c r="J352" t="s">
        <v>32</v>
      </c>
      <c r="K352" s="1">
        <v>44942.601747685185</v>
      </c>
      <c r="L352" t="s">
        <v>33</v>
      </c>
      <c r="M352" t="s">
        <v>34</v>
      </c>
      <c r="T352">
        <v>0</v>
      </c>
      <c r="Y352" t="s">
        <v>35</v>
      </c>
      <c r="AC352" s="2">
        <f t="shared" si="45"/>
        <v>2</v>
      </c>
      <c r="AD352" s="2">
        <f t="shared" si="46"/>
        <v>16</v>
      </c>
      <c r="AE352" s="2">
        <f t="shared" si="47"/>
        <v>14</v>
      </c>
      <c r="AF352" s="2" t="str">
        <f t="shared" si="48"/>
        <v/>
      </c>
      <c r="AG352" s="2" t="str">
        <f t="shared" si="49"/>
        <v/>
      </c>
      <c r="AH352" s="4" t="str">
        <f t="shared" si="50"/>
        <v/>
      </c>
      <c r="AI352" s="2" t="str">
        <f t="shared" si="51"/>
        <v/>
      </c>
      <c r="AJ352" s="2" t="str">
        <f t="shared" si="52"/>
        <v/>
      </c>
      <c r="AK352" s="2" t="str">
        <f t="shared" si="53"/>
        <v/>
      </c>
    </row>
    <row r="353" spans="1:37" x14ac:dyDescent="0.25">
      <c r="A353">
        <v>2199</v>
      </c>
      <c r="B353" t="s">
        <v>425</v>
      </c>
      <c r="C353" t="s">
        <v>94</v>
      </c>
      <c r="D353" t="s">
        <v>387</v>
      </c>
      <c r="E353" t="s">
        <v>388</v>
      </c>
      <c r="F353" t="s">
        <v>389</v>
      </c>
      <c r="G353" t="s">
        <v>31</v>
      </c>
      <c r="H353" s="1">
        <v>44801.166006944448</v>
      </c>
      <c r="I353" s="1">
        <v>44802.166006944448</v>
      </c>
      <c r="J353" t="s">
        <v>32</v>
      </c>
      <c r="K353" s="1">
        <v>44824.166006944448</v>
      </c>
      <c r="L353" t="s">
        <v>39</v>
      </c>
      <c r="N353" s="4">
        <v>44827.166006944448</v>
      </c>
      <c r="O353" t="s">
        <v>39</v>
      </c>
      <c r="R353" s="4">
        <v>44825.166006944448</v>
      </c>
      <c r="T353">
        <v>0</v>
      </c>
      <c r="AC353" s="2">
        <f t="shared" si="45"/>
        <v>1</v>
      </c>
      <c r="AD353" s="2">
        <f t="shared" si="46"/>
        <v>23</v>
      </c>
      <c r="AE353" s="2">
        <f t="shared" si="47"/>
        <v>22</v>
      </c>
      <c r="AF353" s="2">
        <f t="shared" si="48"/>
        <v>24</v>
      </c>
      <c r="AG353" s="2">
        <f t="shared" si="49"/>
        <v>1</v>
      </c>
      <c r="AH353" s="4">
        <f t="shared" si="50"/>
        <v>44915.166006944448</v>
      </c>
      <c r="AI353" s="2" t="str">
        <f t="shared" si="51"/>
        <v/>
      </c>
      <c r="AJ353" s="2" t="str">
        <f t="shared" si="52"/>
        <v/>
      </c>
      <c r="AK353" s="2" t="str">
        <f t="shared" si="53"/>
        <v/>
      </c>
    </row>
    <row r="354" spans="1:37" x14ac:dyDescent="0.25">
      <c r="A354">
        <v>2198</v>
      </c>
      <c r="B354" t="s">
        <v>426</v>
      </c>
      <c r="C354" t="s">
        <v>94</v>
      </c>
      <c r="D354" t="s">
        <v>387</v>
      </c>
      <c r="E354" t="s">
        <v>388</v>
      </c>
      <c r="F354" t="s">
        <v>389</v>
      </c>
      <c r="G354" t="s">
        <v>31</v>
      </c>
      <c r="H354" s="1">
        <v>44798.166006944448</v>
      </c>
      <c r="I354" s="1">
        <v>44801.166006944448</v>
      </c>
      <c r="J354" t="s">
        <v>44</v>
      </c>
      <c r="K354" s="1"/>
      <c r="T354">
        <v>0</v>
      </c>
      <c r="AC354" s="2">
        <f t="shared" si="45"/>
        <v>3</v>
      </c>
      <c r="AD354" s="2" t="str">
        <f t="shared" si="46"/>
        <v/>
      </c>
      <c r="AE354" s="2" t="str">
        <f t="shared" si="47"/>
        <v/>
      </c>
      <c r="AF354" s="2" t="str">
        <f t="shared" si="48"/>
        <v/>
      </c>
      <c r="AG354" s="2" t="str">
        <f t="shared" si="49"/>
        <v/>
      </c>
      <c r="AH354" s="4" t="str">
        <f t="shared" si="50"/>
        <v/>
      </c>
      <c r="AI354" s="2" t="str">
        <f t="shared" si="51"/>
        <v/>
      </c>
      <c r="AJ354" s="2" t="str">
        <f t="shared" si="52"/>
        <v/>
      </c>
      <c r="AK354" s="2" t="str">
        <f t="shared" si="53"/>
        <v/>
      </c>
    </row>
    <row r="355" spans="1:37" x14ac:dyDescent="0.25">
      <c r="A355">
        <v>2196</v>
      </c>
      <c r="B355" t="s">
        <v>427</v>
      </c>
      <c r="C355" t="s">
        <v>94</v>
      </c>
      <c r="D355" t="s">
        <v>387</v>
      </c>
      <c r="E355" t="s">
        <v>388</v>
      </c>
      <c r="F355" t="s">
        <v>389</v>
      </c>
      <c r="G355" t="s">
        <v>31</v>
      </c>
      <c r="H355" s="1">
        <v>44801.166006944448</v>
      </c>
      <c r="I355" s="1">
        <v>44804.166006944448</v>
      </c>
      <c r="J355" t="s">
        <v>32</v>
      </c>
      <c r="K355" s="1">
        <v>44814.166006944448</v>
      </c>
      <c r="L355" t="s">
        <v>57</v>
      </c>
      <c r="N355" s="4">
        <v>44820.166006944448</v>
      </c>
      <c r="O355" t="s">
        <v>57</v>
      </c>
      <c r="P355" s="4">
        <v>44816.166006944448</v>
      </c>
      <c r="Q355" s="4">
        <v>44818.166006944448</v>
      </c>
      <c r="R355" s="4">
        <v>44816.166006944448</v>
      </c>
      <c r="S355" s="4">
        <v>44822.166006944448</v>
      </c>
      <c r="T355">
        <v>1</v>
      </c>
      <c r="U355" s="4">
        <v>44825.166006944448</v>
      </c>
      <c r="V355" s="4">
        <v>44827.166006944448</v>
      </c>
      <c r="W355" s="4">
        <v>44830.166006944448</v>
      </c>
      <c r="Z355" s="4">
        <v>44837.166006944448</v>
      </c>
      <c r="AC355" s="2">
        <f t="shared" si="45"/>
        <v>3</v>
      </c>
      <c r="AD355" s="2">
        <f t="shared" si="46"/>
        <v>13</v>
      </c>
      <c r="AE355" s="2">
        <f t="shared" si="47"/>
        <v>10</v>
      </c>
      <c r="AF355" s="2">
        <f t="shared" si="48"/>
        <v>15</v>
      </c>
      <c r="AG355" s="2">
        <f t="shared" si="49"/>
        <v>2</v>
      </c>
      <c r="AH355" s="4">
        <f t="shared" si="50"/>
        <v>44906.166006944448</v>
      </c>
      <c r="AI355" s="2">
        <f t="shared" si="51"/>
        <v>3</v>
      </c>
      <c r="AJ355" s="2">
        <f t="shared" si="52"/>
        <v>21</v>
      </c>
      <c r="AK355" s="2">
        <f t="shared" si="53"/>
        <v>14</v>
      </c>
    </row>
    <row r="356" spans="1:37" x14ac:dyDescent="0.25">
      <c r="A356">
        <v>2194</v>
      </c>
      <c r="B356" t="s">
        <v>428</v>
      </c>
      <c r="C356" t="s">
        <v>94</v>
      </c>
      <c r="D356" t="s">
        <v>387</v>
      </c>
      <c r="E356" t="s">
        <v>388</v>
      </c>
      <c r="F356" t="s">
        <v>389</v>
      </c>
      <c r="G356" t="s">
        <v>31</v>
      </c>
      <c r="H356" s="1">
        <v>44801.166006944448</v>
      </c>
      <c r="I356" s="1">
        <v>44805.166006944448</v>
      </c>
      <c r="J356" t="s">
        <v>32</v>
      </c>
      <c r="K356" s="1">
        <v>44818.166006944448</v>
      </c>
      <c r="L356" t="s">
        <v>57</v>
      </c>
      <c r="N356" s="4">
        <v>44826.166006944448</v>
      </c>
      <c r="O356" t="s">
        <v>57</v>
      </c>
      <c r="P356" s="4">
        <v>44820.166006944448</v>
      </c>
      <c r="Q356" s="4">
        <v>44824.166006944448</v>
      </c>
      <c r="R356" s="4">
        <v>44822.166006944448</v>
      </c>
      <c r="S356" s="4">
        <v>44825.166006944448</v>
      </c>
      <c r="T356">
        <v>1</v>
      </c>
      <c r="U356" s="4">
        <v>44829.166006944448</v>
      </c>
      <c r="V356" s="4">
        <v>44831.166006944448</v>
      </c>
      <c r="W356" s="4">
        <v>44833.166006944448</v>
      </c>
      <c r="Z356" s="4">
        <v>44855.166006944448</v>
      </c>
      <c r="AC356" s="2">
        <f t="shared" si="45"/>
        <v>4</v>
      </c>
      <c r="AD356" s="2">
        <f t="shared" si="46"/>
        <v>17</v>
      </c>
      <c r="AE356" s="2">
        <f t="shared" si="47"/>
        <v>13</v>
      </c>
      <c r="AF356" s="2">
        <f t="shared" si="48"/>
        <v>21</v>
      </c>
      <c r="AG356" s="2">
        <f t="shared" si="49"/>
        <v>4</v>
      </c>
      <c r="AH356" s="4">
        <f t="shared" si="50"/>
        <v>44912.166006944448</v>
      </c>
      <c r="AI356" s="2">
        <f t="shared" si="51"/>
        <v>4</v>
      </c>
      <c r="AJ356" s="2">
        <f t="shared" si="52"/>
        <v>33</v>
      </c>
      <c r="AK356" s="2">
        <f t="shared" si="53"/>
        <v>11</v>
      </c>
    </row>
    <row r="357" spans="1:37" x14ac:dyDescent="0.25">
      <c r="A357">
        <v>2193</v>
      </c>
      <c r="B357" t="s">
        <v>429</v>
      </c>
      <c r="C357" t="s">
        <v>94</v>
      </c>
      <c r="D357" t="s">
        <v>387</v>
      </c>
      <c r="E357" t="s">
        <v>388</v>
      </c>
      <c r="F357" t="s">
        <v>389</v>
      </c>
      <c r="G357" t="s">
        <v>31</v>
      </c>
      <c r="H357" s="1">
        <v>44801.166006944448</v>
      </c>
      <c r="I357" s="1">
        <v>44804.166006944448</v>
      </c>
      <c r="J357" t="s">
        <v>32</v>
      </c>
      <c r="K357" s="1">
        <v>44817.166006944448</v>
      </c>
      <c r="L357" t="s">
        <v>33</v>
      </c>
      <c r="M357" t="s">
        <v>51</v>
      </c>
      <c r="R357" s="4">
        <v>44820.166006944448</v>
      </c>
      <c r="T357">
        <v>0</v>
      </c>
      <c r="Y357" t="s">
        <v>55</v>
      </c>
      <c r="AC357" s="2">
        <f t="shared" si="45"/>
        <v>3</v>
      </c>
      <c r="AD357" s="2">
        <f t="shared" si="46"/>
        <v>16</v>
      </c>
      <c r="AE357" s="2">
        <f t="shared" si="47"/>
        <v>13</v>
      </c>
      <c r="AF357" s="2">
        <f t="shared" si="48"/>
        <v>19</v>
      </c>
      <c r="AG357" s="2">
        <f t="shared" si="49"/>
        <v>3</v>
      </c>
      <c r="AH357" s="4">
        <f t="shared" si="50"/>
        <v>44910.166006944448</v>
      </c>
      <c r="AI357" s="2" t="str">
        <f t="shared" si="51"/>
        <v/>
      </c>
      <c r="AJ357" s="2" t="str">
        <f t="shared" si="52"/>
        <v/>
      </c>
      <c r="AK357" s="2" t="str">
        <f t="shared" si="53"/>
        <v/>
      </c>
    </row>
    <row r="358" spans="1:37" x14ac:dyDescent="0.25">
      <c r="A358">
        <v>2117</v>
      </c>
      <c r="B358" t="s">
        <v>430</v>
      </c>
      <c r="C358" t="s">
        <v>94</v>
      </c>
      <c r="D358" t="s">
        <v>387</v>
      </c>
      <c r="E358" t="s">
        <v>388</v>
      </c>
      <c r="F358" t="s">
        <v>389</v>
      </c>
      <c r="G358" t="s">
        <v>31</v>
      </c>
      <c r="H358" s="1">
        <v>45031.055439814816</v>
      </c>
      <c r="I358" s="1">
        <v>45032.055439814816</v>
      </c>
      <c r="J358" t="s">
        <v>32</v>
      </c>
      <c r="K358" s="1">
        <v>45045.055439814816</v>
      </c>
      <c r="L358" t="s">
        <v>33</v>
      </c>
      <c r="M358" t="s">
        <v>34</v>
      </c>
      <c r="T358">
        <v>0</v>
      </c>
      <c r="Y358" t="s">
        <v>55</v>
      </c>
      <c r="AC358" s="2">
        <f t="shared" si="45"/>
        <v>1</v>
      </c>
      <c r="AD358" s="2">
        <f t="shared" si="46"/>
        <v>14</v>
      </c>
      <c r="AE358" s="2">
        <f t="shared" si="47"/>
        <v>13</v>
      </c>
      <c r="AF358" s="2" t="str">
        <f t="shared" si="48"/>
        <v/>
      </c>
      <c r="AG358" s="2" t="str">
        <f t="shared" si="49"/>
        <v/>
      </c>
      <c r="AH358" s="4" t="str">
        <f t="shared" si="50"/>
        <v/>
      </c>
      <c r="AI358" s="2" t="str">
        <f t="shared" si="51"/>
        <v/>
      </c>
      <c r="AJ358" s="2" t="str">
        <f t="shared" si="52"/>
        <v/>
      </c>
      <c r="AK358" s="2" t="str">
        <f t="shared" si="53"/>
        <v/>
      </c>
    </row>
    <row r="359" spans="1:37" x14ac:dyDescent="0.25">
      <c r="A359">
        <v>1983</v>
      </c>
      <c r="B359" t="s">
        <v>431</v>
      </c>
      <c r="C359" t="s">
        <v>94</v>
      </c>
      <c r="D359" t="s">
        <v>387</v>
      </c>
      <c r="E359" t="s">
        <v>388</v>
      </c>
      <c r="F359" t="s">
        <v>389</v>
      </c>
      <c r="G359" t="s">
        <v>31</v>
      </c>
      <c r="H359" s="1">
        <v>44593.370439814818</v>
      </c>
      <c r="I359" s="1">
        <v>44597.370439814818</v>
      </c>
      <c r="J359" t="s">
        <v>44</v>
      </c>
      <c r="K359" s="1"/>
      <c r="T359">
        <v>0</v>
      </c>
      <c r="AC359" s="2">
        <f t="shared" si="45"/>
        <v>4</v>
      </c>
      <c r="AD359" s="2" t="str">
        <f t="shared" si="46"/>
        <v/>
      </c>
      <c r="AE359" s="2" t="str">
        <f t="shared" si="47"/>
        <v/>
      </c>
      <c r="AF359" s="2" t="str">
        <f t="shared" si="48"/>
        <v/>
      </c>
      <c r="AG359" s="2" t="str">
        <f t="shared" si="49"/>
        <v/>
      </c>
      <c r="AH359" s="4" t="str">
        <f t="shared" si="50"/>
        <v/>
      </c>
      <c r="AI359" s="2" t="str">
        <f t="shared" si="51"/>
        <v/>
      </c>
      <c r="AJ359" s="2" t="str">
        <f t="shared" si="52"/>
        <v/>
      </c>
      <c r="AK359" s="2" t="str">
        <f t="shared" si="53"/>
        <v/>
      </c>
    </row>
    <row r="360" spans="1:37" x14ac:dyDescent="0.25">
      <c r="A360">
        <v>1974</v>
      </c>
      <c r="B360" t="s">
        <v>432</v>
      </c>
      <c r="C360" t="s">
        <v>94</v>
      </c>
      <c r="D360" t="s">
        <v>387</v>
      </c>
      <c r="E360" t="s">
        <v>388</v>
      </c>
      <c r="F360" t="s">
        <v>389</v>
      </c>
      <c r="G360" t="s">
        <v>31</v>
      </c>
      <c r="H360" s="1">
        <v>44854.498391203706</v>
      </c>
      <c r="I360" s="1">
        <v>44855.498391203706</v>
      </c>
      <c r="J360" t="s">
        <v>32</v>
      </c>
      <c r="K360" s="1">
        <v>44876.498391203706</v>
      </c>
      <c r="L360" t="s">
        <v>33</v>
      </c>
      <c r="M360" t="s">
        <v>67</v>
      </c>
      <c r="R360" s="4">
        <v>44878.498391203706</v>
      </c>
      <c r="T360">
        <v>0</v>
      </c>
      <c r="Y360" t="s">
        <v>35</v>
      </c>
      <c r="AC360" s="2">
        <f t="shared" si="45"/>
        <v>1</v>
      </c>
      <c r="AD360" s="2">
        <f t="shared" si="46"/>
        <v>22</v>
      </c>
      <c r="AE360" s="2">
        <f t="shared" si="47"/>
        <v>21</v>
      </c>
      <c r="AF360" s="2">
        <f t="shared" si="48"/>
        <v>24</v>
      </c>
      <c r="AG360" s="2">
        <f t="shared" si="49"/>
        <v>2</v>
      </c>
      <c r="AH360" s="4">
        <f t="shared" si="50"/>
        <v>44968.498391203706</v>
      </c>
      <c r="AI360" s="2" t="str">
        <f t="shared" si="51"/>
        <v/>
      </c>
      <c r="AJ360" s="2" t="str">
        <f t="shared" si="52"/>
        <v/>
      </c>
      <c r="AK360" s="2" t="str">
        <f t="shared" si="53"/>
        <v/>
      </c>
    </row>
    <row r="361" spans="1:37" x14ac:dyDescent="0.25">
      <c r="A361">
        <v>1965</v>
      </c>
      <c r="B361" t="s">
        <v>433</v>
      </c>
      <c r="C361" t="s">
        <v>94</v>
      </c>
      <c r="D361" t="s">
        <v>387</v>
      </c>
      <c r="E361" t="s">
        <v>388</v>
      </c>
      <c r="F361" t="s">
        <v>389</v>
      </c>
      <c r="G361" t="s">
        <v>31</v>
      </c>
      <c r="H361" s="1">
        <v>44897.432847222219</v>
      </c>
      <c r="I361" s="1">
        <v>44898.432847222219</v>
      </c>
      <c r="J361" t="s">
        <v>32</v>
      </c>
      <c r="K361" s="1">
        <v>44914.432847222219</v>
      </c>
      <c r="L361" t="s">
        <v>57</v>
      </c>
      <c r="N361" s="4">
        <v>44921.432847222219</v>
      </c>
      <c r="O361" t="s">
        <v>57</v>
      </c>
      <c r="P361" s="4">
        <v>44916.432847222219</v>
      </c>
      <c r="Q361" s="4">
        <v>44918.432847222219</v>
      </c>
      <c r="R361" s="4">
        <v>44917.432847222219</v>
      </c>
      <c r="S361" s="4">
        <v>44918.432847222219</v>
      </c>
      <c r="T361">
        <v>1</v>
      </c>
      <c r="U361" s="4">
        <v>44922.432847222219</v>
      </c>
      <c r="V361" s="4">
        <v>44925.432847222219</v>
      </c>
      <c r="W361" s="4">
        <v>44927.432847222219</v>
      </c>
      <c r="Z361" s="4">
        <v>44947.432847222219</v>
      </c>
      <c r="AC361" s="2">
        <f t="shared" si="45"/>
        <v>1</v>
      </c>
      <c r="AD361" s="2">
        <f t="shared" si="46"/>
        <v>17</v>
      </c>
      <c r="AE361" s="2">
        <f t="shared" si="47"/>
        <v>16</v>
      </c>
      <c r="AF361" s="2">
        <f t="shared" si="48"/>
        <v>20</v>
      </c>
      <c r="AG361" s="2">
        <f t="shared" si="49"/>
        <v>3</v>
      </c>
      <c r="AH361" s="4">
        <f t="shared" si="50"/>
        <v>45007.432847222219</v>
      </c>
      <c r="AI361" s="2">
        <f t="shared" si="51"/>
        <v>4</v>
      </c>
      <c r="AJ361" s="2">
        <f t="shared" si="52"/>
        <v>30</v>
      </c>
      <c r="AK361" s="2">
        <f t="shared" si="53"/>
        <v>10</v>
      </c>
    </row>
    <row r="362" spans="1:37" x14ac:dyDescent="0.25">
      <c r="A362">
        <v>1963</v>
      </c>
      <c r="B362" t="s">
        <v>434</v>
      </c>
      <c r="C362" t="s">
        <v>94</v>
      </c>
      <c r="D362" t="s">
        <v>387</v>
      </c>
      <c r="E362" t="s">
        <v>388</v>
      </c>
      <c r="F362" t="s">
        <v>389</v>
      </c>
      <c r="G362" t="s">
        <v>31</v>
      </c>
      <c r="H362" s="1">
        <v>44897.432847222219</v>
      </c>
      <c r="I362" s="1">
        <v>44899.432847222219</v>
      </c>
      <c r="J362" t="s">
        <v>32</v>
      </c>
      <c r="K362" s="1">
        <v>44912.432847222219</v>
      </c>
      <c r="L362" t="s">
        <v>33</v>
      </c>
      <c r="M362" t="s">
        <v>34</v>
      </c>
      <c r="R362" s="4">
        <v>44913.432847222219</v>
      </c>
      <c r="T362">
        <v>0</v>
      </c>
      <c r="Y362" t="s">
        <v>35</v>
      </c>
      <c r="AC362" s="2">
        <f t="shared" si="45"/>
        <v>2</v>
      </c>
      <c r="AD362" s="2">
        <f t="shared" si="46"/>
        <v>15</v>
      </c>
      <c r="AE362" s="2">
        <f t="shared" si="47"/>
        <v>13</v>
      </c>
      <c r="AF362" s="2">
        <f t="shared" si="48"/>
        <v>16</v>
      </c>
      <c r="AG362" s="2">
        <f t="shared" si="49"/>
        <v>1</v>
      </c>
      <c r="AH362" s="4">
        <f t="shared" si="50"/>
        <v>45003.432847222219</v>
      </c>
      <c r="AI362" s="2" t="str">
        <f t="shared" si="51"/>
        <v/>
      </c>
      <c r="AJ362" s="2" t="str">
        <f t="shared" si="52"/>
        <v/>
      </c>
      <c r="AK362" s="2" t="str">
        <f t="shared" si="53"/>
        <v/>
      </c>
    </row>
    <row r="363" spans="1:37" x14ac:dyDescent="0.25">
      <c r="A363">
        <v>1962</v>
      </c>
      <c r="B363" t="s">
        <v>435</v>
      </c>
      <c r="C363" t="s">
        <v>94</v>
      </c>
      <c r="D363" t="s">
        <v>387</v>
      </c>
      <c r="E363" t="s">
        <v>388</v>
      </c>
      <c r="F363" t="s">
        <v>389</v>
      </c>
      <c r="G363" t="s">
        <v>31</v>
      </c>
      <c r="H363" s="1">
        <v>44897.432847222219</v>
      </c>
      <c r="I363" s="1">
        <v>44900.432847222219</v>
      </c>
      <c r="J363" t="s">
        <v>32</v>
      </c>
      <c r="K363" s="1">
        <v>44904.432847222219</v>
      </c>
      <c r="L363" t="s">
        <v>33</v>
      </c>
      <c r="M363" t="s">
        <v>108</v>
      </c>
      <c r="R363" s="4">
        <v>44908.432847222219</v>
      </c>
      <c r="T363">
        <v>0</v>
      </c>
      <c r="Y363" t="s">
        <v>55</v>
      </c>
      <c r="AC363" s="2">
        <f t="shared" si="45"/>
        <v>3</v>
      </c>
      <c r="AD363" s="2">
        <f t="shared" si="46"/>
        <v>7</v>
      </c>
      <c r="AE363" s="2">
        <f t="shared" si="47"/>
        <v>4</v>
      </c>
      <c r="AF363" s="2">
        <f t="shared" si="48"/>
        <v>11</v>
      </c>
      <c r="AG363" s="2">
        <f t="shared" si="49"/>
        <v>4</v>
      </c>
      <c r="AH363" s="4">
        <f t="shared" si="50"/>
        <v>44998.432847222219</v>
      </c>
      <c r="AI363" s="2" t="str">
        <f t="shared" si="51"/>
        <v/>
      </c>
      <c r="AJ363" s="2" t="str">
        <f t="shared" si="52"/>
        <v/>
      </c>
      <c r="AK363" s="2" t="str">
        <f t="shared" si="53"/>
        <v/>
      </c>
    </row>
    <row r="364" spans="1:37" x14ac:dyDescent="0.25">
      <c r="A364">
        <v>1852</v>
      </c>
      <c r="B364" t="s">
        <v>436</v>
      </c>
      <c r="C364" t="s">
        <v>94</v>
      </c>
      <c r="D364" t="s">
        <v>387</v>
      </c>
      <c r="E364" t="s">
        <v>388</v>
      </c>
      <c r="F364" t="s">
        <v>389</v>
      </c>
      <c r="G364" t="s">
        <v>31</v>
      </c>
      <c r="H364" s="1">
        <v>44875.077060185184</v>
      </c>
      <c r="I364" s="1">
        <v>44876.077060185184</v>
      </c>
      <c r="J364" t="s">
        <v>44</v>
      </c>
      <c r="K364" s="1"/>
      <c r="T364">
        <v>0</v>
      </c>
      <c r="AC364" s="2">
        <f t="shared" si="45"/>
        <v>1</v>
      </c>
      <c r="AD364" s="2" t="str">
        <f t="shared" si="46"/>
        <v/>
      </c>
      <c r="AE364" s="2" t="str">
        <f t="shared" si="47"/>
        <v/>
      </c>
      <c r="AF364" s="2" t="str">
        <f t="shared" si="48"/>
        <v/>
      </c>
      <c r="AG364" s="2" t="str">
        <f t="shared" si="49"/>
        <v/>
      </c>
      <c r="AH364" s="4" t="str">
        <f t="shared" si="50"/>
        <v/>
      </c>
      <c r="AI364" s="2" t="str">
        <f t="shared" si="51"/>
        <v/>
      </c>
      <c r="AJ364" s="2" t="str">
        <f t="shared" si="52"/>
        <v/>
      </c>
      <c r="AK364" s="2" t="str">
        <f t="shared" si="53"/>
        <v/>
      </c>
    </row>
    <row r="365" spans="1:37" x14ac:dyDescent="0.25">
      <c r="A365">
        <v>1818</v>
      </c>
      <c r="B365" t="s">
        <v>437</v>
      </c>
      <c r="C365" t="s">
        <v>94</v>
      </c>
      <c r="D365" t="s">
        <v>387</v>
      </c>
      <c r="E365" t="s">
        <v>388</v>
      </c>
      <c r="F365" t="s">
        <v>389</v>
      </c>
      <c r="G365" t="s">
        <v>31</v>
      </c>
      <c r="H365" s="1">
        <v>44824.186388888891</v>
      </c>
      <c r="I365" s="1">
        <v>44825.186388888891</v>
      </c>
      <c r="J365" t="s">
        <v>32</v>
      </c>
      <c r="K365" s="1">
        <v>44845.186388888891</v>
      </c>
      <c r="L365" t="s">
        <v>33</v>
      </c>
      <c r="M365" t="s">
        <v>34</v>
      </c>
      <c r="T365">
        <v>0</v>
      </c>
      <c r="Y365" t="s">
        <v>35</v>
      </c>
      <c r="AC365" s="2">
        <f t="shared" si="45"/>
        <v>1</v>
      </c>
      <c r="AD365" s="2">
        <f t="shared" si="46"/>
        <v>21</v>
      </c>
      <c r="AE365" s="2">
        <f t="shared" si="47"/>
        <v>20</v>
      </c>
      <c r="AF365" s="2" t="str">
        <f t="shared" si="48"/>
        <v/>
      </c>
      <c r="AG365" s="2" t="str">
        <f t="shared" si="49"/>
        <v/>
      </c>
      <c r="AH365" s="4" t="str">
        <f t="shared" si="50"/>
        <v/>
      </c>
      <c r="AI365" s="2" t="str">
        <f t="shared" si="51"/>
        <v/>
      </c>
      <c r="AJ365" s="2" t="str">
        <f t="shared" si="52"/>
        <v/>
      </c>
      <c r="AK365" s="2" t="str">
        <f t="shared" si="53"/>
        <v/>
      </c>
    </row>
    <row r="366" spans="1:37" x14ac:dyDescent="0.25">
      <c r="A366">
        <v>1814</v>
      </c>
      <c r="B366" t="s">
        <v>438</v>
      </c>
      <c r="C366" t="s">
        <v>94</v>
      </c>
      <c r="D366" t="s">
        <v>387</v>
      </c>
      <c r="E366" t="s">
        <v>388</v>
      </c>
      <c r="F366" t="s">
        <v>389</v>
      </c>
      <c r="G366" t="s">
        <v>31</v>
      </c>
      <c r="H366" s="1">
        <v>44822.186388888891</v>
      </c>
      <c r="I366" s="1">
        <v>44826.186388888891</v>
      </c>
      <c r="J366" t="s">
        <v>32</v>
      </c>
      <c r="K366" s="1">
        <v>44837.186388888891</v>
      </c>
      <c r="L366" t="s">
        <v>33</v>
      </c>
      <c r="M366" t="s">
        <v>108</v>
      </c>
      <c r="T366">
        <v>0</v>
      </c>
      <c r="Y366" t="s">
        <v>35</v>
      </c>
      <c r="AC366" s="2">
        <f t="shared" si="45"/>
        <v>4</v>
      </c>
      <c r="AD366" s="2">
        <f t="shared" si="46"/>
        <v>15</v>
      </c>
      <c r="AE366" s="2">
        <f t="shared" si="47"/>
        <v>11</v>
      </c>
      <c r="AF366" s="2" t="str">
        <f t="shared" si="48"/>
        <v/>
      </c>
      <c r="AG366" s="2" t="str">
        <f t="shared" si="49"/>
        <v/>
      </c>
      <c r="AH366" s="4" t="str">
        <f t="shared" si="50"/>
        <v/>
      </c>
      <c r="AI366" s="2" t="str">
        <f t="shared" si="51"/>
        <v/>
      </c>
      <c r="AJ366" s="2" t="str">
        <f t="shared" si="52"/>
        <v/>
      </c>
      <c r="AK366" s="2" t="str">
        <f t="shared" si="53"/>
        <v/>
      </c>
    </row>
    <row r="367" spans="1:37" x14ac:dyDescent="0.25">
      <c r="A367">
        <v>1810</v>
      </c>
      <c r="B367" t="s">
        <v>439</v>
      </c>
      <c r="C367" t="s">
        <v>94</v>
      </c>
      <c r="D367" t="s">
        <v>387</v>
      </c>
      <c r="E367" t="s">
        <v>388</v>
      </c>
      <c r="F367" t="s">
        <v>389</v>
      </c>
      <c r="G367" t="s">
        <v>31</v>
      </c>
      <c r="H367" s="1">
        <v>45122.017708333333</v>
      </c>
      <c r="I367" s="1">
        <v>45124.017708333333</v>
      </c>
      <c r="J367" t="s">
        <v>32</v>
      </c>
      <c r="K367" s="1">
        <v>45143.017708333333</v>
      </c>
      <c r="L367" t="s">
        <v>33</v>
      </c>
      <c r="M367" t="s">
        <v>92</v>
      </c>
      <c r="R367" s="4">
        <v>45146.017708333333</v>
      </c>
      <c r="T367">
        <v>0</v>
      </c>
      <c r="Y367" t="s">
        <v>55</v>
      </c>
      <c r="AC367" s="2">
        <f t="shared" si="45"/>
        <v>2</v>
      </c>
      <c r="AD367" s="2">
        <f t="shared" si="46"/>
        <v>21</v>
      </c>
      <c r="AE367" s="2">
        <f t="shared" si="47"/>
        <v>19</v>
      </c>
      <c r="AF367" s="2">
        <f t="shared" si="48"/>
        <v>24</v>
      </c>
      <c r="AG367" s="2">
        <f t="shared" si="49"/>
        <v>3</v>
      </c>
      <c r="AH367" s="4">
        <f t="shared" si="50"/>
        <v>45236.017708333333</v>
      </c>
      <c r="AI367" s="2" t="str">
        <f t="shared" si="51"/>
        <v/>
      </c>
      <c r="AJ367" s="2" t="str">
        <f t="shared" si="52"/>
        <v/>
      </c>
      <c r="AK367" s="2" t="str">
        <f t="shared" si="53"/>
        <v/>
      </c>
    </row>
    <row r="368" spans="1:37" x14ac:dyDescent="0.25">
      <c r="A368">
        <v>1804</v>
      </c>
      <c r="B368" t="s">
        <v>440</v>
      </c>
      <c r="C368" t="s">
        <v>94</v>
      </c>
      <c r="D368" t="s">
        <v>387</v>
      </c>
      <c r="E368" t="s">
        <v>388</v>
      </c>
      <c r="F368" t="s">
        <v>389</v>
      </c>
      <c r="G368" t="s">
        <v>31</v>
      </c>
      <c r="H368" s="1">
        <v>45123.017708333333</v>
      </c>
      <c r="I368" s="1">
        <v>45125.017708333333</v>
      </c>
      <c r="J368" t="s">
        <v>32</v>
      </c>
      <c r="K368" s="1">
        <v>45142.017708333333</v>
      </c>
      <c r="L368" t="s">
        <v>33</v>
      </c>
      <c r="M368" t="s">
        <v>67</v>
      </c>
      <c r="T368">
        <v>0</v>
      </c>
      <c r="Y368" t="s">
        <v>35</v>
      </c>
      <c r="AC368" s="2">
        <f t="shared" si="45"/>
        <v>2</v>
      </c>
      <c r="AD368" s="2">
        <f t="shared" si="46"/>
        <v>19</v>
      </c>
      <c r="AE368" s="2">
        <f t="shared" si="47"/>
        <v>17</v>
      </c>
      <c r="AF368" s="2" t="str">
        <f t="shared" si="48"/>
        <v/>
      </c>
      <c r="AG368" s="2" t="str">
        <f t="shared" si="49"/>
        <v/>
      </c>
      <c r="AH368" s="4" t="str">
        <f t="shared" si="50"/>
        <v/>
      </c>
      <c r="AI368" s="2" t="str">
        <f t="shared" si="51"/>
        <v/>
      </c>
      <c r="AJ368" s="2" t="str">
        <f t="shared" si="52"/>
        <v/>
      </c>
      <c r="AK368" s="2" t="str">
        <f t="shared" si="53"/>
        <v/>
      </c>
    </row>
    <row r="369" spans="1:37" x14ac:dyDescent="0.25">
      <c r="A369">
        <v>1799</v>
      </c>
      <c r="B369" t="s">
        <v>441</v>
      </c>
      <c r="C369" t="s">
        <v>94</v>
      </c>
      <c r="D369" t="s">
        <v>387</v>
      </c>
      <c r="E369" t="s">
        <v>388</v>
      </c>
      <c r="F369" t="s">
        <v>389</v>
      </c>
      <c r="G369" t="s">
        <v>31</v>
      </c>
      <c r="H369" s="1">
        <v>44832.47960648148</v>
      </c>
      <c r="I369" s="1">
        <v>44835.47960648148</v>
      </c>
      <c r="J369" t="s">
        <v>44</v>
      </c>
      <c r="K369" s="1"/>
      <c r="T369">
        <v>0</v>
      </c>
      <c r="AC369" s="2">
        <f t="shared" si="45"/>
        <v>3</v>
      </c>
      <c r="AD369" s="2" t="str">
        <f t="shared" si="46"/>
        <v/>
      </c>
      <c r="AE369" s="2" t="str">
        <f t="shared" si="47"/>
        <v/>
      </c>
      <c r="AF369" s="2" t="str">
        <f t="shared" si="48"/>
        <v/>
      </c>
      <c r="AG369" s="2" t="str">
        <f t="shared" si="49"/>
        <v/>
      </c>
      <c r="AH369" s="4" t="str">
        <f t="shared" si="50"/>
        <v/>
      </c>
      <c r="AI369" s="2" t="str">
        <f t="shared" si="51"/>
        <v/>
      </c>
      <c r="AJ369" s="2" t="str">
        <f t="shared" si="52"/>
        <v/>
      </c>
      <c r="AK369" s="2" t="str">
        <f t="shared" si="53"/>
        <v/>
      </c>
    </row>
    <row r="370" spans="1:37" x14ac:dyDescent="0.25">
      <c r="A370">
        <v>1688</v>
      </c>
      <c r="B370" t="s">
        <v>442</v>
      </c>
      <c r="C370" t="s">
        <v>94</v>
      </c>
      <c r="D370" t="s">
        <v>387</v>
      </c>
      <c r="E370" t="s">
        <v>388</v>
      </c>
      <c r="F370" t="s">
        <v>389</v>
      </c>
      <c r="G370" t="s">
        <v>31</v>
      </c>
      <c r="H370" s="1">
        <v>44660.28056712963</v>
      </c>
      <c r="I370" s="1">
        <v>44663.28056712963</v>
      </c>
      <c r="J370" t="s">
        <v>32</v>
      </c>
      <c r="K370" s="1">
        <v>44670.28056712963</v>
      </c>
      <c r="L370" t="s">
        <v>33</v>
      </c>
      <c r="M370" t="s">
        <v>67</v>
      </c>
      <c r="R370" s="4">
        <v>44672.28056712963</v>
      </c>
      <c r="T370">
        <v>0</v>
      </c>
      <c r="Y370" t="s">
        <v>35</v>
      </c>
      <c r="AC370" s="2">
        <f t="shared" si="45"/>
        <v>3</v>
      </c>
      <c r="AD370" s="2">
        <f t="shared" si="46"/>
        <v>10</v>
      </c>
      <c r="AE370" s="2">
        <f t="shared" si="47"/>
        <v>7</v>
      </c>
      <c r="AF370" s="2">
        <f t="shared" si="48"/>
        <v>12</v>
      </c>
      <c r="AG370" s="2">
        <f t="shared" si="49"/>
        <v>2</v>
      </c>
      <c r="AH370" s="4">
        <f t="shared" si="50"/>
        <v>44762.28056712963</v>
      </c>
      <c r="AI370" s="2" t="str">
        <f t="shared" si="51"/>
        <v/>
      </c>
      <c r="AJ370" s="2" t="str">
        <f t="shared" si="52"/>
        <v/>
      </c>
      <c r="AK370" s="2" t="str">
        <f t="shared" si="53"/>
        <v/>
      </c>
    </row>
    <row r="371" spans="1:37" x14ac:dyDescent="0.25">
      <c r="A371">
        <v>1669</v>
      </c>
      <c r="B371" t="s">
        <v>443</v>
      </c>
      <c r="C371" t="s">
        <v>94</v>
      </c>
      <c r="D371" t="s">
        <v>387</v>
      </c>
      <c r="E371" t="s">
        <v>388</v>
      </c>
      <c r="F371" t="s">
        <v>389</v>
      </c>
      <c r="G371" t="s">
        <v>31</v>
      </c>
      <c r="H371" s="1">
        <v>44674.935347222221</v>
      </c>
      <c r="I371" s="1">
        <v>44675.935347222221</v>
      </c>
      <c r="J371" t="s">
        <v>32</v>
      </c>
      <c r="K371" s="1">
        <v>44695.935347222221</v>
      </c>
      <c r="L371" t="s">
        <v>33</v>
      </c>
      <c r="M371" t="s">
        <v>67</v>
      </c>
      <c r="R371" s="4">
        <v>44697.935347222221</v>
      </c>
      <c r="T371">
        <v>0</v>
      </c>
      <c r="Y371" t="s">
        <v>35</v>
      </c>
      <c r="AC371" s="2">
        <f t="shared" si="45"/>
        <v>1</v>
      </c>
      <c r="AD371" s="2">
        <f t="shared" si="46"/>
        <v>21</v>
      </c>
      <c r="AE371" s="2">
        <f t="shared" si="47"/>
        <v>20</v>
      </c>
      <c r="AF371" s="2">
        <f t="shared" si="48"/>
        <v>23</v>
      </c>
      <c r="AG371" s="2">
        <f t="shared" si="49"/>
        <v>2</v>
      </c>
      <c r="AH371" s="4">
        <f t="shared" si="50"/>
        <v>44787.935347222221</v>
      </c>
      <c r="AI371" s="2" t="str">
        <f t="shared" si="51"/>
        <v/>
      </c>
      <c r="AJ371" s="2" t="str">
        <f t="shared" si="52"/>
        <v/>
      </c>
      <c r="AK371" s="2" t="str">
        <f t="shared" si="53"/>
        <v/>
      </c>
    </row>
    <row r="372" spans="1:37" x14ac:dyDescent="0.25">
      <c r="A372">
        <v>1664</v>
      </c>
      <c r="B372" t="s">
        <v>444</v>
      </c>
      <c r="C372" t="s">
        <v>94</v>
      </c>
      <c r="D372" t="s">
        <v>387</v>
      </c>
      <c r="E372" t="s">
        <v>388</v>
      </c>
      <c r="F372" t="s">
        <v>389</v>
      </c>
      <c r="G372" t="s">
        <v>31</v>
      </c>
      <c r="H372" s="1">
        <v>44672.935347222221</v>
      </c>
      <c r="I372" s="1">
        <v>44674.935347222221</v>
      </c>
      <c r="J372" t="s">
        <v>32</v>
      </c>
      <c r="K372" s="1">
        <v>44692.935347222221</v>
      </c>
      <c r="L372" t="s">
        <v>57</v>
      </c>
      <c r="N372" s="4">
        <v>44699.935347222221</v>
      </c>
      <c r="O372" t="s">
        <v>57</v>
      </c>
      <c r="P372" s="4">
        <v>44694.935347222221</v>
      </c>
      <c r="Q372" s="4">
        <v>44698.935347222221</v>
      </c>
      <c r="R372" s="4">
        <v>44696.935347222221</v>
      </c>
      <c r="S372" s="4">
        <v>44700.935347222221</v>
      </c>
      <c r="T372">
        <v>1</v>
      </c>
      <c r="U372" s="4">
        <v>44703.935347222221</v>
      </c>
      <c r="V372" s="4">
        <v>44706.935347222221</v>
      </c>
      <c r="W372" s="4">
        <v>44708.935347222221</v>
      </c>
      <c r="Z372" s="4">
        <v>44721.935347222221</v>
      </c>
      <c r="AC372" s="2">
        <f t="shared" si="45"/>
        <v>2</v>
      </c>
      <c r="AD372" s="2">
        <f t="shared" si="46"/>
        <v>20</v>
      </c>
      <c r="AE372" s="2">
        <f t="shared" si="47"/>
        <v>18</v>
      </c>
      <c r="AF372" s="2">
        <f t="shared" si="48"/>
        <v>24</v>
      </c>
      <c r="AG372" s="2">
        <f t="shared" si="49"/>
        <v>4</v>
      </c>
      <c r="AH372" s="4">
        <f t="shared" si="50"/>
        <v>44786.935347222221</v>
      </c>
      <c r="AI372" s="2">
        <f t="shared" si="51"/>
        <v>3</v>
      </c>
      <c r="AJ372" s="2">
        <f t="shared" si="52"/>
        <v>25</v>
      </c>
      <c r="AK372" s="2">
        <f t="shared" si="53"/>
        <v>12</v>
      </c>
    </row>
    <row r="373" spans="1:37" x14ac:dyDescent="0.25">
      <c r="A373">
        <v>1661</v>
      </c>
      <c r="B373" t="s">
        <v>445</v>
      </c>
      <c r="C373" t="s">
        <v>94</v>
      </c>
      <c r="D373" t="s">
        <v>387</v>
      </c>
      <c r="E373" t="s">
        <v>388</v>
      </c>
      <c r="F373" t="s">
        <v>389</v>
      </c>
      <c r="G373" t="s">
        <v>31</v>
      </c>
      <c r="H373" s="1">
        <v>44669.935347222221</v>
      </c>
      <c r="I373" s="1">
        <v>44672.935347222221</v>
      </c>
      <c r="J373" t="s">
        <v>44</v>
      </c>
      <c r="K373" s="1"/>
      <c r="T373">
        <v>0</v>
      </c>
      <c r="AC373" s="2">
        <f t="shared" si="45"/>
        <v>3</v>
      </c>
      <c r="AD373" s="2" t="str">
        <f t="shared" si="46"/>
        <v/>
      </c>
      <c r="AE373" s="2" t="str">
        <f t="shared" si="47"/>
        <v/>
      </c>
      <c r="AF373" s="2" t="str">
        <f t="shared" si="48"/>
        <v/>
      </c>
      <c r="AG373" s="2" t="str">
        <f t="shared" si="49"/>
        <v/>
      </c>
      <c r="AH373" s="4" t="str">
        <f t="shared" si="50"/>
        <v/>
      </c>
      <c r="AI373" s="2" t="str">
        <f t="shared" si="51"/>
        <v/>
      </c>
      <c r="AJ373" s="2" t="str">
        <f t="shared" si="52"/>
        <v/>
      </c>
      <c r="AK373" s="2" t="str">
        <f t="shared" si="53"/>
        <v/>
      </c>
    </row>
    <row r="374" spans="1:37" x14ac:dyDescent="0.25">
      <c r="A374">
        <v>1449</v>
      </c>
      <c r="B374" t="s">
        <v>446</v>
      </c>
      <c r="C374" t="s">
        <v>94</v>
      </c>
      <c r="D374" t="s">
        <v>387</v>
      </c>
      <c r="E374" t="s">
        <v>388</v>
      </c>
      <c r="F374" t="s">
        <v>389</v>
      </c>
      <c r="G374" t="s">
        <v>31</v>
      </c>
      <c r="H374" s="1">
        <v>45014.427199074074</v>
      </c>
      <c r="I374" s="1">
        <v>45017.427199074074</v>
      </c>
      <c r="J374" t="s">
        <v>32</v>
      </c>
      <c r="K374" s="1">
        <v>45028.427199074074</v>
      </c>
      <c r="L374" t="s">
        <v>39</v>
      </c>
      <c r="N374" s="4">
        <v>45031.427199074074</v>
      </c>
      <c r="O374" t="s">
        <v>39</v>
      </c>
      <c r="R374" s="4">
        <v>45029.427199074074</v>
      </c>
      <c r="T374">
        <v>0</v>
      </c>
      <c r="AC374" s="2">
        <f t="shared" si="45"/>
        <v>3</v>
      </c>
      <c r="AD374" s="2">
        <f t="shared" si="46"/>
        <v>14</v>
      </c>
      <c r="AE374" s="2">
        <f t="shared" si="47"/>
        <v>11</v>
      </c>
      <c r="AF374" s="2">
        <f t="shared" si="48"/>
        <v>15</v>
      </c>
      <c r="AG374" s="2">
        <f t="shared" si="49"/>
        <v>1</v>
      </c>
      <c r="AH374" s="4">
        <f t="shared" si="50"/>
        <v>45119.427199074074</v>
      </c>
      <c r="AI374" s="2" t="str">
        <f t="shared" si="51"/>
        <v/>
      </c>
      <c r="AJ374" s="2" t="str">
        <f t="shared" si="52"/>
        <v/>
      </c>
      <c r="AK374" s="2" t="str">
        <f t="shared" si="53"/>
        <v/>
      </c>
    </row>
    <row r="375" spans="1:37" x14ac:dyDescent="0.25">
      <c r="A375">
        <v>1444</v>
      </c>
      <c r="B375" t="s">
        <v>447</v>
      </c>
      <c r="C375" t="s">
        <v>94</v>
      </c>
      <c r="D375" t="s">
        <v>387</v>
      </c>
      <c r="E375" t="s">
        <v>388</v>
      </c>
      <c r="F375" t="s">
        <v>389</v>
      </c>
      <c r="G375" t="s">
        <v>31</v>
      </c>
      <c r="H375" s="1">
        <v>45015.427199074074</v>
      </c>
      <c r="I375" s="1">
        <v>45018.427199074074</v>
      </c>
      <c r="J375" t="s">
        <v>32</v>
      </c>
      <c r="K375" s="1">
        <v>45032.427199074074</v>
      </c>
      <c r="L375" t="s">
        <v>33</v>
      </c>
      <c r="M375" t="s">
        <v>34</v>
      </c>
      <c r="T375">
        <v>0</v>
      </c>
      <c r="Y375" t="s">
        <v>35</v>
      </c>
      <c r="AC375" s="2">
        <f t="shared" si="45"/>
        <v>3</v>
      </c>
      <c r="AD375" s="2">
        <f t="shared" si="46"/>
        <v>17</v>
      </c>
      <c r="AE375" s="2">
        <f t="shared" si="47"/>
        <v>14</v>
      </c>
      <c r="AF375" s="2" t="str">
        <f t="shared" si="48"/>
        <v/>
      </c>
      <c r="AG375" s="2" t="str">
        <f t="shared" si="49"/>
        <v/>
      </c>
      <c r="AH375" s="4" t="str">
        <f t="shared" si="50"/>
        <v/>
      </c>
      <c r="AI375" s="2" t="str">
        <f t="shared" si="51"/>
        <v/>
      </c>
      <c r="AJ375" s="2" t="str">
        <f t="shared" si="52"/>
        <v/>
      </c>
      <c r="AK375" s="2" t="str">
        <f t="shared" si="53"/>
        <v/>
      </c>
    </row>
    <row r="376" spans="1:37" x14ac:dyDescent="0.25">
      <c r="A376">
        <v>1420</v>
      </c>
      <c r="B376" t="s">
        <v>448</v>
      </c>
      <c r="C376" t="s">
        <v>94</v>
      </c>
      <c r="D376" t="s">
        <v>387</v>
      </c>
      <c r="E376" t="s">
        <v>388</v>
      </c>
      <c r="F376" t="s">
        <v>389</v>
      </c>
      <c r="G376" t="s">
        <v>31</v>
      </c>
      <c r="H376" s="1">
        <v>44780.789305555554</v>
      </c>
      <c r="I376" s="1">
        <v>44781.789305555554</v>
      </c>
      <c r="J376" t="s">
        <v>32</v>
      </c>
      <c r="K376" s="1">
        <v>44791.789305555554</v>
      </c>
      <c r="L376" t="s">
        <v>33</v>
      </c>
      <c r="M376" t="s">
        <v>51</v>
      </c>
      <c r="T376">
        <v>0</v>
      </c>
      <c r="Y376" t="s">
        <v>35</v>
      </c>
      <c r="AC376" s="2">
        <f t="shared" si="45"/>
        <v>1</v>
      </c>
      <c r="AD376" s="2">
        <f t="shared" si="46"/>
        <v>11</v>
      </c>
      <c r="AE376" s="2">
        <f t="shared" si="47"/>
        <v>10</v>
      </c>
      <c r="AF376" s="2" t="str">
        <f t="shared" si="48"/>
        <v/>
      </c>
      <c r="AG376" s="2" t="str">
        <f t="shared" si="49"/>
        <v/>
      </c>
      <c r="AH376" s="4" t="str">
        <f t="shared" si="50"/>
        <v/>
      </c>
      <c r="AI376" s="2" t="str">
        <f t="shared" si="51"/>
        <v/>
      </c>
      <c r="AJ376" s="2" t="str">
        <f t="shared" si="52"/>
        <v/>
      </c>
      <c r="AK376" s="2" t="str">
        <f t="shared" si="53"/>
        <v/>
      </c>
    </row>
    <row r="377" spans="1:37" x14ac:dyDescent="0.25">
      <c r="A377">
        <v>1418</v>
      </c>
      <c r="B377" t="s">
        <v>449</v>
      </c>
      <c r="C377" t="s">
        <v>94</v>
      </c>
      <c r="D377" t="s">
        <v>387</v>
      </c>
      <c r="E377" t="s">
        <v>388</v>
      </c>
      <c r="F377" t="s">
        <v>389</v>
      </c>
      <c r="G377" t="s">
        <v>31</v>
      </c>
      <c r="H377" s="1">
        <v>44782.789305555554</v>
      </c>
      <c r="I377" s="1">
        <v>44783.789305555554</v>
      </c>
      <c r="J377" t="s">
        <v>32</v>
      </c>
      <c r="K377" s="1">
        <v>44789.789305555554</v>
      </c>
      <c r="L377" t="s">
        <v>33</v>
      </c>
      <c r="M377" t="s">
        <v>51</v>
      </c>
      <c r="T377">
        <v>0</v>
      </c>
      <c r="Y377" t="s">
        <v>35</v>
      </c>
      <c r="AC377" s="2">
        <f t="shared" si="45"/>
        <v>1</v>
      </c>
      <c r="AD377" s="2">
        <f t="shared" si="46"/>
        <v>7</v>
      </c>
      <c r="AE377" s="2">
        <f t="shared" si="47"/>
        <v>6</v>
      </c>
      <c r="AF377" s="2" t="str">
        <f t="shared" si="48"/>
        <v/>
      </c>
      <c r="AG377" s="2" t="str">
        <f t="shared" si="49"/>
        <v/>
      </c>
      <c r="AH377" s="4" t="str">
        <f t="shared" si="50"/>
        <v/>
      </c>
      <c r="AI377" s="2" t="str">
        <f t="shared" si="51"/>
        <v/>
      </c>
      <c r="AJ377" s="2" t="str">
        <f t="shared" si="52"/>
        <v/>
      </c>
      <c r="AK377" s="2" t="str">
        <f t="shared" si="53"/>
        <v/>
      </c>
    </row>
    <row r="378" spans="1:37" x14ac:dyDescent="0.25">
      <c r="A378">
        <v>1417</v>
      </c>
      <c r="B378" t="s">
        <v>450</v>
      </c>
      <c r="C378" t="s">
        <v>94</v>
      </c>
      <c r="D378" t="s">
        <v>387</v>
      </c>
      <c r="E378" t="s">
        <v>388</v>
      </c>
      <c r="F378" t="s">
        <v>389</v>
      </c>
      <c r="G378" t="s">
        <v>31</v>
      </c>
      <c r="H378" s="1">
        <v>44782.789305555554</v>
      </c>
      <c r="I378" s="1">
        <v>44785.789305555554</v>
      </c>
      <c r="J378" t="s">
        <v>32</v>
      </c>
      <c r="K378" s="1">
        <v>44797.789305555554</v>
      </c>
      <c r="L378" t="s">
        <v>33</v>
      </c>
      <c r="M378" t="s">
        <v>92</v>
      </c>
      <c r="R378" s="4">
        <v>44799.789305555554</v>
      </c>
      <c r="T378">
        <v>0</v>
      </c>
      <c r="Y378" t="s">
        <v>35</v>
      </c>
      <c r="AC378" s="2">
        <f t="shared" si="45"/>
        <v>3</v>
      </c>
      <c r="AD378" s="2">
        <f t="shared" si="46"/>
        <v>15</v>
      </c>
      <c r="AE378" s="2">
        <f t="shared" si="47"/>
        <v>12</v>
      </c>
      <c r="AF378" s="2">
        <f t="shared" si="48"/>
        <v>17</v>
      </c>
      <c r="AG378" s="2">
        <f t="shared" si="49"/>
        <v>2</v>
      </c>
      <c r="AH378" s="4">
        <f t="shared" si="50"/>
        <v>44889.789305555554</v>
      </c>
      <c r="AI378" s="2" t="str">
        <f t="shared" si="51"/>
        <v/>
      </c>
      <c r="AJ378" s="2" t="str">
        <f t="shared" si="52"/>
        <v/>
      </c>
      <c r="AK378" s="2" t="str">
        <f t="shared" si="53"/>
        <v/>
      </c>
    </row>
    <row r="379" spans="1:37" x14ac:dyDescent="0.25">
      <c r="A379">
        <v>1416</v>
      </c>
      <c r="B379" t="s">
        <v>451</v>
      </c>
      <c r="C379" t="s">
        <v>94</v>
      </c>
      <c r="D379" t="s">
        <v>387</v>
      </c>
      <c r="E379" t="s">
        <v>388</v>
      </c>
      <c r="F379" t="s">
        <v>389</v>
      </c>
      <c r="G379" t="s">
        <v>31</v>
      </c>
      <c r="H379" s="1">
        <v>44782.789305555554</v>
      </c>
      <c r="I379" s="1">
        <v>44783.789305555554</v>
      </c>
      <c r="J379" t="s">
        <v>32</v>
      </c>
      <c r="K379" s="1">
        <v>44799.789305555554</v>
      </c>
      <c r="L379" t="s">
        <v>33</v>
      </c>
      <c r="M379" t="s">
        <v>92</v>
      </c>
      <c r="R379" s="4">
        <v>44802.789305555554</v>
      </c>
      <c r="T379">
        <v>0</v>
      </c>
      <c r="Y379" t="s">
        <v>35</v>
      </c>
      <c r="AC379" s="2">
        <f t="shared" si="45"/>
        <v>1</v>
      </c>
      <c r="AD379" s="2">
        <f t="shared" si="46"/>
        <v>17</v>
      </c>
      <c r="AE379" s="2">
        <f t="shared" si="47"/>
        <v>16</v>
      </c>
      <c r="AF379" s="2">
        <f t="shared" si="48"/>
        <v>20</v>
      </c>
      <c r="AG379" s="2">
        <f t="shared" si="49"/>
        <v>3</v>
      </c>
      <c r="AH379" s="4">
        <f t="shared" si="50"/>
        <v>44892.789305555554</v>
      </c>
      <c r="AI379" s="2" t="str">
        <f t="shared" si="51"/>
        <v/>
      </c>
      <c r="AJ379" s="2" t="str">
        <f t="shared" si="52"/>
        <v/>
      </c>
      <c r="AK379" s="2" t="str">
        <f t="shared" si="53"/>
        <v/>
      </c>
    </row>
    <row r="380" spans="1:37" x14ac:dyDescent="0.25">
      <c r="A380">
        <v>1411</v>
      </c>
      <c r="B380" t="s">
        <v>452</v>
      </c>
      <c r="C380" t="s">
        <v>94</v>
      </c>
      <c r="D380" t="s">
        <v>387</v>
      </c>
      <c r="E380" t="s">
        <v>388</v>
      </c>
      <c r="F380" t="s">
        <v>389</v>
      </c>
      <c r="G380" t="s">
        <v>31</v>
      </c>
      <c r="H380" s="1">
        <v>44779.789305555554</v>
      </c>
      <c r="I380" s="1">
        <v>44782.789305555554</v>
      </c>
      <c r="J380" t="s">
        <v>32</v>
      </c>
      <c r="K380" s="1">
        <v>44800.789305555554</v>
      </c>
      <c r="L380" t="s">
        <v>164</v>
      </c>
      <c r="N380" s="4">
        <v>44805.789305555554</v>
      </c>
      <c r="O380" t="s">
        <v>164</v>
      </c>
      <c r="R380" s="4">
        <v>44803.789305555554</v>
      </c>
      <c r="T380">
        <v>0</v>
      </c>
      <c r="AC380" s="2">
        <f t="shared" si="45"/>
        <v>3</v>
      </c>
      <c r="AD380" s="2">
        <f t="shared" si="46"/>
        <v>21</v>
      </c>
      <c r="AE380" s="2">
        <f t="shared" si="47"/>
        <v>18</v>
      </c>
      <c r="AF380" s="2">
        <f t="shared" si="48"/>
        <v>24</v>
      </c>
      <c r="AG380" s="2">
        <f t="shared" si="49"/>
        <v>3</v>
      </c>
      <c r="AH380" s="4">
        <f t="shared" si="50"/>
        <v>44893.789305555554</v>
      </c>
      <c r="AI380" s="2" t="str">
        <f t="shared" si="51"/>
        <v/>
      </c>
      <c r="AJ380" s="2" t="str">
        <f t="shared" si="52"/>
        <v/>
      </c>
      <c r="AK380" s="2" t="str">
        <f t="shared" si="53"/>
        <v/>
      </c>
    </row>
    <row r="381" spans="1:37" x14ac:dyDescent="0.25">
      <c r="A381">
        <v>1408</v>
      </c>
      <c r="B381" t="s">
        <v>453</v>
      </c>
      <c r="C381" t="s">
        <v>94</v>
      </c>
      <c r="D381" t="s">
        <v>387</v>
      </c>
      <c r="E381" t="s">
        <v>388</v>
      </c>
      <c r="F381" t="s">
        <v>389</v>
      </c>
      <c r="G381" t="s">
        <v>31</v>
      </c>
      <c r="H381" s="1">
        <v>44614.306493055556</v>
      </c>
      <c r="I381" s="1">
        <v>44615.306493055556</v>
      </c>
      <c r="J381" t="s">
        <v>44</v>
      </c>
      <c r="K381" s="1"/>
      <c r="T381">
        <v>0</v>
      </c>
      <c r="AC381" s="2">
        <f t="shared" si="45"/>
        <v>1</v>
      </c>
      <c r="AD381" s="2" t="str">
        <f t="shared" si="46"/>
        <v/>
      </c>
      <c r="AE381" s="2" t="str">
        <f t="shared" si="47"/>
        <v/>
      </c>
      <c r="AF381" s="2" t="str">
        <f t="shared" si="48"/>
        <v/>
      </c>
      <c r="AG381" s="2" t="str">
        <f t="shared" si="49"/>
        <v/>
      </c>
      <c r="AH381" s="4" t="str">
        <f t="shared" si="50"/>
        <v/>
      </c>
      <c r="AI381" s="2" t="str">
        <f t="shared" si="51"/>
        <v/>
      </c>
      <c r="AJ381" s="2" t="str">
        <f t="shared" si="52"/>
        <v/>
      </c>
      <c r="AK381" s="2" t="str">
        <f t="shared" si="53"/>
        <v/>
      </c>
    </row>
    <row r="382" spans="1:37" x14ac:dyDescent="0.25">
      <c r="A382">
        <v>1401</v>
      </c>
      <c r="B382" t="s">
        <v>454</v>
      </c>
      <c r="C382" t="s">
        <v>94</v>
      </c>
      <c r="D382" t="s">
        <v>387</v>
      </c>
      <c r="E382" t="s">
        <v>388</v>
      </c>
      <c r="F382" t="s">
        <v>389</v>
      </c>
      <c r="G382" t="s">
        <v>31</v>
      </c>
      <c r="H382" s="1">
        <v>44612.306493055556</v>
      </c>
      <c r="I382" s="1">
        <v>44614.306493055556</v>
      </c>
      <c r="J382" t="s">
        <v>32</v>
      </c>
      <c r="K382" s="1">
        <v>44636.306493055556</v>
      </c>
      <c r="L382" t="s">
        <v>39</v>
      </c>
      <c r="N382" s="4">
        <v>44640.306493055556</v>
      </c>
      <c r="O382" t="s">
        <v>39</v>
      </c>
      <c r="R382" s="4">
        <v>44638.306493055556</v>
      </c>
      <c r="T382">
        <v>0</v>
      </c>
      <c r="AC382" s="2">
        <f t="shared" si="45"/>
        <v>2</v>
      </c>
      <c r="AD382" s="2">
        <f t="shared" si="46"/>
        <v>24</v>
      </c>
      <c r="AE382" s="2">
        <f t="shared" si="47"/>
        <v>22</v>
      </c>
      <c r="AF382" s="2">
        <f t="shared" si="48"/>
        <v>26</v>
      </c>
      <c r="AG382" s="2">
        <f t="shared" si="49"/>
        <v>2</v>
      </c>
      <c r="AH382" s="4">
        <f t="shared" si="50"/>
        <v>44728.306493055556</v>
      </c>
      <c r="AI382" s="2" t="str">
        <f t="shared" si="51"/>
        <v/>
      </c>
      <c r="AJ382" s="2" t="str">
        <f t="shared" si="52"/>
        <v/>
      </c>
      <c r="AK382" s="2" t="str">
        <f t="shared" si="53"/>
        <v/>
      </c>
    </row>
    <row r="383" spans="1:37" x14ac:dyDescent="0.25">
      <c r="A383">
        <v>1387</v>
      </c>
      <c r="B383" t="s">
        <v>455</v>
      </c>
      <c r="C383" t="s">
        <v>94</v>
      </c>
      <c r="D383" t="s">
        <v>387</v>
      </c>
      <c r="E383" t="s">
        <v>388</v>
      </c>
      <c r="F383" t="s">
        <v>389</v>
      </c>
      <c r="G383" t="s">
        <v>31</v>
      </c>
      <c r="H383" s="1">
        <v>45040.733506944445</v>
      </c>
      <c r="I383" s="1">
        <v>45042.733506944445</v>
      </c>
      <c r="J383" t="s">
        <v>32</v>
      </c>
      <c r="K383" s="1">
        <v>45053.733506944445</v>
      </c>
      <c r="L383" t="s">
        <v>33</v>
      </c>
      <c r="M383" t="s">
        <v>51</v>
      </c>
      <c r="T383">
        <v>0</v>
      </c>
      <c r="Y383" t="s">
        <v>35</v>
      </c>
      <c r="AC383" s="2">
        <f t="shared" si="45"/>
        <v>2</v>
      </c>
      <c r="AD383" s="2">
        <f t="shared" si="46"/>
        <v>13</v>
      </c>
      <c r="AE383" s="2">
        <f t="shared" si="47"/>
        <v>11</v>
      </c>
      <c r="AF383" s="2" t="str">
        <f t="shared" si="48"/>
        <v/>
      </c>
      <c r="AG383" s="2" t="str">
        <f t="shared" si="49"/>
        <v/>
      </c>
      <c r="AH383" s="4" t="str">
        <f t="shared" si="50"/>
        <v/>
      </c>
      <c r="AI383" s="2" t="str">
        <f t="shared" si="51"/>
        <v/>
      </c>
      <c r="AJ383" s="2" t="str">
        <f t="shared" si="52"/>
        <v/>
      </c>
      <c r="AK383" s="2" t="str">
        <f t="shared" si="53"/>
        <v/>
      </c>
    </row>
    <row r="384" spans="1:37" x14ac:dyDescent="0.25">
      <c r="A384">
        <v>1326</v>
      </c>
      <c r="B384" t="s">
        <v>456</v>
      </c>
      <c r="C384" t="s">
        <v>94</v>
      </c>
      <c r="D384" t="s">
        <v>387</v>
      </c>
      <c r="E384" t="s">
        <v>388</v>
      </c>
      <c r="F384" t="s">
        <v>389</v>
      </c>
      <c r="G384" t="s">
        <v>31</v>
      </c>
      <c r="H384" s="1">
        <v>45161.187118055554</v>
      </c>
      <c r="I384" s="1">
        <v>45165.187118055554</v>
      </c>
      <c r="J384" t="s">
        <v>44</v>
      </c>
      <c r="K384" s="1"/>
      <c r="T384">
        <v>0</v>
      </c>
      <c r="AC384" s="2">
        <f t="shared" si="45"/>
        <v>4</v>
      </c>
      <c r="AD384" s="2" t="str">
        <f t="shared" si="46"/>
        <v/>
      </c>
      <c r="AE384" s="2" t="str">
        <f t="shared" si="47"/>
        <v/>
      </c>
      <c r="AF384" s="2" t="str">
        <f t="shared" si="48"/>
        <v/>
      </c>
      <c r="AG384" s="2" t="str">
        <f t="shared" si="49"/>
        <v/>
      </c>
      <c r="AH384" s="4" t="str">
        <f t="shared" si="50"/>
        <v/>
      </c>
      <c r="AI384" s="2" t="str">
        <f t="shared" si="51"/>
        <v/>
      </c>
      <c r="AJ384" s="2" t="str">
        <f t="shared" si="52"/>
        <v/>
      </c>
      <c r="AK384" s="2" t="str">
        <f t="shared" si="53"/>
        <v/>
      </c>
    </row>
    <row r="385" spans="1:37" x14ac:dyDescent="0.25">
      <c r="A385">
        <v>1325</v>
      </c>
      <c r="B385" t="s">
        <v>457</v>
      </c>
      <c r="C385" t="s">
        <v>94</v>
      </c>
      <c r="D385" t="s">
        <v>387</v>
      </c>
      <c r="E385" t="s">
        <v>388</v>
      </c>
      <c r="F385" t="s">
        <v>389</v>
      </c>
      <c r="G385" t="s">
        <v>31</v>
      </c>
      <c r="H385" s="1">
        <v>45164.187118055554</v>
      </c>
      <c r="I385" s="1">
        <v>45165.187118055554</v>
      </c>
      <c r="J385" t="s">
        <v>44</v>
      </c>
      <c r="K385" s="1"/>
      <c r="T385">
        <v>0</v>
      </c>
      <c r="AC385" s="2">
        <f t="shared" si="45"/>
        <v>1</v>
      </c>
      <c r="AD385" s="2" t="str">
        <f t="shared" si="46"/>
        <v/>
      </c>
      <c r="AE385" s="2" t="str">
        <f t="shared" si="47"/>
        <v/>
      </c>
      <c r="AF385" s="2" t="str">
        <f t="shared" si="48"/>
        <v/>
      </c>
      <c r="AG385" s="2" t="str">
        <f t="shared" si="49"/>
        <v/>
      </c>
      <c r="AH385" s="4" t="str">
        <f t="shared" si="50"/>
        <v/>
      </c>
      <c r="AI385" s="2" t="str">
        <f t="shared" si="51"/>
        <v/>
      </c>
      <c r="AJ385" s="2" t="str">
        <f t="shared" si="52"/>
        <v/>
      </c>
      <c r="AK385" s="2" t="str">
        <f t="shared" si="53"/>
        <v/>
      </c>
    </row>
    <row r="386" spans="1:37" x14ac:dyDescent="0.25">
      <c r="A386">
        <v>1293</v>
      </c>
      <c r="B386" t="s">
        <v>458</v>
      </c>
      <c r="C386" t="s">
        <v>94</v>
      </c>
      <c r="D386" t="s">
        <v>387</v>
      </c>
      <c r="E386" t="s">
        <v>388</v>
      </c>
      <c r="F386" t="s">
        <v>389</v>
      </c>
      <c r="G386" t="s">
        <v>31</v>
      </c>
      <c r="H386" s="1">
        <v>45086.672731481478</v>
      </c>
      <c r="I386" s="1">
        <v>45090.672731481478</v>
      </c>
      <c r="J386" t="s">
        <v>44</v>
      </c>
      <c r="K386" s="1"/>
      <c r="T386">
        <v>0</v>
      </c>
      <c r="AC386" s="2">
        <f t="shared" si="45"/>
        <v>4</v>
      </c>
      <c r="AD386" s="2" t="str">
        <f t="shared" si="46"/>
        <v/>
      </c>
      <c r="AE386" s="2" t="str">
        <f t="shared" si="47"/>
        <v/>
      </c>
      <c r="AF386" s="2" t="str">
        <f t="shared" si="48"/>
        <v/>
      </c>
      <c r="AG386" s="2" t="str">
        <f t="shared" si="49"/>
        <v/>
      </c>
      <c r="AH386" s="4" t="str">
        <f t="shared" si="50"/>
        <v/>
      </c>
      <c r="AI386" s="2" t="str">
        <f t="shared" si="51"/>
        <v/>
      </c>
      <c r="AJ386" s="2" t="str">
        <f t="shared" si="52"/>
        <v/>
      </c>
      <c r="AK386" s="2" t="str">
        <f t="shared" si="53"/>
        <v/>
      </c>
    </row>
    <row r="387" spans="1:37" x14ac:dyDescent="0.25">
      <c r="A387">
        <v>995</v>
      </c>
      <c r="B387" t="s">
        <v>459</v>
      </c>
      <c r="C387" t="s">
        <v>94</v>
      </c>
      <c r="D387" t="s">
        <v>387</v>
      </c>
      <c r="E387" t="s">
        <v>388</v>
      </c>
      <c r="F387" t="s">
        <v>389</v>
      </c>
      <c r="G387" t="s">
        <v>31</v>
      </c>
      <c r="H387" s="1">
        <v>45017.858425925922</v>
      </c>
      <c r="I387" s="1">
        <v>45018.858425925922</v>
      </c>
      <c r="J387" t="s">
        <v>32</v>
      </c>
      <c r="K387" s="1">
        <v>45023.858425925922</v>
      </c>
      <c r="L387" t="s">
        <v>33</v>
      </c>
      <c r="M387" t="s">
        <v>34</v>
      </c>
      <c r="T387">
        <v>0</v>
      </c>
      <c r="Y387" t="s">
        <v>35</v>
      </c>
      <c r="AC387" s="2">
        <f t="shared" ref="AC387:AC450" si="54">IF(AND(I387&lt;&gt;"",H387&lt;&gt;""), I387-H387, "")</f>
        <v>1</v>
      </c>
      <c r="AD387" s="2">
        <f t="shared" ref="AD387:AD450" si="55">IF(AND(K387&lt;&gt;"",H387&lt;&gt;""), K387-H387, "")</f>
        <v>6</v>
      </c>
      <c r="AE387" s="2">
        <f t="shared" ref="AE387:AE450" si="56">IF(AND(K387&lt;&gt;"",I387&lt;&gt;""), K387-I387, "")</f>
        <v>5</v>
      </c>
      <c r="AF387" s="2" t="str">
        <f t="shared" ref="AF387:AF450" si="57">IF(AND(R387&lt;&gt;"",H387&lt;&gt;""), R387-H387, "")</f>
        <v/>
      </c>
      <c r="AG387" s="2" t="str">
        <f t="shared" ref="AG387:AG450" si="58">IF(AND(R387&lt;&gt;"",K387&lt;&gt;""), R387-K387, "")</f>
        <v/>
      </c>
      <c r="AH387" s="4" t="str">
        <f t="shared" ref="AH387:AH450" si="59">IF(R387&lt;&gt;"", R387+90, "")</f>
        <v/>
      </c>
      <c r="AI387" s="2" t="str">
        <f t="shared" ref="AI387:AI450" si="60">IF(AND(U387&lt;&gt;"",S387&lt;&gt;""), U387-S387, "")</f>
        <v/>
      </c>
      <c r="AJ387" s="2" t="str">
        <f t="shared" ref="AJ387:AJ450" si="61">IF(AND(Z387&lt;&gt;"",R387&lt;&gt;""), Z387-R387, "")</f>
        <v/>
      </c>
      <c r="AK387" s="2" t="str">
        <f t="shared" ref="AK387:AK450" si="62">IF(AND(W387&lt;&gt;"",R387&lt;&gt;""), W387-R387, "")</f>
        <v/>
      </c>
    </row>
    <row r="388" spans="1:37" x14ac:dyDescent="0.25">
      <c r="A388">
        <v>946</v>
      </c>
      <c r="B388" t="s">
        <v>460</v>
      </c>
      <c r="C388" t="s">
        <v>94</v>
      </c>
      <c r="D388" t="s">
        <v>387</v>
      </c>
      <c r="E388" t="s">
        <v>388</v>
      </c>
      <c r="F388" t="s">
        <v>389</v>
      </c>
      <c r="G388" t="s">
        <v>31</v>
      </c>
      <c r="H388" s="1">
        <v>44863.043067129627</v>
      </c>
      <c r="I388" s="1">
        <v>44865.043067129627</v>
      </c>
      <c r="J388" t="s">
        <v>44</v>
      </c>
      <c r="K388" s="1"/>
      <c r="T388">
        <v>0</v>
      </c>
      <c r="AC388" s="2">
        <f t="shared" si="54"/>
        <v>2</v>
      </c>
      <c r="AD388" s="2" t="str">
        <f t="shared" si="55"/>
        <v/>
      </c>
      <c r="AE388" s="2" t="str">
        <f t="shared" si="56"/>
        <v/>
      </c>
      <c r="AF388" s="2" t="str">
        <f t="shared" si="57"/>
        <v/>
      </c>
      <c r="AG388" s="2" t="str">
        <f t="shared" si="58"/>
        <v/>
      </c>
      <c r="AH388" s="4" t="str">
        <f t="shared" si="59"/>
        <v/>
      </c>
      <c r="AI388" s="2" t="str">
        <f t="shared" si="60"/>
        <v/>
      </c>
      <c r="AJ388" s="2" t="str">
        <f t="shared" si="61"/>
        <v/>
      </c>
      <c r="AK388" s="2" t="str">
        <f t="shared" si="62"/>
        <v/>
      </c>
    </row>
    <row r="389" spans="1:37" x14ac:dyDescent="0.25">
      <c r="A389">
        <v>942</v>
      </c>
      <c r="B389" t="s">
        <v>461</v>
      </c>
      <c r="C389" t="s">
        <v>94</v>
      </c>
      <c r="D389" t="s">
        <v>387</v>
      </c>
      <c r="E389" t="s">
        <v>388</v>
      </c>
      <c r="F389" t="s">
        <v>389</v>
      </c>
      <c r="G389" t="s">
        <v>31</v>
      </c>
      <c r="H389" s="1">
        <v>44863.043067129627</v>
      </c>
      <c r="I389" s="1">
        <v>44864.043067129627</v>
      </c>
      <c r="J389" t="s">
        <v>32</v>
      </c>
      <c r="K389" s="1">
        <v>44872.043067129627</v>
      </c>
      <c r="L389" t="s">
        <v>33</v>
      </c>
      <c r="M389" t="s">
        <v>67</v>
      </c>
      <c r="T389">
        <v>0</v>
      </c>
      <c r="Y389" t="s">
        <v>55</v>
      </c>
      <c r="AC389" s="2">
        <f t="shared" si="54"/>
        <v>1</v>
      </c>
      <c r="AD389" s="2">
        <f t="shared" si="55"/>
        <v>9</v>
      </c>
      <c r="AE389" s="2">
        <f t="shared" si="56"/>
        <v>8</v>
      </c>
      <c r="AF389" s="2" t="str">
        <f t="shared" si="57"/>
        <v/>
      </c>
      <c r="AG389" s="2" t="str">
        <f t="shared" si="58"/>
        <v/>
      </c>
      <c r="AH389" s="4" t="str">
        <f t="shared" si="59"/>
        <v/>
      </c>
      <c r="AI389" s="2" t="str">
        <f t="shared" si="60"/>
        <v/>
      </c>
      <c r="AJ389" s="2" t="str">
        <f t="shared" si="61"/>
        <v/>
      </c>
      <c r="AK389" s="2" t="str">
        <f t="shared" si="62"/>
        <v/>
      </c>
    </row>
    <row r="390" spans="1:37" x14ac:dyDescent="0.25">
      <c r="A390">
        <v>941</v>
      </c>
      <c r="B390" t="s">
        <v>462</v>
      </c>
      <c r="C390" t="s">
        <v>94</v>
      </c>
      <c r="D390" t="s">
        <v>387</v>
      </c>
      <c r="E390" t="s">
        <v>388</v>
      </c>
      <c r="F390" t="s">
        <v>389</v>
      </c>
      <c r="G390" t="s">
        <v>31</v>
      </c>
      <c r="H390" s="1">
        <v>44864.043067129627</v>
      </c>
      <c r="I390" s="1">
        <v>44866.043067129627</v>
      </c>
      <c r="J390" t="s">
        <v>32</v>
      </c>
      <c r="K390" s="1">
        <v>44871.043067129627</v>
      </c>
      <c r="L390" t="s">
        <v>33</v>
      </c>
      <c r="M390" t="s">
        <v>51</v>
      </c>
      <c r="R390" s="4">
        <v>44873.043067129627</v>
      </c>
      <c r="T390">
        <v>0</v>
      </c>
      <c r="Y390" t="s">
        <v>35</v>
      </c>
      <c r="AC390" s="2">
        <f t="shared" si="54"/>
        <v>2</v>
      </c>
      <c r="AD390" s="2">
        <f t="shared" si="55"/>
        <v>7</v>
      </c>
      <c r="AE390" s="2">
        <f t="shared" si="56"/>
        <v>5</v>
      </c>
      <c r="AF390" s="2">
        <f t="shared" si="57"/>
        <v>9</v>
      </c>
      <c r="AG390" s="2">
        <f t="shared" si="58"/>
        <v>2</v>
      </c>
      <c r="AH390" s="4">
        <f t="shared" si="59"/>
        <v>44963.043067129627</v>
      </c>
      <c r="AI390" s="2" t="str">
        <f t="shared" si="60"/>
        <v/>
      </c>
      <c r="AJ390" s="2" t="str">
        <f t="shared" si="61"/>
        <v/>
      </c>
      <c r="AK390" s="2" t="str">
        <f t="shared" si="62"/>
        <v/>
      </c>
    </row>
    <row r="391" spans="1:37" x14ac:dyDescent="0.25">
      <c r="A391">
        <v>920</v>
      </c>
      <c r="B391" t="s">
        <v>463</v>
      </c>
      <c r="C391" t="s">
        <v>94</v>
      </c>
      <c r="D391" t="s">
        <v>387</v>
      </c>
      <c r="E391" t="s">
        <v>388</v>
      </c>
      <c r="F391" t="s">
        <v>389</v>
      </c>
      <c r="G391" t="s">
        <v>31</v>
      </c>
      <c r="H391" s="1">
        <v>44671.256099537037</v>
      </c>
      <c r="I391" s="1">
        <v>44673.256099537037</v>
      </c>
      <c r="J391" t="s">
        <v>44</v>
      </c>
      <c r="K391" s="1"/>
      <c r="T391">
        <v>0</v>
      </c>
      <c r="AC391" s="2">
        <f t="shared" si="54"/>
        <v>2</v>
      </c>
      <c r="AD391" s="2" t="str">
        <f t="shared" si="55"/>
        <v/>
      </c>
      <c r="AE391" s="2" t="str">
        <f t="shared" si="56"/>
        <v/>
      </c>
      <c r="AF391" s="2" t="str">
        <f t="shared" si="57"/>
        <v/>
      </c>
      <c r="AG391" s="2" t="str">
        <f t="shared" si="58"/>
        <v/>
      </c>
      <c r="AH391" s="4" t="str">
        <f t="shared" si="59"/>
        <v/>
      </c>
      <c r="AI391" s="2" t="str">
        <f t="shared" si="60"/>
        <v/>
      </c>
      <c r="AJ391" s="2" t="str">
        <f t="shared" si="61"/>
        <v/>
      </c>
      <c r="AK391" s="2" t="str">
        <f t="shared" si="62"/>
        <v/>
      </c>
    </row>
    <row r="392" spans="1:37" x14ac:dyDescent="0.25">
      <c r="A392">
        <v>913</v>
      </c>
      <c r="B392" t="s">
        <v>464</v>
      </c>
      <c r="C392" t="s">
        <v>94</v>
      </c>
      <c r="D392" t="s">
        <v>387</v>
      </c>
      <c r="E392" t="s">
        <v>388</v>
      </c>
      <c r="F392" t="s">
        <v>389</v>
      </c>
      <c r="G392" t="s">
        <v>31</v>
      </c>
      <c r="H392" s="1">
        <v>44672.256099537037</v>
      </c>
      <c r="I392" s="1">
        <v>44673.256099537037</v>
      </c>
      <c r="J392" t="s">
        <v>44</v>
      </c>
      <c r="K392" s="1"/>
      <c r="T392">
        <v>0</v>
      </c>
      <c r="AC392" s="2">
        <f t="shared" si="54"/>
        <v>1</v>
      </c>
      <c r="AD392" s="2" t="str">
        <f t="shared" si="55"/>
        <v/>
      </c>
      <c r="AE392" s="2" t="str">
        <f t="shared" si="56"/>
        <v/>
      </c>
      <c r="AF392" s="2" t="str">
        <f t="shared" si="57"/>
        <v/>
      </c>
      <c r="AG392" s="2" t="str">
        <f t="shared" si="58"/>
        <v/>
      </c>
      <c r="AH392" s="4" t="str">
        <f t="shared" si="59"/>
        <v/>
      </c>
      <c r="AI392" s="2" t="str">
        <f t="shared" si="60"/>
        <v/>
      </c>
      <c r="AJ392" s="2" t="str">
        <f t="shared" si="61"/>
        <v/>
      </c>
      <c r="AK392" s="2" t="str">
        <f t="shared" si="62"/>
        <v/>
      </c>
    </row>
    <row r="393" spans="1:37" x14ac:dyDescent="0.25">
      <c r="A393">
        <v>901</v>
      </c>
      <c r="B393" t="s">
        <v>465</v>
      </c>
      <c r="C393" t="s">
        <v>94</v>
      </c>
      <c r="D393" t="s">
        <v>387</v>
      </c>
      <c r="E393" t="s">
        <v>388</v>
      </c>
      <c r="F393" t="s">
        <v>389</v>
      </c>
      <c r="G393" t="s">
        <v>31</v>
      </c>
      <c r="H393" s="1">
        <v>45156.249560185184</v>
      </c>
      <c r="I393" s="1">
        <v>45160.249560185184</v>
      </c>
      <c r="J393" t="s">
        <v>32</v>
      </c>
      <c r="K393" s="1">
        <v>45172.249560185184</v>
      </c>
      <c r="L393" t="s">
        <v>57</v>
      </c>
      <c r="N393" s="4">
        <v>45176.249560185184</v>
      </c>
      <c r="O393" t="s">
        <v>57</v>
      </c>
      <c r="P393" s="4">
        <v>45174.249560185184</v>
      </c>
      <c r="Q393" s="4">
        <v>45175.249560185184</v>
      </c>
      <c r="R393" s="4">
        <v>45174.249560185184</v>
      </c>
      <c r="S393" s="4">
        <v>45180.249560185184</v>
      </c>
      <c r="T393">
        <v>1</v>
      </c>
      <c r="U393" s="4">
        <v>45181.249560185184</v>
      </c>
      <c r="V393" s="4">
        <v>45182.249560185184</v>
      </c>
      <c r="W393" s="4">
        <v>45183.249560185184</v>
      </c>
      <c r="Z393" s="4">
        <v>45202.249560185184</v>
      </c>
      <c r="AC393" s="2">
        <f t="shared" si="54"/>
        <v>4</v>
      </c>
      <c r="AD393" s="2">
        <f t="shared" si="55"/>
        <v>16</v>
      </c>
      <c r="AE393" s="2">
        <f t="shared" si="56"/>
        <v>12</v>
      </c>
      <c r="AF393" s="2">
        <f t="shared" si="57"/>
        <v>18</v>
      </c>
      <c r="AG393" s="2">
        <f t="shared" si="58"/>
        <v>2</v>
      </c>
      <c r="AH393" s="4">
        <f t="shared" si="59"/>
        <v>45264.249560185184</v>
      </c>
      <c r="AI393" s="2">
        <f t="shared" si="60"/>
        <v>1</v>
      </c>
      <c r="AJ393" s="2">
        <f t="shared" si="61"/>
        <v>28</v>
      </c>
      <c r="AK393" s="2">
        <f t="shared" si="62"/>
        <v>9</v>
      </c>
    </row>
    <row r="394" spans="1:37" x14ac:dyDescent="0.25">
      <c r="A394">
        <v>835</v>
      </c>
      <c r="B394" t="s">
        <v>466</v>
      </c>
      <c r="C394" t="s">
        <v>94</v>
      </c>
      <c r="D394" t="s">
        <v>387</v>
      </c>
      <c r="E394" t="s">
        <v>388</v>
      </c>
      <c r="F394" t="s">
        <v>389</v>
      </c>
      <c r="G394" t="s">
        <v>31</v>
      </c>
      <c r="H394" s="1">
        <v>44754.707071759258</v>
      </c>
      <c r="I394" s="1">
        <v>44758.707071759258</v>
      </c>
      <c r="J394" t="s">
        <v>32</v>
      </c>
      <c r="K394" s="1">
        <v>44774.707071759258</v>
      </c>
      <c r="L394" t="s">
        <v>33</v>
      </c>
      <c r="M394" t="s">
        <v>34</v>
      </c>
      <c r="T394">
        <v>0</v>
      </c>
      <c r="Y394" t="s">
        <v>55</v>
      </c>
      <c r="AC394" s="2">
        <f t="shared" si="54"/>
        <v>4</v>
      </c>
      <c r="AD394" s="2">
        <f t="shared" si="55"/>
        <v>20</v>
      </c>
      <c r="AE394" s="2">
        <f t="shared" si="56"/>
        <v>16</v>
      </c>
      <c r="AF394" s="2" t="str">
        <f t="shared" si="57"/>
        <v/>
      </c>
      <c r="AG394" s="2" t="str">
        <f t="shared" si="58"/>
        <v/>
      </c>
      <c r="AH394" s="4" t="str">
        <f t="shared" si="59"/>
        <v/>
      </c>
      <c r="AI394" s="2" t="str">
        <f t="shared" si="60"/>
        <v/>
      </c>
      <c r="AJ394" s="2" t="str">
        <f t="shared" si="61"/>
        <v/>
      </c>
      <c r="AK394" s="2" t="str">
        <f t="shared" si="62"/>
        <v/>
      </c>
    </row>
    <row r="395" spans="1:37" x14ac:dyDescent="0.25">
      <c r="A395">
        <v>834</v>
      </c>
      <c r="B395" t="s">
        <v>467</v>
      </c>
      <c r="C395" t="s">
        <v>94</v>
      </c>
      <c r="D395" t="s">
        <v>387</v>
      </c>
      <c r="E395" t="s">
        <v>388</v>
      </c>
      <c r="F395" t="s">
        <v>389</v>
      </c>
      <c r="G395" t="s">
        <v>31</v>
      </c>
      <c r="H395" s="1">
        <v>44755.707071759258</v>
      </c>
      <c r="I395" s="1">
        <v>44756.707071759258</v>
      </c>
      <c r="J395" t="s">
        <v>32</v>
      </c>
      <c r="K395" s="1">
        <v>44772.707071759258</v>
      </c>
      <c r="L395" t="s">
        <v>57</v>
      </c>
      <c r="N395" s="4">
        <v>44777.707071759258</v>
      </c>
      <c r="O395" t="s">
        <v>57</v>
      </c>
      <c r="P395" s="4">
        <v>44773.707071759258</v>
      </c>
      <c r="Q395" s="4">
        <v>44776.707071759258</v>
      </c>
      <c r="R395" s="4">
        <v>44773.707071759258</v>
      </c>
      <c r="S395" s="4">
        <v>44778.707071759258</v>
      </c>
      <c r="T395">
        <v>1</v>
      </c>
      <c r="U395" s="4">
        <v>44780.707071759258</v>
      </c>
      <c r="V395" s="4">
        <v>44782.707071759258</v>
      </c>
      <c r="W395" s="4">
        <v>44784.707071759258</v>
      </c>
      <c r="Z395" s="4">
        <v>44801.707071759258</v>
      </c>
      <c r="AC395" s="2">
        <f t="shared" si="54"/>
        <v>1</v>
      </c>
      <c r="AD395" s="2">
        <f t="shared" si="55"/>
        <v>17</v>
      </c>
      <c r="AE395" s="2">
        <f t="shared" si="56"/>
        <v>16</v>
      </c>
      <c r="AF395" s="2">
        <f t="shared" si="57"/>
        <v>18</v>
      </c>
      <c r="AG395" s="2">
        <f t="shared" si="58"/>
        <v>1</v>
      </c>
      <c r="AH395" s="4">
        <f t="shared" si="59"/>
        <v>44863.707071759258</v>
      </c>
      <c r="AI395" s="2">
        <f t="shared" si="60"/>
        <v>2</v>
      </c>
      <c r="AJ395" s="2">
        <f t="shared" si="61"/>
        <v>28</v>
      </c>
      <c r="AK395" s="2">
        <f t="shared" si="62"/>
        <v>11</v>
      </c>
    </row>
    <row r="396" spans="1:37" x14ac:dyDescent="0.25">
      <c r="A396">
        <v>822</v>
      </c>
      <c r="B396" t="s">
        <v>468</v>
      </c>
      <c r="C396" t="s">
        <v>94</v>
      </c>
      <c r="D396" t="s">
        <v>387</v>
      </c>
      <c r="E396" t="s">
        <v>388</v>
      </c>
      <c r="F396" t="s">
        <v>389</v>
      </c>
      <c r="G396" t="s">
        <v>31</v>
      </c>
      <c r="H396" s="1">
        <v>44627.625335648147</v>
      </c>
      <c r="I396" s="1">
        <v>44628.625335648147</v>
      </c>
      <c r="J396" t="s">
        <v>44</v>
      </c>
      <c r="K396" s="1"/>
      <c r="T396">
        <v>0</v>
      </c>
      <c r="AC396" s="2">
        <f t="shared" si="54"/>
        <v>1</v>
      </c>
      <c r="AD396" s="2" t="str">
        <f t="shared" si="55"/>
        <v/>
      </c>
      <c r="AE396" s="2" t="str">
        <f t="shared" si="56"/>
        <v/>
      </c>
      <c r="AF396" s="2" t="str">
        <f t="shared" si="57"/>
        <v/>
      </c>
      <c r="AG396" s="2" t="str">
        <f t="shared" si="58"/>
        <v/>
      </c>
      <c r="AH396" s="4" t="str">
        <f t="shared" si="59"/>
        <v/>
      </c>
      <c r="AI396" s="2" t="str">
        <f t="shared" si="60"/>
        <v/>
      </c>
      <c r="AJ396" s="2" t="str">
        <f t="shared" si="61"/>
        <v/>
      </c>
      <c r="AK396" s="2" t="str">
        <f t="shared" si="62"/>
        <v/>
      </c>
    </row>
    <row r="397" spans="1:37" x14ac:dyDescent="0.25">
      <c r="A397">
        <v>800</v>
      </c>
      <c r="B397" t="s">
        <v>469</v>
      </c>
      <c r="C397" t="s">
        <v>94</v>
      </c>
      <c r="D397" t="s">
        <v>387</v>
      </c>
      <c r="E397" t="s">
        <v>388</v>
      </c>
      <c r="F397" t="s">
        <v>389</v>
      </c>
      <c r="G397" t="s">
        <v>31</v>
      </c>
      <c r="H397" s="1">
        <v>44903.674583333333</v>
      </c>
      <c r="I397" s="1">
        <v>44906.674583333333</v>
      </c>
      <c r="J397" t="s">
        <v>32</v>
      </c>
      <c r="K397" s="1">
        <v>44928.674583333333</v>
      </c>
      <c r="L397" t="s">
        <v>39</v>
      </c>
      <c r="N397" s="4">
        <v>44932.674583333333</v>
      </c>
      <c r="O397" t="s">
        <v>39</v>
      </c>
      <c r="R397" s="4">
        <v>44931.674583333333</v>
      </c>
      <c r="T397">
        <v>0</v>
      </c>
      <c r="AC397" s="2">
        <f t="shared" si="54"/>
        <v>3</v>
      </c>
      <c r="AD397" s="2">
        <f t="shared" si="55"/>
        <v>25</v>
      </c>
      <c r="AE397" s="2">
        <f t="shared" si="56"/>
        <v>22</v>
      </c>
      <c r="AF397" s="2">
        <f t="shared" si="57"/>
        <v>28</v>
      </c>
      <c r="AG397" s="2">
        <f t="shared" si="58"/>
        <v>3</v>
      </c>
      <c r="AH397" s="4">
        <f t="shared" si="59"/>
        <v>45021.674583333333</v>
      </c>
      <c r="AI397" s="2" t="str">
        <f t="shared" si="60"/>
        <v/>
      </c>
      <c r="AJ397" s="2" t="str">
        <f t="shared" si="61"/>
        <v/>
      </c>
      <c r="AK397" s="2" t="str">
        <f t="shared" si="62"/>
        <v/>
      </c>
    </row>
    <row r="398" spans="1:37" x14ac:dyDescent="0.25">
      <c r="A398">
        <v>794</v>
      </c>
      <c r="B398" t="s">
        <v>470</v>
      </c>
      <c r="C398" t="s">
        <v>94</v>
      </c>
      <c r="D398" t="s">
        <v>387</v>
      </c>
      <c r="E398" t="s">
        <v>388</v>
      </c>
      <c r="F398" t="s">
        <v>389</v>
      </c>
      <c r="G398" t="s">
        <v>31</v>
      </c>
      <c r="H398" s="1">
        <v>44904.674583333333</v>
      </c>
      <c r="I398" s="1">
        <v>44908.674583333333</v>
      </c>
      <c r="J398" t="s">
        <v>44</v>
      </c>
      <c r="K398" s="1"/>
      <c r="T398">
        <v>0</v>
      </c>
      <c r="AC398" s="2">
        <f t="shared" si="54"/>
        <v>4</v>
      </c>
      <c r="AD398" s="2" t="str">
        <f t="shared" si="55"/>
        <v/>
      </c>
      <c r="AE398" s="2" t="str">
        <f t="shared" si="56"/>
        <v/>
      </c>
      <c r="AF398" s="2" t="str">
        <f t="shared" si="57"/>
        <v/>
      </c>
      <c r="AG398" s="2" t="str">
        <f t="shared" si="58"/>
        <v/>
      </c>
      <c r="AH398" s="4" t="str">
        <f t="shared" si="59"/>
        <v/>
      </c>
      <c r="AI398" s="2" t="str">
        <f t="shared" si="60"/>
        <v/>
      </c>
      <c r="AJ398" s="2" t="str">
        <f t="shared" si="61"/>
        <v/>
      </c>
      <c r="AK398" s="2" t="str">
        <f t="shared" si="62"/>
        <v/>
      </c>
    </row>
    <row r="399" spans="1:37" x14ac:dyDescent="0.25">
      <c r="A399">
        <v>792</v>
      </c>
      <c r="B399" t="s">
        <v>471</v>
      </c>
      <c r="C399" t="s">
        <v>94</v>
      </c>
      <c r="D399" t="s">
        <v>387</v>
      </c>
      <c r="E399" t="s">
        <v>388</v>
      </c>
      <c r="F399" t="s">
        <v>389</v>
      </c>
      <c r="G399" t="s">
        <v>31</v>
      </c>
      <c r="H399" s="1">
        <v>44905.674583333333</v>
      </c>
      <c r="I399" s="1">
        <v>44908.674583333333</v>
      </c>
      <c r="J399" t="s">
        <v>32</v>
      </c>
      <c r="K399" s="1">
        <v>44923.674583333333</v>
      </c>
      <c r="L399" t="s">
        <v>57</v>
      </c>
      <c r="N399" s="4">
        <v>44927.674583333333</v>
      </c>
      <c r="O399" t="s">
        <v>57</v>
      </c>
      <c r="P399" s="4">
        <v>44925.674583333333</v>
      </c>
      <c r="Q399" s="4">
        <v>44928.674583333333</v>
      </c>
      <c r="R399" s="4">
        <v>44925.674583333333</v>
      </c>
      <c r="S399" s="4">
        <v>44928.674583333333</v>
      </c>
      <c r="T399">
        <v>1</v>
      </c>
      <c r="U399" s="4">
        <v>44931.674583333333</v>
      </c>
      <c r="V399" s="4">
        <v>44934.674583333333</v>
      </c>
      <c r="W399" s="4">
        <v>44935.674583333333</v>
      </c>
      <c r="Z399" s="4">
        <v>44958.674583333333</v>
      </c>
      <c r="AC399" s="2">
        <f t="shared" si="54"/>
        <v>3</v>
      </c>
      <c r="AD399" s="2">
        <f t="shared" si="55"/>
        <v>18</v>
      </c>
      <c r="AE399" s="2">
        <f t="shared" si="56"/>
        <v>15</v>
      </c>
      <c r="AF399" s="2">
        <f t="shared" si="57"/>
        <v>20</v>
      </c>
      <c r="AG399" s="2">
        <f t="shared" si="58"/>
        <v>2</v>
      </c>
      <c r="AH399" s="4">
        <f t="shared" si="59"/>
        <v>45015.674583333333</v>
      </c>
      <c r="AI399" s="2">
        <f t="shared" si="60"/>
        <v>3</v>
      </c>
      <c r="AJ399" s="2">
        <f t="shared" si="61"/>
        <v>33</v>
      </c>
      <c r="AK399" s="2">
        <f t="shared" si="62"/>
        <v>10</v>
      </c>
    </row>
    <row r="400" spans="1:37" x14ac:dyDescent="0.25">
      <c r="A400">
        <v>766</v>
      </c>
      <c r="B400" t="s">
        <v>472</v>
      </c>
      <c r="C400" t="s">
        <v>94</v>
      </c>
      <c r="D400" t="s">
        <v>387</v>
      </c>
      <c r="E400" t="s">
        <v>388</v>
      </c>
      <c r="F400" t="s">
        <v>389</v>
      </c>
      <c r="G400" t="s">
        <v>31</v>
      </c>
      <c r="H400" s="1">
        <v>44725.736145833333</v>
      </c>
      <c r="I400" s="1">
        <v>44729.736145833333</v>
      </c>
      <c r="J400" t="s">
        <v>44</v>
      </c>
      <c r="K400" s="1"/>
      <c r="T400">
        <v>0</v>
      </c>
      <c r="AC400" s="2">
        <f t="shared" si="54"/>
        <v>4</v>
      </c>
      <c r="AD400" s="2" t="str">
        <f t="shared" si="55"/>
        <v/>
      </c>
      <c r="AE400" s="2" t="str">
        <f t="shared" si="56"/>
        <v/>
      </c>
      <c r="AF400" s="2" t="str">
        <f t="shared" si="57"/>
        <v/>
      </c>
      <c r="AG400" s="2" t="str">
        <f t="shared" si="58"/>
        <v/>
      </c>
      <c r="AH400" s="4" t="str">
        <f t="shared" si="59"/>
        <v/>
      </c>
      <c r="AI400" s="2" t="str">
        <f t="shared" si="60"/>
        <v/>
      </c>
      <c r="AJ400" s="2" t="str">
        <f t="shared" si="61"/>
        <v/>
      </c>
      <c r="AK400" s="2" t="str">
        <f t="shared" si="62"/>
        <v/>
      </c>
    </row>
    <row r="401" spans="1:37" x14ac:dyDescent="0.25">
      <c r="A401">
        <v>765</v>
      </c>
      <c r="B401" t="s">
        <v>473</v>
      </c>
      <c r="C401" t="s">
        <v>94</v>
      </c>
      <c r="D401" t="s">
        <v>387</v>
      </c>
      <c r="E401" t="s">
        <v>474</v>
      </c>
      <c r="F401" t="s">
        <v>475</v>
      </c>
      <c r="G401" t="s">
        <v>31</v>
      </c>
      <c r="H401" s="1">
        <v>44723.736145833333</v>
      </c>
      <c r="I401" s="1">
        <v>44727.736145833333</v>
      </c>
      <c r="J401" t="s">
        <v>44</v>
      </c>
      <c r="K401" s="1"/>
      <c r="T401">
        <v>0</v>
      </c>
      <c r="AC401" s="2">
        <f t="shared" si="54"/>
        <v>4</v>
      </c>
      <c r="AD401" s="2" t="str">
        <f t="shared" si="55"/>
        <v/>
      </c>
      <c r="AE401" s="2" t="str">
        <f t="shared" si="56"/>
        <v/>
      </c>
      <c r="AF401" s="2" t="str">
        <f t="shared" si="57"/>
        <v/>
      </c>
      <c r="AG401" s="2" t="str">
        <f t="shared" si="58"/>
        <v/>
      </c>
      <c r="AH401" s="4" t="str">
        <f t="shared" si="59"/>
        <v/>
      </c>
      <c r="AI401" s="2" t="str">
        <f t="shared" si="60"/>
        <v/>
      </c>
      <c r="AJ401" s="2" t="str">
        <f t="shared" si="61"/>
        <v/>
      </c>
      <c r="AK401" s="2" t="str">
        <f t="shared" si="62"/>
        <v/>
      </c>
    </row>
    <row r="402" spans="1:37" x14ac:dyDescent="0.25">
      <c r="A402">
        <v>761</v>
      </c>
      <c r="B402" t="s">
        <v>476</v>
      </c>
      <c r="C402" t="s">
        <v>94</v>
      </c>
      <c r="D402" t="s">
        <v>387</v>
      </c>
      <c r="E402" t="s">
        <v>474</v>
      </c>
      <c r="F402" t="s">
        <v>475</v>
      </c>
      <c r="G402" t="s">
        <v>31</v>
      </c>
      <c r="H402" s="1">
        <v>44729.736145833333</v>
      </c>
      <c r="I402" s="1">
        <v>44731.736145833333</v>
      </c>
      <c r="J402" t="s">
        <v>32</v>
      </c>
      <c r="K402" s="1">
        <v>44745.736145833333</v>
      </c>
      <c r="L402" t="s">
        <v>57</v>
      </c>
      <c r="N402" s="4">
        <v>44752.736145833333</v>
      </c>
      <c r="O402" t="s">
        <v>57</v>
      </c>
      <c r="P402" s="4">
        <v>44746.736145833333</v>
      </c>
      <c r="Q402" s="4">
        <v>44747.736145833333</v>
      </c>
      <c r="R402" s="4">
        <v>44749.736145833333</v>
      </c>
      <c r="S402" s="4">
        <v>44752.736145833333</v>
      </c>
      <c r="T402">
        <v>1</v>
      </c>
      <c r="U402" s="4">
        <v>44756.736145833333</v>
      </c>
      <c r="V402" s="4">
        <v>44759.736145833333</v>
      </c>
      <c r="W402" s="4">
        <v>44762.736145833333</v>
      </c>
      <c r="Z402" s="4">
        <v>44774.736145833333</v>
      </c>
      <c r="AC402" s="2">
        <f t="shared" si="54"/>
        <v>2</v>
      </c>
      <c r="AD402" s="2">
        <f t="shared" si="55"/>
        <v>16</v>
      </c>
      <c r="AE402" s="2">
        <f t="shared" si="56"/>
        <v>14</v>
      </c>
      <c r="AF402" s="2">
        <f t="shared" si="57"/>
        <v>20</v>
      </c>
      <c r="AG402" s="2">
        <f t="shared" si="58"/>
        <v>4</v>
      </c>
      <c r="AH402" s="4">
        <f t="shared" si="59"/>
        <v>44839.736145833333</v>
      </c>
      <c r="AI402" s="2">
        <f t="shared" si="60"/>
        <v>4</v>
      </c>
      <c r="AJ402" s="2">
        <f t="shared" si="61"/>
        <v>25</v>
      </c>
      <c r="AK402" s="2">
        <f t="shared" si="62"/>
        <v>13</v>
      </c>
    </row>
    <row r="403" spans="1:37" x14ac:dyDescent="0.25">
      <c r="A403">
        <v>730</v>
      </c>
      <c r="B403" t="s">
        <v>477</v>
      </c>
      <c r="C403" t="s">
        <v>94</v>
      </c>
      <c r="D403" t="s">
        <v>387</v>
      </c>
      <c r="E403" t="s">
        <v>474</v>
      </c>
      <c r="F403" t="s">
        <v>475</v>
      </c>
      <c r="G403" t="s">
        <v>31</v>
      </c>
      <c r="H403" s="1">
        <v>44605.660578703704</v>
      </c>
      <c r="I403" s="1">
        <v>44608.660578703704</v>
      </c>
      <c r="J403" t="s">
        <v>32</v>
      </c>
      <c r="K403" s="1">
        <v>44620.660578703704</v>
      </c>
      <c r="L403" t="s">
        <v>39</v>
      </c>
      <c r="N403" s="4">
        <v>44627.660578703704</v>
      </c>
      <c r="O403" t="s">
        <v>39</v>
      </c>
      <c r="R403" s="4">
        <v>44623.660578703704</v>
      </c>
      <c r="T403">
        <v>0</v>
      </c>
      <c r="AC403" s="2">
        <f t="shared" si="54"/>
        <v>3</v>
      </c>
      <c r="AD403" s="2">
        <f t="shared" si="55"/>
        <v>15</v>
      </c>
      <c r="AE403" s="2">
        <f t="shared" si="56"/>
        <v>12</v>
      </c>
      <c r="AF403" s="2">
        <f t="shared" si="57"/>
        <v>18</v>
      </c>
      <c r="AG403" s="2">
        <f t="shared" si="58"/>
        <v>3</v>
      </c>
      <c r="AH403" s="4">
        <f t="shared" si="59"/>
        <v>44713.660578703704</v>
      </c>
      <c r="AI403" s="2" t="str">
        <f t="shared" si="60"/>
        <v/>
      </c>
      <c r="AJ403" s="2" t="str">
        <f t="shared" si="61"/>
        <v/>
      </c>
      <c r="AK403" s="2" t="str">
        <f t="shared" si="62"/>
        <v/>
      </c>
    </row>
    <row r="404" spans="1:37" x14ac:dyDescent="0.25">
      <c r="A404">
        <v>720</v>
      </c>
      <c r="B404" t="s">
        <v>478</v>
      </c>
      <c r="C404" t="s">
        <v>94</v>
      </c>
      <c r="D404" t="s">
        <v>387</v>
      </c>
      <c r="E404" t="s">
        <v>474</v>
      </c>
      <c r="F404" t="s">
        <v>475</v>
      </c>
      <c r="G404" t="s">
        <v>31</v>
      </c>
      <c r="H404" s="1">
        <v>44629.686331018522</v>
      </c>
      <c r="I404" s="1">
        <v>44630.686331018522</v>
      </c>
      <c r="J404" t="s">
        <v>32</v>
      </c>
      <c r="K404" s="1">
        <v>44650.686331018522</v>
      </c>
      <c r="L404" t="s">
        <v>33</v>
      </c>
      <c r="M404" t="s">
        <v>34</v>
      </c>
      <c r="R404" s="4">
        <v>44652.686331018522</v>
      </c>
      <c r="T404">
        <v>0</v>
      </c>
      <c r="Y404" t="s">
        <v>35</v>
      </c>
      <c r="AC404" s="2">
        <f t="shared" si="54"/>
        <v>1</v>
      </c>
      <c r="AD404" s="2">
        <f t="shared" si="55"/>
        <v>21</v>
      </c>
      <c r="AE404" s="2">
        <f t="shared" si="56"/>
        <v>20</v>
      </c>
      <c r="AF404" s="2">
        <f t="shared" si="57"/>
        <v>23</v>
      </c>
      <c r="AG404" s="2">
        <f t="shared" si="58"/>
        <v>2</v>
      </c>
      <c r="AH404" s="4">
        <f t="shared" si="59"/>
        <v>44742.686331018522</v>
      </c>
      <c r="AI404" s="2" t="str">
        <f t="shared" si="60"/>
        <v/>
      </c>
      <c r="AJ404" s="2" t="str">
        <f t="shared" si="61"/>
        <v/>
      </c>
      <c r="AK404" s="2" t="str">
        <f t="shared" si="62"/>
        <v/>
      </c>
    </row>
    <row r="405" spans="1:37" x14ac:dyDescent="0.25">
      <c r="A405">
        <v>680</v>
      </c>
      <c r="B405" t="s">
        <v>479</v>
      </c>
      <c r="C405" t="s">
        <v>94</v>
      </c>
      <c r="D405" t="s">
        <v>387</v>
      </c>
      <c r="E405" t="s">
        <v>474</v>
      </c>
      <c r="F405" t="s">
        <v>475</v>
      </c>
      <c r="G405" t="s">
        <v>31</v>
      </c>
      <c r="H405" s="1">
        <v>45140.885671296295</v>
      </c>
      <c r="I405" s="1">
        <v>45142.885671296295</v>
      </c>
      <c r="J405" t="s">
        <v>32</v>
      </c>
      <c r="K405" s="1">
        <v>45163.885671296295</v>
      </c>
      <c r="L405" t="s">
        <v>33</v>
      </c>
      <c r="M405" t="s">
        <v>67</v>
      </c>
      <c r="R405" s="4">
        <v>45166.885671296295</v>
      </c>
      <c r="T405">
        <v>0</v>
      </c>
      <c r="Y405" t="s">
        <v>55</v>
      </c>
      <c r="AC405" s="2">
        <f t="shared" si="54"/>
        <v>2</v>
      </c>
      <c r="AD405" s="2">
        <f t="shared" si="55"/>
        <v>23</v>
      </c>
      <c r="AE405" s="2">
        <f t="shared" si="56"/>
        <v>21</v>
      </c>
      <c r="AF405" s="2">
        <f t="shared" si="57"/>
        <v>26</v>
      </c>
      <c r="AG405" s="2">
        <f t="shared" si="58"/>
        <v>3</v>
      </c>
      <c r="AH405" s="4">
        <f t="shared" si="59"/>
        <v>45256.885671296295</v>
      </c>
      <c r="AI405" s="2" t="str">
        <f t="shared" si="60"/>
        <v/>
      </c>
      <c r="AJ405" s="2" t="str">
        <f t="shared" si="61"/>
        <v/>
      </c>
      <c r="AK405" s="2" t="str">
        <f t="shared" si="62"/>
        <v/>
      </c>
    </row>
    <row r="406" spans="1:37" x14ac:dyDescent="0.25">
      <c r="A406">
        <v>659</v>
      </c>
      <c r="B406" t="s">
        <v>480</v>
      </c>
      <c r="C406" t="s">
        <v>94</v>
      </c>
      <c r="D406" t="s">
        <v>387</v>
      </c>
      <c r="E406" t="s">
        <v>474</v>
      </c>
      <c r="F406" t="s">
        <v>475</v>
      </c>
      <c r="G406" t="s">
        <v>31</v>
      </c>
      <c r="H406" s="1">
        <v>44916.016504629632</v>
      </c>
      <c r="I406" s="1">
        <v>44920.016504629632</v>
      </c>
      <c r="J406" t="s">
        <v>32</v>
      </c>
      <c r="K406" s="1">
        <v>44928.016504629632</v>
      </c>
      <c r="L406" t="s">
        <v>33</v>
      </c>
      <c r="M406" t="s">
        <v>92</v>
      </c>
      <c r="T406">
        <v>0</v>
      </c>
      <c r="Y406" t="s">
        <v>55</v>
      </c>
      <c r="AC406" s="2">
        <f t="shared" si="54"/>
        <v>4</v>
      </c>
      <c r="AD406" s="2">
        <f t="shared" si="55"/>
        <v>12</v>
      </c>
      <c r="AE406" s="2">
        <f t="shared" si="56"/>
        <v>8</v>
      </c>
      <c r="AF406" s="2" t="str">
        <f t="shared" si="57"/>
        <v/>
      </c>
      <c r="AG406" s="2" t="str">
        <f t="shared" si="58"/>
        <v/>
      </c>
      <c r="AH406" s="4" t="str">
        <f t="shared" si="59"/>
        <v/>
      </c>
      <c r="AI406" s="2" t="str">
        <f t="shared" si="60"/>
        <v/>
      </c>
      <c r="AJ406" s="2" t="str">
        <f t="shared" si="61"/>
        <v/>
      </c>
      <c r="AK406" s="2" t="str">
        <f t="shared" si="62"/>
        <v/>
      </c>
    </row>
    <row r="407" spans="1:37" x14ac:dyDescent="0.25">
      <c r="A407">
        <v>655</v>
      </c>
      <c r="B407" t="s">
        <v>481</v>
      </c>
      <c r="C407" t="s">
        <v>94</v>
      </c>
      <c r="D407" t="s">
        <v>387</v>
      </c>
      <c r="E407" t="s">
        <v>474</v>
      </c>
      <c r="F407" t="s">
        <v>475</v>
      </c>
      <c r="G407" t="s">
        <v>31</v>
      </c>
      <c r="H407" s="1">
        <v>44913.016504629632</v>
      </c>
      <c r="I407" s="1">
        <v>44917.016504629632</v>
      </c>
      <c r="J407" t="s">
        <v>32</v>
      </c>
      <c r="K407" s="1">
        <v>44930.016504629632</v>
      </c>
      <c r="L407" t="s">
        <v>57</v>
      </c>
      <c r="N407" s="4">
        <v>44935.016504629632</v>
      </c>
      <c r="O407" t="s">
        <v>57</v>
      </c>
      <c r="P407" s="4">
        <v>44931.016504629632</v>
      </c>
      <c r="Q407" s="4">
        <v>44935.016504629632</v>
      </c>
      <c r="R407" s="4">
        <v>44934.016504629632</v>
      </c>
      <c r="S407" s="4">
        <v>44939.016504629632</v>
      </c>
      <c r="T407">
        <v>1</v>
      </c>
      <c r="U407" s="4">
        <v>44943.016504629632</v>
      </c>
      <c r="V407" s="4">
        <v>44946.016504629632</v>
      </c>
      <c r="W407" s="4">
        <v>44949.016504629632</v>
      </c>
      <c r="Z407" s="4">
        <v>44957.016504629632</v>
      </c>
      <c r="AC407" s="2">
        <f t="shared" si="54"/>
        <v>4</v>
      </c>
      <c r="AD407" s="2">
        <f t="shared" si="55"/>
        <v>17</v>
      </c>
      <c r="AE407" s="2">
        <f t="shared" si="56"/>
        <v>13</v>
      </c>
      <c r="AF407" s="2">
        <f t="shared" si="57"/>
        <v>21</v>
      </c>
      <c r="AG407" s="2">
        <f t="shared" si="58"/>
        <v>4</v>
      </c>
      <c r="AH407" s="4">
        <f t="shared" si="59"/>
        <v>45024.016504629632</v>
      </c>
      <c r="AI407" s="2">
        <f t="shared" si="60"/>
        <v>4</v>
      </c>
      <c r="AJ407" s="2">
        <f t="shared" si="61"/>
        <v>23</v>
      </c>
      <c r="AK407" s="2">
        <f t="shared" si="62"/>
        <v>15</v>
      </c>
    </row>
    <row r="408" spans="1:37" x14ac:dyDescent="0.25">
      <c r="A408">
        <v>636</v>
      </c>
      <c r="B408" t="s">
        <v>482</v>
      </c>
      <c r="C408" t="s">
        <v>94</v>
      </c>
      <c r="D408" t="s">
        <v>387</v>
      </c>
      <c r="E408" t="s">
        <v>474</v>
      </c>
      <c r="F408" t="s">
        <v>475</v>
      </c>
      <c r="G408" t="s">
        <v>31</v>
      </c>
      <c r="H408" s="1">
        <v>44826.302743055552</v>
      </c>
      <c r="I408" s="1">
        <v>44829.302743055552</v>
      </c>
      <c r="J408" t="s">
        <v>32</v>
      </c>
      <c r="K408" s="1">
        <v>44843.302743055552</v>
      </c>
      <c r="L408" t="s">
        <v>33</v>
      </c>
      <c r="M408" t="s">
        <v>34</v>
      </c>
      <c r="T408">
        <v>0</v>
      </c>
      <c r="Y408" t="s">
        <v>35</v>
      </c>
      <c r="AC408" s="2">
        <f t="shared" si="54"/>
        <v>3</v>
      </c>
      <c r="AD408" s="2">
        <f t="shared" si="55"/>
        <v>17</v>
      </c>
      <c r="AE408" s="2">
        <f t="shared" si="56"/>
        <v>14</v>
      </c>
      <c r="AF408" s="2" t="str">
        <f t="shared" si="57"/>
        <v/>
      </c>
      <c r="AG408" s="2" t="str">
        <f t="shared" si="58"/>
        <v/>
      </c>
      <c r="AH408" s="4" t="str">
        <f t="shared" si="59"/>
        <v/>
      </c>
      <c r="AI408" s="2" t="str">
        <f t="shared" si="60"/>
        <v/>
      </c>
      <c r="AJ408" s="2" t="str">
        <f t="shared" si="61"/>
        <v/>
      </c>
      <c r="AK408" s="2" t="str">
        <f t="shared" si="62"/>
        <v/>
      </c>
    </row>
    <row r="409" spans="1:37" x14ac:dyDescent="0.25">
      <c r="A409">
        <v>577</v>
      </c>
      <c r="B409" t="s">
        <v>483</v>
      </c>
      <c r="C409" t="s">
        <v>94</v>
      </c>
      <c r="D409" t="s">
        <v>387</v>
      </c>
      <c r="E409" t="s">
        <v>474</v>
      </c>
      <c r="F409" t="s">
        <v>475</v>
      </c>
      <c r="G409" t="s">
        <v>31</v>
      </c>
      <c r="H409" s="1">
        <v>44906.089930555558</v>
      </c>
      <c r="I409" s="1">
        <v>44909.089930555558</v>
      </c>
      <c r="J409" t="s">
        <v>32</v>
      </c>
      <c r="K409" s="1">
        <v>44931.089930555558</v>
      </c>
      <c r="L409" t="s">
        <v>33</v>
      </c>
      <c r="M409" t="s">
        <v>67</v>
      </c>
      <c r="R409" s="4">
        <v>44935.089930555558</v>
      </c>
      <c r="T409">
        <v>0</v>
      </c>
      <c r="Y409" t="s">
        <v>35</v>
      </c>
      <c r="AC409" s="2">
        <f t="shared" si="54"/>
        <v>3</v>
      </c>
      <c r="AD409" s="2">
        <f t="shared" si="55"/>
        <v>25</v>
      </c>
      <c r="AE409" s="2">
        <f t="shared" si="56"/>
        <v>22</v>
      </c>
      <c r="AF409" s="2">
        <f t="shared" si="57"/>
        <v>29</v>
      </c>
      <c r="AG409" s="2">
        <f t="shared" si="58"/>
        <v>4</v>
      </c>
      <c r="AH409" s="4">
        <f t="shared" si="59"/>
        <v>45025.089930555558</v>
      </c>
      <c r="AI409" s="2" t="str">
        <f t="shared" si="60"/>
        <v/>
      </c>
      <c r="AJ409" s="2" t="str">
        <f t="shared" si="61"/>
        <v/>
      </c>
      <c r="AK409" s="2" t="str">
        <f t="shared" si="62"/>
        <v/>
      </c>
    </row>
    <row r="410" spans="1:37" x14ac:dyDescent="0.25">
      <c r="A410">
        <v>575</v>
      </c>
      <c r="B410" t="s">
        <v>484</v>
      </c>
      <c r="C410" t="s">
        <v>94</v>
      </c>
      <c r="D410" t="s">
        <v>387</v>
      </c>
      <c r="E410" t="s">
        <v>474</v>
      </c>
      <c r="F410" t="s">
        <v>475</v>
      </c>
      <c r="G410" t="s">
        <v>31</v>
      </c>
      <c r="H410" s="1">
        <v>44908.089930555558</v>
      </c>
      <c r="I410" s="1">
        <v>44910.089930555558</v>
      </c>
      <c r="J410" t="s">
        <v>32</v>
      </c>
      <c r="K410" s="1">
        <v>44925.089930555558</v>
      </c>
      <c r="L410" t="s">
        <v>39</v>
      </c>
      <c r="N410" s="4">
        <v>44927.089930555558</v>
      </c>
      <c r="O410" t="s">
        <v>39</v>
      </c>
      <c r="R410" s="4">
        <v>44926.089930555558</v>
      </c>
      <c r="T410">
        <v>0</v>
      </c>
      <c r="AC410" s="2">
        <f t="shared" si="54"/>
        <v>2</v>
      </c>
      <c r="AD410" s="2">
        <f t="shared" si="55"/>
        <v>17</v>
      </c>
      <c r="AE410" s="2">
        <f t="shared" si="56"/>
        <v>15</v>
      </c>
      <c r="AF410" s="2">
        <f t="shared" si="57"/>
        <v>18</v>
      </c>
      <c r="AG410" s="2">
        <f t="shared" si="58"/>
        <v>1</v>
      </c>
      <c r="AH410" s="4">
        <f t="shared" si="59"/>
        <v>45016.089930555558</v>
      </c>
      <c r="AI410" s="2" t="str">
        <f t="shared" si="60"/>
        <v/>
      </c>
      <c r="AJ410" s="2" t="str">
        <f t="shared" si="61"/>
        <v/>
      </c>
      <c r="AK410" s="2" t="str">
        <f t="shared" si="62"/>
        <v/>
      </c>
    </row>
    <row r="411" spans="1:37" x14ac:dyDescent="0.25">
      <c r="A411">
        <v>573</v>
      </c>
      <c r="B411" t="s">
        <v>485</v>
      </c>
      <c r="C411" t="s">
        <v>94</v>
      </c>
      <c r="D411" t="s">
        <v>387</v>
      </c>
      <c r="E411" t="s">
        <v>474</v>
      </c>
      <c r="F411" t="s">
        <v>475</v>
      </c>
      <c r="G411" t="s">
        <v>31</v>
      </c>
      <c r="H411" s="1">
        <v>44906.089930555558</v>
      </c>
      <c r="I411" s="1">
        <v>44909.089930555558</v>
      </c>
      <c r="J411" t="s">
        <v>32</v>
      </c>
      <c r="K411" s="1">
        <v>44917.089930555558</v>
      </c>
      <c r="L411" t="s">
        <v>164</v>
      </c>
      <c r="N411" s="4">
        <v>44922.089930555558</v>
      </c>
      <c r="O411" t="s">
        <v>164</v>
      </c>
      <c r="R411" s="4">
        <v>44918.089930555558</v>
      </c>
      <c r="T411">
        <v>0</v>
      </c>
      <c r="AC411" s="2">
        <f t="shared" si="54"/>
        <v>3</v>
      </c>
      <c r="AD411" s="2">
        <f t="shared" si="55"/>
        <v>11</v>
      </c>
      <c r="AE411" s="2">
        <f t="shared" si="56"/>
        <v>8</v>
      </c>
      <c r="AF411" s="2">
        <f t="shared" si="57"/>
        <v>12</v>
      </c>
      <c r="AG411" s="2">
        <f t="shared" si="58"/>
        <v>1</v>
      </c>
      <c r="AH411" s="4">
        <f t="shared" si="59"/>
        <v>45008.089930555558</v>
      </c>
      <c r="AI411" s="2" t="str">
        <f t="shared" si="60"/>
        <v/>
      </c>
      <c r="AJ411" s="2" t="str">
        <f t="shared" si="61"/>
        <v/>
      </c>
      <c r="AK411" s="2" t="str">
        <f t="shared" si="62"/>
        <v/>
      </c>
    </row>
    <row r="412" spans="1:37" x14ac:dyDescent="0.25">
      <c r="A412">
        <v>492</v>
      </c>
      <c r="B412" t="s">
        <v>486</v>
      </c>
      <c r="C412" t="s">
        <v>94</v>
      </c>
      <c r="D412" t="s">
        <v>387</v>
      </c>
      <c r="E412" t="s">
        <v>474</v>
      </c>
      <c r="F412" t="s">
        <v>475</v>
      </c>
      <c r="G412" t="s">
        <v>31</v>
      </c>
      <c r="H412" s="1">
        <v>45167.411724537036</v>
      </c>
      <c r="I412" s="1">
        <v>45168.411724537036</v>
      </c>
      <c r="J412" t="s">
        <v>32</v>
      </c>
      <c r="K412" s="1">
        <v>45189.411724537036</v>
      </c>
      <c r="L412" t="s">
        <v>33</v>
      </c>
      <c r="M412" t="s">
        <v>34</v>
      </c>
      <c r="R412" s="4">
        <v>45193.411724537036</v>
      </c>
      <c r="T412">
        <v>0</v>
      </c>
      <c r="Y412" t="s">
        <v>55</v>
      </c>
      <c r="AC412" s="2">
        <f t="shared" si="54"/>
        <v>1</v>
      </c>
      <c r="AD412" s="2">
        <f t="shared" si="55"/>
        <v>22</v>
      </c>
      <c r="AE412" s="2">
        <f t="shared" si="56"/>
        <v>21</v>
      </c>
      <c r="AF412" s="2">
        <f t="shared" si="57"/>
        <v>26</v>
      </c>
      <c r="AG412" s="2">
        <f t="shared" si="58"/>
        <v>4</v>
      </c>
      <c r="AH412" s="4">
        <f t="shared" si="59"/>
        <v>45283.411724537036</v>
      </c>
      <c r="AI412" s="2" t="str">
        <f t="shared" si="60"/>
        <v/>
      </c>
      <c r="AJ412" s="2" t="str">
        <f t="shared" si="61"/>
        <v/>
      </c>
      <c r="AK412" s="2" t="str">
        <f t="shared" si="62"/>
        <v/>
      </c>
    </row>
    <row r="413" spans="1:37" x14ac:dyDescent="0.25">
      <c r="A413">
        <v>491</v>
      </c>
      <c r="B413" t="s">
        <v>487</v>
      </c>
      <c r="C413" t="s">
        <v>94</v>
      </c>
      <c r="D413" t="s">
        <v>387</v>
      </c>
      <c r="E413" t="s">
        <v>474</v>
      </c>
      <c r="F413" t="s">
        <v>475</v>
      </c>
      <c r="G413" t="s">
        <v>31</v>
      </c>
      <c r="H413" s="1">
        <v>45168.411724537036</v>
      </c>
      <c r="I413" s="1">
        <v>45172.411724537036</v>
      </c>
      <c r="J413" t="s">
        <v>32</v>
      </c>
      <c r="K413" s="1">
        <v>45187.411724537036</v>
      </c>
      <c r="L413" t="s">
        <v>33</v>
      </c>
      <c r="M413" t="s">
        <v>67</v>
      </c>
      <c r="T413">
        <v>0</v>
      </c>
      <c r="Y413" t="s">
        <v>35</v>
      </c>
      <c r="AC413" s="2">
        <f t="shared" si="54"/>
        <v>4</v>
      </c>
      <c r="AD413" s="2">
        <f t="shared" si="55"/>
        <v>19</v>
      </c>
      <c r="AE413" s="2">
        <f t="shared" si="56"/>
        <v>15</v>
      </c>
      <c r="AF413" s="2" t="str">
        <f t="shared" si="57"/>
        <v/>
      </c>
      <c r="AG413" s="2" t="str">
        <f t="shared" si="58"/>
        <v/>
      </c>
      <c r="AH413" s="4" t="str">
        <f t="shared" si="59"/>
        <v/>
      </c>
      <c r="AI413" s="2" t="str">
        <f t="shared" si="60"/>
        <v/>
      </c>
      <c r="AJ413" s="2" t="str">
        <f t="shared" si="61"/>
        <v/>
      </c>
      <c r="AK413" s="2" t="str">
        <f t="shared" si="62"/>
        <v/>
      </c>
    </row>
    <row r="414" spans="1:37" x14ac:dyDescent="0.25">
      <c r="A414">
        <v>483</v>
      </c>
      <c r="B414" t="s">
        <v>488</v>
      </c>
      <c r="C414" t="s">
        <v>94</v>
      </c>
      <c r="D414" t="s">
        <v>387</v>
      </c>
      <c r="E414" t="s">
        <v>474</v>
      </c>
      <c r="F414" t="s">
        <v>475</v>
      </c>
      <c r="G414" t="s">
        <v>31</v>
      </c>
      <c r="H414" s="1">
        <v>44929.566712962966</v>
      </c>
      <c r="I414" s="1">
        <v>44933.566712962966</v>
      </c>
      <c r="J414" t="s">
        <v>44</v>
      </c>
      <c r="K414" s="1"/>
      <c r="T414">
        <v>0</v>
      </c>
      <c r="AC414" s="2">
        <f t="shared" si="54"/>
        <v>4</v>
      </c>
      <c r="AD414" s="2" t="str">
        <f t="shared" si="55"/>
        <v/>
      </c>
      <c r="AE414" s="2" t="str">
        <f t="shared" si="56"/>
        <v/>
      </c>
      <c r="AF414" s="2" t="str">
        <f t="shared" si="57"/>
        <v/>
      </c>
      <c r="AG414" s="2" t="str">
        <f t="shared" si="58"/>
        <v/>
      </c>
      <c r="AH414" s="4" t="str">
        <f t="shared" si="59"/>
        <v/>
      </c>
      <c r="AI414" s="2" t="str">
        <f t="shared" si="60"/>
        <v/>
      </c>
      <c r="AJ414" s="2" t="str">
        <f t="shared" si="61"/>
        <v/>
      </c>
      <c r="AK414" s="2" t="str">
        <f t="shared" si="62"/>
        <v/>
      </c>
    </row>
    <row r="415" spans="1:37" x14ac:dyDescent="0.25">
      <c r="A415">
        <v>480</v>
      </c>
      <c r="B415" t="s">
        <v>489</v>
      </c>
      <c r="C415" t="s">
        <v>94</v>
      </c>
      <c r="D415" t="s">
        <v>387</v>
      </c>
      <c r="E415" t="s">
        <v>474</v>
      </c>
      <c r="F415" t="s">
        <v>475</v>
      </c>
      <c r="G415" t="s">
        <v>31</v>
      </c>
      <c r="H415" s="1">
        <v>44673.075752314813</v>
      </c>
      <c r="I415" s="1">
        <v>44677.075752314813</v>
      </c>
      <c r="J415" t="s">
        <v>32</v>
      </c>
      <c r="K415" s="1">
        <v>44685.075752314813</v>
      </c>
      <c r="L415" t="s">
        <v>33</v>
      </c>
      <c r="M415" t="s">
        <v>51</v>
      </c>
      <c r="T415">
        <v>0</v>
      </c>
      <c r="Y415" t="s">
        <v>55</v>
      </c>
      <c r="AC415" s="2">
        <f t="shared" si="54"/>
        <v>4</v>
      </c>
      <c r="AD415" s="2">
        <f t="shared" si="55"/>
        <v>12</v>
      </c>
      <c r="AE415" s="2">
        <f t="shared" si="56"/>
        <v>8</v>
      </c>
      <c r="AF415" s="2" t="str">
        <f t="shared" si="57"/>
        <v/>
      </c>
      <c r="AG415" s="2" t="str">
        <f t="shared" si="58"/>
        <v/>
      </c>
      <c r="AH415" s="4" t="str">
        <f t="shared" si="59"/>
        <v/>
      </c>
      <c r="AI415" s="2" t="str">
        <f t="shared" si="60"/>
        <v/>
      </c>
      <c r="AJ415" s="2" t="str">
        <f t="shared" si="61"/>
        <v/>
      </c>
      <c r="AK415" s="2" t="str">
        <f t="shared" si="62"/>
        <v/>
      </c>
    </row>
    <row r="416" spans="1:37" x14ac:dyDescent="0.25">
      <c r="A416">
        <v>476</v>
      </c>
      <c r="B416" t="s">
        <v>490</v>
      </c>
      <c r="C416" t="s">
        <v>94</v>
      </c>
      <c r="D416" t="s">
        <v>387</v>
      </c>
      <c r="E416" t="s">
        <v>474</v>
      </c>
      <c r="F416" t="s">
        <v>475</v>
      </c>
      <c r="G416" t="s">
        <v>31</v>
      </c>
      <c r="H416" s="1">
        <v>44675.075752314813</v>
      </c>
      <c r="I416" s="1">
        <v>44678.075752314813</v>
      </c>
      <c r="J416" t="s">
        <v>32</v>
      </c>
      <c r="K416" s="1">
        <v>44684.075752314813</v>
      </c>
      <c r="L416" t="s">
        <v>33</v>
      </c>
      <c r="M416" t="s">
        <v>34</v>
      </c>
      <c r="R416" s="4">
        <v>44688.075752314813</v>
      </c>
      <c r="T416">
        <v>0</v>
      </c>
      <c r="Y416" t="s">
        <v>55</v>
      </c>
      <c r="AC416" s="2">
        <f t="shared" si="54"/>
        <v>3</v>
      </c>
      <c r="AD416" s="2">
        <f t="shared" si="55"/>
        <v>9</v>
      </c>
      <c r="AE416" s="2">
        <f t="shared" si="56"/>
        <v>6</v>
      </c>
      <c r="AF416" s="2">
        <f t="shared" si="57"/>
        <v>13</v>
      </c>
      <c r="AG416" s="2">
        <f t="shared" si="58"/>
        <v>4</v>
      </c>
      <c r="AH416" s="4">
        <f t="shared" si="59"/>
        <v>44778.075752314813</v>
      </c>
      <c r="AI416" s="2" t="str">
        <f t="shared" si="60"/>
        <v/>
      </c>
      <c r="AJ416" s="2" t="str">
        <f t="shared" si="61"/>
        <v/>
      </c>
      <c r="AK416" s="2" t="str">
        <f t="shared" si="62"/>
        <v/>
      </c>
    </row>
    <row r="417" spans="1:37" x14ac:dyDescent="0.25">
      <c r="A417">
        <v>390</v>
      </c>
      <c r="B417" t="s">
        <v>491</v>
      </c>
      <c r="C417" t="s">
        <v>94</v>
      </c>
      <c r="D417" t="s">
        <v>387</v>
      </c>
      <c r="E417" t="s">
        <v>474</v>
      </c>
      <c r="F417" t="s">
        <v>475</v>
      </c>
      <c r="G417" t="s">
        <v>31</v>
      </c>
      <c r="H417" s="1">
        <v>44874.3830787037</v>
      </c>
      <c r="I417" s="1">
        <v>44877.3830787037</v>
      </c>
      <c r="J417" t="s">
        <v>32</v>
      </c>
      <c r="K417" s="1">
        <v>44891.3830787037</v>
      </c>
      <c r="L417" t="s">
        <v>39</v>
      </c>
      <c r="N417" s="4">
        <v>44893.3830787037</v>
      </c>
      <c r="O417" t="s">
        <v>39</v>
      </c>
      <c r="R417" s="4">
        <v>44892.3830787037</v>
      </c>
      <c r="T417">
        <v>0</v>
      </c>
      <c r="AC417" s="2">
        <f t="shared" si="54"/>
        <v>3</v>
      </c>
      <c r="AD417" s="2">
        <f t="shared" si="55"/>
        <v>17</v>
      </c>
      <c r="AE417" s="2">
        <f t="shared" si="56"/>
        <v>14</v>
      </c>
      <c r="AF417" s="2">
        <f t="shared" si="57"/>
        <v>18</v>
      </c>
      <c r="AG417" s="2">
        <f t="shared" si="58"/>
        <v>1</v>
      </c>
      <c r="AH417" s="4">
        <f t="shared" si="59"/>
        <v>44982.3830787037</v>
      </c>
      <c r="AI417" s="2" t="str">
        <f t="shared" si="60"/>
        <v/>
      </c>
      <c r="AJ417" s="2" t="str">
        <f t="shared" si="61"/>
        <v/>
      </c>
      <c r="AK417" s="2" t="str">
        <f t="shared" si="62"/>
        <v/>
      </c>
    </row>
    <row r="418" spans="1:37" x14ac:dyDescent="0.25">
      <c r="A418">
        <v>388</v>
      </c>
      <c r="B418" t="s">
        <v>492</v>
      </c>
      <c r="C418" t="s">
        <v>94</v>
      </c>
      <c r="D418" t="s">
        <v>387</v>
      </c>
      <c r="E418" t="s">
        <v>474</v>
      </c>
      <c r="F418" t="s">
        <v>475</v>
      </c>
      <c r="G418" t="s">
        <v>31</v>
      </c>
      <c r="H418" s="1">
        <v>44872.3830787037</v>
      </c>
      <c r="I418" s="1">
        <v>44874.3830787037</v>
      </c>
      <c r="J418" t="s">
        <v>32</v>
      </c>
      <c r="K418" s="1">
        <v>44891.3830787037</v>
      </c>
      <c r="L418" t="s">
        <v>33</v>
      </c>
      <c r="M418" t="s">
        <v>34</v>
      </c>
      <c r="T418">
        <v>0</v>
      </c>
      <c r="Y418" t="s">
        <v>35</v>
      </c>
      <c r="AC418" s="2">
        <f t="shared" si="54"/>
        <v>2</v>
      </c>
      <c r="AD418" s="2">
        <f t="shared" si="55"/>
        <v>19</v>
      </c>
      <c r="AE418" s="2">
        <f t="shared" si="56"/>
        <v>17</v>
      </c>
      <c r="AF418" s="2" t="str">
        <f t="shared" si="57"/>
        <v/>
      </c>
      <c r="AG418" s="2" t="str">
        <f t="shared" si="58"/>
        <v/>
      </c>
      <c r="AH418" s="4" t="str">
        <f t="shared" si="59"/>
        <v/>
      </c>
      <c r="AI418" s="2" t="str">
        <f t="shared" si="60"/>
        <v/>
      </c>
      <c r="AJ418" s="2" t="str">
        <f t="shared" si="61"/>
        <v/>
      </c>
      <c r="AK418" s="2" t="str">
        <f t="shared" si="62"/>
        <v/>
      </c>
    </row>
    <row r="419" spans="1:37" x14ac:dyDescent="0.25">
      <c r="A419">
        <v>386</v>
      </c>
      <c r="B419" t="s">
        <v>493</v>
      </c>
      <c r="C419" t="s">
        <v>94</v>
      </c>
      <c r="D419" t="s">
        <v>387</v>
      </c>
      <c r="E419" t="s">
        <v>474</v>
      </c>
      <c r="F419" t="s">
        <v>475</v>
      </c>
      <c r="G419" t="s">
        <v>31</v>
      </c>
      <c r="H419" s="1">
        <v>44874.3830787037</v>
      </c>
      <c r="I419" s="1">
        <v>44877.3830787037</v>
      </c>
      <c r="J419" t="s">
        <v>32</v>
      </c>
      <c r="K419" s="1">
        <v>44882.3830787037</v>
      </c>
      <c r="L419" t="s">
        <v>33</v>
      </c>
      <c r="M419" t="s">
        <v>92</v>
      </c>
      <c r="T419">
        <v>0</v>
      </c>
      <c r="Y419" t="s">
        <v>35</v>
      </c>
      <c r="AC419" s="2">
        <f t="shared" si="54"/>
        <v>3</v>
      </c>
      <c r="AD419" s="2">
        <f t="shared" si="55"/>
        <v>8</v>
      </c>
      <c r="AE419" s="2">
        <f t="shared" si="56"/>
        <v>5</v>
      </c>
      <c r="AF419" s="2" t="str">
        <f t="shared" si="57"/>
        <v/>
      </c>
      <c r="AG419" s="2" t="str">
        <f t="shared" si="58"/>
        <v/>
      </c>
      <c r="AH419" s="4" t="str">
        <f t="shared" si="59"/>
        <v/>
      </c>
      <c r="AI419" s="2" t="str">
        <f t="shared" si="60"/>
        <v/>
      </c>
      <c r="AJ419" s="2" t="str">
        <f t="shared" si="61"/>
        <v/>
      </c>
      <c r="AK419" s="2" t="str">
        <f t="shared" si="62"/>
        <v/>
      </c>
    </row>
    <row r="420" spans="1:37" x14ac:dyDescent="0.25">
      <c r="A420">
        <v>381</v>
      </c>
      <c r="B420" t="s">
        <v>494</v>
      </c>
      <c r="C420" t="s">
        <v>94</v>
      </c>
      <c r="D420" t="s">
        <v>387</v>
      </c>
      <c r="E420" t="s">
        <v>474</v>
      </c>
      <c r="F420" t="s">
        <v>475</v>
      </c>
      <c r="G420" t="s">
        <v>31</v>
      </c>
      <c r="H420" s="1">
        <v>44871.3830787037</v>
      </c>
      <c r="I420" s="1">
        <v>44872.3830787037</v>
      </c>
      <c r="J420" t="s">
        <v>32</v>
      </c>
      <c r="K420" s="1">
        <v>44879.3830787037</v>
      </c>
      <c r="L420" t="s">
        <v>33</v>
      </c>
      <c r="M420" t="s">
        <v>34</v>
      </c>
      <c r="T420">
        <v>0</v>
      </c>
      <c r="Y420" t="s">
        <v>55</v>
      </c>
      <c r="AC420" s="2">
        <f t="shared" si="54"/>
        <v>1</v>
      </c>
      <c r="AD420" s="2">
        <f t="shared" si="55"/>
        <v>8</v>
      </c>
      <c r="AE420" s="2">
        <f t="shared" si="56"/>
        <v>7</v>
      </c>
      <c r="AF420" s="2" t="str">
        <f t="shared" si="57"/>
        <v/>
      </c>
      <c r="AG420" s="2" t="str">
        <f t="shared" si="58"/>
        <v/>
      </c>
      <c r="AH420" s="4" t="str">
        <f t="shared" si="59"/>
        <v/>
      </c>
      <c r="AI420" s="2" t="str">
        <f t="shared" si="60"/>
        <v/>
      </c>
      <c r="AJ420" s="2" t="str">
        <f t="shared" si="61"/>
        <v/>
      </c>
      <c r="AK420" s="2" t="str">
        <f t="shared" si="62"/>
        <v/>
      </c>
    </row>
    <row r="421" spans="1:37" x14ac:dyDescent="0.25">
      <c r="A421">
        <v>372</v>
      </c>
      <c r="B421" t="s">
        <v>495</v>
      </c>
      <c r="C421" t="s">
        <v>94</v>
      </c>
      <c r="D421" t="s">
        <v>387</v>
      </c>
      <c r="E421" t="s">
        <v>474</v>
      </c>
      <c r="F421" t="s">
        <v>475</v>
      </c>
      <c r="G421" t="s">
        <v>31</v>
      </c>
      <c r="H421" s="1">
        <v>44663.356712962966</v>
      </c>
      <c r="I421" s="1">
        <v>44667.356712962966</v>
      </c>
      <c r="J421" t="s">
        <v>32</v>
      </c>
      <c r="K421" s="1">
        <v>44681.356712962966</v>
      </c>
      <c r="L421" t="s">
        <v>33</v>
      </c>
      <c r="M421" t="s">
        <v>34</v>
      </c>
      <c r="T421">
        <v>0</v>
      </c>
      <c r="Y421" t="s">
        <v>55</v>
      </c>
      <c r="AC421" s="2">
        <f t="shared" si="54"/>
        <v>4</v>
      </c>
      <c r="AD421" s="2">
        <f t="shared" si="55"/>
        <v>18</v>
      </c>
      <c r="AE421" s="2">
        <f t="shared" si="56"/>
        <v>14</v>
      </c>
      <c r="AF421" s="2" t="str">
        <f t="shared" si="57"/>
        <v/>
      </c>
      <c r="AG421" s="2" t="str">
        <f t="shared" si="58"/>
        <v/>
      </c>
      <c r="AH421" s="4" t="str">
        <f t="shared" si="59"/>
        <v/>
      </c>
      <c r="AI421" s="2" t="str">
        <f t="shared" si="60"/>
        <v/>
      </c>
      <c r="AJ421" s="2" t="str">
        <f t="shared" si="61"/>
        <v/>
      </c>
      <c r="AK421" s="2" t="str">
        <f t="shared" si="62"/>
        <v/>
      </c>
    </row>
    <row r="422" spans="1:37" x14ac:dyDescent="0.25">
      <c r="A422">
        <v>318</v>
      </c>
      <c r="B422" t="s">
        <v>496</v>
      </c>
      <c r="C422" t="s">
        <v>94</v>
      </c>
      <c r="D422" t="s">
        <v>387</v>
      </c>
      <c r="E422" t="s">
        <v>474</v>
      </c>
      <c r="F422" t="s">
        <v>475</v>
      </c>
      <c r="G422" t="s">
        <v>31</v>
      </c>
      <c r="H422" s="1">
        <v>44982.608946759261</v>
      </c>
      <c r="I422" s="1">
        <v>44986.608946759261</v>
      </c>
      <c r="J422" t="s">
        <v>32</v>
      </c>
      <c r="K422" s="1">
        <v>45001.608946759261</v>
      </c>
      <c r="L422" t="s">
        <v>39</v>
      </c>
      <c r="N422" s="4">
        <v>45008.608946759261</v>
      </c>
      <c r="O422" t="s">
        <v>39</v>
      </c>
      <c r="R422" s="4">
        <v>45005.608946759261</v>
      </c>
      <c r="T422">
        <v>0</v>
      </c>
      <c r="AC422" s="2">
        <f t="shared" si="54"/>
        <v>4</v>
      </c>
      <c r="AD422" s="2">
        <f t="shared" si="55"/>
        <v>19</v>
      </c>
      <c r="AE422" s="2">
        <f t="shared" si="56"/>
        <v>15</v>
      </c>
      <c r="AF422" s="2">
        <f t="shared" si="57"/>
        <v>23</v>
      </c>
      <c r="AG422" s="2">
        <f t="shared" si="58"/>
        <v>4</v>
      </c>
      <c r="AH422" s="4">
        <f t="shared" si="59"/>
        <v>45095.608946759261</v>
      </c>
      <c r="AI422" s="2" t="str">
        <f t="shared" si="60"/>
        <v/>
      </c>
      <c r="AJ422" s="2" t="str">
        <f t="shared" si="61"/>
        <v/>
      </c>
      <c r="AK422" s="2" t="str">
        <f t="shared" si="62"/>
        <v/>
      </c>
    </row>
    <row r="423" spans="1:37" x14ac:dyDescent="0.25">
      <c r="A423">
        <v>316</v>
      </c>
      <c r="B423" t="s">
        <v>497</v>
      </c>
      <c r="C423" t="s">
        <v>94</v>
      </c>
      <c r="D423" t="s">
        <v>387</v>
      </c>
      <c r="E423" t="s">
        <v>474</v>
      </c>
      <c r="F423" t="s">
        <v>475</v>
      </c>
      <c r="G423" t="s">
        <v>31</v>
      </c>
      <c r="H423" s="1">
        <v>44985.608946759261</v>
      </c>
      <c r="I423" s="1">
        <v>44987.608946759261</v>
      </c>
      <c r="J423" t="s">
        <v>32</v>
      </c>
      <c r="K423" s="1">
        <v>44996.608946759261</v>
      </c>
      <c r="L423" t="s">
        <v>33</v>
      </c>
      <c r="M423" t="s">
        <v>92</v>
      </c>
      <c r="R423" s="4">
        <v>45000.608946759261</v>
      </c>
      <c r="T423">
        <v>0</v>
      </c>
      <c r="Y423" t="s">
        <v>35</v>
      </c>
      <c r="AC423" s="2">
        <f t="shared" si="54"/>
        <v>2</v>
      </c>
      <c r="AD423" s="2">
        <f t="shared" si="55"/>
        <v>11</v>
      </c>
      <c r="AE423" s="2">
        <f t="shared" si="56"/>
        <v>9</v>
      </c>
      <c r="AF423" s="2">
        <f t="shared" si="57"/>
        <v>15</v>
      </c>
      <c r="AG423" s="2">
        <f t="shared" si="58"/>
        <v>4</v>
      </c>
      <c r="AH423" s="4">
        <f t="shared" si="59"/>
        <v>45090.608946759261</v>
      </c>
      <c r="AI423" s="2" t="str">
        <f t="shared" si="60"/>
        <v/>
      </c>
      <c r="AJ423" s="2" t="str">
        <f t="shared" si="61"/>
        <v/>
      </c>
      <c r="AK423" s="2" t="str">
        <f t="shared" si="62"/>
        <v/>
      </c>
    </row>
    <row r="424" spans="1:37" x14ac:dyDescent="0.25">
      <c r="A424">
        <v>314</v>
      </c>
      <c r="B424" t="s">
        <v>498</v>
      </c>
      <c r="C424" t="s">
        <v>94</v>
      </c>
      <c r="D424" t="s">
        <v>387</v>
      </c>
      <c r="E424" t="s">
        <v>474</v>
      </c>
      <c r="F424" t="s">
        <v>475</v>
      </c>
      <c r="G424" t="s">
        <v>31</v>
      </c>
      <c r="H424" s="1">
        <v>44986.608946759261</v>
      </c>
      <c r="I424" s="1">
        <v>44989.608946759261</v>
      </c>
      <c r="J424" t="s">
        <v>32</v>
      </c>
      <c r="K424" s="1">
        <v>45008.608946759261</v>
      </c>
      <c r="L424" t="s">
        <v>57</v>
      </c>
      <c r="N424" s="4">
        <v>45011.608946759261</v>
      </c>
      <c r="O424" t="s">
        <v>57</v>
      </c>
      <c r="P424" s="4">
        <v>45009.608946759261</v>
      </c>
      <c r="Q424" s="4">
        <v>45013.608946759261</v>
      </c>
      <c r="R424" s="4">
        <v>45010.608946759261</v>
      </c>
      <c r="S424" s="4">
        <v>45018.608946759261</v>
      </c>
      <c r="T424">
        <v>1</v>
      </c>
      <c r="U424" s="4">
        <v>45021.608946759261</v>
      </c>
      <c r="V424" s="4">
        <v>45024.608946759261</v>
      </c>
      <c r="W424" s="4">
        <v>45025.608946759261</v>
      </c>
      <c r="Z424" s="4">
        <v>45042.608946759261</v>
      </c>
      <c r="AC424" s="2">
        <f t="shared" si="54"/>
        <v>3</v>
      </c>
      <c r="AD424" s="2">
        <f t="shared" si="55"/>
        <v>22</v>
      </c>
      <c r="AE424" s="2">
        <f t="shared" si="56"/>
        <v>19</v>
      </c>
      <c r="AF424" s="2">
        <f t="shared" si="57"/>
        <v>24</v>
      </c>
      <c r="AG424" s="2">
        <f t="shared" si="58"/>
        <v>2</v>
      </c>
      <c r="AH424" s="4">
        <f t="shared" si="59"/>
        <v>45100.608946759261</v>
      </c>
      <c r="AI424" s="2">
        <f t="shared" si="60"/>
        <v>3</v>
      </c>
      <c r="AJ424" s="2">
        <f t="shared" si="61"/>
        <v>32</v>
      </c>
      <c r="AK424" s="2">
        <f t="shared" si="62"/>
        <v>15</v>
      </c>
    </row>
    <row r="425" spans="1:37" x14ac:dyDescent="0.25">
      <c r="A425">
        <v>312</v>
      </c>
      <c r="B425" t="s">
        <v>499</v>
      </c>
      <c r="C425" t="s">
        <v>94</v>
      </c>
      <c r="D425" t="s">
        <v>387</v>
      </c>
      <c r="E425" t="s">
        <v>474</v>
      </c>
      <c r="F425" t="s">
        <v>475</v>
      </c>
      <c r="G425" t="s">
        <v>31</v>
      </c>
      <c r="H425" s="1">
        <v>44986.608946759261</v>
      </c>
      <c r="I425" s="1">
        <v>44989.608946759261</v>
      </c>
      <c r="J425" t="s">
        <v>32</v>
      </c>
      <c r="K425" s="1">
        <v>45006.608946759261</v>
      </c>
      <c r="L425" t="s">
        <v>39</v>
      </c>
      <c r="N425" s="4">
        <v>45011.608946759261</v>
      </c>
      <c r="O425" t="s">
        <v>39</v>
      </c>
      <c r="R425" s="4">
        <v>45010.608946759261</v>
      </c>
      <c r="T425">
        <v>0</v>
      </c>
      <c r="AC425" s="2">
        <f t="shared" si="54"/>
        <v>3</v>
      </c>
      <c r="AD425" s="2">
        <f t="shared" si="55"/>
        <v>20</v>
      </c>
      <c r="AE425" s="2">
        <f t="shared" si="56"/>
        <v>17</v>
      </c>
      <c r="AF425" s="2">
        <f t="shared" si="57"/>
        <v>24</v>
      </c>
      <c r="AG425" s="2">
        <f t="shared" si="58"/>
        <v>4</v>
      </c>
      <c r="AH425" s="4">
        <f t="shared" si="59"/>
        <v>45100.608946759261</v>
      </c>
      <c r="AI425" s="2" t="str">
        <f t="shared" si="60"/>
        <v/>
      </c>
      <c r="AJ425" s="2" t="str">
        <f t="shared" si="61"/>
        <v/>
      </c>
      <c r="AK425" s="2" t="str">
        <f t="shared" si="62"/>
        <v/>
      </c>
    </row>
    <row r="426" spans="1:37" x14ac:dyDescent="0.25">
      <c r="A426">
        <v>187</v>
      </c>
      <c r="B426" t="s">
        <v>500</v>
      </c>
      <c r="C426" t="s">
        <v>94</v>
      </c>
      <c r="D426" t="s">
        <v>387</v>
      </c>
      <c r="E426" t="s">
        <v>474</v>
      </c>
      <c r="F426" t="s">
        <v>475</v>
      </c>
      <c r="G426" t="s">
        <v>31</v>
      </c>
      <c r="H426" s="1">
        <v>44828.301365740743</v>
      </c>
      <c r="I426" s="1">
        <v>44830.301365740743</v>
      </c>
      <c r="J426" t="s">
        <v>32</v>
      </c>
      <c r="K426" s="1">
        <v>44846.301365740743</v>
      </c>
      <c r="L426" t="s">
        <v>57</v>
      </c>
      <c r="N426" s="4">
        <v>44849.301365740743</v>
      </c>
      <c r="O426" t="s">
        <v>57</v>
      </c>
      <c r="P426" s="4">
        <v>44847.301365740743</v>
      </c>
      <c r="Q426" s="4">
        <v>44848.301365740743</v>
      </c>
      <c r="R426" s="4">
        <v>44847.301365740743</v>
      </c>
      <c r="S426" s="4">
        <v>44851.301365740743</v>
      </c>
      <c r="T426">
        <v>1</v>
      </c>
      <c r="U426" s="4">
        <v>44855.301365740743</v>
      </c>
      <c r="V426" s="4">
        <v>44857.301365740743</v>
      </c>
      <c r="W426" s="4">
        <v>44859.301365740743</v>
      </c>
      <c r="Z426" s="4">
        <v>44878.301365740743</v>
      </c>
      <c r="AC426" s="2">
        <f t="shared" si="54"/>
        <v>2</v>
      </c>
      <c r="AD426" s="2">
        <f t="shared" si="55"/>
        <v>18</v>
      </c>
      <c r="AE426" s="2">
        <f t="shared" si="56"/>
        <v>16</v>
      </c>
      <c r="AF426" s="2">
        <f t="shared" si="57"/>
        <v>19</v>
      </c>
      <c r="AG426" s="2">
        <f t="shared" si="58"/>
        <v>1</v>
      </c>
      <c r="AH426" s="4">
        <f t="shared" si="59"/>
        <v>44937.301365740743</v>
      </c>
      <c r="AI426" s="2">
        <f t="shared" si="60"/>
        <v>4</v>
      </c>
      <c r="AJ426" s="2">
        <f t="shared" si="61"/>
        <v>31</v>
      </c>
      <c r="AK426" s="2">
        <f t="shared" si="62"/>
        <v>12</v>
      </c>
    </row>
    <row r="427" spans="1:37" x14ac:dyDescent="0.25">
      <c r="A427">
        <v>181</v>
      </c>
      <c r="B427" t="s">
        <v>501</v>
      </c>
      <c r="C427" t="s">
        <v>94</v>
      </c>
      <c r="D427" t="s">
        <v>387</v>
      </c>
      <c r="E427" t="s">
        <v>474</v>
      </c>
      <c r="F427" t="s">
        <v>475</v>
      </c>
      <c r="G427" t="s">
        <v>31</v>
      </c>
      <c r="H427" s="1">
        <v>44830.301365740743</v>
      </c>
      <c r="I427" s="1">
        <v>44832.301365740743</v>
      </c>
      <c r="J427" t="s">
        <v>32</v>
      </c>
      <c r="K427" s="1">
        <v>44842.301365740743</v>
      </c>
      <c r="L427" t="s">
        <v>33</v>
      </c>
      <c r="M427" t="s">
        <v>51</v>
      </c>
      <c r="R427" s="4">
        <v>44844.301365740743</v>
      </c>
      <c r="T427">
        <v>0</v>
      </c>
      <c r="Y427" t="s">
        <v>35</v>
      </c>
      <c r="AC427" s="2">
        <f t="shared" si="54"/>
        <v>2</v>
      </c>
      <c r="AD427" s="2">
        <f t="shared" si="55"/>
        <v>12</v>
      </c>
      <c r="AE427" s="2">
        <f t="shared" si="56"/>
        <v>10</v>
      </c>
      <c r="AF427" s="2">
        <f t="shared" si="57"/>
        <v>14</v>
      </c>
      <c r="AG427" s="2">
        <f t="shared" si="58"/>
        <v>2</v>
      </c>
      <c r="AH427" s="4">
        <f t="shared" si="59"/>
        <v>44934.301365740743</v>
      </c>
      <c r="AI427" s="2" t="str">
        <f t="shared" si="60"/>
        <v/>
      </c>
      <c r="AJ427" s="2" t="str">
        <f t="shared" si="61"/>
        <v/>
      </c>
      <c r="AK427" s="2" t="str">
        <f t="shared" si="62"/>
        <v/>
      </c>
    </row>
    <row r="428" spans="1:37" x14ac:dyDescent="0.25">
      <c r="A428">
        <v>140</v>
      </c>
      <c r="B428" t="s">
        <v>502</v>
      </c>
      <c r="C428" t="s">
        <v>94</v>
      </c>
      <c r="D428" t="s">
        <v>387</v>
      </c>
      <c r="E428" t="s">
        <v>474</v>
      </c>
      <c r="F428" t="s">
        <v>475</v>
      </c>
      <c r="G428" t="s">
        <v>31</v>
      </c>
      <c r="H428" s="1">
        <v>44761.802951388891</v>
      </c>
      <c r="I428" s="1">
        <v>44765.802951388891</v>
      </c>
      <c r="J428" t="s">
        <v>32</v>
      </c>
      <c r="K428" s="1">
        <v>44783.802951388891</v>
      </c>
      <c r="L428" t="s">
        <v>57</v>
      </c>
      <c r="N428" s="4">
        <v>44789.802951388891</v>
      </c>
      <c r="O428" t="s">
        <v>57</v>
      </c>
      <c r="P428" s="4">
        <v>44784.802951388891</v>
      </c>
      <c r="Q428" s="4">
        <v>44785.802951388891</v>
      </c>
      <c r="R428" s="4">
        <v>44786.802951388891</v>
      </c>
      <c r="S428" s="4">
        <v>44791.802951388891</v>
      </c>
      <c r="T428">
        <v>1</v>
      </c>
      <c r="U428" s="4">
        <v>44793.802951388891</v>
      </c>
      <c r="V428" s="4">
        <v>44794.802951388891</v>
      </c>
      <c r="W428" s="4">
        <v>44796.802951388891</v>
      </c>
      <c r="Z428" s="4">
        <v>44815.802951388891</v>
      </c>
      <c r="AC428" s="2">
        <f t="shared" si="54"/>
        <v>4</v>
      </c>
      <c r="AD428" s="2">
        <f t="shared" si="55"/>
        <v>22</v>
      </c>
      <c r="AE428" s="2">
        <f t="shared" si="56"/>
        <v>18</v>
      </c>
      <c r="AF428" s="2">
        <f t="shared" si="57"/>
        <v>25</v>
      </c>
      <c r="AG428" s="2">
        <f t="shared" si="58"/>
        <v>3</v>
      </c>
      <c r="AH428" s="4">
        <f t="shared" si="59"/>
        <v>44876.802951388891</v>
      </c>
      <c r="AI428" s="2">
        <f t="shared" si="60"/>
        <v>2</v>
      </c>
      <c r="AJ428" s="2">
        <f t="shared" si="61"/>
        <v>29</v>
      </c>
      <c r="AK428" s="2">
        <f t="shared" si="62"/>
        <v>10</v>
      </c>
    </row>
    <row r="429" spans="1:37" x14ac:dyDescent="0.25">
      <c r="A429">
        <v>139</v>
      </c>
      <c r="B429" t="s">
        <v>503</v>
      </c>
      <c r="C429" t="s">
        <v>94</v>
      </c>
      <c r="D429" t="s">
        <v>387</v>
      </c>
      <c r="E429" t="s">
        <v>474</v>
      </c>
      <c r="F429" t="s">
        <v>475</v>
      </c>
      <c r="G429" t="s">
        <v>31</v>
      </c>
      <c r="H429" s="1">
        <v>44767.802951388891</v>
      </c>
      <c r="I429" s="1">
        <v>44768.802951388891</v>
      </c>
      <c r="J429" t="s">
        <v>44</v>
      </c>
      <c r="K429" s="1"/>
      <c r="T429">
        <v>0</v>
      </c>
      <c r="AC429" s="2">
        <f t="shared" si="54"/>
        <v>1</v>
      </c>
      <c r="AD429" s="2" t="str">
        <f t="shared" si="55"/>
        <v/>
      </c>
      <c r="AE429" s="2" t="str">
        <f t="shared" si="56"/>
        <v/>
      </c>
      <c r="AF429" s="2" t="str">
        <f t="shared" si="57"/>
        <v/>
      </c>
      <c r="AG429" s="2" t="str">
        <f t="shared" si="58"/>
        <v/>
      </c>
      <c r="AH429" s="4" t="str">
        <f t="shared" si="59"/>
        <v/>
      </c>
      <c r="AI429" s="2" t="str">
        <f t="shared" si="60"/>
        <v/>
      </c>
      <c r="AJ429" s="2" t="str">
        <f t="shared" si="61"/>
        <v/>
      </c>
      <c r="AK429" s="2" t="str">
        <f t="shared" si="62"/>
        <v/>
      </c>
    </row>
    <row r="430" spans="1:37" x14ac:dyDescent="0.25">
      <c r="A430">
        <v>136</v>
      </c>
      <c r="B430" t="s">
        <v>504</v>
      </c>
      <c r="C430" t="s">
        <v>94</v>
      </c>
      <c r="D430" t="s">
        <v>387</v>
      </c>
      <c r="E430" t="s">
        <v>474</v>
      </c>
      <c r="F430" t="s">
        <v>475</v>
      </c>
      <c r="G430" t="s">
        <v>31</v>
      </c>
      <c r="H430" s="1">
        <v>44762.802951388891</v>
      </c>
      <c r="I430" s="1">
        <v>44765.802951388891</v>
      </c>
      <c r="J430" t="s">
        <v>32</v>
      </c>
      <c r="K430" s="1">
        <v>44781.802951388891</v>
      </c>
      <c r="L430" t="s">
        <v>39</v>
      </c>
      <c r="N430" s="4">
        <v>44785.802951388891</v>
      </c>
      <c r="O430" t="s">
        <v>39</v>
      </c>
      <c r="R430" s="4">
        <v>44783.802951388891</v>
      </c>
      <c r="T430">
        <v>0</v>
      </c>
      <c r="AC430" s="2">
        <f t="shared" si="54"/>
        <v>3</v>
      </c>
      <c r="AD430" s="2">
        <f t="shared" si="55"/>
        <v>19</v>
      </c>
      <c r="AE430" s="2">
        <f t="shared" si="56"/>
        <v>16</v>
      </c>
      <c r="AF430" s="2">
        <f t="shared" si="57"/>
        <v>21</v>
      </c>
      <c r="AG430" s="2">
        <f t="shared" si="58"/>
        <v>2</v>
      </c>
      <c r="AH430" s="4">
        <f t="shared" si="59"/>
        <v>44873.802951388891</v>
      </c>
      <c r="AI430" s="2" t="str">
        <f t="shared" si="60"/>
        <v/>
      </c>
      <c r="AJ430" s="2" t="str">
        <f t="shared" si="61"/>
        <v/>
      </c>
      <c r="AK430" s="2" t="str">
        <f t="shared" si="62"/>
        <v/>
      </c>
    </row>
    <row r="431" spans="1:37" x14ac:dyDescent="0.25">
      <c r="A431">
        <v>132</v>
      </c>
      <c r="B431" t="s">
        <v>505</v>
      </c>
      <c r="C431" t="s">
        <v>94</v>
      </c>
      <c r="D431" t="s">
        <v>387</v>
      </c>
      <c r="E431" t="s">
        <v>474</v>
      </c>
      <c r="F431" t="s">
        <v>475</v>
      </c>
      <c r="G431" t="s">
        <v>31</v>
      </c>
      <c r="H431" s="1">
        <v>44764.802951388891</v>
      </c>
      <c r="I431" s="1">
        <v>44767.802951388891</v>
      </c>
      <c r="J431" t="s">
        <v>32</v>
      </c>
      <c r="K431" s="1">
        <v>44786.802951388891</v>
      </c>
      <c r="L431" t="s">
        <v>39</v>
      </c>
      <c r="N431" s="4">
        <v>44792.802951388891</v>
      </c>
      <c r="O431" t="s">
        <v>39</v>
      </c>
      <c r="R431" s="4">
        <v>44790.802951388891</v>
      </c>
      <c r="T431">
        <v>0</v>
      </c>
      <c r="AC431" s="2">
        <f t="shared" si="54"/>
        <v>3</v>
      </c>
      <c r="AD431" s="2">
        <f t="shared" si="55"/>
        <v>22</v>
      </c>
      <c r="AE431" s="2">
        <f t="shared" si="56"/>
        <v>19</v>
      </c>
      <c r="AF431" s="2">
        <f t="shared" si="57"/>
        <v>26</v>
      </c>
      <c r="AG431" s="2">
        <f t="shared" si="58"/>
        <v>4</v>
      </c>
      <c r="AH431" s="4">
        <f t="shared" si="59"/>
        <v>44880.802951388891</v>
      </c>
      <c r="AI431" s="2" t="str">
        <f t="shared" si="60"/>
        <v/>
      </c>
      <c r="AJ431" s="2" t="str">
        <f t="shared" si="61"/>
        <v/>
      </c>
      <c r="AK431" s="2" t="str">
        <f t="shared" si="62"/>
        <v/>
      </c>
    </row>
    <row r="432" spans="1:37" x14ac:dyDescent="0.25">
      <c r="A432">
        <v>66</v>
      </c>
      <c r="B432" t="s">
        <v>506</v>
      </c>
      <c r="C432" t="s">
        <v>94</v>
      </c>
      <c r="D432" t="s">
        <v>387</v>
      </c>
      <c r="E432" t="s">
        <v>474</v>
      </c>
      <c r="F432" t="s">
        <v>475</v>
      </c>
      <c r="G432" t="s">
        <v>31</v>
      </c>
      <c r="H432" s="1">
        <v>45167.755949074075</v>
      </c>
      <c r="I432" s="1">
        <v>45168.755949074075</v>
      </c>
      <c r="J432" t="s">
        <v>32</v>
      </c>
      <c r="K432" s="1">
        <v>45184.755949074075</v>
      </c>
      <c r="L432" t="s">
        <v>164</v>
      </c>
      <c r="N432" s="4">
        <v>45189.755949074075</v>
      </c>
      <c r="O432" t="s">
        <v>164</v>
      </c>
      <c r="R432" s="4">
        <v>45188.755949074075</v>
      </c>
      <c r="T432">
        <v>0</v>
      </c>
      <c r="AC432" s="2">
        <f t="shared" si="54"/>
        <v>1</v>
      </c>
      <c r="AD432" s="2">
        <f t="shared" si="55"/>
        <v>17</v>
      </c>
      <c r="AE432" s="2">
        <f t="shared" si="56"/>
        <v>16</v>
      </c>
      <c r="AF432" s="2">
        <f t="shared" si="57"/>
        <v>21</v>
      </c>
      <c r="AG432" s="2">
        <f t="shared" si="58"/>
        <v>4</v>
      </c>
      <c r="AH432" s="4">
        <f t="shared" si="59"/>
        <v>45278.755949074075</v>
      </c>
      <c r="AI432" s="2" t="str">
        <f t="shared" si="60"/>
        <v/>
      </c>
      <c r="AJ432" s="2" t="str">
        <f t="shared" si="61"/>
        <v/>
      </c>
      <c r="AK432" s="2" t="str">
        <f t="shared" si="62"/>
        <v/>
      </c>
    </row>
    <row r="433" spans="1:37" x14ac:dyDescent="0.25">
      <c r="A433">
        <v>2540</v>
      </c>
      <c r="B433" t="s">
        <v>507</v>
      </c>
      <c r="C433" t="s">
        <v>94</v>
      </c>
      <c r="D433" t="s">
        <v>508</v>
      </c>
      <c r="E433" t="s">
        <v>47</v>
      </c>
      <c r="F433" t="s">
        <v>509</v>
      </c>
      <c r="G433" t="s">
        <v>49</v>
      </c>
      <c r="H433" s="1">
        <v>44682.058252314811</v>
      </c>
      <c r="I433" s="1">
        <v>44686.058252314811</v>
      </c>
      <c r="J433" t="s">
        <v>44</v>
      </c>
      <c r="K433" s="1"/>
      <c r="T433">
        <v>0</v>
      </c>
      <c r="AC433" s="2">
        <f t="shared" si="54"/>
        <v>4</v>
      </c>
      <c r="AD433" s="2" t="str">
        <f t="shared" si="55"/>
        <v/>
      </c>
      <c r="AE433" s="2" t="str">
        <f t="shared" si="56"/>
        <v/>
      </c>
      <c r="AF433" s="2" t="str">
        <f t="shared" si="57"/>
        <v/>
      </c>
      <c r="AG433" s="2" t="str">
        <f t="shared" si="58"/>
        <v/>
      </c>
      <c r="AH433" s="4" t="str">
        <f t="shared" si="59"/>
        <v/>
      </c>
      <c r="AI433" s="2" t="str">
        <f t="shared" si="60"/>
        <v/>
      </c>
      <c r="AJ433" s="2" t="str">
        <f t="shared" si="61"/>
        <v/>
      </c>
      <c r="AK433" s="2" t="str">
        <f t="shared" si="62"/>
        <v/>
      </c>
    </row>
    <row r="434" spans="1:37" x14ac:dyDescent="0.25">
      <c r="A434">
        <v>2531</v>
      </c>
      <c r="B434" t="s">
        <v>510</v>
      </c>
      <c r="C434" t="s">
        <v>94</v>
      </c>
      <c r="D434" t="s">
        <v>508</v>
      </c>
      <c r="E434" t="s">
        <v>47</v>
      </c>
      <c r="F434" t="s">
        <v>509</v>
      </c>
      <c r="G434" t="s">
        <v>49</v>
      </c>
      <c r="H434" s="1">
        <v>44685.058252314811</v>
      </c>
      <c r="I434" s="1">
        <v>44686.058252314811</v>
      </c>
      <c r="J434" t="s">
        <v>44</v>
      </c>
      <c r="K434" s="1"/>
      <c r="T434">
        <v>0</v>
      </c>
      <c r="AC434" s="2">
        <f t="shared" si="54"/>
        <v>1</v>
      </c>
      <c r="AD434" s="2" t="str">
        <f t="shared" si="55"/>
        <v/>
      </c>
      <c r="AE434" s="2" t="str">
        <f t="shared" si="56"/>
        <v/>
      </c>
      <c r="AF434" s="2" t="str">
        <f t="shared" si="57"/>
        <v/>
      </c>
      <c r="AG434" s="2" t="str">
        <f t="shared" si="58"/>
        <v/>
      </c>
      <c r="AH434" s="4" t="str">
        <f t="shared" si="59"/>
        <v/>
      </c>
      <c r="AI434" s="2" t="str">
        <f t="shared" si="60"/>
        <v/>
      </c>
      <c r="AJ434" s="2" t="str">
        <f t="shared" si="61"/>
        <v/>
      </c>
      <c r="AK434" s="2" t="str">
        <f t="shared" si="62"/>
        <v/>
      </c>
    </row>
    <row r="435" spans="1:37" x14ac:dyDescent="0.25">
      <c r="A435">
        <v>2265</v>
      </c>
      <c r="B435" t="s">
        <v>511</v>
      </c>
      <c r="C435" t="s">
        <v>94</v>
      </c>
      <c r="D435" t="s">
        <v>508</v>
      </c>
      <c r="E435" t="s">
        <v>47</v>
      </c>
      <c r="F435" t="s">
        <v>509</v>
      </c>
      <c r="G435" t="s">
        <v>49</v>
      </c>
      <c r="H435" s="1">
        <v>45030.937696759262</v>
      </c>
      <c r="I435" s="1">
        <v>45032.937696759262</v>
      </c>
      <c r="J435" t="s">
        <v>44</v>
      </c>
      <c r="K435" s="1"/>
      <c r="T435">
        <v>0</v>
      </c>
      <c r="AC435" s="2">
        <f t="shared" si="54"/>
        <v>2</v>
      </c>
      <c r="AD435" s="2" t="str">
        <f t="shared" si="55"/>
        <v/>
      </c>
      <c r="AE435" s="2" t="str">
        <f t="shared" si="56"/>
        <v/>
      </c>
      <c r="AF435" s="2" t="str">
        <f t="shared" si="57"/>
        <v/>
      </c>
      <c r="AG435" s="2" t="str">
        <f t="shared" si="58"/>
        <v/>
      </c>
      <c r="AH435" s="4" t="str">
        <f t="shared" si="59"/>
        <v/>
      </c>
      <c r="AI435" s="2" t="str">
        <f t="shared" si="60"/>
        <v/>
      </c>
      <c r="AJ435" s="2" t="str">
        <f t="shared" si="61"/>
        <v/>
      </c>
      <c r="AK435" s="2" t="str">
        <f t="shared" si="62"/>
        <v/>
      </c>
    </row>
    <row r="436" spans="1:37" x14ac:dyDescent="0.25">
      <c r="A436">
        <v>2127</v>
      </c>
      <c r="B436" t="s">
        <v>512</v>
      </c>
      <c r="C436" t="s">
        <v>94</v>
      </c>
      <c r="D436" t="s">
        <v>508</v>
      </c>
      <c r="E436" t="s">
        <v>47</v>
      </c>
      <c r="F436" t="s">
        <v>509</v>
      </c>
      <c r="G436" t="s">
        <v>49</v>
      </c>
      <c r="H436" s="1">
        <v>44927.473356481481</v>
      </c>
      <c r="I436" s="1">
        <v>44929.473356481481</v>
      </c>
      <c r="J436" t="s">
        <v>44</v>
      </c>
      <c r="K436" s="1"/>
      <c r="T436">
        <v>0</v>
      </c>
      <c r="AC436" s="2">
        <f t="shared" si="54"/>
        <v>2</v>
      </c>
      <c r="AD436" s="2" t="str">
        <f t="shared" si="55"/>
        <v/>
      </c>
      <c r="AE436" s="2" t="str">
        <f t="shared" si="56"/>
        <v/>
      </c>
      <c r="AF436" s="2" t="str">
        <f t="shared" si="57"/>
        <v/>
      </c>
      <c r="AG436" s="2" t="str">
        <f t="shared" si="58"/>
        <v/>
      </c>
      <c r="AH436" s="4" t="str">
        <f t="shared" si="59"/>
        <v/>
      </c>
      <c r="AI436" s="2" t="str">
        <f t="shared" si="60"/>
        <v/>
      </c>
      <c r="AJ436" s="2" t="str">
        <f t="shared" si="61"/>
        <v/>
      </c>
      <c r="AK436" s="2" t="str">
        <f t="shared" si="62"/>
        <v/>
      </c>
    </row>
    <row r="437" spans="1:37" x14ac:dyDescent="0.25">
      <c r="A437">
        <v>2120</v>
      </c>
      <c r="B437" t="s">
        <v>513</v>
      </c>
      <c r="C437" t="s">
        <v>94</v>
      </c>
      <c r="D437" t="s">
        <v>508</v>
      </c>
      <c r="E437" t="s">
        <v>47</v>
      </c>
      <c r="F437" t="s">
        <v>509</v>
      </c>
      <c r="G437" t="s">
        <v>49</v>
      </c>
      <c r="H437" s="1">
        <v>45030.055439814816</v>
      </c>
      <c r="I437" s="1">
        <v>45033.055439814816</v>
      </c>
      <c r="J437" t="s">
        <v>44</v>
      </c>
      <c r="K437" s="1"/>
      <c r="T437">
        <v>0</v>
      </c>
      <c r="AC437" s="2">
        <f t="shared" si="54"/>
        <v>3</v>
      </c>
      <c r="AD437" s="2" t="str">
        <f t="shared" si="55"/>
        <v/>
      </c>
      <c r="AE437" s="2" t="str">
        <f t="shared" si="56"/>
        <v/>
      </c>
      <c r="AF437" s="2" t="str">
        <f t="shared" si="57"/>
        <v/>
      </c>
      <c r="AG437" s="2" t="str">
        <f t="shared" si="58"/>
        <v/>
      </c>
      <c r="AH437" s="4" t="str">
        <f t="shared" si="59"/>
        <v/>
      </c>
      <c r="AI437" s="2" t="str">
        <f t="shared" si="60"/>
        <v/>
      </c>
      <c r="AJ437" s="2" t="str">
        <f t="shared" si="61"/>
        <v/>
      </c>
      <c r="AK437" s="2" t="str">
        <f t="shared" si="62"/>
        <v/>
      </c>
    </row>
    <row r="438" spans="1:37" x14ac:dyDescent="0.25">
      <c r="A438">
        <v>2115</v>
      </c>
      <c r="B438" t="s">
        <v>514</v>
      </c>
      <c r="C438" t="s">
        <v>94</v>
      </c>
      <c r="D438" t="s">
        <v>508</v>
      </c>
      <c r="E438" t="s">
        <v>47</v>
      </c>
      <c r="F438" t="s">
        <v>509</v>
      </c>
      <c r="G438" t="s">
        <v>49</v>
      </c>
      <c r="H438" s="1">
        <v>45030.055439814816</v>
      </c>
      <c r="I438" s="1">
        <v>45032.055439814816</v>
      </c>
      <c r="J438" t="s">
        <v>44</v>
      </c>
      <c r="K438" s="1"/>
      <c r="T438">
        <v>0</v>
      </c>
      <c r="AC438" s="2">
        <f t="shared" si="54"/>
        <v>2</v>
      </c>
      <c r="AD438" s="2" t="str">
        <f t="shared" si="55"/>
        <v/>
      </c>
      <c r="AE438" s="2" t="str">
        <f t="shared" si="56"/>
        <v/>
      </c>
      <c r="AF438" s="2" t="str">
        <f t="shared" si="57"/>
        <v/>
      </c>
      <c r="AG438" s="2" t="str">
        <f t="shared" si="58"/>
        <v/>
      </c>
      <c r="AH438" s="4" t="str">
        <f t="shared" si="59"/>
        <v/>
      </c>
      <c r="AI438" s="2" t="str">
        <f t="shared" si="60"/>
        <v/>
      </c>
      <c r="AJ438" s="2" t="str">
        <f t="shared" si="61"/>
        <v/>
      </c>
      <c r="AK438" s="2" t="str">
        <f t="shared" si="62"/>
        <v/>
      </c>
    </row>
    <row r="439" spans="1:37" x14ac:dyDescent="0.25">
      <c r="A439">
        <v>1857</v>
      </c>
      <c r="B439" t="s">
        <v>515</v>
      </c>
      <c r="C439" t="s">
        <v>94</v>
      </c>
      <c r="D439" t="s">
        <v>508</v>
      </c>
      <c r="E439" t="s">
        <v>47</v>
      </c>
      <c r="F439" t="s">
        <v>509</v>
      </c>
      <c r="G439" t="s">
        <v>49</v>
      </c>
      <c r="H439" s="1">
        <v>44877.077060185184</v>
      </c>
      <c r="I439" s="1">
        <v>44880.077060185184</v>
      </c>
      <c r="J439" t="s">
        <v>44</v>
      </c>
      <c r="K439" s="1"/>
      <c r="T439">
        <v>0</v>
      </c>
      <c r="AC439" s="2">
        <f t="shared" si="54"/>
        <v>3</v>
      </c>
      <c r="AD439" s="2" t="str">
        <f t="shared" si="55"/>
        <v/>
      </c>
      <c r="AE439" s="2" t="str">
        <f t="shared" si="56"/>
        <v/>
      </c>
      <c r="AF439" s="2" t="str">
        <f t="shared" si="57"/>
        <v/>
      </c>
      <c r="AG439" s="2" t="str">
        <f t="shared" si="58"/>
        <v/>
      </c>
      <c r="AH439" s="4" t="str">
        <f t="shared" si="59"/>
        <v/>
      </c>
      <c r="AI439" s="2" t="str">
        <f t="shared" si="60"/>
        <v/>
      </c>
      <c r="AJ439" s="2" t="str">
        <f t="shared" si="61"/>
        <v/>
      </c>
      <c r="AK439" s="2" t="str">
        <f t="shared" si="62"/>
        <v/>
      </c>
    </row>
    <row r="440" spans="1:37" x14ac:dyDescent="0.25">
      <c r="A440">
        <v>1820</v>
      </c>
      <c r="B440" t="s">
        <v>516</v>
      </c>
      <c r="C440" t="s">
        <v>94</v>
      </c>
      <c r="D440" t="s">
        <v>508</v>
      </c>
      <c r="E440" t="s">
        <v>47</v>
      </c>
      <c r="F440" t="s">
        <v>509</v>
      </c>
      <c r="G440" t="s">
        <v>49</v>
      </c>
      <c r="H440" s="1">
        <v>44823.186388888891</v>
      </c>
      <c r="I440" s="1">
        <v>44825.186388888891</v>
      </c>
      <c r="J440" t="s">
        <v>44</v>
      </c>
      <c r="K440" s="1"/>
      <c r="T440">
        <v>0</v>
      </c>
      <c r="AC440" s="2">
        <f t="shared" si="54"/>
        <v>2</v>
      </c>
      <c r="AD440" s="2" t="str">
        <f t="shared" si="55"/>
        <v/>
      </c>
      <c r="AE440" s="2" t="str">
        <f t="shared" si="56"/>
        <v/>
      </c>
      <c r="AF440" s="2" t="str">
        <f t="shared" si="57"/>
        <v/>
      </c>
      <c r="AG440" s="2" t="str">
        <f t="shared" si="58"/>
        <v/>
      </c>
      <c r="AH440" s="4" t="str">
        <f t="shared" si="59"/>
        <v/>
      </c>
      <c r="AI440" s="2" t="str">
        <f t="shared" si="60"/>
        <v/>
      </c>
      <c r="AJ440" s="2" t="str">
        <f t="shared" si="61"/>
        <v/>
      </c>
      <c r="AK440" s="2" t="str">
        <f t="shared" si="62"/>
        <v/>
      </c>
    </row>
    <row r="441" spans="1:37" x14ac:dyDescent="0.25">
      <c r="A441">
        <v>1816</v>
      </c>
      <c r="B441" t="s">
        <v>517</v>
      </c>
      <c r="C441" t="s">
        <v>94</v>
      </c>
      <c r="D441" t="s">
        <v>508</v>
      </c>
      <c r="E441" t="s">
        <v>47</v>
      </c>
      <c r="F441" t="s">
        <v>509</v>
      </c>
      <c r="G441" t="s">
        <v>49</v>
      </c>
      <c r="H441" s="1">
        <v>44821.186388888891</v>
      </c>
      <c r="I441" s="1">
        <v>44823.186388888891</v>
      </c>
      <c r="J441" t="s">
        <v>44</v>
      </c>
      <c r="K441" s="1"/>
      <c r="T441">
        <v>0</v>
      </c>
      <c r="AC441" s="2">
        <f t="shared" si="54"/>
        <v>2</v>
      </c>
      <c r="AD441" s="2" t="str">
        <f t="shared" si="55"/>
        <v/>
      </c>
      <c r="AE441" s="2" t="str">
        <f t="shared" si="56"/>
        <v/>
      </c>
      <c r="AF441" s="2" t="str">
        <f t="shared" si="57"/>
        <v/>
      </c>
      <c r="AG441" s="2" t="str">
        <f t="shared" si="58"/>
        <v/>
      </c>
      <c r="AH441" s="4" t="str">
        <f t="shared" si="59"/>
        <v/>
      </c>
      <c r="AI441" s="2" t="str">
        <f t="shared" si="60"/>
        <v/>
      </c>
      <c r="AJ441" s="2" t="str">
        <f t="shared" si="61"/>
        <v/>
      </c>
      <c r="AK441" s="2" t="str">
        <f t="shared" si="62"/>
        <v/>
      </c>
    </row>
    <row r="442" spans="1:37" x14ac:dyDescent="0.25">
      <c r="A442">
        <v>1809</v>
      </c>
      <c r="B442" t="s">
        <v>518</v>
      </c>
      <c r="C442" t="s">
        <v>94</v>
      </c>
      <c r="D442" t="s">
        <v>508</v>
      </c>
      <c r="E442" t="s">
        <v>47</v>
      </c>
      <c r="F442" t="s">
        <v>509</v>
      </c>
      <c r="G442" t="s">
        <v>49</v>
      </c>
      <c r="H442" s="1">
        <v>45122.017708333333</v>
      </c>
      <c r="I442" s="1">
        <v>45124.017708333333</v>
      </c>
      <c r="J442" t="s">
        <v>44</v>
      </c>
      <c r="K442" s="1"/>
      <c r="T442">
        <v>0</v>
      </c>
      <c r="AC442" s="2">
        <f t="shared" si="54"/>
        <v>2</v>
      </c>
      <c r="AD442" s="2" t="str">
        <f t="shared" si="55"/>
        <v/>
      </c>
      <c r="AE442" s="2" t="str">
        <f t="shared" si="56"/>
        <v/>
      </c>
      <c r="AF442" s="2" t="str">
        <f t="shared" si="57"/>
        <v/>
      </c>
      <c r="AG442" s="2" t="str">
        <f t="shared" si="58"/>
        <v/>
      </c>
      <c r="AH442" s="4" t="str">
        <f t="shared" si="59"/>
        <v/>
      </c>
      <c r="AI442" s="2" t="str">
        <f t="shared" si="60"/>
        <v/>
      </c>
      <c r="AJ442" s="2" t="str">
        <f t="shared" si="61"/>
        <v/>
      </c>
      <c r="AK442" s="2" t="str">
        <f t="shared" si="62"/>
        <v/>
      </c>
    </row>
    <row r="443" spans="1:37" x14ac:dyDescent="0.25">
      <c r="A443">
        <v>993</v>
      </c>
      <c r="B443" t="s">
        <v>519</v>
      </c>
      <c r="C443" t="s">
        <v>94</v>
      </c>
      <c r="D443" t="s">
        <v>508</v>
      </c>
      <c r="E443" t="s">
        <v>47</v>
      </c>
      <c r="F443" t="s">
        <v>509</v>
      </c>
      <c r="G443" t="s">
        <v>49</v>
      </c>
      <c r="H443" s="1">
        <v>45018.858425925922</v>
      </c>
      <c r="I443" s="1">
        <v>45019.858425925922</v>
      </c>
      <c r="J443" t="s">
        <v>32</v>
      </c>
      <c r="K443" s="1">
        <v>45032.858425925922</v>
      </c>
      <c r="L443" t="s">
        <v>57</v>
      </c>
      <c r="N443" s="4">
        <v>45039.858425925922</v>
      </c>
      <c r="O443" t="s">
        <v>57</v>
      </c>
      <c r="P443" s="4">
        <v>45034.858425925922</v>
      </c>
      <c r="Q443" s="4">
        <v>45037.858425925922</v>
      </c>
      <c r="R443" s="4">
        <v>45035.858425925922</v>
      </c>
      <c r="S443" s="4">
        <v>45038.858425925922</v>
      </c>
      <c r="T443">
        <v>1</v>
      </c>
      <c r="U443" s="4">
        <v>45041.858425925922</v>
      </c>
      <c r="V443" s="4">
        <v>45044.858425925922</v>
      </c>
      <c r="W443" s="4">
        <v>45046.858425925922</v>
      </c>
      <c r="Z443" s="4">
        <v>45061.858425925922</v>
      </c>
      <c r="AC443" s="2">
        <f t="shared" si="54"/>
        <v>1</v>
      </c>
      <c r="AD443" s="2">
        <f t="shared" si="55"/>
        <v>14</v>
      </c>
      <c r="AE443" s="2">
        <f t="shared" si="56"/>
        <v>13</v>
      </c>
      <c r="AF443" s="2">
        <f t="shared" si="57"/>
        <v>17</v>
      </c>
      <c r="AG443" s="2">
        <f t="shared" si="58"/>
        <v>3</v>
      </c>
      <c r="AH443" s="4">
        <f t="shared" si="59"/>
        <v>45125.858425925922</v>
      </c>
      <c r="AI443" s="2">
        <f t="shared" si="60"/>
        <v>3</v>
      </c>
      <c r="AJ443" s="2">
        <f t="shared" si="61"/>
        <v>26</v>
      </c>
      <c r="AK443" s="2">
        <f t="shared" si="62"/>
        <v>11</v>
      </c>
    </row>
    <row r="444" spans="1:37" x14ac:dyDescent="0.25">
      <c r="A444">
        <v>949</v>
      </c>
      <c r="B444" t="s">
        <v>520</v>
      </c>
      <c r="C444" t="s">
        <v>94</v>
      </c>
      <c r="D444" t="s">
        <v>508</v>
      </c>
      <c r="E444" t="s">
        <v>47</v>
      </c>
      <c r="F444" t="s">
        <v>509</v>
      </c>
      <c r="G444" t="s">
        <v>49</v>
      </c>
      <c r="H444" s="1">
        <v>44865.043067129627</v>
      </c>
      <c r="I444" s="1">
        <v>44867.043067129627</v>
      </c>
      <c r="J444" t="s">
        <v>32</v>
      </c>
      <c r="K444" s="1">
        <v>44872.043067129627</v>
      </c>
      <c r="L444" t="s">
        <v>39</v>
      </c>
      <c r="N444" s="4">
        <v>44878.043067129627</v>
      </c>
      <c r="O444" t="s">
        <v>39</v>
      </c>
      <c r="R444" s="4">
        <v>44876.043067129627</v>
      </c>
      <c r="T444">
        <v>0</v>
      </c>
      <c r="AC444" s="2">
        <f t="shared" si="54"/>
        <v>2</v>
      </c>
      <c r="AD444" s="2">
        <f t="shared" si="55"/>
        <v>7</v>
      </c>
      <c r="AE444" s="2">
        <f t="shared" si="56"/>
        <v>5</v>
      </c>
      <c r="AF444" s="2">
        <f t="shared" si="57"/>
        <v>11</v>
      </c>
      <c r="AG444" s="2">
        <f t="shared" si="58"/>
        <v>4</v>
      </c>
      <c r="AH444" s="4">
        <f t="shared" si="59"/>
        <v>44966.043067129627</v>
      </c>
      <c r="AI444" s="2" t="str">
        <f t="shared" si="60"/>
        <v/>
      </c>
      <c r="AJ444" s="2" t="str">
        <f t="shared" si="61"/>
        <v/>
      </c>
      <c r="AK444" s="2" t="str">
        <f t="shared" si="62"/>
        <v/>
      </c>
    </row>
    <row r="445" spans="1:37" x14ac:dyDescent="0.25">
      <c r="A445">
        <v>914</v>
      </c>
      <c r="B445" t="s">
        <v>521</v>
      </c>
      <c r="C445" t="s">
        <v>94</v>
      </c>
      <c r="D445" t="s">
        <v>508</v>
      </c>
      <c r="E445" t="s">
        <v>47</v>
      </c>
      <c r="F445" t="s">
        <v>509</v>
      </c>
      <c r="G445" t="s">
        <v>49</v>
      </c>
      <c r="H445" s="1">
        <v>44670.256099537037</v>
      </c>
      <c r="I445" s="1">
        <v>44673.256099537037</v>
      </c>
      <c r="J445" t="s">
        <v>32</v>
      </c>
      <c r="K445" s="1">
        <v>44683.256099537037</v>
      </c>
      <c r="L445" t="s">
        <v>39</v>
      </c>
      <c r="N445" s="4">
        <v>44686.256099537037</v>
      </c>
      <c r="O445" t="s">
        <v>39</v>
      </c>
      <c r="R445" s="4">
        <v>44684.256099537037</v>
      </c>
      <c r="T445">
        <v>0</v>
      </c>
      <c r="AC445" s="2">
        <f t="shared" si="54"/>
        <v>3</v>
      </c>
      <c r="AD445" s="2">
        <f t="shared" si="55"/>
        <v>13</v>
      </c>
      <c r="AE445" s="2">
        <f t="shared" si="56"/>
        <v>10</v>
      </c>
      <c r="AF445" s="2">
        <f t="shared" si="57"/>
        <v>14</v>
      </c>
      <c r="AG445" s="2">
        <f t="shared" si="58"/>
        <v>1</v>
      </c>
      <c r="AH445" s="4">
        <f t="shared" si="59"/>
        <v>44774.256099537037</v>
      </c>
      <c r="AI445" s="2" t="str">
        <f t="shared" si="60"/>
        <v/>
      </c>
      <c r="AJ445" s="2" t="str">
        <f t="shared" si="61"/>
        <v/>
      </c>
      <c r="AK445" s="2" t="str">
        <f t="shared" si="62"/>
        <v/>
      </c>
    </row>
    <row r="446" spans="1:37" x14ac:dyDescent="0.25">
      <c r="A446">
        <v>906</v>
      </c>
      <c r="B446" t="s">
        <v>522</v>
      </c>
      <c r="C446" t="s">
        <v>94</v>
      </c>
      <c r="D446" t="s">
        <v>508</v>
      </c>
      <c r="E446" t="s">
        <v>47</v>
      </c>
      <c r="F446" t="s">
        <v>509</v>
      </c>
      <c r="G446" t="s">
        <v>49</v>
      </c>
      <c r="H446" s="1">
        <v>45161.249560185184</v>
      </c>
      <c r="I446" s="1">
        <v>45163.249560185184</v>
      </c>
      <c r="J446" t="s">
        <v>32</v>
      </c>
      <c r="K446" s="1">
        <v>45173.249560185184</v>
      </c>
      <c r="L446" t="s">
        <v>57</v>
      </c>
      <c r="N446" s="4">
        <v>45179.249560185184</v>
      </c>
      <c r="O446" t="s">
        <v>57</v>
      </c>
      <c r="P446" s="4">
        <v>45175.249560185184</v>
      </c>
      <c r="Q446" s="4">
        <v>45177.249560185184</v>
      </c>
      <c r="R446" s="4">
        <v>45177.249560185184</v>
      </c>
      <c r="S446" s="4">
        <v>45178.249560185184</v>
      </c>
      <c r="T446">
        <v>1</v>
      </c>
      <c r="U446" s="4">
        <v>45179.249560185184</v>
      </c>
      <c r="V446" s="4">
        <v>45182.249560185184</v>
      </c>
      <c r="W446" s="4">
        <v>45184.249560185184</v>
      </c>
      <c r="Z446" s="4">
        <v>45204.249560185184</v>
      </c>
      <c r="AC446" s="2">
        <f t="shared" si="54"/>
        <v>2</v>
      </c>
      <c r="AD446" s="2">
        <f t="shared" si="55"/>
        <v>12</v>
      </c>
      <c r="AE446" s="2">
        <f t="shared" si="56"/>
        <v>10</v>
      </c>
      <c r="AF446" s="2">
        <f t="shared" si="57"/>
        <v>16</v>
      </c>
      <c r="AG446" s="2">
        <f t="shared" si="58"/>
        <v>4</v>
      </c>
      <c r="AH446" s="4">
        <f t="shared" si="59"/>
        <v>45267.249560185184</v>
      </c>
      <c r="AI446" s="2">
        <f t="shared" si="60"/>
        <v>1</v>
      </c>
      <c r="AJ446" s="2">
        <f t="shared" si="61"/>
        <v>27</v>
      </c>
      <c r="AK446" s="2">
        <f t="shared" si="62"/>
        <v>7</v>
      </c>
    </row>
    <row r="447" spans="1:37" x14ac:dyDescent="0.25">
      <c r="A447">
        <v>904</v>
      </c>
      <c r="B447" t="s">
        <v>523</v>
      </c>
      <c r="C447" t="s">
        <v>94</v>
      </c>
      <c r="D447" t="s">
        <v>508</v>
      </c>
      <c r="E447" t="s">
        <v>47</v>
      </c>
      <c r="F447" t="s">
        <v>509</v>
      </c>
      <c r="G447" t="s">
        <v>49</v>
      </c>
      <c r="H447" s="1">
        <v>45159.249560185184</v>
      </c>
      <c r="I447" s="1">
        <v>45162.249560185184</v>
      </c>
      <c r="J447" t="s">
        <v>32</v>
      </c>
      <c r="K447" s="1">
        <v>45169.249560185184</v>
      </c>
      <c r="L447" t="s">
        <v>57</v>
      </c>
      <c r="N447" s="4">
        <v>45175.249560185184</v>
      </c>
      <c r="O447" t="s">
        <v>57</v>
      </c>
      <c r="P447" s="4">
        <v>45171.249560185184</v>
      </c>
      <c r="Q447" s="4">
        <v>45172.249560185184</v>
      </c>
      <c r="R447" s="4">
        <v>45171.249560185184</v>
      </c>
      <c r="S447" s="4">
        <v>45172.249560185184</v>
      </c>
      <c r="T447">
        <v>1</v>
      </c>
      <c r="U447" s="4">
        <v>45173.249560185184</v>
      </c>
      <c r="V447" s="4">
        <v>45176.249560185184</v>
      </c>
      <c r="W447" s="4">
        <v>45178.249560185184</v>
      </c>
      <c r="Z447" s="4">
        <v>45195.249560185184</v>
      </c>
      <c r="AC447" s="2">
        <f t="shared" si="54"/>
        <v>3</v>
      </c>
      <c r="AD447" s="2">
        <f t="shared" si="55"/>
        <v>10</v>
      </c>
      <c r="AE447" s="2">
        <f t="shared" si="56"/>
        <v>7</v>
      </c>
      <c r="AF447" s="2">
        <f t="shared" si="57"/>
        <v>12</v>
      </c>
      <c r="AG447" s="2">
        <f t="shared" si="58"/>
        <v>2</v>
      </c>
      <c r="AH447" s="4">
        <f t="shared" si="59"/>
        <v>45261.249560185184</v>
      </c>
      <c r="AI447" s="2">
        <f t="shared" si="60"/>
        <v>1</v>
      </c>
      <c r="AJ447" s="2">
        <f t="shared" si="61"/>
        <v>24</v>
      </c>
      <c r="AK447" s="2">
        <f t="shared" si="62"/>
        <v>7</v>
      </c>
    </row>
    <row r="448" spans="1:37" x14ac:dyDescent="0.25">
      <c r="A448">
        <v>830</v>
      </c>
      <c r="B448" t="s">
        <v>524</v>
      </c>
      <c r="C448" t="s">
        <v>94</v>
      </c>
      <c r="D448" t="s">
        <v>508</v>
      </c>
      <c r="E448" t="s">
        <v>47</v>
      </c>
      <c r="F448" t="s">
        <v>509</v>
      </c>
      <c r="G448" t="s">
        <v>49</v>
      </c>
      <c r="H448" s="1">
        <v>44627.625335648147</v>
      </c>
      <c r="I448" s="1">
        <v>44630.625335648147</v>
      </c>
      <c r="J448" t="s">
        <v>32</v>
      </c>
      <c r="K448" s="1">
        <v>44638.625335648147</v>
      </c>
      <c r="L448" t="s">
        <v>39</v>
      </c>
      <c r="N448" s="4">
        <v>44645.625335648147</v>
      </c>
      <c r="O448" t="s">
        <v>39</v>
      </c>
      <c r="R448" s="4">
        <v>44641.625335648147</v>
      </c>
      <c r="T448">
        <v>0</v>
      </c>
      <c r="AC448" s="2">
        <f t="shared" si="54"/>
        <v>3</v>
      </c>
      <c r="AD448" s="2">
        <f t="shared" si="55"/>
        <v>11</v>
      </c>
      <c r="AE448" s="2">
        <f t="shared" si="56"/>
        <v>8</v>
      </c>
      <c r="AF448" s="2">
        <f t="shared" si="57"/>
        <v>14</v>
      </c>
      <c r="AG448" s="2">
        <f t="shared" si="58"/>
        <v>3</v>
      </c>
      <c r="AH448" s="4">
        <f t="shared" si="59"/>
        <v>44731.625335648147</v>
      </c>
      <c r="AI448" s="2" t="str">
        <f t="shared" si="60"/>
        <v/>
      </c>
      <c r="AJ448" s="2" t="str">
        <f t="shared" si="61"/>
        <v/>
      </c>
      <c r="AK448" s="2" t="str">
        <f t="shared" si="62"/>
        <v/>
      </c>
    </row>
    <row r="449" spans="1:37" x14ac:dyDescent="0.25">
      <c r="A449">
        <v>791</v>
      </c>
      <c r="B449" t="s">
        <v>525</v>
      </c>
      <c r="C449" t="s">
        <v>94</v>
      </c>
      <c r="D449" t="s">
        <v>508</v>
      </c>
      <c r="E449" t="s">
        <v>47</v>
      </c>
      <c r="F449" t="s">
        <v>509</v>
      </c>
      <c r="G449" t="s">
        <v>49</v>
      </c>
      <c r="H449" s="1">
        <v>44902.674583333333</v>
      </c>
      <c r="I449" s="1">
        <v>44906.674583333333</v>
      </c>
      <c r="J449" t="s">
        <v>32</v>
      </c>
      <c r="K449" s="1">
        <v>44926.674583333333</v>
      </c>
      <c r="L449" t="s">
        <v>33</v>
      </c>
      <c r="M449" t="s">
        <v>51</v>
      </c>
      <c r="R449" s="4">
        <v>44927.674583333333</v>
      </c>
      <c r="T449">
        <v>0</v>
      </c>
      <c r="Y449" t="s">
        <v>35</v>
      </c>
      <c r="AC449" s="2">
        <f t="shared" si="54"/>
        <v>4</v>
      </c>
      <c r="AD449" s="2">
        <f t="shared" si="55"/>
        <v>24</v>
      </c>
      <c r="AE449" s="2">
        <f t="shared" si="56"/>
        <v>20</v>
      </c>
      <c r="AF449" s="2">
        <f t="shared" si="57"/>
        <v>25</v>
      </c>
      <c r="AG449" s="2">
        <f t="shared" si="58"/>
        <v>1</v>
      </c>
      <c r="AH449" s="4">
        <f t="shared" si="59"/>
        <v>45017.674583333333</v>
      </c>
      <c r="AI449" s="2" t="str">
        <f t="shared" si="60"/>
        <v/>
      </c>
      <c r="AJ449" s="2" t="str">
        <f t="shared" si="61"/>
        <v/>
      </c>
      <c r="AK449" s="2" t="str">
        <f t="shared" si="62"/>
        <v/>
      </c>
    </row>
    <row r="450" spans="1:37" x14ac:dyDescent="0.25">
      <c r="A450">
        <v>763</v>
      </c>
      <c r="B450" t="s">
        <v>526</v>
      </c>
      <c r="C450" t="s">
        <v>94</v>
      </c>
      <c r="D450" t="s">
        <v>508</v>
      </c>
      <c r="E450" t="s">
        <v>47</v>
      </c>
      <c r="F450" t="s">
        <v>509</v>
      </c>
      <c r="G450" t="s">
        <v>49</v>
      </c>
      <c r="H450" s="1">
        <v>44728.736145833333</v>
      </c>
      <c r="I450" s="1">
        <v>44732.736145833333</v>
      </c>
      <c r="J450" t="s">
        <v>32</v>
      </c>
      <c r="K450" s="1">
        <v>44744.736145833333</v>
      </c>
      <c r="L450" t="s">
        <v>33</v>
      </c>
      <c r="M450" t="s">
        <v>108</v>
      </c>
      <c r="R450" s="4">
        <v>44745.736145833333</v>
      </c>
      <c r="T450">
        <v>0</v>
      </c>
      <c r="Y450" t="s">
        <v>35</v>
      </c>
      <c r="AC450" s="2">
        <f t="shared" si="54"/>
        <v>4</v>
      </c>
      <c r="AD450" s="2">
        <f t="shared" si="55"/>
        <v>16</v>
      </c>
      <c r="AE450" s="2">
        <f t="shared" si="56"/>
        <v>12</v>
      </c>
      <c r="AF450" s="2">
        <f t="shared" si="57"/>
        <v>17</v>
      </c>
      <c r="AG450" s="2">
        <f t="shared" si="58"/>
        <v>1</v>
      </c>
      <c r="AH450" s="4">
        <f t="shared" si="59"/>
        <v>44835.736145833333</v>
      </c>
      <c r="AI450" s="2" t="str">
        <f t="shared" si="60"/>
        <v/>
      </c>
      <c r="AJ450" s="2" t="str">
        <f t="shared" si="61"/>
        <v/>
      </c>
      <c r="AK450" s="2" t="str">
        <f t="shared" si="62"/>
        <v/>
      </c>
    </row>
    <row r="451" spans="1:37" x14ac:dyDescent="0.25">
      <c r="A451">
        <v>728</v>
      </c>
      <c r="B451" t="s">
        <v>527</v>
      </c>
      <c r="C451" t="s">
        <v>94</v>
      </c>
      <c r="D451" t="s">
        <v>508</v>
      </c>
      <c r="E451" t="s">
        <v>47</v>
      </c>
      <c r="F451" t="s">
        <v>509</v>
      </c>
      <c r="G451" t="s">
        <v>49</v>
      </c>
      <c r="H451" s="1">
        <v>44605.660578703704</v>
      </c>
      <c r="I451" s="1">
        <v>44607.660578703704</v>
      </c>
      <c r="J451" t="s">
        <v>32</v>
      </c>
      <c r="K451" s="1">
        <v>44618.660578703704</v>
      </c>
      <c r="L451" t="s">
        <v>33</v>
      </c>
      <c r="M451" t="s">
        <v>108</v>
      </c>
      <c r="R451" s="4">
        <v>44620.660578703704</v>
      </c>
      <c r="T451">
        <v>0</v>
      </c>
      <c r="Y451" t="s">
        <v>55</v>
      </c>
      <c r="AC451" s="2">
        <f t="shared" ref="AC451:AC514" si="63">IF(AND(I451&lt;&gt;"",H451&lt;&gt;""), I451-H451, "")</f>
        <v>2</v>
      </c>
      <c r="AD451" s="2">
        <f t="shared" ref="AD451:AD514" si="64">IF(AND(K451&lt;&gt;"",H451&lt;&gt;""), K451-H451, "")</f>
        <v>13</v>
      </c>
      <c r="AE451" s="2">
        <f t="shared" ref="AE451:AE514" si="65">IF(AND(K451&lt;&gt;"",I451&lt;&gt;""), K451-I451, "")</f>
        <v>11</v>
      </c>
      <c r="AF451" s="2">
        <f t="shared" ref="AF451:AF514" si="66">IF(AND(R451&lt;&gt;"",H451&lt;&gt;""), R451-H451, "")</f>
        <v>15</v>
      </c>
      <c r="AG451" s="2">
        <f t="shared" ref="AG451:AG514" si="67">IF(AND(R451&lt;&gt;"",K451&lt;&gt;""), R451-K451, "")</f>
        <v>2</v>
      </c>
      <c r="AH451" s="4">
        <f t="shared" ref="AH451:AH514" si="68">IF(R451&lt;&gt;"", R451+90, "")</f>
        <v>44710.660578703704</v>
      </c>
      <c r="AI451" s="2" t="str">
        <f t="shared" ref="AI451:AI514" si="69">IF(AND(U451&lt;&gt;"",S451&lt;&gt;""), U451-S451, "")</f>
        <v/>
      </c>
      <c r="AJ451" s="2" t="str">
        <f t="shared" ref="AJ451:AJ514" si="70">IF(AND(Z451&lt;&gt;"",R451&lt;&gt;""), Z451-R451, "")</f>
        <v/>
      </c>
      <c r="AK451" s="2" t="str">
        <f t="shared" ref="AK451:AK514" si="71">IF(AND(W451&lt;&gt;"",R451&lt;&gt;""), W451-R451, "")</f>
        <v/>
      </c>
    </row>
    <row r="452" spans="1:37" x14ac:dyDescent="0.25">
      <c r="A452">
        <v>719</v>
      </c>
      <c r="B452" t="s">
        <v>528</v>
      </c>
      <c r="C452" t="s">
        <v>94</v>
      </c>
      <c r="D452" t="s">
        <v>508</v>
      </c>
      <c r="E452" t="s">
        <v>47</v>
      </c>
      <c r="F452" t="s">
        <v>509</v>
      </c>
      <c r="G452" t="s">
        <v>49</v>
      </c>
      <c r="H452" s="1">
        <v>44627.686331018522</v>
      </c>
      <c r="I452" s="1">
        <v>44630.686331018522</v>
      </c>
      <c r="J452" t="s">
        <v>32</v>
      </c>
      <c r="K452" s="1">
        <v>44647.686331018522</v>
      </c>
      <c r="L452" t="s">
        <v>33</v>
      </c>
      <c r="M452" t="s">
        <v>67</v>
      </c>
      <c r="R452" s="4">
        <v>44648.686331018522</v>
      </c>
      <c r="T452">
        <v>0</v>
      </c>
      <c r="Y452" t="s">
        <v>55</v>
      </c>
      <c r="AC452" s="2">
        <f t="shared" si="63"/>
        <v>3</v>
      </c>
      <c r="AD452" s="2">
        <f t="shared" si="64"/>
        <v>20</v>
      </c>
      <c r="AE452" s="2">
        <f t="shared" si="65"/>
        <v>17</v>
      </c>
      <c r="AF452" s="2">
        <f t="shared" si="66"/>
        <v>21</v>
      </c>
      <c r="AG452" s="2">
        <f t="shared" si="67"/>
        <v>1</v>
      </c>
      <c r="AH452" s="4">
        <f t="shared" si="68"/>
        <v>44738.686331018522</v>
      </c>
      <c r="AI452" s="2" t="str">
        <f t="shared" si="69"/>
        <v/>
      </c>
      <c r="AJ452" s="2" t="str">
        <f t="shared" si="70"/>
        <v/>
      </c>
      <c r="AK452" s="2" t="str">
        <f t="shared" si="71"/>
        <v/>
      </c>
    </row>
    <row r="453" spans="1:37" x14ac:dyDescent="0.25">
      <c r="A453">
        <v>716</v>
      </c>
      <c r="B453" t="s">
        <v>529</v>
      </c>
      <c r="C453" t="s">
        <v>94</v>
      </c>
      <c r="D453" t="s">
        <v>508</v>
      </c>
      <c r="E453" t="s">
        <v>47</v>
      </c>
      <c r="F453" t="s">
        <v>509</v>
      </c>
      <c r="G453" t="s">
        <v>49</v>
      </c>
      <c r="H453" s="1">
        <v>44630.686331018522</v>
      </c>
      <c r="I453" s="1">
        <v>44633.686331018522</v>
      </c>
      <c r="J453" t="s">
        <v>32</v>
      </c>
      <c r="K453" s="1">
        <v>44638.686331018522</v>
      </c>
      <c r="L453" t="s">
        <v>33</v>
      </c>
      <c r="M453" t="s">
        <v>92</v>
      </c>
      <c r="T453">
        <v>0</v>
      </c>
      <c r="Y453" t="s">
        <v>55</v>
      </c>
      <c r="AC453" s="2">
        <f t="shared" si="63"/>
        <v>3</v>
      </c>
      <c r="AD453" s="2">
        <f t="shared" si="64"/>
        <v>8</v>
      </c>
      <c r="AE453" s="2">
        <f t="shared" si="65"/>
        <v>5</v>
      </c>
      <c r="AF453" s="2" t="str">
        <f t="shared" si="66"/>
        <v/>
      </c>
      <c r="AG453" s="2" t="str">
        <f t="shared" si="67"/>
        <v/>
      </c>
      <c r="AH453" s="4" t="str">
        <f t="shared" si="68"/>
        <v/>
      </c>
      <c r="AI453" s="2" t="str">
        <f t="shared" si="69"/>
        <v/>
      </c>
      <c r="AJ453" s="2" t="str">
        <f t="shared" si="70"/>
        <v/>
      </c>
      <c r="AK453" s="2" t="str">
        <f t="shared" si="71"/>
        <v/>
      </c>
    </row>
    <row r="454" spans="1:37" x14ac:dyDescent="0.25">
      <c r="A454">
        <v>713</v>
      </c>
      <c r="B454" t="s">
        <v>530</v>
      </c>
      <c r="C454" t="s">
        <v>94</v>
      </c>
      <c r="D454" t="s">
        <v>508</v>
      </c>
      <c r="E454" t="s">
        <v>47</v>
      </c>
      <c r="F454" t="s">
        <v>509</v>
      </c>
      <c r="G454" t="s">
        <v>49</v>
      </c>
      <c r="H454" s="1">
        <v>44625.686331018522</v>
      </c>
      <c r="I454" s="1">
        <v>44628.686331018522</v>
      </c>
      <c r="J454" t="s">
        <v>44</v>
      </c>
      <c r="K454" s="1"/>
      <c r="T454">
        <v>0</v>
      </c>
      <c r="AC454" s="2">
        <f t="shared" si="63"/>
        <v>3</v>
      </c>
      <c r="AD454" s="2" t="str">
        <f t="shared" si="64"/>
        <v/>
      </c>
      <c r="AE454" s="2" t="str">
        <f t="shared" si="65"/>
        <v/>
      </c>
      <c r="AF454" s="2" t="str">
        <f t="shared" si="66"/>
        <v/>
      </c>
      <c r="AG454" s="2" t="str">
        <f t="shared" si="67"/>
        <v/>
      </c>
      <c r="AH454" s="4" t="str">
        <f t="shared" si="68"/>
        <v/>
      </c>
      <c r="AI454" s="2" t="str">
        <f t="shared" si="69"/>
        <v/>
      </c>
      <c r="AJ454" s="2" t="str">
        <f t="shared" si="70"/>
        <v/>
      </c>
      <c r="AK454" s="2" t="str">
        <f t="shared" si="71"/>
        <v/>
      </c>
    </row>
    <row r="455" spans="1:37" x14ac:dyDescent="0.25">
      <c r="A455">
        <v>679</v>
      </c>
      <c r="B455" t="s">
        <v>531</v>
      </c>
      <c r="C455" t="s">
        <v>94</v>
      </c>
      <c r="D455" t="s">
        <v>508</v>
      </c>
      <c r="E455" t="s">
        <v>47</v>
      </c>
      <c r="F455" t="s">
        <v>509</v>
      </c>
      <c r="G455" t="s">
        <v>49</v>
      </c>
      <c r="H455" s="1">
        <v>45142.885671296295</v>
      </c>
      <c r="I455" s="1">
        <v>45144.885671296295</v>
      </c>
      <c r="J455" t="s">
        <v>32</v>
      </c>
      <c r="K455" s="1">
        <v>45163.885671296295</v>
      </c>
      <c r="L455" t="s">
        <v>57</v>
      </c>
      <c r="N455" s="4">
        <v>45168.885671296295</v>
      </c>
      <c r="O455" t="s">
        <v>57</v>
      </c>
      <c r="P455" s="4">
        <v>45164.885671296295</v>
      </c>
      <c r="Q455" s="4">
        <v>45167.885671296295</v>
      </c>
      <c r="R455" s="4">
        <v>45167.885671296295</v>
      </c>
      <c r="S455" s="4">
        <v>45176.885671296295</v>
      </c>
      <c r="T455">
        <v>1</v>
      </c>
      <c r="U455" s="4">
        <v>45179.885671296295</v>
      </c>
      <c r="V455" s="4">
        <v>45182.885671296295</v>
      </c>
      <c r="W455" s="4">
        <v>45185.885671296295</v>
      </c>
      <c r="Z455" s="4">
        <v>45195.885671296295</v>
      </c>
      <c r="AC455" s="2">
        <f t="shared" si="63"/>
        <v>2</v>
      </c>
      <c r="AD455" s="2">
        <f t="shared" si="64"/>
        <v>21</v>
      </c>
      <c r="AE455" s="2">
        <f t="shared" si="65"/>
        <v>19</v>
      </c>
      <c r="AF455" s="2">
        <f t="shared" si="66"/>
        <v>25</v>
      </c>
      <c r="AG455" s="2">
        <f t="shared" si="67"/>
        <v>4</v>
      </c>
      <c r="AH455" s="4">
        <f t="shared" si="68"/>
        <v>45257.885671296295</v>
      </c>
      <c r="AI455" s="2">
        <f t="shared" si="69"/>
        <v>3</v>
      </c>
      <c r="AJ455" s="2">
        <f t="shared" si="70"/>
        <v>28</v>
      </c>
      <c r="AK455" s="2">
        <f t="shared" si="71"/>
        <v>18</v>
      </c>
    </row>
    <row r="456" spans="1:37" x14ac:dyDescent="0.25">
      <c r="A456">
        <v>675</v>
      </c>
      <c r="B456" t="s">
        <v>532</v>
      </c>
      <c r="C456" t="s">
        <v>94</v>
      </c>
      <c r="D456" t="s">
        <v>508</v>
      </c>
      <c r="E456" t="s">
        <v>47</v>
      </c>
      <c r="F456" t="s">
        <v>509</v>
      </c>
      <c r="G456" t="s">
        <v>49</v>
      </c>
      <c r="H456" s="1">
        <v>45143.885671296295</v>
      </c>
      <c r="I456" s="1">
        <v>45145.885671296295</v>
      </c>
      <c r="J456" t="s">
        <v>32</v>
      </c>
      <c r="K456" s="1">
        <v>45159.885671296295</v>
      </c>
      <c r="L456" t="s">
        <v>33</v>
      </c>
      <c r="M456" t="s">
        <v>34</v>
      </c>
      <c r="R456" s="4">
        <v>45162.885671296295</v>
      </c>
      <c r="T456">
        <v>0</v>
      </c>
      <c r="Y456" t="s">
        <v>55</v>
      </c>
      <c r="AC456" s="2">
        <f t="shared" si="63"/>
        <v>2</v>
      </c>
      <c r="AD456" s="2">
        <f t="shared" si="64"/>
        <v>16</v>
      </c>
      <c r="AE456" s="2">
        <f t="shared" si="65"/>
        <v>14</v>
      </c>
      <c r="AF456" s="2">
        <f t="shared" si="66"/>
        <v>19</v>
      </c>
      <c r="AG456" s="2">
        <f t="shared" si="67"/>
        <v>3</v>
      </c>
      <c r="AH456" s="4">
        <f t="shared" si="68"/>
        <v>45252.885671296295</v>
      </c>
      <c r="AI456" s="2" t="str">
        <f t="shared" si="69"/>
        <v/>
      </c>
      <c r="AJ456" s="2" t="str">
        <f t="shared" si="70"/>
        <v/>
      </c>
      <c r="AK456" s="2" t="str">
        <f t="shared" si="71"/>
        <v/>
      </c>
    </row>
    <row r="457" spans="1:37" x14ac:dyDescent="0.25">
      <c r="A457">
        <v>671</v>
      </c>
      <c r="B457" t="s">
        <v>533</v>
      </c>
      <c r="C457" t="s">
        <v>94</v>
      </c>
      <c r="D457" t="s">
        <v>508</v>
      </c>
      <c r="E457" t="s">
        <v>47</v>
      </c>
      <c r="F457" t="s">
        <v>509</v>
      </c>
      <c r="G457" t="s">
        <v>49</v>
      </c>
      <c r="H457" s="1">
        <v>45141.885671296295</v>
      </c>
      <c r="I457" s="1">
        <v>45142.885671296295</v>
      </c>
      <c r="J457" t="s">
        <v>32</v>
      </c>
      <c r="K457" s="1">
        <v>45160.885671296295</v>
      </c>
      <c r="L457" t="s">
        <v>33</v>
      </c>
      <c r="M457" t="s">
        <v>108</v>
      </c>
      <c r="T457">
        <v>0</v>
      </c>
      <c r="Y457" t="s">
        <v>35</v>
      </c>
      <c r="AC457" s="2">
        <f t="shared" si="63"/>
        <v>1</v>
      </c>
      <c r="AD457" s="2">
        <f t="shared" si="64"/>
        <v>19</v>
      </c>
      <c r="AE457" s="2">
        <f t="shared" si="65"/>
        <v>18</v>
      </c>
      <c r="AF457" s="2" t="str">
        <f t="shared" si="66"/>
        <v/>
      </c>
      <c r="AG457" s="2" t="str">
        <f t="shared" si="67"/>
        <v/>
      </c>
      <c r="AH457" s="4" t="str">
        <f t="shared" si="68"/>
        <v/>
      </c>
      <c r="AI457" s="2" t="str">
        <f t="shared" si="69"/>
        <v/>
      </c>
      <c r="AJ457" s="2" t="str">
        <f t="shared" si="70"/>
        <v/>
      </c>
      <c r="AK457" s="2" t="str">
        <f t="shared" si="71"/>
        <v/>
      </c>
    </row>
    <row r="458" spans="1:37" x14ac:dyDescent="0.25">
      <c r="A458">
        <v>658</v>
      </c>
      <c r="B458" t="s">
        <v>534</v>
      </c>
      <c r="C458" t="s">
        <v>94</v>
      </c>
      <c r="D458" t="s">
        <v>508</v>
      </c>
      <c r="E458" t="s">
        <v>47</v>
      </c>
      <c r="F458" t="s">
        <v>509</v>
      </c>
      <c r="G458" t="s">
        <v>49</v>
      </c>
      <c r="H458" s="1">
        <v>44914.016504629632</v>
      </c>
      <c r="I458" s="1">
        <v>44918.016504629632</v>
      </c>
      <c r="J458" t="s">
        <v>32</v>
      </c>
      <c r="K458" s="1">
        <v>44931.016504629632</v>
      </c>
      <c r="L458" t="s">
        <v>33</v>
      </c>
      <c r="M458" t="s">
        <v>34</v>
      </c>
      <c r="R458" s="4">
        <v>44935.016504629632</v>
      </c>
      <c r="T458">
        <v>0</v>
      </c>
      <c r="Y458" t="s">
        <v>35</v>
      </c>
      <c r="AC458" s="2">
        <f t="shared" si="63"/>
        <v>4</v>
      </c>
      <c r="AD458" s="2">
        <f t="shared" si="64"/>
        <v>17</v>
      </c>
      <c r="AE458" s="2">
        <f t="shared" si="65"/>
        <v>13</v>
      </c>
      <c r="AF458" s="2">
        <f t="shared" si="66"/>
        <v>21</v>
      </c>
      <c r="AG458" s="2">
        <f t="shared" si="67"/>
        <v>4</v>
      </c>
      <c r="AH458" s="4">
        <f t="shared" si="68"/>
        <v>45025.016504629632</v>
      </c>
      <c r="AI458" s="2" t="str">
        <f t="shared" si="69"/>
        <v/>
      </c>
      <c r="AJ458" s="2" t="str">
        <f t="shared" si="70"/>
        <v/>
      </c>
      <c r="AK458" s="2" t="str">
        <f t="shared" si="71"/>
        <v/>
      </c>
    </row>
    <row r="459" spans="1:37" x14ac:dyDescent="0.25">
      <c r="A459">
        <v>653</v>
      </c>
      <c r="B459" t="s">
        <v>535</v>
      </c>
      <c r="C459" t="s">
        <v>94</v>
      </c>
      <c r="D459" t="s">
        <v>508</v>
      </c>
      <c r="E459" t="s">
        <v>47</v>
      </c>
      <c r="F459" t="s">
        <v>509</v>
      </c>
      <c r="G459" t="s">
        <v>49</v>
      </c>
      <c r="H459" s="1">
        <v>44915.016504629632</v>
      </c>
      <c r="I459" s="1">
        <v>44917.016504629632</v>
      </c>
      <c r="J459" t="s">
        <v>32</v>
      </c>
      <c r="K459" s="1">
        <v>44927.016504629632</v>
      </c>
      <c r="L459" t="s">
        <v>57</v>
      </c>
      <c r="N459" s="4">
        <v>44932.016504629632</v>
      </c>
      <c r="O459" t="s">
        <v>57</v>
      </c>
      <c r="P459" s="4">
        <v>44928.016504629632</v>
      </c>
      <c r="Q459" s="4">
        <v>44931.016504629632</v>
      </c>
      <c r="R459" s="4">
        <v>44928.016504629632</v>
      </c>
      <c r="S459" s="4">
        <v>44930.016504629632</v>
      </c>
      <c r="T459">
        <v>1</v>
      </c>
      <c r="U459" s="4">
        <v>44933.016504629632</v>
      </c>
      <c r="V459" s="4">
        <v>44936.016504629632</v>
      </c>
      <c r="W459" s="4">
        <v>44938.016504629632</v>
      </c>
      <c r="Z459" s="4">
        <v>44960.016504629632</v>
      </c>
      <c r="AC459" s="2">
        <f t="shared" si="63"/>
        <v>2</v>
      </c>
      <c r="AD459" s="2">
        <f t="shared" si="64"/>
        <v>12</v>
      </c>
      <c r="AE459" s="2">
        <f t="shared" si="65"/>
        <v>10</v>
      </c>
      <c r="AF459" s="2">
        <f t="shared" si="66"/>
        <v>13</v>
      </c>
      <c r="AG459" s="2">
        <f t="shared" si="67"/>
        <v>1</v>
      </c>
      <c r="AH459" s="4">
        <f t="shared" si="68"/>
        <v>45018.016504629632</v>
      </c>
      <c r="AI459" s="2">
        <f t="shared" si="69"/>
        <v>3</v>
      </c>
      <c r="AJ459" s="2">
        <f t="shared" si="70"/>
        <v>32</v>
      </c>
      <c r="AK459" s="2">
        <f t="shared" si="71"/>
        <v>10</v>
      </c>
    </row>
    <row r="460" spans="1:37" x14ac:dyDescent="0.25">
      <c r="A460">
        <v>639</v>
      </c>
      <c r="B460" t="s">
        <v>536</v>
      </c>
      <c r="C460" t="s">
        <v>94</v>
      </c>
      <c r="D460" t="s">
        <v>508</v>
      </c>
      <c r="E460" t="s">
        <v>62</v>
      </c>
      <c r="F460" t="s">
        <v>537</v>
      </c>
      <c r="G460" t="s">
        <v>49</v>
      </c>
      <c r="H460" s="1">
        <v>44827.302743055552</v>
      </c>
      <c r="I460" s="1">
        <v>44828.302743055552</v>
      </c>
      <c r="J460" t="s">
        <v>32</v>
      </c>
      <c r="K460" s="1">
        <v>44847.302743055552</v>
      </c>
      <c r="L460" t="s">
        <v>33</v>
      </c>
      <c r="M460" t="s">
        <v>34</v>
      </c>
      <c r="T460">
        <v>0</v>
      </c>
      <c r="Y460" t="s">
        <v>35</v>
      </c>
      <c r="AC460" s="2">
        <f t="shared" si="63"/>
        <v>1</v>
      </c>
      <c r="AD460" s="2">
        <f t="shared" si="64"/>
        <v>20</v>
      </c>
      <c r="AE460" s="2">
        <f t="shared" si="65"/>
        <v>19</v>
      </c>
      <c r="AF460" s="2" t="str">
        <f t="shared" si="66"/>
        <v/>
      </c>
      <c r="AG460" s="2" t="str">
        <f t="shared" si="67"/>
        <v/>
      </c>
      <c r="AH460" s="4" t="str">
        <f t="shared" si="68"/>
        <v/>
      </c>
      <c r="AI460" s="2" t="str">
        <f t="shared" si="69"/>
        <v/>
      </c>
      <c r="AJ460" s="2" t="str">
        <f t="shared" si="70"/>
        <v/>
      </c>
      <c r="AK460" s="2" t="str">
        <f t="shared" si="71"/>
        <v/>
      </c>
    </row>
    <row r="461" spans="1:37" x14ac:dyDescent="0.25">
      <c r="A461">
        <v>618</v>
      </c>
      <c r="B461" t="s">
        <v>538</v>
      </c>
      <c r="C461" t="s">
        <v>94</v>
      </c>
      <c r="D461" t="s">
        <v>508</v>
      </c>
      <c r="E461" t="s">
        <v>62</v>
      </c>
      <c r="F461" t="s">
        <v>537</v>
      </c>
      <c r="G461" t="s">
        <v>49</v>
      </c>
      <c r="H461" s="1">
        <v>45156.885648148149</v>
      </c>
      <c r="I461" s="1">
        <v>45158.885648148149</v>
      </c>
      <c r="J461" t="s">
        <v>32</v>
      </c>
      <c r="K461" s="1">
        <v>45172.885648148149</v>
      </c>
      <c r="L461" t="s">
        <v>57</v>
      </c>
      <c r="N461" s="4">
        <v>45175.885648148149</v>
      </c>
      <c r="O461" t="s">
        <v>57</v>
      </c>
      <c r="P461" s="4">
        <v>45174.885648148149</v>
      </c>
      <c r="Q461" s="4">
        <v>45175.885648148149</v>
      </c>
      <c r="R461" s="4">
        <v>45173.885648148149</v>
      </c>
      <c r="S461" s="4">
        <v>45174.885648148149</v>
      </c>
      <c r="T461">
        <v>1</v>
      </c>
      <c r="U461" s="4">
        <v>45178.885648148149</v>
      </c>
      <c r="V461" s="4">
        <v>45179.885648148149</v>
      </c>
      <c r="W461" s="4">
        <v>45180.885648148149</v>
      </c>
      <c r="Z461" s="4">
        <v>45199.885648148149</v>
      </c>
      <c r="AC461" s="2">
        <f t="shared" si="63"/>
        <v>2</v>
      </c>
      <c r="AD461" s="2">
        <f t="shared" si="64"/>
        <v>16</v>
      </c>
      <c r="AE461" s="2">
        <f t="shared" si="65"/>
        <v>14</v>
      </c>
      <c r="AF461" s="2">
        <f t="shared" si="66"/>
        <v>17</v>
      </c>
      <c r="AG461" s="2">
        <f t="shared" si="67"/>
        <v>1</v>
      </c>
      <c r="AH461" s="4">
        <f t="shared" si="68"/>
        <v>45263.885648148149</v>
      </c>
      <c r="AI461" s="2">
        <f t="shared" si="69"/>
        <v>4</v>
      </c>
      <c r="AJ461" s="2">
        <f t="shared" si="70"/>
        <v>26</v>
      </c>
      <c r="AK461" s="2">
        <f t="shared" si="71"/>
        <v>7</v>
      </c>
    </row>
    <row r="462" spans="1:37" x14ac:dyDescent="0.25">
      <c r="A462">
        <v>579</v>
      </c>
      <c r="B462" t="s">
        <v>539</v>
      </c>
      <c r="C462" t="s">
        <v>94</v>
      </c>
      <c r="D462" t="s">
        <v>508</v>
      </c>
      <c r="E462" t="s">
        <v>62</v>
      </c>
      <c r="F462" t="s">
        <v>537</v>
      </c>
      <c r="G462" t="s">
        <v>49</v>
      </c>
      <c r="H462" s="1">
        <v>44908.089930555558</v>
      </c>
      <c r="I462" s="1">
        <v>44911.089930555558</v>
      </c>
      <c r="J462" t="s">
        <v>32</v>
      </c>
      <c r="K462" s="1">
        <v>44921.089930555558</v>
      </c>
      <c r="L462" t="s">
        <v>33</v>
      </c>
      <c r="M462" t="s">
        <v>34</v>
      </c>
      <c r="R462" s="4">
        <v>44923.089930555558</v>
      </c>
      <c r="T462">
        <v>0</v>
      </c>
      <c r="Y462" t="s">
        <v>35</v>
      </c>
      <c r="AC462" s="2">
        <f t="shared" si="63"/>
        <v>3</v>
      </c>
      <c r="AD462" s="2">
        <f t="shared" si="64"/>
        <v>13</v>
      </c>
      <c r="AE462" s="2">
        <f t="shared" si="65"/>
        <v>10</v>
      </c>
      <c r="AF462" s="2">
        <f t="shared" si="66"/>
        <v>15</v>
      </c>
      <c r="AG462" s="2">
        <f t="shared" si="67"/>
        <v>2</v>
      </c>
      <c r="AH462" s="4">
        <f t="shared" si="68"/>
        <v>45013.089930555558</v>
      </c>
      <c r="AI462" s="2" t="str">
        <f t="shared" si="69"/>
        <v/>
      </c>
      <c r="AJ462" s="2" t="str">
        <f t="shared" si="70"/>
        <v/>
      </c>
      <c r="AK462" s="2" t="str">
        <f t="shared" si="71"/>
        <v/>
      </c>
    </row>
    <row r="463" spans="1:37" x14ac:dyDescent="0.25">
      <c r="A463">
        <v>494</v>
      </c>
      <c r="B463" t="s">
        <v>540</v>
      </c>
      <c r="C463" t="s">
        <v>94</v>
      </c>
      <c r="D463" t="s">
        <v>508</v>
      </c>
      <c r="E463" t="s">
        <v>62</v>
      </c>
      <c r="F463" t="s">
        <v>537</v>
      </c>
      <c r="G463" t="s">
        <v>49</v>
      </c>
      <c r="H463" s="1">
        <v>45169.411724537036</v>
      </c>
      <c r="I463" s="1">
        <v>45172.411724537036</v>
      </c>
      <c r="J463" t="s">
        <v>32</v>
      </c>
      <c r="K463" s="1">
        <v>45178.411724537036</v>
      </c>
      <c r="L463" t="s">
        <v>39</v>
      </c>
      <c r="N463" s="4">
        <v>45185.411724537036</v>
      </c>
      <c r="O463" t="s">
        <v>39</v>
      </c>
      <c r="R463" s="4">
        <v>45182.411724537036</v>
      </c>
      <c r="T463">
        <v>0</v>
      </c>
      <c r="AC463" s="2">
        <f t="shared" si="63"/>
        <v>3</v>
      </c>
      <c r="AD463" s="2">
        <f t="shared" si="64"/>
        <v>9</v>
      </c>
      <c r="AE463" s="2">
        <f t="shared" si="65"/>
        <v>6</v>
      </c>
      <c r="AF463" s="2">
        <f t="shared" si="66"/>
        <v>13</v>
      </c>
      <c r="AG463" s="2">
        <f t="shared" si="67"/>
        <v>4</v>
      </c>
      <c r="AH463" s="4">
        <f t="shared" si="68"/>
        <v>45272.411724537036</v>
      </c>
      <c r="AI463" s="2" t="str">
        <f t="shared" si="69"/>
        <v/>
      </c>
      <c r="AJ463" s="2" t="str">
        <f t="shared" si="70"/>
        <v/>
      </c>
      <c r="AK463" s="2" t="str">
        <f t="shared" si="71"/>
        <v/>
      </c>
    </row>
    <row r="464" spans="1:37" x14ac:dyDescent="0.25">
      <c r="A464">
        <v>493</v>
      </c>
      <c r="B464" t="s">
        <v>541</v>
      </c>
      <c r="C464" t="s">
        <v>94</v>
      </c>
      <c r="D464" t="s">
        <v>508</v>
      </c>
      <c r="E464" t="s">
        <v>62</v>
      </c>
      <c r="F464" t="s">
        <v>537</v>
      </c>
      <c r="G464" t="s">
        <v>49</v>
      </c>
      <c r="H464" s="1">
        <v>45166.411724537036</v>
      </c>
      <c r="I464" s="1">
        <v>45169.411724537036</v>
      </c>
      <c r="J464" t="s">
        <v>32</v>
      </c>
      <c r="K464" s="1">
        <v>45188.411724537036</v>
      </c>
      <c r="L464" t="s">
        <v>33</v>
      </c>
      <c r="M464" t="s">
        <v>51</v>
      </c>
      <c r="T464">
        <v>0</v>
      </c>
      <c r="Y464" t="s">
        <v>35</v>
      </c>
      <c r="AC464" s="2">
        <f t="shared" si="63"/>
        <v>3</v>
      </c>
      <c r="AD464" s="2">
        <f t="shared" si="64"/>
        <v>22</v>
      </c>
      <c r="AE464" s="2">
        <f t="shared" si="65"/>
        <v>19</v>
      </c>
      <c r="AF464" s="2" t="str">
        <f t="shared" si="66"/>
        <v/>
      </c>
      <c r="AG464" s="2" t="str">
        <f t="shared" si="67"/>
        <v/>
      </c>
      <c r="AH464" s="4" t="str">
        <f t="shared" si="68"/>
        <v/>
      </c>
      <c r="AI464" s="2" t="str">
        <f t="shared" si="69"/>
        <v/>
      </c>
      <c r="AJ464" s="2" t="str">
        <f t="shared" si="70"/>
        <v/>
      </c>
      <c r="AK464" s="2" t="str">
        <f t="shared" si="71"/>
        <v/>
      </c>
    </row>
    <row r="465" spans="1:37" x14ac:dyDescent="0.25">
      <c r="A465">
        <v>485</v>
      </c>
      <c r="B465" t="s">
        <v>542</v>
      </c>
      <c r="C465" t="s">
        <v>94</v>
      </c>
      <c r="D465" t="s">
        <v>508</v>
      </c>
      <c r="E465" t="s">
        <v>62</v>
      </c>
      <c r="F465" t="s">
        <v>537</v>
      </c>
      <c r="G465" t="s">
        <v>49</v>
      </c>
      <c r="H465" s="1">
        <v>44930.566712962966</v>
      </c>
      <c r="I465" s="1">
        <v>44932.566712962966</v>
      </c>
      <c r="J465" t="s">
        <v>32</v>
      </c>
      <c r="K465" s="1">
        <v>44948.566712962966</v>
      </c>
      <c r="L465" t="s">
        <v>33</v>
      </c>
      <c r="M465" t="s">
        <v>51</v>
      </c>
      <c r="T465">
        <v>0</v>
      </c>
      <c r="Y465" t="s">
        <v>35</v>
      </c>
      <c r="AC465" s="2">
        <f t="shared" si="63"/>
        <v>2</v>
      </c>
      <c r="AD465" s="2">
        <f t="shared" si="64"/>
        <v>18</v>
      </c>
      <c r="AE465" s="2">
        <f t="shared" si="65"/>
        <v>16</v>
      </c>
      <c r="AF465" s="2" t="str">
        <f t="shared" si="66"/>
        <v/>
      </c>
      <c r="AG465" s="2" t="str">
        <f t="shared" si="67"/>
        <v/>
      </c>
      <c r="AH465" s="4" t="str">
        <f t="shared" si="68"/>
        <v/>
      </c>
      <c r="AI465" s="2" t="str">
        <f t="shared" si="69"/>
        <v/>
      </c>
      <c r="AJ465" s="2" t="str">
        <f t="shared" si="70"/>
        <v/>
      </c>
      <c r="AK465" s="2" t="str">
        <f t="shared" si="71"/>
        <v/>
      </c>
    </row>
    <row r="466" spans="1:37" x14ac:dyDescent="0.25">
      <c r="A466">
        <v>484</v>
      </c>
      <c r="B466" t="s">
        <v>543</v>
      </c>
      <c r="C466" t="s">
        <v>94</v>
      </c>
      <c r="D466" t="s">
        <v>508</v>
      </c>
      <c r="E466" t="s">
        <v>62</v>
      </c>
      <c r="F466" t="s">
        <v>537</v>
      </c>
      <c r="G466" t="s">
        <v>49</v>
      </c>
      <c r="H466" s="1">
        <v>44931.566712962966</v>
      </c>
      <c r="I466" s="1">
        <v>44934.566712962966</v>
      </c>
      <c r="J466" t="s">
        <v>32</v>
      </c>
      <c r="K466" s="1">
        <v>44947.566712962966</v>
      </c>
      <c r="L466" t="s">
        <v>33</v>
      </c>
      <c r="M466" t="s">
        <v>92</v>
      </c>
      <c r="R466" s="4">
        <v>44950.566712962966</v>
      </c>
      <c r="T466">
        <v>0</v>
      </c>
      <c r="Y466" t="s">
        <v>35</v>
      </c>
      <c r="AC466" s="2">
        <f t="shared" si="63"/>
        <v>3</v>
      </c>
      <c r="AD466" s="2">
        <f t="shared" si="64"/>
        <v>16</v>
      </c>
      <c r="AE466" s="2">
        <f t="shared" si="65"/>
        <v>13</v>
      </c>
      <c r="AF466" s="2">
        <f t="shared" si="66"/>
        <v>19</v>
      </c>
      <c r="AG466" s="2">
        <f t="shared" si="67"/>
        <v>3</v>
      </c>
      <c r="AH466" s="4">
        <f t="shared" si="68"/>
        <v>45040.566712962966</v>
      </c>
      <c r="AI466" s="2" t="str">
        <f t="shared" si="69"/>
        <v/>
      </c>
      <c r="AJ466" s="2" t="str">
        <f t="shared" si="70"/>
        <v/>
      </c>
      <c r="AK466" s="2" t="str">
        <f t="shared" si="71"/>
        <v/>
      </c>
    </row>
    <row r="467" spans="1:37" x14ac:dyDescent="0.25">
      <c r="A467">
        <v>477</v>
      </c>
      <c r="B467" t="s">
        <v>544</v>
      </c>
      <c r="C467" t="s">
        <v>94</v>
      </c>
      <c r="D467" t="s">
        <v>508</v>
      </c>
      <c r="E467" t="s">
        <v>62</v>
      </c>
      <c r="F467" t="s">
        <v>537</v>
      </c>
      <c r="G467" t="s">
        <v>49</v>
      </c>
      <c r="H467" s="1">
        <v>44674.075752314813</v>
      </c>
      <c r="I467" s="1">
        <v>44678.075752314813</v>
      </c>
      <c r="J467" t="s">
        <v>32</v>
      </c>
      <c r="K467" s="1">
        <v>44685.075752314813</v>
      </c>
      <c r="L467" t="s">
        <v>57</v>
      </c>
      <c r="N467" s="4">
        <v>44689.075752314813</v>
      </c>
      <c r="O467" t="s">
        <v>57</v>
      </c>
      <c r="P467" s="4">
        <v>44687.075752314813</v>
      </c>
      <c r="Q467" s="4">
        <v>44689.075752314813</v>
      </c>
      <c r="R467" s="4">
        <v>44687.075752314813</v>
      </c>
      <c r="S467" s="4">
        <v>44688.075752314813</v>
      </c>
      <c r="T467">
        <v>1</v>
      </c>
      <c r="U467" s="4">
        <v>44691.075752314813</v>
      </c>
      <c r="V467" s="4">
        <v>44692.075752314813</v>
      </c>
      <c r="W467" s="4">
        <v>44695.075752314813</v>
      </c>
      <c r="Z467" s="4">
        <v>44703.075752314813</v>
      </c>
      <c r="AC467" s="2">
        <f t="shared" si="63"/>
        <v>4</v>
      </c>
      <c r="AD467" s="2">
        <f t="shared" si="64"/>
        <v>11</v>
      </c>
      <c r="AE467" s="2">
        <f t="shared" si="65"/>
        <v>7</v>
      </c>
      <c r="AF467" s="2">
        <f t="shared" si="66"/>
        <v>13</v>
      </c>
      <c r="AG467" s="2">
        <f t="shared" si="67"/>
        <v>2</v>
      </c>
      <c r="AH467" s="4">
        <f t="shared" si="68"/>
        <v>44777.075752314813</v>
      </c>
      <c r="AI467" s="2">
        <f t="shared" si="69"/>
        <v>3</v>
      </c>
      <c r="AJ467" s="2">
        <f t="shared" si="70"/>
        <v>16</v>
      </c>
      <c r="AK467" s="2">
        <f t="shared" si="71"/>
        <v>8</v>
      </c>
    </row>
    <row r="468" spans="1:37" x14ac:dyDescent="0.25">
      <c r="A468">
        <v>475</v>
      </c>
      <c r="B468" t="s">
        <v>545</v>
      </c>
      <c r="C468" t="s">
        <v>94</v>
      </c>
      <c r="D468" t="s">
        <v>508</v>
      </c>
      <c r="E468" t="s">
        <v>62</v>
      </c>
      <c r="F468" t="s">
        <v>537</v>
      </c>
      <c r="G468" t="s">
        <v>49</v>
      </c>
      <c r="H468" s="1">
        <v>44676.075752314813</v>
      </c>
      <c r="I468" s="1">
        <v>44679.075752314813</v>
      </c>
      <c r="J468" t="s">
        <v>32</v>
      </c>
      <c r="K468" s="1">
        <v>44699.075752314813</v>
      </c>
      <c r="L468" t="s">
        <v>33</v>
      </c>
      <c r="M468" t="s">
        <v>108</v>
      </c>
      <c r="R468" s="4">
        <v>44703.075752314813</v>
      </c>
      <c r="T468">
        <v>0</v>
      </c>
      <c r="Y468" t="s">
        <v>35</v>
      </c>
      <c r="AC468" s="2">
        <f t="shared" si="63"/>
        <v>3</v>
      </c>
      <c r="AD468" s="2">
        <f t="shared" si="64"/>
        <v>23</v>
      </c>
      <c r="AE468" s="2">
        <f t="shared" si="65"/>
        <v>20</v>
      </c>
      <c r="AF468" s="2">
        <f t="shared" si="66"/>
        <v>27</v>
      </c>
      <c r="AG468" s="2">
        <f t="shared" si="67"/>
        <v>4</v>
      </c>
      <c r="AH468" s="4">
        <f t="shared" si="68"/>
        <v>44793.075752314813</v>
      </c>
      <c r="AI468" s="2" t="str">
        <f t="shared" si="69"/>
        <v/>
      </c>
      <c r="AJ468" s="2" t="str">
        <f t="shared" si="70"/>
        <v/>
      </c>
      <c r="AK468" s="2" t="str">
        <f t="shared" si="71"/>
        <v/>
      </c>
    </row>
    <row r="469" spans="1:37" x14ac:dyDescent="0.25">
      <c r="A469">
        <v>385</v>
      </c>
      <c r="B469" t="s">
        <v>546</v>
      </c>
      <c r="C469" t="s">
        <v>94</v>
      </c>
      <c r="D469" t="s">
        <v>508</v>
      </c>
      <c r="E469" t="s">
        <v>62</v>
      </c>
      <c r="F469" t="s">
        <v>537</v>
      </c>
      <c r="G469" t="s">
        <v>49</v>
      </c>
      <c r="H469" s="1">
        <v>44869.3830787037</v>
      </c>
      <c r="I469" s="1">
        <v>44873.3830787037</v>
      </c>
      <c r="J469" t="s">
        <v>32</v>
      </c>
      <c r="K469" s="1">
        <v>44887.3830787037</v>
      </c>
      <c r="L469" t="s">
        <v>39</v>
      </c>
      <c r="N469" s="4">
        <v>44893.3830787037</v>
      </c>
      <c r="O469" t="s">
        <v>39</v>
      </c>
      <c r="R469" s="4">
        <v>44890.3830787037</v>
      </c>
      <c r="T469">
        <v>0</v>
      </c>
      <c r="AC469" s="2">
        <f t="shared" si="63"/>
        <v>4</v>
      </c>
      <c r="AD469" s="2">
        <f t="shared" si="64"/>
        <v>18</v>
      </c>
      <c r="AE469" s="2">
        <f t="shared" si="65"/>
        <v>14</v>
      </c>
      <c r="AF469" s="2">
        <f t="shared" si="66"/>
        <v>21</v>
      </c>
      <c r="AG469" s="2">
        <f t="shared" si="67"/>
        <v>3</v>
      </c>
      <c r="AH469" s="4">
        <f t="shared" si="68"/>
        <v>44980.3830787037</v>
      </c>
      <c r="AI469" s="2" t="str">
        <f t="shared" si="69"/>
        <v/>
      </c>
      <c r="AJ469" s="2" t="str">
        <f t="shared" si="70"/>
        <v/>
      </c>
      <c r="AK469" s="2" t="str">
        <f t="shared" si="71"/>
        <v/>
      </c>
    </row>
    <row r="470" spans="1:37" x14ac:dyDescent="0.25">
      <c r="A470">
        <v>378</v>
      </c>
      <c r="B470" t="s">
        <v>547</v>
      </c>
      <c r="C470" t="s">
        <v>94</v>
      </c>
      <c r="D470" t="s">
        <v>508</v>
      </c>
      <c r="E470" t="s">
        <v>62</v>
      </c>
      <c r="F470" t="s">
        <v>537</v>
      </c>
      <c r="G470" t="s">
        <v>49</v>
      </c>
      <c r="H470" s="1">
        <v>44667.356712962966</v>
      </c>
      <c r="I470" s="1">
        <v>44668.356712962966</v>
      </c>
      <c r="J470" t="s">
        <v>32</v>
      </c>
      <c r="K470" s="1">
        <v>44678.356712962966</v>
      </c>
      <c r="L470" t="s">
        <v>33</v>
      </c>
      <c r="M470" t="s">
        <v>34</v>
      </c>
      <c r="T470">
        <v>0</v>
      </c>
      <c r="Y470" t="s">
        <v>35</v>
      </c>
      <c r="AC470" s="2">
        <f t="shared" si="63"/>
        <v>1</v>
      </c>
      <c r="AD470" s="2">
        <f t="shared" si="64"/>
        <v>11</v>
      </c>
      <c r="AE470" s="2">
        <f t="shared" si="65"/>
        <v>10</v>
      </c>
      <c r="AF470" s="2" t="str">
        <f t="shared" si="66"/>
        <v/>
      </c>
      <c r="AG470" s="2" t="str">
        <f t="shared" si="67"/>
        <v/>
      </c>
      <c r="AH470" s="4" t="str">
        <f t="shared" si="68"/>
        <v/>
      </c>
      <c r="AI470" s="2" t="str">
        <f t="shared" si="69"/>
        <v/>
      </c>
      <c r="AJ470" s="2" t="str">
        <f t="shared" si="70"/>
        <v/>
      </c>
      <c r="AK470" s="2" t="str">
        <f t="shared" si="71"/>
        <v/>
      </c>
    </row>
    <row r="471" spans="1:37" x14ac:dyDescent="0.25">
      <c r="A471">
        <v>375</v>
      </c>
      <c r="B471" t="s">
        <v>548</v>
      </c>
      <c r="C471" t="s">
        <v>94</v>
      </c>
      <c r="D471" t="s">
        <v>508</v>
      </c>
      <c r="E471" t="s">
        <v>62</v>
      </c>
      <c r="F471" t="s">
        <v>537</v>
      </c>
      <c r="G471" t="s">
        <v>49</v>
      </c>
      <c r="H471" s="1">
        <v>44663.356712962966</v>
      </c>
      <c r="I471" s="1">
        <v>44665.356712962966</v>
      </c>
      <c r="J471" t="s">
        <v>32</v>
      </c>
      <c r="K471" s="1">
        <v>44682.356712962966</v>
      </c>
      <c r="L471" t="s">
        <v>57</v>
      </c>
      <c r="N471" s="4">
        <v>44687.356712962966</v>
      </c>
      <c r="O471" t="s">
        <v>57</v>
      </c>
      <c r="P471" s="4">
        <v>44683.356712962966</v>
      </c>
      <c r="Q471" s="4">
        <v>44687.356712962966</v>
      </c>
      <c r="R471" s="4">
        <v>44685.356712962966</v>
      </c>
      <c r="S471" s="4">
        <v>44691.356712962966</v>
      </c>
      <c r="T471">
        <v>1</v>
      </c>
      <c r="U471" s="4">
        <v>44692.356712962966</v>
      </c>
      <c r="V471" s="4">
        <v>44693.356712962966</v>
      </c>
      <c r="W471" s="4">
        <v>44696.356712962966</v>
      </c>
      <c r="Z471" s="4">
        <v>44703.356712962966</v>
      </c>
      <c r="AC471" s="2">
        <f t="shared" si="63"/>
        <v>2</v>
      </c>
      <c r="AD471" s="2">
        <f t="shared" si="64"/>
        <v>19</v>
      </c>
      <c r="AE471" s="2">
        <f t="shared" si="65"/>
        <v>17</v>
      </c>
      <c r="AF471" s="2">
        <f t="shared" si="66"/>
        <v>22</v>
      </c>
      <c r="AG471" s="2">
        <f t="shared" si="67"/>
        <v>3</v>
      </c>
      <c r="AH471" s="4">
        <f t="shared" si="68"/>
        <v>44775.356712962966</v>
      </c>
      <c r="AI471" s="2">
        <f t="shared" si="69"/>
        <v>1</v>
      </c>
      <c r="AJ471" s="2">
        <f t="shared" si="70"/>
        <v>18</v>
      </c>
      <c r="AK471" s="2">
        <f t="shared" si="71"/>
        <v>11</v>
      </c>
    </row>
    <row r="472" spans="1:37" x14ac:dyDescent="0.25">
      <c r="A472">
        <v>315</v>
      </c>
      <c r="B472" t="s">
        <v>549</v>
      </c>
      <c r="C472" t="s">
        <v>94</v>
      </c>
      <c r="D472" t="s">
        <v>508</v>
      </c>
      <c r="E472" t="s">
        <v>62</v>
      </c>
      <c r="F472" t="s">
        <v>537</v>
      </c>
      <c r="G472" t="s">
        <v>49</v>
      </c>
      <c r="H472" s="1">
        <v>44988.608946759261</v>
      </c>
      <c r="I472" s="1">
        <v>44989.608946759261</v>
      </c>
      <c r="J472" t="s">
        <v>44</v>
      </c>
      <c r="K472" s="1"/>
      <c r="T472">
        <v>0</v>
      </c>
      <c r="AC472" s="2">
        <f t="shared" si="63"/>
        <v>1</v>
      </c>
      <c r="AD472" s="2" t="str">
        <f t="shared" si="64"/>
        <v/>
      </c>
      <c r="AE472" s="2" t="str">
        <f t="shared" si="65"/>
        <v/>
      </c>
      <c r="AF472" s="2" t="str">
        <f t="shared" si="66"/>
        <v/>
      </c>
      <c r="AG472" s="2" t="str">
        <f t="shared" si="67"/>
        <v/>
      </c>
      <c r="AH472" s="4" t="str">
        <f t="shared" si="68"/>
        <v/>
      </c>
      <c r="AI472" s="2" t="str">
        <f t="shared" si="69"/>
        <v/>
      </c>
      <c r="AJ472" s="2" t="str">
        <f t="shared" si="70"/>
        <v/>
      </c>
      <c r="AK472" s="2" t="str">
        <f t="shared" si="71"/>
        <v/>
      </c>
    </row>
    <row r="473" spans="1:37" x14ac:dyDescent="0.25">
      <c r="A473">
        <v>189</v>
      </c>
      <c r="B473" t="s">
        <v>550</v>
      </c>
      <c r="C473" t="s">
        <v>94</v>
      </c>
      <c r="D473" t="s">
        <v>508</v>
      </c>
      <c r="E473" t="s">
        <v>62</v>
      </c>
      <c r="F473" t="s">
        <v>537</v>
      </c>
      <c r="G473" t="s">
        <v>49</v>
      </c>
      <c r="H473" s="1">
        <v>44830.301365740743</v>
      </c>
      <c r="I473" s="1">
        <v>44831.301365740743</v>
      </c>
      <c r="J473" t="s">
        <v>32</v>
      </c>
      <c r="K473" s="1">
        <v>44841.301365740743</v>
      </c>
      <c r="L473" t="s">
        <v>33</v>
      </c>
      <c r="M473" t="s">
        <v>34</v>
      </c>
      <c r="T473">
        <v>0</v>
      </c>
      <c r="Y473" t="s">
        <v>35</v>
      </c>
      <c r="AC473" s="2">
        <f t="shared" si="63"/>
        <v>1</v>
      </c>
      <c r="AD473" s="2">
        <f t="shared" si="64"/>
        <v>11</v>
      </c>
      <c r="AE473" s="2">
        <f t="shared" si="65"/>
        <v>10</v>
      </c>
      <c r="AF473" s="2" t="str">
        <f t="shared" si="66"/>
        <v/>
      </c>
      <c r="AG473" s="2" t="str">
        <f t="shared" si="67"/>
        <v/>
      </c>
      <c r="AH473" s="4" t="str">
        <f t="shared" si="68"/>
        <v/>
      </c>
      <c r="AI473" s="2" t="str">
        <f t="shared" si="69"/>
        <v/>
      </c>
      <c r="AJ473" s="2" t="str">
        <f t="shared" si="70"/>
        <v/>
      </c>
      <c r="AK473" s="2" t="str">
        <f t="shared" si="71"/>
        <v/>
      </c>
    </row>
    <row r="474" spans="1:37" x14ac:dyDescent="0.25">
      <c r="A474">
        <v>131</v>
      </c>
      <c r="B474" t="s">
        <v>551</v>
      </c>
      <c r="C474" t="s">
        <v>94</v>
      </c>
      <c r="D474" t="s">
        <v>508</v>
      </c>
      <c r="E474" t="s">
        <v>62</v>
      </c>
      <c r="F474" t="s">
        <v>537</v>
      </c>
      <c r="G474" t="s">
        <v>49</v>
      </c>
      <c r="H474" s="1">
        <v>44760.802951388891</v>
      </c>
      <c r="I474" s="1">
        <v>44763.802951388891</v>
      </c>
      <c r="J474" t="s">
        <v>32</v>
      </c>
      <c r="K474" s="1">
        <v>44780.802951388891</v>
      </c>
      <c r="L474" t="s">
        <v>33</v>
      </c>
      <c r="M474" t="s">
        <v>108</v>
      </c>
      <c r="T474">
        <v>0</v>
      </c>
      <c r="Y474" t="s">
        <v>55</v>
      </c>
      <c r="AC474" s="2">
        <f t="shared" si="63"/>
        <v>3</v>
      </c>
      <c r="AD474" s="2">
        <f t="shared" si="64"/>
        <v>20</v>
      </c>
      <c r="AE474" s="2">
        <f t="shared" si="65"/>
        <v>17</v>
      </c>
      <c r="AF474" s="2" t="str">
        <f t="shared" si="66"/>
        <v/>
      </c>
      <c r="AG474" s="2" t="str">
        <f t="shared" si="67"/>
        <v/>
      </c>
      <c r="AH474" s="4" t="str">
        <f t="shared" si="68"/>
        <v/>
      </c>
      <c r="AI474" s="2" t="str">
        <f t="shared" si="69"/>
        <v/>
      </c>
      <c r="AJ474" s="2" t="str">
        <f t="shared" si="70"/>
        <v/>
      </c>
      <c r="AK474" s="2" t="str">
        <f t="shared" si="71"/>
        <v/>
      </c>
    </row>
    <row r="475" spans="1:37" x14ac:dyDescent="0.25">
      <c r="A475">
        <v>70</v>
      </c>
      <c r="B475" t="s">
        <v>552</v>
      </c>
      <c r="C475" t="s">
        <v>94</v>
      </c>
      <c r="D475" t="s">
        <v>508</v>
      </c>
      <c r="E475" t="s">
        <v>47</v>
      </c>
      <c r="F475" t="s">
        <v>509</v>
      </c>
      <c r="G475" t="s">
        <v>49</v>
      </c>
      <c r="H475" s="1">
        <v>45161.755949074075</v>
      </c>
      <c r="I475" s="1">
        <v>45164.755949074075</v>
      </c>
      <c r="J475" t="s">
        <v>44</v>
      </c>
      <c r="K475" s="1"/>
      <c r="T475">
        <v>0</v>
      </c>
      <c r="AC475" s="2">
        <f t="shared" si="63"/>
        <v>3</v>
      </c>
      <c r="AD475" s="2" t="str">
        <f t="shared" si="64"/>
        <v/>
      </c>
      <c r="AE475" s="2" t="str">
        <f t="shared" si="65"/>
        <v/>
      </c>
      <c r="AF475" s="2" t="str">
        <f t="shared" si="66"/>
        <v/>
      </c>
      <c r="AG475" s="2" t="str">
        <f t="shared" si="67"/>
        <v/>
      </c>
      <c r="AH475" s="4" t="str">
        <f t="shared" si="68"/>
        <v/>
      </c>
      <c r="AI475" s="2" t="str">
        <f t="shared" si="69"/>
        <v/>
      </c>
      <c r="AJ475" s="2" t="str">
        <f t="shared" si="70"/>
        <v/>
      </c>
      <c r="AK475" s="2" t="str">
        <f t="shared" si="71"/>
        <v/>
      </c>
    </row>
    <row r="476" spans="1:37" x14ac:dyDescent="0.25">
      <c r="A476">
        <v>63</v>
      </c>
      <c r="B476" t="s">
        <v>553</v>
      </c>
      <c r="C476" t="s">
        <v>94</v>
      </c>
      <c r="D476" t="s">
        <v>508</v>
      </c>
      <c r="E476" t="s">
        <v>47</v>
      </c>
      <c r="F476" t="s">
        <v>509</v>
      </c>
      <c r="G476" t="s">
        <v>49</v>
      </c>
      <c r="H476" s="1">
        <v>45164.755949074075</v>
      </c>
      <c r="I476" s="1">
        <v>45165.755949074075</v>
      </c>
      <c r="J476" t="s">
        <v>32</v>
      </c>
      <c r="K476" s="1">
        <v>45179.755949074075</v>
      </c>
      <c r="L476" t="s">
        <v>33</v>
      </c>
      <c r="M476" t="s">
        <v>67</v>
      </c>
      <c r="R476" s="4">
        <v>45180.755949074075</v>
      </c>
      <c r="T476">
        <v>0</v>
      </c>
      <c r="Y476" t="s">
        <v>55</v>
      </c>
      <c r="AC476" s="2">
        <f t="shared" si="63"/>
        <v>1</v>
      </c>
      <c r="AD476" s="2">
        <f t="shared" si="64"/>
        <v>15</v>
      </c>
      <c r="AE476" s="2">
        <f t="shared" si="65"/>
        <v>14</v>
      </c>
      <c r="AF476" s="2">
        <f t="shared" si="66"/>
        <v>16</v>
      </c>
      <c r="AG476" s="2">
        <f t="shared" si="67"/>
        <v>1</v>
      </c>
      <c r="AH476" s="4">
        <f t="shared" si="68"/>
        <v>45270.755949074075</v>
      </c>
      <c r="AI476" s="2" t="str">
        <f t="shared" si="69"/>
        <v/>
      </c>
      <c r="AJ476" s="2" t="str">
        <f t="shared" si="70"/>
        <v/>
      </c>
      <c r="AK476" s="2" t="str">
        <f t="shared" si="71"/>
        <v/>
      </c>
    </row>
    <row r="477" spans="1:37" x14ac:dyDescent="0.25">
      <c r="A477">
        <v>62</v>
      </c>
      <c r="B477" t="s">
        <v>554</v>
      </c>
      <c r="C477" t="s">
        <v>94</v>
      </c>
      <c r="D477" t="s">
        <v>508</v>
      </c>
      <c r="E477" t="s">
        <v>47</v>
      </c>
      <c r="F477" t="s">
        <v>509</v>
      </c>
      <c r="G477" t="s">
        <v>49</v>
      </c>
      <c r="H477" s="1">
        <v>45165.755949074075</v>
      </c>
      <c r="I477" s="1">
        <v>45168.755949074075</v>
      </c>
      <c r="J477" t="s">
        <v>32</v>
      </c>
      <c r="K477" s="1">
        <v>45180.755949074075</v>
      </c>
      <c r="L477" t="s">
        <v>33</v>
      </c>
      <c r="M477" t="s">
        <v>67</v>
      </c>
      <c r="T477">
        <v>0</v>
      </c>
      <c r="Y477" t="s">
        <v>55</v>
      </c>
      <c r="AC477" s="2">
        <f t="shared" si="63"/>
        <v>3</v>
      </c>
      <c r="AD477" s="2">
        <f t="shared" si="64"/>
        <v>15</v>
      </c>
      <c r="AE477" s="2">
        <f t="shared" si="65"/>
        <v>12</v>
      </c>
      <c r="AF477" s="2" t="str">
        <f t="shared" si="66"/>
        <v/>
      </c>
      <c r="AG477" s="2" t="str">
        <f t="shared" si="67"/>
        <v/>
      </c>
      <c r="AH477" s="4" t="str">
        <f t="shared" si="68"/>
        <v/>
      </c>
      <c r="AI477" s="2" t="str">
        <f t="shared" si="69"/>
        <v/>
      </c>
      <c r="AJ477" s="2" t="str">
        <f t="shared" si="70"/>
        <v/>
      </c>
      <c r="AK477" s="2" t="str">
        <f t="shared" si="71"/>
        <v/>
      </c>
    </row>
    <row r="478" spans="1:37" x14ac:dyDescent="0.25">
      <c r="A478">
        <v>10</v>
      </c>
      <c r="B478" t="s">
        <v>555</v>
      </c>
      <c r="C478" t="s">
        <v>94</v>
      </c>
      <c r="D478" t="s">
        <v>508</v>
      </c>
      <c r="E478" t="s">
        <v>47</v>
      </c>
      <c r="F478" t="s">
        <v>509</v>
      </c>
      <c r="G478" t="s">
        <v>49</v>
      </c>
      <c r="H478" s="1">
        <v>45081.372060185182</v>
      </c>
      <c r="I478" s="1">
        <v>45082.372060185182</v>
      </c>
      <c r="J478" t="s">
        <v>32</v>
      </c>
      <c r="K478" s="1">
        <v>45092.372060185182</v>
      </c>
      <c r="L478" t="s">
        <v>33</v>
      </c>
      <c r="M478" t="s">
        <v>108</v>
      </c>
      <c r="R478" s="4">
        <v>45095.372060185182</v>
      </c>
      <c r="T478">
        <v>0</v>
      </c>
      <c r="Y478" t="s">
        <v>55</v>
      </c>
      <c r="AC478" s="2">
        <f t="shared" si="63"/>
        <v>1</v>
      </c>
      <c r="AD478" s="2">
        <f t="shared" si="64"/>
        <v>11</v>
      </c>
      <c r="AE478" s="2">
        <f t="shared" si="65"/>
        <v>10</v>
      </c>
      <c r="AF478" s="2">
        <f t="shared" si="66"/>
        <v>14</v>
      </c>
      <c r="AG478" s="2">
        <f t="shared" si="67"/>
        <v>3</v>
      </c>
      <c r="AH478" s="4">
        <f t="shared" si="68"/>
        <v>45185.372060185182</v>
      </c>
      <c r="AI478" s="2" t="str">
        <f t="shared" si="69"/>
        <v/>
      </c>
      <c r="AJ478" s="2" t="str">
        <f t="shared" si="70"/>
        <v/>
      </c>
      <c r="AK478" s="2" t="str">
        <f t="shared" si="71"/>
        <v/>
      </c>
    </row>
    <row r="479" spans="1:37" x14ac:dyDescent="0.25">
      <c r="A479">
        <v>8</v>
      </c>
      <c r="B479" t="s">
        <v>556</v>
      </c>
      <c r="C479" t="s">
        <v>94</v>
      </c>
      <c r="D479" t="s">
        <v>508</v>
      </c>
      <c r="E479" t="s">
        <v>47</v>
      </c>
      <c r="F479" t="s">
        <v>509</v>
      </c>
      <c r="G479" t="s">
        <v>49</v>
      </c>
      <c r="H479" s="1">
        <v>45079.372060185182</v>
      </c>
      <c r="I479" s="1">
        <v>45082.372060185182</v>
      </c>
      <c r="J479" t="s">
        <v>32</v>
      </c>
      <c r="K479" s="1">
        <v>45089.372060185182</v>
      </c>
      <c r="L479" t="s">
        <v>33</v>
      </c>
      <c r="M479" t="s">
        <v>34</v>
      </c>
      <c r="T479">
        <v>0</v>
      </c>
      <c r="Y479" t="s">
        <v>35</v>
      </c>
      <c r="AC479" s="2">
        <f t="shared" si="63"/>
        <v>3</v>
      </c>
      <c r="AD479" s="2">
        <f t="shared" si="64"/>
        <v>10</v>
      </c>
      <c r="AE479" s="2">
        <f t="shared" si="65"/>
        <v>7</v>
      </c>
      <c r="AF479" s="2" t="str">
        <f t="shared" si="66"/>
        <v/>
      </c>
      <c r="AG479" s="2" t="str">
        <f t="shared" si="67"/>
        <v/>
      </c>
      <c r="AH479" s="4" t="str">
        <f t="shared" si="68"/>
        <v/>
      </c>
      <c r="AI479" s="2" t="str">
        <f t="shared" si="69"/>
        <v/>
      </c>
      <c r="AJ479" s="2" t="str">
        <f t="shared" si="70"/>
        <v/>
      </c>
      <c r="AK479" s="2" t="str">
        <f t="shared" si="71"/>
        <v/>
      </c>
    </row>
    <row r="480" spans="1:37" x14ac:dyDescent="0.25">
      <c r="A480">
        <v>2974</v>
      </c>
      <c r="B480" t="s">
        <v>557</v>
      </c>
      <c r="C480" t="s">
        <v>94</v>
      </c>
      <c r="D480" t="s">
        <v>558</v>
      </c>
      <c r="E480" t="s">
        <v>29</v>
      </c>
      <c r="F480" t="s">
        <v>143</v>
      </c>
      <c r="G480" t="s">
        <v>38</v>
      </c>
      <c r="H480" s="1">
        <v>44761.636782407404</v>
      </c>
      <c r="I480" s="1">
        <v>44763.636782407404</v>
      </c>
      <c r="J480" t="s">
        <v>32</v>
      </c>
      <c r="K480" s="1">
        <v>44777.636782407404</v>
      </c>
      <c r="L480" t="s">
        <v>57</v>
      </c>
      <c r="N480" s="4">
        <v>44782.636782407404</v>
      </c>
      <c r="O480" t="s">
        <v>57</v>
      </c>
      <c r="P480" s="4">
        <v>44779.636782407404</v>
      </c>
      <c r="Q480" s="4">
        <v>44782.636782407404</v>
      </c>
      <c r="R480" s="4">
        <v>44780.636782407404</v>
      </c>
      <c r="S480" s="4">
        <v>44782.636782407404</v>
      </c>
      <c r="T480">
        <v>1</v>
      </c>
      <c r="U480" s="4">
        <v>44783.636782407404</v>
      </c>
      <c r="V480" s="4">
        <v>44786.636782407404</v>
      </c>
      <c r="W480" s="4">
        <v>44787.636782407404</v>
      </c>
      <c r="Z480" s="4">
        <v>44807.636782407404</v>
      </c>
      <c r="AC480" s="2">
        <f t="shared" si="63"/>
        <v>2</v>
      </c>
      <c r="AD480" s="2">
        <f t="shared" si="64"/>
        <v>16</v>
      </c>
      <c r="AE480" s="2">
        <f t="shared" si="65"/>
        <v>14</v>
      </c>
      <c r="AF480" s="2">
        <f t="shared" si="66"/>
        <v>19</v>
      </c>
      <c r="AG480" s="2">
        <f t="shared" si="67"/>
        <v>3</v>
      </c>
      <c r="AH480" s="4">
        <f t="shared" si="68"/>
        <v>44870.636782407404</v>
      </c>
      <c r="AI480" s="2">
        <f t="shared" si="69"/>
        <v>1</v>
      </c>
      <c r="AJ480" s="2">
        <f t="shared" si="70"/>
        <v>27</v>
      </c>
      <c r="AK480" s="2">
        <f t="shared" si="71"/>
        <v>7</v>
      </c>
    </row>
    <row r="481" spans="1:37" x14ac:dyDescent="0.25">
      <c r="A481">
        <v>2972</v>
      </c>
      <c r="B481" t="s">
        <v>559</v>
      </c>
      <c r="C481" t="s">
        <v>94</v>
      </c>
      <c r="D481" t="s">
        <v>558</v>
      </c>
      <c r="E481" t="s">
        <v>29</v>
      </c>
      <c r="F481" t="s">
        <v>143</v>
      </c>
      <c r="G481" t="s">
        <v>38</v>
      </c>
      <c r="H481" s="1">
        <v>44761.636782407404</v>
      </c>
      <c r="I481" s="1">
        <v>44764.636782407404</v>
      </c>
      <c r="J481" t="s">
        <v>32</v>
      </c>
      <c r="K481" s="1">
        <v>44773.636782407404</v>
      </c>
      <c r="L481" t="s">
        <v>33</v>
      </c>
      <c r="M481" t="s">
        <v>34</v>
      </c>
      <c r="T481">
        <v>0</v>
      </c>
      <c r="Y481" t="s">
        <v>35</v>
      </c>
      <c r="AC481" s="2">
        <f t="shared" si="63"/>
        <v>3</v>
      </c>
      <c r="AD481" s="2">
        <f t="shared" si="64"/>
        <v>12</v>
      </c>
      <c r="AE481" s="2">
        <f t="shared" si="65"/>
        <v>9</v>
      </c>
      <c r="AF481" s="2" t="str">
        <f t="shared" si="66"/>
        <v/>
      </c>
      <c r="AG481" s="2" t="str">
        <f t="shared" si="67"/>
        <v/>
      </c>
      <c r="AH481" s="4" t="str">
        <f t="shared" si="68"/>
        <v/>
      </c>
      <c r="AI481" s="2" t="str">
        <f t="shared" si="69"/>
        <v/>
      </c>
      <c r="AJ481" s="2" t="str">
        <f t="shared" si="70"/>
        <v/>
      </c>
      <c r="AK481" s="2" t="str">
        <f t="shared" si="71"/>
        <v/>
      </c>
    </row>
    <row r="482" spans="1:37" x14ac:dyDescent="0.25">
      <c r="A482">
        <v>2969</v>
      </c>
      <c r="B482" t="s">
        <v>560</v>
      </c>
      <c r="C482" t="s">
        <v>94</v>
      </c>
      <c r="D482" t="s">
        <v>558</v>
      </c>
      <c r="E482" t="s">
        <v>29</v>
      </c>
      <c r="F482" t="s">
        <v>143</v>
      </c>
      <c r="G482" t="s">
        <v>38</v>
      </c>
      <c r="H482" s="1">
        <v>44698.276689814818</v>
      </c>
      <c r="I482" s="1">
        <v>44701.276689814818</v>
      </c>
      <c r="J482" t="s">
        <v>44</v>
      </c>
      <c r="K482" s="1"/>
      <c r="T482">
        <v>0</v>
      </c>
      <c r="AC482" s="2">
        <f t="shared" si="63"/>
        <v>3</v>
      </c>
      <c r="AD482" s="2" t="str">
        <f t="shared" si="64"/>
        <v/>
      </c>
      <c r="AE482" s="2" t="str">
        <f t="shared" si="65"/>
        <v/>
      </c>
      <c r="AF482" s="2" t="str">
        <f t="shared" si="66"/>
        <v/>
      </c>
      <c r="AG482" s="2" t="str">
        <f t="shared" si="67"/>
        <v/>
      </c>
      <c r="AH482" s="4" t="str">
        <f t="shared" si="68"/>
        <v/>
      </c>
      <c r="AI482" s="2" t="str">
        <f t="shared" si="69"/>
        <v/>
      </c>
      <c r="AJ482" s="2" t="str">
        <f t="shared" si="70"/>
        <v/>
      </c>
      <c r="AK482" s="2" t="str">
        <f t="shared" si="71"/>
        <v/>
      </c>
    </row>
    <row r="483" spans="1:37" x14ac:dyDescent="0.25">
      <c r="A483">
        <v>2967</v>
      </c>
      <c r="B483" t="s">
        <v>561</v>
      </c>
      <c r="C483" t="s">
        <v>94</v>
      </c>
      <c r="D483" t="s">
        <v>558</v>
      </c>
      <c r="E483" t="s">
        <v>29</v>
      </c>
      <c r="F483" t="s">
        <v>143</v>
      </c>
      <c r="G483" t="s">
        <v>38</v>
      </c>
      <c r="H483" s="1">
        <v>44699.276689814818</v>
      </c>
      <c r="I483" s="1">
        <v>44701.276689814818</v>
      </c>
      <c r="J483" t="s">
        <v>44</v>
      </c>
      <c r="K483" s="1"/>
      <c r="T483">
        <v>0</v>
      </c>
      <c r="AC483" s="2">
        <f t="shared" si="63"/>
        <v>2</v>
      </c>
      <c r="AD483" s="2" t="str">
        <f t="shared" si="64"/>
        <v/>
      </c>
      <c r="AE483" s="2" t="str">
        <f t="shared" si="65"/>
        <v/>
      </c>
      <c r="AF483" s="2" t="str">
        <f t="shared" si="66"/>
        <v/>
      </c>
      <c r="AG483" s="2" t="str">
        <f t="shared" si="67"/>
        <v/>
      </c>
      <c r="AH483" s="4" t="str">
        <f t="shared" si="68"/>
        <v/>
      </c>
      <c r="AI483" s="2" t="str">
        <f t="shared" si="69"/>
        <v/>
      </c>
      <c r="AJ483" s="2" t="str">
        <f t="shared" si="70"/>
        <v/>
      </c>
      <c r="AK483" s="2" t="str">
        <f t="shared" si="71"/>
        <v/>
      </c>
    </row>
    <row r="484" spans="1:37" x14ac:dyDescent="0.25">
      <c r="A484">
        <v>2885</v>
      </c>
      <c r="B484" t="s">
        <v>562</v>
      </c>
      <c r="C484" t="s">
        <v>94</v>
      </c>
      <c r="D484" t="s">
        <v>558</v>
      </c>
      <c r="E484" t="s">
        <v>29</v>
      </c>
      <c r="F484" t="s">
        <v>143</v>
      </c>
      <c r="G484" t="s">
        <v>38</v>
      </c>
      <c r="H484" s="1">
        <v>44854.066979166666</v>
      </c>
      <c r="I484" s="1">
        <v>44858.066979166666</v>
      </c>
      <c r="J484" t="s">
        <v>32</v>
      </c>
      <c r="K484" s="1">
        <v>44880.066979166666</v>
      </c>
      <c r="L484" t="s">
        <v>57</v>
      </c>
      <c r="N484" s="4">
        <v>44887.066979166666</v>
      </c>
      <c r="O484" t="s">
        <v>57</v>
      </c>
      <c r="P484" s="4">
        <v>44881.066979166666</v>
      </c>
      <c r="Q484" s="4">
        <v>44883.066979166666</v>
      </c>
      <c r="R484" s="4">
        <v>44883.066979166666</v>
      </c>
      <c r="S484" s="4">
        <v>44890.066979166666</v>
      </c>
      <c r="T484">
        <v>1</v>
      </c>
      <c r="U484" s="4">
        <v>44893.066979166666</v>
      </c>
      <c r="V484" s="4">
        <v>44896.066979166666</v>
      </c>
      <c r="W484" s="4">
        <v>44899.066979166666</v>
      </c>
      <c r="Z484" s="4">
        <v>44912.066979166666</v>
      </c>
      <c r="AC484" s="2">
        <f t="shared" si="63"/>
        <v>4</v>
      </c>
      <c r="AD484" s="2">
        <f t="shared" si="64"/>
        <v>26</v>
      </c>
      <c r="AE484" s="2">
        <f t="shared" si="65"/>
        <v>22</v>
      </c>
      <c r="AF484" s="2">
        <f t="shared" si="66"/>
        <v>29</v>
      </c>
      <c r="AG484" s="2">
        <f t="shared" si="67"/>
        <v>3</v>
      </c>
      <c r="AH484" s="4">
        <f t="shared" si="68"/>
        <v>44973.066979166666</v>
      </c>
      <c r="AI484" s="2">
        <f t="shared" si="69"/>
        <v>3</v>
      </c>
      <c r="AJ484" s="2">
        <f t="shared" si="70"/>
        <v>29</v>
      </c>
      <c r="AK484" s="2">
        <f t="shared" si="71"/>
        <v>16</v>
      </c>
    </row>
    <row r="485" spans="1:37" x14ac:dyDescent="0.25">
      <c r="A485">
        <v>2884</v>
      </c>
      <c r="B485" t="s">
        <v>563</v>
      </c>
      <c r="C485" t="s">
        <v>94</v>
      </c>
      <c r="D485" t="s">
        <v>558</v>
      </c>
      <c r="E485" t="s">
        <v>29</v>
      </c>
      <c r="F485" t="s">
        <v>143</v>
      </c>
      <c r="G485" t="s">
        <v>38</v>
      </c>
      <c r="H485" s="1">
        <v>44856.066979166666</v>
      </c>
      <c r="I485" s="1">
        <v>44858.066979166666</v>
      </c>
      <c r="J485" t="s">
        <v>44</v>
      </c>
      <c r="K485" s="1"/>
      <c r="T485">
        <v>0</v>
      </c>
      <c r="AC485" s="2">
        <f t="shared" si="63"/>
        <v>2</v>
      </c>
      <c r="AD485" s="2" t="str">
        <f t="shared" si="64"/>
        <v/>
      </c>
      <c r="AE485" s="2" t="str">
        <f t="shared" si="65"/>
        <v/>
      </c>
      <c r="AF485" s="2" t="str">
        <f t="shared" si="66"/>
        <v/>
      </c>
      <c r="AG485" s="2" t="str">
        <f t="shared" si="67"/>
        <v/>
      </c>
      <c r="AH485" s="4" t="str">
        <f t="shared" si="68"/>
        <v/>
      </c>
      <c r="AI485" s="2" t="str">
        <f t="shared" si="69"/>
        <v/>
      </c>
      <c r="AJ485" s="2" t="str">
        <f t="shared" si="70"/>
        <v/>
      </c>
      <c r="AK485" s="2" t="str">
        <f t="shared" si="71"/>
        <v/>
      </c>
    </row>
    <row r="486" spans="1:37" x14ac:dyDescent="0.25">
      <c r="A486">
        <v>2881</v>
      </c>
      <c r="B486" t="s">
        <v>564</v>
      </c>
      <c r="C486" t="s">
        <v>94</v>
      </c>
      <c r="D486" t="s">
        <v>558</v>
      </c>
      <c r="E486" t="s">
        <v>29</v>
      </c>
      <c r="F486" t="s">
        <v>143</v>
      </c>
      <c r="G486" t="s">
        <v>38</v>
      </c>
      <c r="H486" s="1">
        <v>44854.066979166666</v>
      </c>
      <c r="I486" s="1">
        <v>44857.066979166666</v>
      </c>
      <c r="J486" t="s">
        <v>32</v>
      </c>
      <c r="K486" s="1">
        <v>44877.066979166666</v>
      </c>
      <c r="L486" t="s">
        <v>57</v>
      </c>
      <c r="N486" s="4">
        <v>44881.066979166666</v>
      </c>
      <c r="O486" t="s">
        <v>57</v>
      </c>
      <c r="P486" s="4">
        <v>44879.066979166666</v>
      </c>
      <c r="Q486" s="4">
        <v>44881.066979166666</v>
      </c>
      <c r="R486" s="4">
        <v>44879.066979166666</v>
      </c>
      <c r="S486" s="4">
        <v>44886.066979166666</v>
      </c>
      <c r="T486">
        <v>1</v>
      </c>
      <c r="U486" s="4">
        <v>44890.066979166666</v>
      </c>
      <c r="V486" s="4">
        <v>44891.066979166666</v>
      </c>
      <c r="W486" s="4">
        <v>44893.066979166666</v>
      </c>
      <c r="Z486" s="4">
        <v>44907.066979166666</v>
      </c>
      <c r="AC486" s="2">
        <f t="shared" si="63"/>
        <v>3</v>
      </c>
      <c r="AD486" s="2">
        <f t="shared" si="64"/>
        <v>23</v>
      </c>
      <c r="AE486" s="2">
        <f t="shared" si="65"/>
        <v>20</v>
      </c>
      <c r="AF486" s="2">
        <f t="shared" si="66"/>
        <v>25</v>
      </c>
      <c r="AG486" s="2">
        <f t="shared" si="67"/>
        <v>2</v>
      </c>
      <c r="AH486" s="4">
        <f t="shared" si="68"/>
        <v>44969.066979166666</v>
      </c>
      <c r="AI486" s="2">
        <f t="shared" si="69"/>
        <v>4</v>
      </c>
      <c r="AJ486" s="2">
        <f t="shared" si="70"/>
        <v>28</v>
      </c>
      <c r="AK486" s="2">
        <f t="shared" si="71"/>
        <v>14</v>
      </c>
    </row>
    <row r="487" spans="1:37" x14ac:dyDescent="0.25">
      <c r="A487">
        <v>2857</v>
      </c>
      <c r="B487" t="s">
        <v>565</v>
      </c>
      <c r="C487" t="s">
        <v>94</v>
      </c>
      <c r="D487" t="s">
        <v>558</v>
      </c>
      <c r="E487" t="s">
        <v>29</v>
      </c>
      <c r="F487" t="s">
        <v>143</v>
      </c>
      <c r="G487" t="s">
        <v>38</v>
      </c>
      <c r="H487" s="1">
        <v>45033.4996875</v>
      </c>
      <c r="I487" s="1">
        <v>45036.4996875</v>
      </c>
      <c r="J487" t="s">
        <v>32</v>
      </c>
      <c r="K487" s="1">
        <v>45044.4996875</v>
      </c>
      <c r="L487" t="s">
        <v>57</v>
      </c>
      <c r="N487" s="4">
        <v>45049.4996875</v>
      </c>
      <c r="O487" t="s">
        <v>57</v>
      </c>
      <c r="P487" s="4">
        <v>45046.4996875</v>
      </c>
      <c r="Q487" s="4">
        <v>45050.4996875</v>
      </c>
      <c r="R487" s="4">
        <v>45048.4996875</v>
      </c>
      <c r="S487" s="4">
        <v>45050.4996875</v>
      </c>
      <c r="T487">
        <v>1</v>
      </c>
      <c r="U487" s="4">
        <v>45054.4996875</v>
      </c>
      <c r="V487" s="4">
        <v>45055.4996875</v>
      </c>
      <c r="W487" s="4">
        <v>45056.4996875</v>
      </c>
      <c r="Z487" s="4">
        <v>45066.4996875</v>
      </c>
      <c r="AC487" s="2">
        <f t="shared" si="63"/>
        <v>3</v>
      </c>
      <c r="AD487" s="2">
        <f t="shared" si="64"/>
        <v>11</v>
      </c>
      <c r="AE487" s="2">
        <f t="shared" si="65"/>
        <v>8</v>
      </c>
      <c r="AF487" s="2">
        <f t="shared" si="66"/>
        <v>15</v>
      </c>
      <c r="AG487" s="2">
        <f t="shared" si="67"/>
        <v>4</v>
      </c>
      <c r="AH487" s="4">
        <f t="shared" si="68"/>
        <v>45138.4996875</v>
      </c>
      <c r="AI487" s="2">
        <f t="shared" si="69"/>
        <v>4</v>
      </c>
      <c r="AJ487" s="2">
        <f t="shared" si="70"/>
        <v>18</v>
      </c>
      <c r="AK487" s="2">
        <f t="shared" si="71"/>
        <v>8</v>
      </c>
    </row>
    <row r="488" spans="1:37" x14ac:dyDescent="0.25">
      <c r="A488">
        <v>2854</v>
      </c>
      <c r="B488" t="s">
        <v>566</v>
      </c>
      <c r="C488" t="s">
        <v>94</v>
      </c>
      <c r="D488" t="s">
        <v>558</v>
      </c>
      <c r="E488" t="s">
        <v>42</v>
      </c>
      <c r="F488" t="s">
        <v>253</v>
      </c>
      <c r="G488" t="s">
        <v>38</v>
      </c>
      <c r="H488" s="1">
        <v>45032.4996875</v>
      </c>
      <c r="I488" s="1">
        <v>45036.4996875</v>
      </c>
      <c r="J488" t="s">
        <v>32</v>
      </c>
      <c r="K488" s="1">
        <v>45047.4996875</v>
      </c>
      <c r="L488" t="s">
        <v>33</v>
      </c>
      <c r="M488" t="s">
        <v>34</v>
      </c>
      <c r="T488">
        <v>0</v>
      </c>
      <c r="Y488" t="s">
        <v>35</v>
      </c>
      <c r="AC488" s="2">
        <f t="shared" si="63"/>
        <v>4</v>
      </c>
      <c r="AD488" s="2">
        <f t="shared" si="64"/>
        <v>15</v>
      </c>
      <c r="AE488" s="2">
        <f t="shared" si="65"/>
        <v>11</v>
      </c>
      <c r="AF488" s="2" t="str">
        <f t="shared" si="66"/>
        <v/>
      </c>
      <c r="AG488" s="2" t="str">
        <f t="shared" si="67"/>
        <v/>
      </c>
      <c r="AH488" s="4" t="str">
        <f t="shared" si="68"/>
        <v/>
      </c>
      <c r="AI488" s="2" t="str">
        <f t="shared" si="69"/>
        <v/>
      </c>
      <c r="AJ488" s="2" t="str">
        <f t="shared" si="70"/>
        <v/>
      </c>
      <c r="AK488" s="2" t="str">
        <f t="shared" si="71"/>
        <v/>
      </c>
    </row>
    <row r="489" spans="1:37" x14ac:dyDescent="0.25">
      <c r="A489">
        <v>2840</v>
      </c>
      <c r="B489" t="s">
        <v>567</v>
      </c>
      <c r="C489" t="s">
        <v>94</v>
      </c>
      <c r="D489" t="s">
        <v>558</v>
      </c>
      <c r="E489" t="s">
        <v>42</v>
      </c>
      <c r="F489" t="s">
        <v>253</v>
      </c>
      <c r="G489" t="s">
        <v>38</v>
      </c>
      <c r="H489" s="1">
        <v>44660.843564814815</v>
      </c>
      <c r="I489" s="1">
        <v>44662.843564814815</v>
      </c>
      <c r="J489" t="s">
        <v>32</v>
      </c>
      <c r="K489" s="1">
        <v>44670.843564814815</v>
      </c>
      <c r="L489" t="s">
        <v>33</v>
      </c>
      <c r="M489" t="s">
        <v>34</v>
      </c>
      <c r="R489" s="4">
        <v>44674.843564814815</v>
      </c>
      <c r="T489">
        <v>0</v>
      </c>
      <c r="Y489" t="s">
        <v>55</v>
      </c>
      <c r="AC489" s="2">
        <f t="shared" si="63"/>
        <v>2</v>
      </c>
      <c r="AD489" s="2">
        <f t="shared" si="64"/>
        <v>10</v>
      </c>
      <c r="AE489" s="2">
        <f t="shared" si="65"/>
        <v>8</v>
      </c>
      <c r="AF489" s="2">
        <f t="shared" si="66"/>
        <v>14</v>
      </c>
      <c r="AG489" s="2">
        <f t="shared" si="67"/>
        <v>4</v>
      </c>
      <c r="AH489" s="4">
        <f t="shared" si="68"/>
        <v>44764.843564814815</v>
      </c>
      <c r="AI489" s="2" t="str">
        <f t="shared" si="69"/>
        <v/>
      </c>
      <c r="AJ489" s="2" t="str">
        <f t="shared" si="70"/>
        <v/>
      </c>
      <c r="AK489" s="2" t="str">
        <f t="shared" si="71"/>
        <v/>
      </c>
    </row>
    <row r="490" spans="1:37" x14ac:dyDescent="0.25">
      <c r="A490">
        <v>2836</v>
      </c>
      <c r="B490" t="s">
        <v>568</v>
      </c>
      <c r="C490" t="s">
        <v>94</v>
      </c>
      <c r="D490" t="s">
        <v>558</v>
      </c>
      <c r="E490" t="s">
        <v>42</v>
      </c>
      <c r="F490" t="s">
        <v>253</v>
      </c>
      <c r="G490" t="s">
        <v>38</v>
      </c>
      <c r="H490" s="1">
        <v>44664.843564814815</v>
      </c>
      <c r="I490" s="1">
        <v>44665.843564814815</v>
      </c>
      <c r="J490" t="s">
        <v>32</v>
      </c>
      <c r="K490" s="1">
        <v>44670.843564814815</v>
      </c>
      <c r="L490" t="s">
        <v>33</v>
      </c>
      <c r="M490" t="s">
        <v>51</v>
      </c>
      <c r="R490" s="4">
        <v>44673.843564814815</v>
      </c>
      <c r="T490">
        <v>0</v>
      </c>
      <c r="Y490" t="s">
        <v>35</v>
      </c>
      <c r="AC490" s="2">
        <f t="shared" si="63"/>
        <v>1</v>
      </c>
      <c r="AD490" s="2">
        <f t="shared" si="64"/>
        <v>6</v>
      </c>
      <c r="AE490" s="2">
        <f t="shared" si="65"/>
        <v>5</v>
      </c>
      <c r="AF490" s="2">
        <f t="shared" si="66"/>
        <v>9</v>
      </c>
      <c r="AG490" s="2">
        <f t="shared" si="67"/>
        <v>3</v>
      </c>
      <c r="AH490" s="4">
        <f t="shared" si="68"/>
        <v>44763.843564814815</v>
      </c>
      <c r="AI490" s="2" t="str">
        <f t="shared" si="69"/>
        <v/>
      </c>
      <c r="AJ490" s="2" t="str">
        <f t="shared" si="70"/>
        <v/>
      </c>
      <c r="AK490" s="2" t="str">
        <f t="shared" si="71"/>
        <v/>
      </c>
    </row>
    <row r="491" spans="1:37" x14ac:dyDescent="0.25">
      <c r="A491">
        <v>2833</v>
      </c>
      <c r="B491" t="s">
        <v>569</v>
      </c>
      <c r="C491" t="s">
        <v>94</v>
      </c>
      <c r="D491" t="s">
        <v>558</v>
      </c>
      <c r="E491" t="s">
        <v>42</v>
      </c>
      <c r="F491" t="s">
        <v>253</v>
      </c>
      <c r="G491" t="s">
        <v>38</v>
      </c>
      <c r="H491" s="1">
        <v>44662.843564814815</v>
      </c>
      <c r="I491" s="1">
        <v>44663.843564814815</v>
      </c>
      <c r="J491" t="s">
        <v>32</v>
      </c>
      <c r="K491" s="1">
        <v>44678.843564814815</v>
      </c>
      <c r="L491" t="s">
        <v>33</v>
      </c>
      <c r="M491" t="s">
        <v>108</v>
      </c>
      <c r="R491" s="4">
        <v>44682.843564814815</v>
      </c>
      <c r="T491">
        <v>0</v>
      </c>
      <c r="Y491" t="s">
        <v>35</v>
      </c>
      <c r="AC491" s="2">
        <f t="shared" si="63"/>
        <v>1</v>
      </c>
      <c r="AD491" s="2">
        <f t="shared" si="64"/>
        <v>16</v>
      </c>
      <c r="AE491" s="2">
        <f t="shared" si="65"/>
        <v>15</v>
      </c>
      <c r="AF491" s="2">
        <f t="shared" si="66"/>
        <v>20</v>
      </c>
      <c r="AG491" s="2">
        <f t="shared" si="67"/>
        <v>4</v>
      </c>
      <c r="AH491" s="4">
        <f t="shared" si="68"/>
        <v>44772.843564814815</v>
      </c>
      <c r="AI491" s="2" t="str">
        <f t="shared" si="69"/>
        <v/>
      </c>
      <c r="AJ491" s="2" t="str">
        <f t="shared" si="70"/>
        <v/>
      </c>
      <c r="AK491" s="2" t="str">
        <f t="shared" si="71"/>
        <v/>
      </c>
    </row>
    <row r="492" spans="1:37" x14ac:dyDescent="0.25">
      <c r="A492">
        <v>2786</v>
      </c>
      <c r="B492" t="s">
        <v>570</v>
      </c>
      <c r="C492" t="s">
        <v>94</v>
      </c>
      <c r="D492" t="s">
        <v>558</v>
      </c>
      <c r="E492" t="s">
        <v>42</v>
      </c>
      <c r="F492" t="s">
        <v>253</v>
      </c>
      <c r="G492" t="s">
        <v>38</v>
      </c>
      <c r="H492" s="1">
        <v>45105.816620370373</v>
      </c>
      <c r="I492" s="1">
        <v>45108.816620370373</v>
      </c>
      <c r="J492" t="s">
        <v>32</v>
      </c>
      <c r="K492" s="1">
        <v>45126.816620370373</v>
      </c>
      <c r="L492" t="s">
        <v>33</v>
      </c>
      <c r="M492" t="s">
        <v>92</v>
      </c>
      <c r="T492">
        <v>0</v>
      </c>
      <c r="Y492" t="s">
        <v>35</v>
      </c>
      <c r="AC492" s="2">
        <f t="shared" si="63"/>
        <v>3</v>
      </c>
      <c r="AD492" s="2">
        <f t="shared" si="64"/>
        <v>21</v>
      </c>
      <c r="AE492" s="2">
        <f t="shared" si="65"/>
        <v>18</v>
      </c>
      <c r="AF492" s="2" t="str">
        <f t="shared" si="66"/>
        <v/>
      </c>
      <c r="AG492" s="2" t="str">
        <f t="shared" si="67"/>
        <v/>
      </c>
      <c r="AH492" s="4" t="str">
        <f t="shared" si="68"/>
        <v/>
      </c>
      <c r="AI492" s="2" t="str">
        <f t="shared" si="69"/>
        <v/>
      </c>
      <c r="AJ492" s="2" t="str">
        <f t="shared" si="70"/>
        <v/>
      </c>
      <c r="AK492" s="2" t="str">
        <f t="shared" si="71"/>
        <v/>
      </c>
    </row>
    <row r="493" spans="1:37" x14ac:dyDescent="0.25">
      <c r="A493">
        <v>2783</v>
      </c>
      <c r="B493" t="s">
        <v>571</v>
      </c>
      <c r="C493" t="s">
        <v>94</v>
      </c>
      <c r="D493" t="s">
        <v>558</v>
      </c>
      <c r="E493" t="s">
        <v>42</v>
      </c>
      <c r="F493" t="s">
        <v>253</v>
      </c>
      <c r="G493" t="s">
        <v>38</v>
      </c>
      <c r="H493" s="1">
        <v>45105.816620370373</v>
      </c>
      <c r="I493" s="1">
        <v>45109.816620370373</v>
      </c>
      <c r="J493" t="s">
        <v>32</v>
      </c>
      <c r="K493" s="1">
        <v>45117.816620370373</v>
      </c>
      <c r="L493" t="s">
        <v>57</v>
      </c>
      <c r="N493" s="4">
        <v>45119.816620370373</v>
      </c>
      <c r="O493" t="s">
        <v>57</v>
      </c>
      <c r="P493" s="4">
        <v>45119.816620370373</v>
      </c>
      <c r="Q493" s="4">
        <v>45122.816620370373</v>
      </c>
      <c r="R493" s="4">
        <v>45118.816620370373</v>
      </c>
      <c r="S493" s="4">
        <v>45120.816620370373</v>
      </c>
      <c r="T493">
        <v>1</v>
      </c>
      <c r="U493" s="4">
        <v>45123.816620370373</v>
      </c>
      <c r="V493" s="4">
        <v>45124.816620370373</v>
      </c>
      <c r="W493" s="4">
        <v>45126.816620370373</v>
      </c>
      <c r="Z493" s="4">
        <v>45139.816620370373</v>
      </c>
      <c r="AC493" s="2">
        <f t="shared" si="63"/>
        <v>4</v>
      </c>
      <c r="AD493" s="2">
        <f t="shared" si="64"/>
        <v>12</v>
      </c>
      <c r="AE493" s="2">
        <f t="shared" si="65"/>
        <v>8</v>
      </c>
      <c r="AF493" s="2">
        <f t="shared" si="66"/>
        <v>13</v>
      </c>
      <c r="AG493" s="2">
        <f t="shared" si="67"/>
        <v>1</v>
      </c>
      <c r="AH493" s="4">
        <f t="shared" si="68"/>
        <v>45208.816620370373</v>
      </c>
      <c r="AI493" s="2">
        <f t="shared" si="69"/>
        <v>3</v>
      </c>
      <c r="AJ493" s="2">
        <f t="shared" si="70"/>
        <v>21</v>
      </c>
      <c r="AK493" s="2">
        <f t="shared" si="71"/>
        <v>8</v>
      </c>
    </row>
    <row r="494" spans="1:37" x14ac:dyDescent="0.25">
      <c r="A494">
        <v>2782</v>
      </c>
      <c r="B494" t="s">
        <v>572</v>
      </c>
      <c r="C494" t="s">
        <v>94</v>
      </c>
      <c r="D494" t="s">
        <v>558</v>
      </c>
      <c r="E494" t="s">
        <v>29</v>
      </c>
      <c r="F494" t="s">
        <v>143</v>
      </c>
      <c r="G494" t="s">
        <v>38</v>
      </c>
      <c r="H494" s="1">
        <v>45103.816620370373</v>
      </c>
      <c r="I494" s="1">
        <v>45106.816620370373</v>
      </c>
      <c r="J494" t="s">
        <v>44</v>
      </c>
      <c r="K494" s="1"/>
      <c r="T494">
        <v>0</v>
      </c>
      <c r="AC494" s="2">
        <f t="shared" si="63"/>
        <v>3</v>
      </c>
      <c r="AD494" s="2" t="str">
        <f t="shared" si="64"/>
        <v/>
      </c>
      <c r="AE494" s="2" t="str">
        <f t="shared" si="65"/>
        <v/>
      </c>
      <c r="AF494" s="2" t="str">
        <f t="shared" si="66"/>
        <v/>
      </c>
      <c r="AG494" s="2" t="str">
        <f t="shared" si="67"/>
        <v/>
      </c>
      <c r="AH494" s="4" t="str">
        <f t="shared" si="68"/>
        <v/>
      </c>
      <c r="AI494" s="2" t="str">
        <f t="shared" si="69"/>
        <v/>
      </c>
      <c r="AJ494" s="2" t="str">
        <f t="shared" si="70"/>
        <v/>
      </c>
      <c r="AK494" s="2" t="str">
        <f t="shared" si="71"/>
        <v/>
      </c>
    </row>
    <row r="495" spans="1:37" x14ac:dyDescent="0.25">
      <c r="A495">
        <v>2781</v>
      </c>
      <c r="B495" t="s">
        <v>573</v>
      </c>
      <c r="C495" t="s">
        <v>94</v>
      </c>
      <c r="D495" t="s">
        <v>558</v>
      </c>
      <c r="E495" t="s">
        <v>29</v>
      </c>
      <c r="F495" t="s">
        <v>143</v>
      </c>
      <c r="G495" t="s">
        <v>38</v>
      </c>
      <c r="H495" s="1">
        <v>45104.816620370373</v>
      </c>
      <c r="I495" s="1">
        <v>45105.816620370373</v>
      </c>
      <c r="J495" t="s">
        <v>32</v>
      </c>
      <c r="K495" s="1">
        <v>45113.816620370373</v>
      </c>
      <c r="L495" t="s">
        <v>33</v>
      </c>
      <c r="M495" t="s">
        <v>51</v>
      </c>
      <c r="T495">
        <v>0</v>
      </c>
      <c r="Y495" t="s">
        <v>55</v>
      </c>
      <c r="AC495" s="2">
        <f t="shared" si="63"/>
        <v>1</v>
      </c>
      <c r="AD495" s="2">
        <f t="shared" si="64"/>
        <v>9</v>
      </c>
      <c r="AE495" s="2">
        <f t="shared" si="65"/>
        <v>8</v>
      </c>
      <c r="AF495" s="2" t="str">
        <f t="shared" si="66"/>
        <v/>
      </c>
      <c r="AG495" s="2" t="str">
        <f t="shared" si="67"/>
        <v/>
      </c>
      <c r="AH495" s="4" t="str">
        <f t="shared" si="68"/>
        <v/>
      </c>
      <c r="AI495" s="2" t="str">
        <f t="shared" si="69"/>
        <v/>
      </c>
      <c r="AJ495" s="2" t="str">
        <f t="shared" si="70"/>
        <v/>
      </c>
      <c r="AK495" s="2" t="str">
        <f t="shared" si="71"/>
        <v/>
      </c>
    </row>
    <row r="496" spans="1:37" x14ac:dyDescent="0.25">
      <c r="A496">
        <v>2736</v>
      </c>
      <c r="B496" t="s">
        <v>574</v>
      </c>
      <c r="C496" t="s">
        <v>94</v>
      </c>
      <c r="D496" t="s">
        <v>558</v>
      </c>
      <c r="E496" t="s">
        <v>29</v>
      </c>
      <c r="F496" t="s">
        <v>143</v>
      </c>
      <c r="G496" t="s">
        <v>38</v>
      </c>
      <c r="H496" s="1">
        <v>44748.981076388889</v>
      </c>
      <c r="I496" s="1">
        <v>44751.981076388889</v>
      </c>
      <c r="J496" t="s">
        <v>32</v>
      </c>
      <c r="K496" s="1">
        <v>44763.981076388889</v>
      </c>
      <c r="L496" t="s">
        <v>57</v>
      </c>
      <c r="N496" s="4">
        <v>44769.981076388889</v>
      </c>
      <c r="O496" t="s">
        <v>57</v>
      </c>
      <c r="P496" s="4">
        <v>44764.981076388889</v>
      </c>
      <c r="Q496" s="4">
        <v>44768.981076388889</v>
      </c>
      <c r="R496" s="4">
        <v>44766.981076388889</v>
      </c>
      <c r="S496" s="4">
        <v>44774.981076388889</v>
      </c>
      <c r="T496">
        <v>1</v>
      </c>
      <c r="U496" s="4">
        <v>44776.981076388889</v>
      </c>
      <c r="V496" s="4">
        <v>44777.981076388889</v>
      </c>
      <c r="W496" s="4">
        <v>44779.981076388889</v>
      </c>
      <c r="Z496" s="4">
        <v>44800.981076388889</v>
      </c>
      <c r="AC496" s="2">
        <f t="shared" si="63"/>
        <v>3</v>
      </c>
      <c r="AD496" s="2">
        <f t="shared" si="64"/>
        <v>15</v>
      </c>
      <c r="AE496" s="2">
        <f t="shared" si="65"/>
        <v>12</v>
      </c>
      <c r="AF496" s="2">
        <f t="shared" si="66"/>
        <v>18</v>
      </c>
      <c r="AG496" s="2">
        <f t="shared" si="67"/>
        <v>3</v>
      </c>
      <c r="AH496" s="4">
        <f t="shared" si="68"/>
        <v>44856.981076388889</v>
      </c>
      <c r="AI496" s="2">
        <f t="shared" si="69"/>
        <v>2</v>
      </c>
      <c r="AJ496" s="2">
        <f t="shared" si="70"/>
        <v>34</v>
      </c>
      <c r="AK496" s="2">
        <f t="shared" si="71"/>
        <v>13</v>
      </c>
    </row>
    <row r="497" spans="1:37" x14ac:dyDescent="0.25">
      <c r="A497">
        <v>2566</v>
      </c>
      <c r="B497" t="s">
        <v>575</v>
      </c>
      <c r="C497" t="s">
        <v>94</v>
      </c>
      <c r="D497" t="s">
        <v>558</v>
      </c>
      <c r="E497" t="s">
        <v>29</v>
      </c>
      <c r="F497" t="s">
        <v>143</v>
      </c>
      <c r="G497" t="s">
        <v>38</v>
      </c>
      <c r="H497" s="1">
        <v>44888.290763888886</v>
      </c>
      <c r="I497" s="1">
        <v>44889.290763888886</v>
      </c>
      <c r="J497" t="s">
        <v>32</v>
      </c>
      <c r="K497" s="1">
        <v>44904.290763888886</v>
      </c>
      <c r="L497" t="s">
        <v>57</v>
      </c>
      <c r="N497" s="4">
        <v>44911.290763888886</v>
      </c>
      <c r="O497" t="s">
        <v>57</v>
      </c>
      <c r="P497" s="4">
        <v>44906.290763888886</v>
      </c>
      <c r="Q497" s="4">
        <v>44909.290763888886</v>
      </c>
      <c r="R497" s="4">
        <v>44908.290763888886</v>
      </c>
      <c r="S497" s="4">
        <v>44918.290763888886</v>
      </c>
      <c r="T497">
        <v>1</v>
      </c>
      <c r="U497" s="4">
        <v>44921.290763888886</v>
      </c>
      <c r="V497" s="4">
        <v>44922.290763888886</v>
      </c>
      <c r="W497" s="4">
        <v>44923.290763888886</v>
      </c>
      <c r="Z497" s="4">
        <v>44934.290763888886</v>
      </c>
      <c r="AC497" s="2">
        <f t="shared" si="63"/>
        <v>1</v>
      </c>
      <c r="AD497" s="2">
        <f t="shared" si="64"/>
        <v>16</v>
      </c>
      <c r="AE497" s="2">
        <f t="shared" si="65"/>
        <v>15</v>
      </c>
      <c r="AF497" s="2">
        <f t="shared" si="66"/>
        <v>20</v>
      </c>
      <c r="AG497" s="2">
        <f t="shared" si="67"/>
        <v>4</v>
      </c>
      <c r="AH497" s="4">
        <f t="shared" si="68"/>
        <v>44998.290763888886</v>
      </c>
      <c r="AI497" s="2">
        <f t="shared" si="69"/>
        <v>3</v>
      </c>
      <c r="AJ497" s="2">
        <f t="shared" si="70"/>
        <v>26</v>
      </c>
      <c r="AK497" s="2">
        <f t="shared" si="71"/>
        <v>15</v>
      </c>
    </row>
    <row r="498" spans="1:37" x14ac:dyDescent="0.25">
      <c r="A498">
        <v>2563</v>
      </c>
      <c r="B498" t="s">
        <v>576</v>
      </c>
      <c r="C498" t="s">
        <v>94</v>
      </c>
      <c r="D498" t="s">
        <v>558</v>
      </c>
      <c r="E498" t="s">
        <v>29</v>
      </c>
      <c r="F498" t="s">
        <v>143</v>
      </c>
      <c r="G498" t="s">
        <v>38</v>
      </c>
      <c r="H498" s="1">
        <v>44886.290763888886</v>
      </c>
      <c r="I498" s="1">
        <v>44890.290763888886</v>
      </c>
      <c r="J498" t="s">
        <v>44</v>
      </c>
      <c r="K498" s="1"/>
      <c r="T498">
        <v>0</v>
      </c>
      <c r="AC498" s="2">
        <f t="shared" si="63"/>
        <v>4</v>
      </c>
      <c r="AD498" s="2" t="str">
        <f t="shared" si="64"/>
        <v/>
      </c>
      <c r="AE498" s="2" t="str">
        <f t="shared" si="65"/>
        <v/>
      </c>
      <c r="AF498" s="2" t="str">
        <f t="shared" si="66"/>
        <v/>
      </c>
      <c r="AG498" s="2" t="str">
        <f t="shared" si="67"/>
        <v/>
      </c>
      <c r="AH498" s="4" t="str">
        <f t="shared" si="68"/>
        <v/>
      </c>
      <c r="AI498" s="2" t="str">
        <f t="shared" si="69"/>
        <v/>
      </c>
      <c r="AJ498" s="2" t="str">
        <f t="shared" si="70"/>
        <v/>
      </c>
      <c r="AK498" s="2" t="str">
        <f t="shared" si="71"/>
        <v/>
      </c>
    </row>
    <row r="499" spans="1:37" x14ac:dyDescent="0.25">
      <c r="A499">
        <v>2559</v>
      </c>
      <c r="B499" t="s">
        <v>577</v>
      </c>
      <c r="C499" t="s">
        <v>94</v>
      </c>
      <c r="D499" t="s">
        <v>558</v>
      </c>
      <c r="E499" t="s">
        <v>29</v>
      </c>
      <c r="F499" t="s">
        <v>143</v>
      </c>
      <c r="G499" t="s">
        <v>38</v>
      </c>
      <c r="H499" s="1">
        <v>45141.715324074074</v>
      </c>
      <c r="I499" s="1">
        <v>45144.715324074074</v>
      </c>
      <c r="J499" t="s">
        <v>44</v>
      </c>
      <c r="K499" s="1"/>
      <c r="T499">
        <v>0</v>
      </c>
      <c r="AC499" s="2">
        <f t="shared" si="63"/>
        <v>3</v>
      </c>
      <c r="AD499" s="2" t="str">
        <f t="shared" si="64"/>
        <v/>
      </c>
      <c r="AE499" s="2" t="str">
        <f t="shared" si="65"/>
        <v/>
      </c>
      <c r="AF499" s="2" t="str">
        <f t="shared" si="66"/>
        <v/>
      </c>
      <c r="AG499" s="2" t="str">
        <f t="shared" si="67"/>
        <v/>
      </c>
      <c r="AH499" s="4" t="str">
        <f t="shared" si="68"/>
        <v/>
      </c>
      <c r="AI499" s="2" t="str">
        <f t="shared" si="69"/>
        <v/>
      </c>
      <c r="AJ499" s="2" t="str">
        <f t="shared" si="70"/>
        <v/>
      </c>
      <c r="AK499" s="2" t="str">
        <f t="shared" si="71"/>
        <v/>
      </c>
    </row>
    <row r="500" spans="1:37" x14ac:dyDescent="0.25">
      <c r="A500">
        <v>2556</v>
      </c>
      <c r="B500" t="s">
        <v>578</v>
      </c>
      <c r="C500" t="s">
        <v>94</v>
      </c>
      <c r="D500" t="s">
        <v>558</v>
      </c>
      <c r="E500" t="s">
        <v>29</v>
      </c>
      <c r="F500" t="s">
        <v>143</v>
      </c>
      <c r="G500" t="s">
        <v>38</v>
      </c>
      <c r="H500" s="1">
        <v>45139.715324074074</v>
      </c>
      <c r="I500" s="1">
        <v>45142.715324074074</v>
      </c>
      <c r="J500" t="s">
        <v>32</v>
      </c>
      <c r="K500" s="1">
        <v>45164.715324074074</v>
      </c>
      <c r="L500" t="s">
        <v>39</v>
      </c>
      <c r="N500" s="4">
        <v>45167.715324074074</v>
      </c>
      <c r="O500" t="s">
        <v>39</v>
      </c>
      <c r="R500" s="4">
        <v>45166.715324074074</v>
      </c>
      <c r="T500">
        <v>0</v>
      </c>
      <c r="AC500" s="2">
        <f t="shared" si="63"/>
        <v>3</v>
      </c>
      <c r="AD500" s="2">
        <f t="shared" si="64"/>
        <v>25</v>
      </c>
      <c r="AE500" s="2">
        <f t="shared" si="65"/>
        <v>22</v>
      </c>
      <c r="AF500" s="2">
        <f t="shared" si="66"/>
        <v>27</v>
      </c>
      <c r="AG500" s="2">
        <f t="shared" si="67"/>
        <v>2</v>
      </c>
      <c r="AH500" s="4">
        <f t="shared" si="68"/>
        <v>45256.715324074074</v>
      </c>
      <c r="AI500" s="2" t="str">
        <f t="shared" si="69"/>
        <v/>
      </c>
      <c r="AJ500" s="2" t="str">
        <f t="shared" si="70"/>
        <v/>
      </c>
      <c r="AK500" s="2" t="str">
        <f t="shared" si="71"/>
        <v/>
      </c>
    </row>
    <row r="501" spans="1:37" x14ac:dyDescent="0.25">
      <c r="A501">
        <v>2554</v>
      </c>
      <c r="B501" t="s">
        <v>579</v>
      </c>
      <c r="C501" t="s">
        <v>94</v>
      </c>
      <c r="D501" t="s">
        <v>558</v>
      </c>
      <c r="E501" t="s">
        <v>29</v>
      </c>
      <c r="F501" t="s">
        <v>143</v>
      </c>
      <c r="G501" t="s">
        <v>38</v>
      </c>
      <c r="H501" s="1">
        <v>45140.715324074074</v>
      </c>
      <c r="I501" s="1">
        <v>45144.715324074074</v>
      </c>
      <c r="J501" t="s">
        <v>32</v>
      </c>
      <c r="K501" s="1">
        <v>45154.715324074074</v>
      </c>
      <c r="L501" t="s">
        <v>33</v>
      </c>
      <c r="M501" t="s">
        <v>108</v>
      </c>
      <c r="R501" s="4">
        <v>45156.715324074074</v>
      </c>
      <c r="T501">
        <v>0</v>
      </c>
      <c r="Y501" t="s">
        <v>55</v>
      </c>
      <c r="AC501" s="2">
        <f t="shared" si="63"/>
        <v>4</v>
      </c>
      <c r="AD501" s="2">
        <f t="shared" si="64"/>
        <v>14</v>
      </c>
      <c r="AE501" s="2">
        <f t="shared" si="65"/>
        <v>10</v>
      </c>
      <c r="AF501" s="2">
        <f t="shared" si="66"/>
        <v>16</v>
      </c>
      <c r="AG501" s="2">
        <f t="shared" si="67"/>
        <v>2</v>
      </c>
      <c r="AH501" s="4">
        <f t="shared" si="68"/>
        <v>45246.715324074074</v>
      </c>
      <c r="AI501" s="2" t="str">
        <f t="shared" si="69"/>
        <v/>
      </c>
      <c r="AJ501" s="2" t="str">
        <f t="shared" si="70"/>
        <v/>
      </c>
      <c r="AK501" s="2" t="str">
        <f t="shared" si="71"/>
        <v/>
      </c>
    </row>
    <row r="502" spans="1:37" x14ac:dyDescent="0.25">
      <c r="A502">
        <v>2538</v>
      </c>
      <c r="B502" t="s">
        <v>580</v>
      </c>
      <c r="C502" t="s">
        <v>94</v>
      </c>
      <c r="D502" t="s">
        <v>558</v>
      </c>
      <c r="E502" t="s">
        <v>42</v>
      </c>
      <c r="F502" t="s">
        <v>253</v>
      </c>
      <c r="G502" t="s">
        <v>38</v>
      </c>
      <c r="H502" s="1">
        <v>44681.058252314811</v>
      </c>
      <c r="I502" s="1">
        <v>44682.058252314811</v>
      </c>
      <c r="J502" t="s">
        <v>32</v>
      </c>
      <c r="K502" s="1">
        <v>44696.058252314811</v>
      </c>
      <c r="L502" t="s">
        <v>33</v>
      </c>
      <c r="M502" t="s">
        <v>67</v>
      </c>
      <c r="T502">
        <v>0</v>
      </c>
      <c r="Y502" t="s">
        <v>35</v>
      </c>
      <c r="AC502" s="2">
        <f t="shared" si="63"/>
        <v>1</v>
      </c>
      <c r="AD502" s="2">
        <f t="shared" si="64"/>
        <v>15</v>
      </c>
      <c r="AE502" s="2">
        <f t="shared" si="65"/>
        <v>14</v>
      </c>
      <c r="AF502" s="2" t="str">
        <f t="shared" si="66"/>
        <v/>
      </c>
      <c r="AG502" s="2" t="str">
        <f t="shared" si="67"/>
        <v/>
      </c>
      <c r="AH502" s="4" t="str">
        <f t="shared" si="68"/>
        <v/>
      </c>
      <c r="AI502" s="2" t="str">
        <f t="shared" si="69"/>
        <v/>
      </c>
      <c r="AJ502" s="2" t="str">
        <f t="shared" si="70"/>
        <v/>
      </c>
      <c r="AK502" s="2" t="str">
        <f t="shared" si="71"/>
        <v/>
      </c>
    </row>
    <row r="503" spans="1:37" x14ac:dyDescent="0.25">
      <c r="A503">
        <v>2517</v>
      </c>
      <c r="B503" t="s">
        <v>581</v>
      </c>
      <c r="C503" t="s">
        <v>94</v>
      </c>
      <c r="D503" t="s">
        <v>558</v>
      </c>
      <c r="E503" t="s">
        <v>42</v>
      </c>
      <c r="F503" t="s">
        <v>253</v>
      </c>
      <c r="G503" t="s">
        <v>38</v>
      </c>
      <c r="H503" s="1">
        <v>45173.133263888885</v>
      </c>
      <c r="I503" s="1">
        <v>45175.133263888885</v>
      </c>
      <c r="J503" t="s">
        <v>32</v>
      </c>
      <c r="K503" s="1">
        <v>45193.133263888885</v>
      </c>
      <c r="L503" t="s">
        <v>39</v>
      </c>
      <c r="N503" s="4">
        <v>45196.133263888885</v>
      </c>
      <c r="O503" t="s">
        <v>39</v>
      </c>
      <c r="R503" s="4">
        <v>45194.133263888885</v>
      </c>
      <c r="T503">
        <v>0</v>
      </c>
      <c r="AC503" s="2">
        <f t="shared" si="63"/>
        <v>2</v>
      </c>
      <c r="AD503" s="2">
        <f t="shared" si="64"/>
        <v>20</v>
      </c>
      <c r="AE503" s="2">
        <f t="shared" si="65"/>
        <v>18</v>
      </c>
      <c r="AF503" s="2">
        <f t="shared" si="66"/>
        <v>21</v>
      </c>
      <c r="AG503" s="2">
        <f t="shared" si="67"/>
        <v>1</v>
      </c>
      <c r="AH503" s="4">
        <f t="shared" si="68"/>
        <v>45284.133263888885</v>
      </c>
      <c r="AI503" s="2" t="str">
        <f t="shared" si="69"/>
        <v/>
      </c>
      <c r="AJ503" s="2" t="str">
        <f t="shared" si="70"/>
        <v/>
      </c>
      <c r="AK503" s="2" t="str">
        <f t="shared" si="71"/>
        <v/>
      </c>
    </row>
    <row r="504" spans="1:37" x14ac:dyDescent="0.25">
      <c r="A504">
        <v>2513</v>
      </c>
      <c r="B504" t="s">
        <v>582</v>
      </c>
      <c r="C504" t="s">
        <v>94</v>
      </c>
      <c r="D504" t="s">
        <v>558</v>
      </c>
      <c r="E504" t="s">
        <v>42</v>
      </c>
      <c r="F504" t="s">
        <v>253</v>
      </c>
      <c r="G504" t="s">
        <v>38</v>
      </c>
      <c r="H504" s="1">
        <v>45175.133263888885</v>
      </c>
      <c r="I504" s="1">
        <v>45176.133263888885</v>
      </c>
      <c r="J504" t="s">
        <v>32</v>
      </c>
      <c r="K504" s="1">
        <v>45188.133263888885</v>
      </c>
      <c r="L504" t="s">
        <v>33</v>
      </c>
      <c r="M504" t="s">
        <v>108</v>
      </c>
      <c r="R504" s="4">
        <v>45192.133263888885</v>
      </c>
      <c r="T504">
        <v>0</v>
      </c>
      <c r="Y504" t="s">
        <v>35</v>
      </c>
      <c r="AC504" s="2">
        <f t="shared" si="63"/>
        <v>1</v>
      </c>
      <c r="AD504" s="2">
        <f t="shared" si="64"/>
        <v>13</v>
      </c>
      <c r="AE504" s="2">
        <f t="shared" si="65"/>
        <v>12</v>
      </c>
      <c r="AF504" s="2">
        <f t="shared" si="66"/>
        <v>17</v>
      </c>
      <c r="AG504" s="2">
        <f t="shared" si="67"/>
        <v>4</v>
      </c>
      <c r="AH504" s="4">
        <f t="shared" si="68"/>
        <v>45282.133263888885</v>
      </c>
      <c r="AI504" s="2" t="str">
        <f t="shared" si="69"/>
        <v/>
      </c>
      <c r="AJ504" s="2" t="str">
        <f t="shared" si="70"/>
        <v/>
      </c>
      <c r="AK504" s="2" t="str">
        <f t="shared" si="71"/>
        <v/>
      </c>
    </row>
    <row r="505" spans="1:37" x14ac:dyDescent="0.25">
      <c r="A505">
        <v>2512</v>
      </c>
      <c r="B505" t="s">
        <v>583</v>
      </c>
      <c r="C505" t="s">
        <v>94</v>
      </c>
      <c r="D505" t="s">
        <v>558</v>
      </c>
      <c r="E505" t="s">
        <v>42</v>
      </c>
      <c r="F505" t="s">
        <v>253</v>
      </c>
      <c r="G505" t="s">
        <v>38</v>
      </c>
      <c r="H505" s="1">
        <v>45173.133263888885</v>
      </c>
      <c r="I505" s="1">
        <v>45176.133263888885</v>
      </c>
      <c r="J505" t="s">
        <v>32</v>
      </c>
      <c r="K505" s="1">
        <v>45192.133263888885</v>
      </c>
      <c r="L505" t="s">
        <v>33</v>
      </c>
      <c r="M505" t="s">
        <v>108</v>
      </c>
      <c r="T505">
        <v>0</v>
      </c>
      <c r="Y505" t="s">
        <v>35</v>
      </c>
      <c r="AC505" s="2">
        <f t="shared" si="63"/>
        <v>3</v>
      </c>
      <c r="AD505" s="2">
        <f t="shared" si="64"/>
        <v>19</v>
      </c>
      <c r="AE505" s="2">
        <f t="shared" si="65"/>
        <v>16</v>
      </c>
      <c r="AF505" s="2" t="str">
        <f t="shared" si="66"/>
        <v/>
      </c>
      <c r="AG505" s="2" t="str">
        <f t="shared" si="67"/>
        <v/>
      </c>
      <c r="AH505" s="4" t="str">
        <f t="shared" si="68"/>
        <v/>
      </c>
      <c r="AI505" s="2" t="str">
        <f t="shared" si="69"/>
        <v/>
      </c>
      <c r="AJ505" s="2" t="str">
        <f t="shared" si="70"/>
        <v/>
      </c>
      <c r="AK505" s="2" t="str">
        <f t="shared" si="71"/>
        <v/>
      </c>
    </row>
    <row r="506" spans="1:37" x14ac:dyDescent="0.25">
      <c r="A506">
        <v>2459</v>
      </c>
      <c r="B506" t="s">
        <v>584</v>
      </c>
      <c r="C506" t="s">
        <v>94</v>
      </c>
      <c r="D506" t="s">
        <v>558</v>
      </c>
      <c r="E506" t="s">
        <v>42</v>
      </c>
      <c r="F506" t="s">
        <v>253</v>
      </c>
      <c r="G506" t="s">
        <v>38</v>
      </c>
      <c r="H506" s="1">
        <v>45160.069826388892</v>
      </c>
      <c r="I506" s="1">
        <v>45162.069826388892</v>
      </c>
      <c r="J506" t="s">
        <v>32</v>
      </c>
      <c r="K506" s="1">
        <v>45183.069826388892</v>
      </c>
      <c r="L506" t="s">
        <v>33</v>
      </c>
      <c r="M506" t="s">
        <v>92</v>
      </c>
      <c r="R506" s="4">
        <v>45186.069826388892</v>
      </c>
      <c r="T506">
        <v>0</v>
      </c>
      <c r="Y506" t="s">
        <v>55</v>
      </c>
      <c r="AC506" s="2">
        <f t="shared" si="63"/>
        <v>2</v>
      </c>
      <c r="AD506" s="2">
        <f t="shared" si="64"/>
        <v>23</v>
      </c>
      <c r="AE506" s="2">
        <f t="shared" si="65"/>
        <v>21</v>
      </c>
      <c r="AF506" s="2">
        <f t="shared" si="66"/>
        <v>26</v>
      </c>
      <c r="AG506" s="2">
        <f t="shared" si="67"/>
        <v>3</v>
      </c>
      <c r="AH506" s="4">
        <f t="shared" si="68"/>
        <v>45276.069826388892</v>
      </c>
      <c r="AI506" s="2" t="str">
        <f t="shared" si="69"/>
        <v/>
      </c>
      <c r="AJ506" s="2" t="str">
        <f t="shared" si="70"/>
        <v/>
      </c>
      <c r="AK506" s="2" t="str">
        <f t="shared" si="71"/>
        <v/>
      </c>
    </row>
    <row r="507" spans="1:37" x14ac:dyDescent="0.25">
      <c r="A507">
        <v>2452</v>
      </c>
      <c r="B507" t="s">
        <v>585</v>
      </c>
      <c r="C507" t="s">
        <v>94</v>
      </c>
      <c r="D507" t="s">
        <v>558</v>
      </c>
      <c r="E507" t="s">
        <v>42</v>
      </c>
      <c r="F507" t="s">
        <v>253</v>
      </c>
      <c r="G507" t="s">
        <v>38</v>
      </c>
      <c r="H507" s="1">
        <v>45161.069826388892</v>
      </c>
      <c r="I507" s="1">
        <v>45163.069826388892</v>
      </c>
      <c r="J507" t="s">
        <v>32</v>
      </c>
      <c r="K507" s="1">
        <v>45179.069826388892</v>
      </c>
      <c r="L507" t="s">
        <v>33</v>
      </c>
      <c r="M507" t="s">
        <v>51</v>
      </c>
      <c r="R507" s="4">
        <v>45183.069826388892</v>
      </c>
      <c r="T507">
        <v>0</v>
      </c>
      <c r="Y507" t="s">
        <v>35</v>
      </c>
      <c r="AC507" s="2">
        <f t="shared" si="63"/>
        <v>2</v>
      </c>
      <c r="AD507" s="2">
        <f t="shared" si="64"/>
        <v>18</v>
      </c>
      <c r="AE507" s="2">
        <f t="shared" si="65"/>
        <v>16</v>
      </c>
      <c r="AF507" s="2">
        <f t="shared" si="66"/>
        <v>22</v>
      </c>
      <c r="AG507" s="2">
        <f t="shared" si="67"/>
        <v>4</v>
      </c>
      <c r="AH507" s="4">
        <f t="shared" si="68"/>
        <v>45273.069826388892</v>
      </c>
      <c r="AI507" s="2" t="str">
        <f t="shared" si="69"/>
        <v/>
      </c>
      <c r="AJ507" s="2" t="str">
        <f t="shared" si="70"/>
        <v/>
      </c>
      <c r="AK507" s="2" t="str">
        <f t="shared" si="71"/>
        <v/>
      </c>
    </row>
    <row r="508" spans="1:37" x14ac:dyDescent="0.25">
      <c r="A508">
        <v>2449</v>
      </c>
      <c r="B508" t="s">
        <v>586</v>
      </c>
      <c r="C508" t="s">
        <v>94</v>
      </c>
      <c r="D508" t="s">
        <v>558</v>
      </c>
      <c r="E508" t="s">
        <v>29</v>
      </c>
      <c r="F508" t="s">
        <v>143</v>
      </c>
      <c r="G508" t="s">
        <v>38</v>
      </c>
      <c r="H508" s="1">
        <v>44867.772222222222</v>
      </c>
      <c r="I508" s="1">
        <v>44868.772222222222</v>
      </c>
      <c r="J508" t="s">
        <v>32</v>
      </c>
      <c r="K508" s="1">
        <v>44888.772222222222</v>
      </c>
      <c r="L508" t="s">
        <v>33</v>
      </c>
      <c r="M508" t="s">
        <v>34</v>
      </c>
      <c r="R508" s="4">
        <v>44892.772222222222</v>
      </c>
      <c r="T508">
        <v>0</v>
      </c>
      <c r="Y508" t="s">
        <v>35</v>
      </c>
      <c r="AC508" s="2">
        <f t="shared" si="63"/>
        <v>1</v>
      </c>
      <c r="AD508" s="2">
        <f t="shared" si="64"/>
        <v>21</v>
      </c>
      <c r="AE508" s="2">
        <f t="shared" si="65"/>
        <v>20</v>
      </c>
      <c r="AF508" s="2">
        <f t="shared" si="66"/>
        <v>25</v>
      </c>
      <c r="AG508" s="2">
        <f t="shared" si="67"/>
        <v>4</v>
      </c>
      <c r="AH508" s="4">
        <f t="shared" si="68"/>
        <v>44982.772222222222</v>
      </c>
      <c r="AI508" s="2" t="str">
        <f t="shared" si="69"/>
        <v/>
      </c>
      <c r="AJ508" s="2" t="str">
        <f t="shared" si="70"/>
        <v/>
      </c>
      <c r="AK508" s="2" t="str">
        <f t="shared" si="71"/>
        <v/>
      </c>
    </row>
    <row r="509" spans="1:37" x14ac:dyDescent="0.25">
      <c r="A509">
        <v>2448</v>
      </c>
      <c r="B509" t="s">
        <v>587</v>
      </c>
      <c r="C509" t="s">
        <v>94</v>
      </c>
      <c r="D509" t="s">
        <v>558</v>
      </c>
      <c r="E509" t="s">
        <v>29</v>
      </c>
      <c r="F509" t="s">
        <v>143</v>
      </c>
      <c r="G509" t="s">
        <v>38</v>
      </c>
      <c r="H509" s="1">
        <v>44864.772222222222</v>
      </c>
      <c r="I509" s="1">
        <v>44867.772222222222</v>
      </c>
      <c r="J509" t="s">
        <v>32</v>
      </c>
      <c r="K509" s="1">
        <v>44877.772222222222</v>
      </c>
      <c r="L509" t="s">
        <v>33</v>
      </c>
      <c r="M509" t="s">
        <v>108</v>
      </c>
      <c r="T509">
        <v>0</v>
      </c>
      <c r="Y509" t="s">
        <v>35</v>
      </c>
      <c r="AC509" s="2">
        <f t="shared" si="63"/>
        <v>3</v>
      </c>
      <c r="AD509" s="2">
        <f t="shared" si="64"/>
        <v>13</v>
      </c>
      <c r="AE509" s="2">
        <f t="shared" si="65"/>
        <v>10</v>
      </c>
      <c r="AF509" s="2" t="str">
        <f t="shared" si="66"/>
        <v/>
      </c>
      <c r="AG509" s="2" t="str">
        <f t="shared" si="67"/>
        <v/>
      </c>
      <c r="AH509" s="4" t="str">
        <f t="shared" si="68"/>
        <v/>
      </c>
      <c r="AI509" s="2" t="str">
        <f t="shared" si="69"/>
        <v/>
      </c>
      <c r="AJ509" s="2" t="str">
        <f t="shared" si="70"/>
        <v/>
      </c>
      <c r="AK509" s="2" t="str">
        <f t="shared" si="71"/>
        <v/>
      </c>
    </row>
    <row r="510" spans="1:37" x14ac:dyDescent="0.25">
      <c r="A510">
        <v>2408</v>
      </c>
      <c r="B510" t="s">
        <v>588</v>
      </c>
      <c r="C510" t="s">
        <v>94</v>
      </c>
      <c r="D510" t="s">
        <v>558</v>
      </c>
      <c r="E510" t="s">
        <v>29</v>
      </c>
      <c r="F510" t="s">
        <v>143</v>
      </c>
      <c r="G510" t="s">
        <v>38</v>
      </c>
      <c r="H510" s="1">
        <v>45016.0859837963</v>
      </c>
      <c r="I510" s="1">
        <v>45019.0859837963</v>
      </c>
      <c r="J510" t="s">
        <v>32</v>
      </c>
      <c r="K510" s="1">
        <v>45035.0859837963</v>
      </c>
      <c r="L510" t="s">
        <v>33</v>
      </c>
      <c r="M510" t="s">
        <v>34</v>
      </c>
      <c r="T510">
        <v>0</v>
      </c>
      <c r="Y510" t="s">
        <v>35</v>
      </c>
      <c r="AC510" s="2">
        <f t="shared" si="63"/>
        <v>3</v>
      </c>
      <c r="AD510" s="2">
        <f t="shared" si="64"/>
        <v>19</v>
      </c>
      <c r="AE510" s="2">
        <f t="shared" si="65"/>
        <v>16</v>
      </c>
      <c r="AF510" s="2" t="str">
        <f t="shared" si="66"/>
        <v/>
      </c>
      <c r="AG510" s="2" t="str">
        <f t="shared" si="67"/>
        <v/>
      </c>
      <c r="AH510" s="4" t="str">
        <f t="shared" si="68"/>
        <v/>
      </c>
      <c r="AI510" s="2" t="str">
        <f t="shared" si="69"/>
        <v/>
      </c>
      <c r="AJ510" s="2" t="str">
        <f t="shared" si="70"/>
        <v/>
      </c>
      <c r="AK510" s="2" t="str">
        <f t="shared" si="71"/>
        <v/>
      </c>
    </row>
    <row r="511" spans="1:37" x14ac:dyDescent="0.25">
      <c r="A511">
        <v>2404</v>
      </c>
      <c r="B511" t="s">
        <v>589</v>
      </c>
      <c r="C511" t="s">
        <v>94</v>
      </c>
      <c r="D511" t="s">
        <v>558</v>
      </c>
      <c r="E511" t="s">
        <v>29</v>
      </c>
      <c r="F511" t="s">
        <v>143</v>
      </c>
      <c r="G511" t="s">
        <v>38</v>
      </c>
      <c r="H511" s="1">
        <v>45015.0859837963</v>
      </c>
      <c r="I511" s="1">
        <v>45016.0859837963</v>
      </c>
      <c r="J511" t="s">
        <v>32</v>
      </c>
      <c r="K511" s="1">
        <v>45036.0859837963</v>
      </c>
      <c r="L511" t="s">
        <v>33</v>
      </c>
      <c r="M511" t="s">
        <v>34</v>
      </c>
      <c r="R511" s="4">
        <v>45040.0859837963</v>
      </c>
      <c r="T511">
        <v>0</v>
      </c>
      <c r="Y511" t="s">
        <v>35</v>
      </c>
      <c r="AC511" s="2">
        <f t="shared" si="63"/>
        <v>1</v>
      </c>
      <c r="AD511" s="2">
        <f t="shared" si="64"/>
        <v>21</v>
      </c>
      <c r="AE511" s="2">
        <f t="shared" si="65"/>
        <v>20</v>
      </c>
      <c r="AF511" s="2">
        <f t="shared" si="66"/>
        <v>25</v>
      </c>
      <c r="AG511" s="2">
        <f t="shared" si="67"/>
        <v>4</v>
      </c>
      <c r="AH511" s="4">
        <f t="shared" si="68"/>
        <v>45130.0859837963</v>
      </c>
      <c r="AI511" s="2" t="str">
        <f t="shared" si="69"/>
        <v/>
      </c>
      <c r="AJ511" s="2" t="str">
        <f t="shared" si="70"/>
        <v/>
      </c>
      <c r="AK511" s="2" t="str">
        <f t="shared" si="71"/>
        <v/>
      </c>
    </row>
    <row r="512" spans="1:37" x14ac:dyDescent="0.25">
      <c r="A512">
        <v>2382</v>
      </c>
      <c r="B512" t="s">
        <v>590</v>
      </c>
      <c r="C512" t="s">
        <v>94</v>
      </c>
      <c r="D512" t="s">
        <v>558</v>
      </c>
      <c r="E512" t="s">
        <v>29</v>
      </c>
      <c r="F512" t="s">
        <v>143</v>
      </c>
      <c r="G512" t="s">
        <v>38</v>
      </c>
      <c r="H512" s="1">
        <v>45030.529537037037</v>
      </c>
      <c r="I512" s="1">
        <v>45034.529537037037</v>
      </c>
      <c r="J512" t="s">
        <v>32</v>
      </c>
      <c r="K512" s="1">
        <v>45044.529537037037</v>
      </c>
      <c r="L512" t="s">
        <v>33</v>
      </c>
      <c r="M512" t="s">
        <v>108</v>
      </c>
      <c r="T512">
        <v>0</v>
      </c>
      <c r="Y512" t="s">
        <v>55</v>
      </c>
      <c r="AC512" s="2">
        <f t="shared" si="63"/>
        <v>4</v>
      </c>
      <c r="AD512" s="2">
        <f t="shared" si="64"/>
        <v>14</v>
      </c>
      <c r="AE512" s="2">
        <f t="shared" si="65"/>
        <v>10</v>
      </c>
      <c r="AF512" s="2" t="str">
        <f t="shared" si="66"/>
        <v/>
      </c>
      <c r="AG512" s="2" t="str">
        <f t="shared" si="67"/>
        <v/>
      </c>
      <c r="AH512" s="4" t="str">
        <f t="shared" si="68"/>
        <v/>
      </c>
      <c r="AI512" s="2" t="str">
        <f t="shared" si="69"/>
        <v/>
      </c>
      <c r="AJ512" s="2" t="str">
        <f t="shared" si="70"/>
        <v/>
      </c>
      <c r="AK512" s="2" t="str">
        <f t="shared" si="71"/>
        <v/>
      </c>
    </row>
    <row r="513" spans="1:37" x14ac:dyDescent="0.25">
      <c r="A513">
        <v>2369</v>
      </c>
      <c r="B513" t="s">
        <v>591</v>
      </c>
      <c r="C513" t="s">
        <v>94</v>
      </c>
      <c r="D513" t="s">
        <v>558</v>
      </c>
      <c r="E513" t="s">
        <v>29</v>
      </c>
      <c r="F513" t="s">
        <v>143</v>
      </c>
      <c r="G513" t="s">
        <v>38</v>
      </c>
      <c r="H513" s="1">
        <v>44971.268252314818</v>
      </c>
      <c r="I513" s="1">
        <v>44975.268252314818</v>
      </c>
      <c r="J513" t="s">
        <v>44</v>
      </c>
      <c r="K513" s="1"/>
      <c r="T513">
        <v>0</v>
      </c>
      <c r="AC513" s="2">
        <f t="shared" si="63"/>
        <v>4</v>
      </c>
      <c r="AD513" s="2" t="str">
        <f t="shared" si="64"/>
        <v/>
      </c>
      <c r="AE513" s="2" t="str">
        <f t="shared" si="65"/>
        <v/>
      </c>
      <c r="AF513" s="2" t="str">
        <f t="shared" si="66"/>
        <v/>
      </c>
      <c r="AG513" s="2" t="str">
        <f t="shared" si="67"/>
        <v/>
      </c>
      <c r="AH513" s="4" t="str">
        <f t="shared" si="68"/>
        <v/>
      </c>
      <c r="AI513" s="2" t="str">
        <f t="shared" si="69"/>
        <v/>
      </c>
      <c r="AJ513" s="2" t="str">
        <f t="shared" si="70"/>
        <v/>
      </c>
      <c r="AK513" s="2" t="str">
        <f t="shared" si="71"/>
        <v/>
      </c>
    </row>
    <row r="514" spans="1:37" x14ac:dyDescent="0.25">
      <c r="A514">
        <v>2368</v>
      </c>
      <c r="B514" t="s">
        <v>592</v>
      </c>
      <c r="C514" t="s">
        <v>94</v>
      </c>
      <c r="D514" t="s">
        <v>558</v>
      </c>
      <c r="E514" t="s">
        <v>29</v>
      </c>
      <c r="F514" t="s">
        <v>143</v>
      </c>
      <c r="G514" t="s">
        <v>38</v>
      </c>
      <c r="H514" s="1">
        <v>44975.268252314818</v>
      </c>
      <c r="I514" s="1">
        <v>44976.268252314818</v>
      </c>
      <c r="J514" t="s">
        <v>32</v>
      </c>
      <c r="K514" s="1">
        <v>44982.268252314818</v>
      </c>
      <c r="L514" t="s">
        <v>33</v>
      </c>
      <c r="M514" t="s">
        <v>108</v>
      </c>
      <c r="T514">
        <v>0</v>
      </c>
      <c r="Y514" t="s">
        <v>35</v>
      </c>
      <c r="AC514" s="2">
        <f t="shared" si="63"/>
        <v>1</v>
      </c>
      <c r="AD514" s="2">
        <f t="shared" si="64"/>
        <v>7</v>
      </c>
      <c r="AE514" s="2">
        <f t="shared" si="65"/>
        <v>6</v>
      </c>
      <c r="AF514" s="2" t="str">
        <f t="shared" si="66"/>
        <v/>
      </c>
      <c r="AG514" s="2" t="str">
        <f t="shared" si="67"/>
        <v/>
      </c>
      <c r="AH514" s="4" t="str">
        <f t="shared" si="68"/>
        <v/>
      </c>
      <c r="AI514" s="2" t="str">
        <f t="shared" si="69"/>
        <v/>
      </c>
      <c r="AJ514" s="2" t="str">
        <f t="shared" si="70"/>
        <v/>
      </c>
      <c r="AK514" s="2" t="str">
        <f t="shared" si="71"/>
        <v/>
      </c>
    </row>
    <row r="515" spans="1:37" x14ac:dyDescent="0.25">
      <c r="A515">
        <v>2364</v>
      </c>
      <c r="B515" t="s">
        <v>593</v>
      </c>
      <c r="C515" t="s">
        <v>94</v>
      </c>
      <c r="D515" t="s">
        <v>558</v>
      </c>
      <c r="E515" t="s">
        <v>29</v>
      </c>
      <c r="F515" t="s">
        <v>143</v>
      </c>
      <c r="G515" t="s">
        <v>38</v>
      </c>
      <c r="H515" s="1">
        <v>44978.268252314818</v>
      </c>
      <c r="I515" s="1">
        <v>44979.268252314818</v>
      </c>
      <c r="J515" t="s">
        <v>44</v>
      </c>
      <c r="K515" s="1"/>
      <c r="T515">
        <v>0</v>
      </c>
      <c r="AC515" s="2">
        <f t="shared" ref="AC515:AC578" si="72">IF(AND(I515&lt;&gt;"",H515&lt;&gt;""), I515-H515, "")</f>
        <v>1</v>
      </c>
      <c r="AD515" s="2" t="str">
        <f t="shared" ref="AD515:AD578" si="73">IF(AND(K515&lt;&gt;"",H515&lt;&gt;""), K515-H515, "")</f>
        <v/>
      </c>
      <c r="AE515" s="2" t="str">
        <f t="shared" ref="AE515:AE578" si="74">IF(AND(K515&lt;&gt;"",I515&lt;&gt;""), K515-I515, "")</f>
        <v/>
      </c>
      <c r="AF515" s="2" t="str">
        <f t="shared" ref="AF515:AF578" si="75">IF(AND(R515&lt;&gt;"",H515&lt;&gt;""), R515-H515, "")</f>
        <v/>
      </c>
      <c r="AG515" s="2" t="str">
        <f t="shared" ref="AG515:AG578" si="76">IF(AND(R515&lt;&gt;"",K515&lt;&gt;""), R515-K515, "")</f>
        <v/>
      </c>
      <c r="AH515" s="4" t="str">
        <f t="shared" ref="AH515:AH578" si="77">IF(R515&lt;&gt;"", R515+90, "")</f>
        <v/>
      </c>
      <c r="AI515" s="2" t="str">
        <f t="shared" ref="AI515:AI578" si="78">IF(AND(U515&lt;&gt;"",S515&lt;&gt;""), U515-S515, "")</f>
        <v/>
      </c>
      <c r="AJ515" s="2" t="str">
        <f t="shared" ref="AJ515:AJ578" si="79">IF(AND(Z515&lt;&gt;"",R515&lt;&gt;""), Z515-R515, "")</f>
        <v/>
      </c>
      <c r="AK515" s="2" t="str">
        <f t="shared" ref="AK515:AK578" si="80">IF(AND(W515&lt;&gt;"",R515&lt;&gt;""), W515-R515, "")</f>
        <v/>
      </c>
    </row>
    <row r="516" spans="1:37" x14ac:dyDescent="0.25">
      <c r="A516">
        <v>2363</v>
      </c>
      <c r="B516" t="s">
        <v>594</v>
      </c>
      <c r="C516" t="s">
        <v>94</v>
      </c>
      <c r="D516" t="s">
        <v>558</v>
      </c>
      <c r="E516" t="s">
        <v>42</v>
      </c>
      <c r="F516" t="s">
        <v>253</v>
      </c>
      <c r="G516" t="s">
        <v>38</v>
      </c>
      <c r="H516" s="1">
        <v>44971.268252314818</v>
      </c>
      <c r="I516" s="1">
        <v>44975.268252314818</v>
      </c>
      <c r="J516" t="s">
        <v>32</v>
      </c>
      <c r="K516" s="1">
        <v>44996.268252314818</v>
      </c>
      <c r="L516" t="s">
        <v>164</v>
      </c>
      <c r="N516" s="4">
        <v>45001.268252314818</v>
      </c>
      <c r="O516" t="s">
        <v>164</v>
      </c>
      <c r="R516" s="4">
        <v>45000.268252314818</v>
      </c>
      <c r="T516">
        <v>0</v>
      </c>
      <c r="AC516" s="2">
        <f t="shared" si="72"/>
        <v>4</v>
      </c>
      <c r="AD516" s="2">
        <f t="shared" si="73"/>
        <v>25</v>
      </c>
      <c r="AE516" s="2">
        <f t="shared" si="74"/>
        <v>21</v>
      </c>
      <c r="AF516" s="2">
        <f t="shared" si="75"/>
        <v>29</v>
      </c>
      <c r="AG516" s="2">
        <f t="shared" si="76"/>
        <v>4</v>
      </c>
      <c r="AH516" s="4">
        <f t="shared" si="77"/>
        <v>45090.268252314818</v>
      </c>
      <c r="AI516" s="2" t="str">
        <f t="shared" si="78"/>
        <v/>
      </c>
      <c r="AJ516" s="2" t="str">
        <f t="shared" si="79"/>
        <v/>
      </c>
      <c r="AK516" s="2" t="str">
        <f t="shared" si="80"/>
        <v/>
      </c>
    </row>
    <row r="517" spans="1:37" x14ac:dyDescent="0.25">
      <c r="A517">
        <v>2361</v>
      </c>
      <c r="B517" t="s">
        <v>595</v>
      </c>
      <c r="C517" t="s">
        <v>94</v>
      </c>
      <c r="D517" t="s">
        <v>558</v>
      </c>
      <c r="E517" t="s">
        <v>42</v>
      </c>
      <c r="F517" t="s">
        <v>253</v>
      </c>
      <c r="G517" t="s">
        <v>38</v>
      </c>
      <c r="H517" s="1">
        <v>44975.268252314818</v>
      </c>
      <c r="I517" s="1">
        <v>44976.268252314818</v>
      </c>
      <c r="J517" t="s">
        <v>44</v>
      </c>
      <c r="K517" s="1"/>
      <c r="T517">
        <v>0</v>
      </c>
      <c r="AC517" s="2">
        <f t="shared" si="72"/>
        <v>1</v>
      </c>
      <c r="AD517" s="2" t="str">
        <f t="shared" si="73"/>
        <v/>
      </c>
      <c r="AE517" s="2" t="str">
        <f t="shared" si="74"/>
        <v/>
      </c>
      <c r="AF517" s="2" t="str">
        <f t="shared" si="75"/>
        <v/>
      </c>
      <c r="AG517" s="2" t="str">
        <f t="shared" si="76"/>
        <v/>
      </c>
      <c r="AH517" s="4" t="str">
        <f t="shared" si="77"/>
        <v/>
      </c>
      <c r="AI517" s="2" t="str">
        <f t="shared" si="78"/>
        <v/>
      </c>
      <c r="AJ517" s="2" t="str">
        <f t="shared" si="79"/>
        <v/>
      </c>
      <c r="AK517" s="2" t="str">
        <f t="shared" si="80"/>
        <v/>
      </c>
    </row>
    <row r="518" spans="1:37" x14ac:dyDescent="0.25">
      <c r="A518">
        <v>2316</v>
      </c>
      <c r="B518" t="s">
        <v>596</v>
      </c>
      <c r="C518" t="s">
        <v>94</v>
      </c>
      <c r="D518" t="s">
        <v>558</v>
      </c>
      <c r="E518" t="s">
        <v>42</v>
      </c>
      <c r="F518" t="s">
        <v>253</v>
      </c>
      <c r="G518" t="s">
        <v>38</v>
      </c>
      <c r="H518" s="1">
        <v>44668.037303240744</v>
      </c>
      <c r="I518" s="1">
        <v>44672.037303240744</v>
      </c>
      <c r="J518" t="s">
        <v>32</v>
      </c>
      <c r="K518" s="1">
        <v>44690.037303240744</v>
      </c>
      <c r="L518" t="s">
        <v>33</v>
      </c>
      <c r="M518" t="s">
        <v>34</v>
      </c>
      <c r="R518" s="4">
        <v>44693.037303240744</v>
      </c>
      <c r="T518">
        <v>0</v>
      </c>
      <c r="Y518" t="s">
        <v>55</v>
      </c>
      <c r="AC518" s="2">
        <f t="shared" si="72"/>
        <v>4</v>
      </c>
      <c r="AD518" s="2">
        <f t="shared" si="73"/>
        <v>22</v>
      </c>
      <c r="AE518" s="2">
        <f t="shared" si="74"/>
        <v>18</v>
      </c>
      <c r="AF518" s="2">
        <f t="shared" si="75"/>
        <v>25</v>
      </c>
      <c r="AG518" s="2">
        <f t="shared" si="76"/>
        <v>3</v>
      </c>
      <c r="AH518" s="4">
        <f t="shared" si="77"/>
        <v>44783.037303240744</v>
      </c>
      <c r="AI518" s="2" t="str">
        <f t="shared" si="78"/>
        <v/>
      </c>
      <c r="AJ518" s="2" t="str">
        <f t="shared" si="79"/>
        <v/>
      </c>
      <c r="AK518" s="2" t="str">
        <f t="shared" si="80"/>
        <v/>
      </c>
    </row>
    <row r="519" spans="1:37" x14ac:dyDescent="0.25">
      <c r="A519">
        <v>2312</v>
      </c>
      <c r="B519" t="s">
        <v>597</v>
      </c>
      <c r="C519" t="s">
        <v>94</v>
      </c>
      <c r="D519" t="s">
        <v>558</v>
      </c>
      <c r="E519" t="s">
        <v>42</v>
      </c>
      <c r="F519" t="s">
        <v>253</v>
      </c>
      <c r="G519" t="s">
        <v>38</v>
      </c>
      <c r="H519" s="1">
        <v>44675.037303240744</v>
      </c>
      <c r="I519" s="1">
        <v>44676.037303240744</v>
      </c>
      <c r="J519" t="s">
        <v>44</v>
      </c>
      <c r="K519" s="1"/>
      <c r="T519">
        <v>0</v>
      </c>
      <c r="AC519" s="2">
        <f t="shared" si="72"/>
        <v>1</v>
      </c>
      <c r="AD519" s="2" t="str">
        <f t="shared" si="73"/>
        <v/>
      </c>
      <c r="AE519" s="2" t="str">
        <f t="shared" si="74"/>
        <v/>
      </c>
      <c r="AF519" s="2" t="str">
        <f t="shared" si="75"/>
        <v/>
      </c>
      <c r="AG519" s="2" t="str">
        <f t="shared" si="76"/>
        <v/>
      </c>
      <c r="AH519" s="4" t="str">
        <f t="shared" si="77"/>
        <v/>
      </c>
      <c r="AI519" s="2" t="str">
        <f t="shared" si="78"/>
        <v/>
      </c>
      <c r="AJ519" s="2" t="str">
        <f t="shared" si="79"/>
        <v/>
      </c>
      <c r="AK519" s="2" t="str">
        <f t="shared" si="80"/>
        <v/>
      </c>
    </row>
    <row r="520" spans="1:37" x14ac:dyDescent="0.25">
      <c r="A520">
        <v>2246</v>
      </c>
      <c r="B520" t="s">
        <v>598</v>
      </c>
      <c r="C520" t="s">
        <v>94</v>
      </c>
      <c r="D520" t="s">
        <v>558</v>
      </c>
      <c r="E520" t="s">
        <v>42</v>
      </c>
      <c r="F520" t="s">
        <v>253</v>
      </c>
      <c r="G520" t="s">
        <v>38</v>
      </c>
      <c r="H520" s="1">
        <v>44924.601747685185</v>
      </c>
      <c r="I520" s="1">
        <v>44925.601747685185</v>
      </c>
      <c r="J520" t="s">
        <v>32</v>
      </c>
      <c r="K520" s="1">
        <v>44943.601747685185</v>
      </c>
      <c r="L520" t="s">
        <v>39</v>
      </c>
      <c r="N520" s="4">
        <v>44948.601747685185</v>
      </c>
      <c r="O520" t="s">
        <v>39</v>
      </c>
      <c r="R520" s="4">
        <v>44947.601747685185</v>
      </c>
      <c r="T520">
        <v>0</v>
      </c>
      <c r="AC520" s="2">
        <f t="shared" si="72"/>
        <v>1</v>
      </c>
      <c r="AD520" s="2">
        <f t="shared" si="73"/>
        <v>19</v>
      </c>
      <c r="AE520" s="2">
        <f t="shared" si="74"/>
        <v>18</v>
      </c>
      <c r="AF520" s="2">
        <f t="shared" si="75"/>
        <v>23</v>
      </c>
      <c r="AG520" s="2">
        <f t="shared" si="76"/>
        <v>4</v>
      </c>
      <c r="AH520" s="4">
        <f t="shared" si="77"/>
        <v>45037.601747685185</v>
      </c>
      <c r="AI520" s="2" t="str">
        <f t="shared" si="78"/>
        <v/>
      </c>
      <c r="AJ520" s="2" t="str">
        <f t="shared" si="79"/>
        <v/>
      </c>
      <c r="AK520" s="2" t="str">
        <f t="shared" si="80"/>
        <v/>
      </c>
    </row>
    <row r="521" spans="1:37" x14ac:dyDescent="0.25">
      <c r="A521">
        <v>2167</v>
      </c>
      <c r="B521" t="s">
        <v>599</v>
      </c>
      <c r="C521" t="s">
        <v>94</v>
      </c>
      <c r="D521" t="s">
        <v>558</v>
      </c>
      <c r="E521" t="s">
        <v>42</v>
      </c>
      <c r="F521" t="s">
        <v>253</v>
      </c>
      <c r="G521" t="s">
        <v>38</v>
      </c>
      <c r="H521" s="1">
        <v>44795.082037037035</v>
      </c>
      <c r="I521" s="1">
        <v>44799.082037037035</v>
      </c>
      <c r="J521" t="s">
        <v>32</v>
      </c>
      <c r="K521" s="1">
        <v>44817.082037037035</v>
      </c>
      <c r="L521" t="s">
        <v>57</v>
      </c>
      <c r="N521" s="4">
        <v>44820.082037037035</v>
      </c>
      <c r="O521" t="s">
        <v>57</v>
      </c>
      <c r="P521" s="4">
        <v>44818.082037037035</v>
      </c>
      <c r="Q521" s="4">
        <v>44822.082037037035</v>
      </c>
      <c r="R521" s="4">
        <v>44818.082037037035</v>
      </c>
      <c r="S521" s="4">
        <v>44828.082037037035</v>
      </c>
      <c r="T521">
        <v>1</v>
      </c>
      <c r="U521" s="4">
        <v>44831.082037037035</v>
      </c>
      <c r="V521" s="4">
        <v>44834.082037037035</v>
      </c>
      <c r="W521" s="4">
        <v>44836.082037037035</v>
      </c>
      <c r="Z521" s="4">
        <v>44852.082037037035</v>
      </c>
      <c r="AC521" s="2">
        <f t="shared" si="72"/>
        <v>4</v>
      </c>
      <c r="AD521" s="2">
        <f t="shared" si="73"/>
        <v>22</v>
      </c>
      <c r="AE521" s="2">
        <f t="shared" si="74"/>
        <v>18</v>
      </c>
      <c r="AF521" s="2">
        <f t="shared" si="75"/>
        <v>23</v>
      </c>
      <c r="AG521" s="2">
        <f t="shared" si="76"/>
        <v>1</v>
      </c>
      <c r="AH521" s="4">
        <f t="shared" si="77"/>
        <v>44908.082037037035</v>
      </c>
      <c r="AI521" s="2">
        <f t="shared" si="78"/>
        <v>3</v>
      </c>
      <c r="AJ521" s="2">
        <f t="shared" si="79"/>
        <v>34</v>
      </c>
      <c r="AK521" s="2">
        <f t="shared" si="80"/>
        <v>18</v>
      </c>
    </row>
    <row r="522" spans="1:37" x14ac:dyDescent="0.25">
      <c r="A522">
        <v>2165</v>
      </c>
      <c r="B522" t="s">
        <v>600</v>
      </c>
      <c r="C522" t="s">
        <v>94</v>
      </c>
      <c r="D522" t="s">
        <v>558</v>
      </c>
      <c r="E522" t="s">
        <v>601</v>
      </c>
      <c r="F522" t="s">
        <v>602</v>
      </c>
      <c r="G522" t="s">
        <v>38</v>
      </c>
      <c r="H522" s="1">
        <v>44796.082037037035</v>
      </c>
      <c r="I522" s="1">
        <v>44797.082037037035</v>
      </c>
      <c r="J522" t="s">
        <v>44</v>
      </c>
      <c r="K522" s="1"/>
      <c r="T522">
        <v>0</v>
      </c>
      <c r="AC522" s="2">
        <f t="shared" si="72"/>
        <v>1</v>
      </c>
      <c r="AD522" s="2" t="str">
        <f t="shared" si="73"/>
        <v/>
      </c>
      <c r="AE522" s="2" t="str">
        <f t="shared" si="74"/>
        <v/>
      </c>
      <c r="AF522" s="2" t="str">
        <f t="shared" si="75"/>
        <v/>
      </c>
      <c r="AG522" s="2" t="str">
        <f t="shared" si="76"/>
        <v/>
      </c>
      <c r="AH522" s="4" t="str">
        <f t="shared" si="77"/>
        <v/>
      </c>
      <c r="AI522" s="2" t="str">
        <f t="shared" si="78"/>
        <v/>
      </c>
      <c r="AJ522" s="2" t="str">
        <f t="shared" si="79"/>
        <v/>
      </c>
      <c r="AK522" s="2" t="str">
        <f t="shared" si="80"/>
        <v/>
      </c>
    </row>
    <row r="523" spans="1:37" x14ac:dyDescent="0.25">
      <c r="A523">
        <v>2130</v>
      </c>
      <c r="B523" t="s">
        <v>603</v>
      </c>
      <c r="C523" t="s">
        <v>94</v>
      </c>
      <c r="D523" t="s">
        <v>558</v>
      </c>
      <c r="E523" t="s">
        <v>601</v>
      </c>
      <c r="F523" t="s">
        <v>602</v>
      </c>
      <c r="G523" t="s">
        <v>38</v>
      </c>
      <c r="H523" s="1">
        <v>44930.473356481481</v>
      </c>
      <c r="I523" s="1">
        <v>44933.473356481481</v>
      </c>
      <c r="J523" t="s">
        <v>32</v>
      </c>
      <c r="K523" s="1">
        <v>44941.473356481481</v>
      </c>
      <c r="L523" t="s">
        <v>33</v>
      </c>
      <c r="M523" t="s">
        <v>67</v>
      </c>
      <c r="R523" s="4">
        <v>44945.473356481481</v>
      </c>
      <c r="T523">
        <v>0</v>
      </c>
      <c r="Y523" t="s">
        <v>55</v>
      </c>
      <c r="AC523" s="2">
        <f t="shared" si="72"/>
        <v>3</v>
      </c>
      <c r="AD523" s="2">
        <f t="shared" si="73"/>
        <v>11</v>
      </c>
      <c r="AE523" s="2">
        <f t="shared" si="74"/>
        <v>8</v>
      </c>
      <c r="AF523" s="2">
        <f t="shared" si="75"/>
        <v>15</v>
      </c>
      <c r="AG523" s="2">
        <f t="shared" si="76"/>
        <v>4</v>
      </c>
      <c r="AH523" s="4">
        <f t="shared" si="77"/>
        <v>45035.473356481481</v>
      </c>
      <c r="AI523" s="2" t="str">
        <f t="shared" si="78"/>
        <v/>
      </c>
      <c r="AJ523" s="2" t="str">
        <f t="shared" si="79"/>
        <v/>
      </c>
      <c r="AK523" s="2" t="str">
        <f t="shared" si="80"/>
        <v/>
      </c>
    </row>
    <row r="524" spans="1:37" x14ac:dyDescent="0.25">
      <c r="A524">
        <v>2128</v>
      </c>
      <c r="B524" t="s">
        <v>604</v>
      </c>
      <c r="C524" t="s">
        <v>94</v>
      </c>
      <c r="D524" t="s">
        <v>558</v>
      </c>
      <c r="E524" t="s">
        <v>601</v>
      </c>
      <c r="F524" t="s">
        <v>602</v>
      </c>
      <c r="G524" t="s">
        <v>38</v>
      </c>
      <c r="H524" s="1">
        <v>44930.473356481481</v>
      </c>
      <c r="I524" s="1">
        <v>44934.473356481481</v>
      </c>
      <c r="J524" t="s">
        <v>32</v>
      </c>
      <c r="K524" s="1">
        <v>44949.473356481481</v>
      </c>
      <c r="L524" t="s">
        <v>33</v>
      </c>
      <c r="M524" t="s">
        <v>67</v>
      </c>
      <c r="T524">
        <v>0</v>
      </c>
      <c r="Y524" t="s">
        <v>35</v>
      </c>
      <c r="AC524" s="2">
        <f t="shared" si="72"/>
        <v>4</v>
      </c>
      <c r="AD524" s="2">
        <f t="shared" si="73"/>
        <v>19</v>
      </c>
      <c r="AE524" s="2">
        <f t="shared" si="74"/>
        <v>15</v>
      </c>
      <c r="AF524" s="2" t="str">
        <f t="shared" si="75"/>
        <v/>
      </c>
      <c r="AG524" s="2" t="str">
        <f t="shared" si="76"/>
        <v/>
      </c>
      <c r="AH524" s="4" t="str">
        <f t="shared" si="77"/>
        <v/>
      </c>
      <c r="AI524" s="2" t="str">
        <f t="shared" si="78"/>
        <v/>
      </c>
      <c r="AJ524" s="2" t="str">
        <f t="shared" si="79"/>
        <v/>
      </c>
      <c r="AK524" s="2" t="str">
        <f t="shared" si="80"/>
        <v/>
      </c>
    </row>
    <row r="525" spans="1:37" x14ac:dyDescent="0.25">
      <c r="A525">
        <v>2126</v>
      </c>
      <c r="B525" t="s">
        <v>605</v>
      </c>
      <c r="C525" t="s">
        <v>94</v>
      </c>
      <c r="D525" t="s">
        <v>558</v>
      </c>
      <c r="E525" t="s">
        <v>601</v>
      </c>
      <c r="F525" t="s">
        <v>602</v>
      </c>
      <c r="G525" t="s">
        <v>38</v>
      </c>
      <c r="H525" s="1">
        <v>44931.473356481481</v>
      </c>
      <c r="I525" s="1">
        <v>44933.473356481481</v>
      </c>
      <c r="J525" t="s">
        <v>32</v>
      </c>
      <c r="K525" s="1">
        <v>44945.473356481481</v>
      </c>
      <c r="L525" t="s">
        <v>39</v>
      </c>
      <c r="N525" s="4">
        <v>44953.473356481481</v>
      </c>
      <c r="O525" t="s">
        <v>39</v>
      </c>
      <c r="R525" s="4">
        <v>44949.473356481481</v>
      </c>
      <c r="T525">
        <v>0</v>
      </c>
      <c r="AC525" s="2">
        <f t="shared" si="72"/>
        <v>2</v>
      </c>
      <c r="AD525" s="2">
        <f t="shared" si="73"/>
        <v>14</v>
      </c>
      <c r="AE525" s="2">
        <f t="shared" si="74"/>
        <v>12</v>
      </c>
      <c r="AF525" s="2">
        <f t="shared" si="75"/>
        <v>18</v>
      </c>
      <c r="AG525" s="2">
        <f t="shared" si="76"/>
        <v>4</v>
      </c>
      <c r="AH525" s="4">
        <f t="shared" si="77"/>
        <v>45039.473356481481</v>
      </c>
      <c r="AI525" s="2" t="str">
        <f t="shared" si="78"/>
        <v/>
      </c>
      <c r="AJ525" s="2" t="str">
        <f t="shared" si="79"/>
        <v/>
      </c>
      <c r="AK525" s="2" t="str">
        <f t="shared" si="80"/>
        <v/>
      </c>
    </row>
    <row r="526" spans="1:37" x14ac:dyDescent="0.25">
      <c r="A526">
        <v>2119</v>
      </c>
      <c r="B526" t="s">
        <v>606</v>
      </c>
      <c r="C526" t="s">
        <v>94</v>
      </c>
      <c r="D526" t="s">
        <v>558</v>
      </c>
      <c r="E526" t="s">
        <v>601</v>
      </c>
      <c r="F526" t="s">
        <v>602</v>
      </c>
      <c r="G526" t="s">
        <v>38</v>
      </c>
      <c r="H526" s="1">
        <v>45029.055439814816</v>
      </c>
      <c r="I526" s="1">
        <v>45033.055439814816</v>
      </c>
      <c r="J526" t="s">
        <v>32</v>
      </c>
      <c r="K526" s="1">
        <v>45054.055439814816</v>
      </c>
      <c r="L526" t="s">
        <v>57</v>
      </c>
      <c r="N526" s="4">
        <v>45060.055439814816</v>
      </c>
      <c r="O526" t="s">
        <v>57</v>
      </c>
      <c r="P526" s="4">
        <v>45056.055439814816</v>
      </c>
      <c r="Q526" s="4">
        <v>45057.055439814816</v>
      </c>
      <c r="R526" s="4">
        <v>45058.055439814816</v>
      </c>
      <c r="S526" s="4">
        <v>45061.055439814816</v>
      </c>
      <c r="T526">
        <v>1</v>
      </c>
      <c r="U526" s="4">
        <v>45065.055439814816</v>
      </c>
      <c r="V526" s="4">
        <v>45067.055439814816</v>
      </c>
      <c r="W526" s="4">
        <v>45068.055439814816</v>
      </c>
      <c r="Z526" s="4">
        <v>45091.055439814816</v>
      </c>
      <c r="AC526" s="2">
        <f t="shared" si="72"/>
        <v>4</v>
      </c>
      <c r="AD526" s="2">
        <f t="shared" si="73"/>
        <v>25</v>
      </c>
      <c r="AE526" s="2">
        <f t="shared" si="74"/>
        <v>21</v>
      </c>
      <c r="AF526" s="2">
        <f t="shared" si="75"/>
        <v>29</v>
      </c>
      <c r="AG526" s="2">
        <f t="shared" si="76"/>
        <v>4</v>
      </c>
      <c r="AH526" s="4">
        <f t="shared" si="77"/>
        <v>45148.055439814816</v>
      </c>
      <c r="AI526" s="2">
        <f t="shared" si="78"/>
        <v>4</v>
      </c>
      <c r="AJ526" s="2">
        <f t="shared" si="79"/>
        <v>33</v>
      </c>
      <c r="AK526" s="2">
        <f t="shared" si="80"/>
        <v>10</v>
      </c>
    </row>
    <row r="527" spans="1:37" x14ac:dyDescent="0.25">
      <c r="A527">
        <v>2064</v>
      </c>
      <c r="B527" t="s">
        <v>607</v>
      </c>
      <c r="C527" t="s">
        <v>94</v>
      </c>
      <c r="D527" t="s">
        <v>558</v>
      </c>
      <c r="E527" t="s">
        <v>601</v>
      </c>
      <c r="F527" t="s">
        <v>602</v>
      </c>
      <c r="G527" t="s">
        <v>38</v>
      </c>
      <c r="H527" s="1">
        <v>44867.782581018517</v>
      </c>
      <c r="I527" s="1">
        <v>44868.782581018517</v>
      </c>
      <c r="J527" t="s">
        <v>32</v>
      </c>
      <c r="K527" s="1">
        <v>44882.782581018517</v>
      </c>
      <c r="L527" t="s">
        <v>39</v>
      </c>
      <c r="N527" s="4">
        <v>44889.782581018517</v>
      </c>
      <c r="O527" t="s">
        <v>39</v>
      </c>
      <c r="R527" s="4">
        <v>44886.782581018517</v>
      </c>
      <c r="T527">
        <v>0</v>
      </c>
      <c r="AC527" s="2">
        <f t="shared" si="72"/>
        <v>1</v>
      </c>
      <c r="AD527" s="2">
        <f t="shared" si="73"/>
        <v>15</v>
      </c>
      <c r="AE527" s="2">
        <f t="shared" si="74"/>
        <v>14</v>
      </c>
      <c r="AF527" s="2">
        <f t="shared" si="75"/>
        <v>19</v>
      </c>
      <c r="AG527" s="2">
        <f t="shared" si="76"/>
        <v>4</v>
      </c>
      <c r="AH527" s="4">
        <f t="shared" si="77"/>
        <v>44976.782581018517</v>
      </c>
      <c r="AI527" s="2" t="str">
        <f t="shared" si="78"/>
        <v/>
      </c>
      <c r="AJ527" s="2" t="str">
        <f t="shared" si="79"/>
        <v/>
      </c>
      <c r="AK527" s="2" t="str">
        <f t="shared" si="80"/>
        <v/>
      </c>
    </row>
    <row r="528" spans="1:37" x14ac:dyDescent="0.25">
      <c r="A528">
        <v>2062</v>
      </c>
      <c r="B528" t="s">
        <v>608</v>
      </c>
      <c r="C528" t="s">
        <v>94</v>
      </c>
      <c r="D528" t="s">
        <v>558</v>
      </c>
      <c r="E528" t="s">
        <v>601</v>
      </c>
      <c r="F528" t="s">
        <v>602</v>
      </c>
      <c r="G528" t="s">
        <v>38</v>
      </c>
      <c r="H528" s="1">
        <v>44869.782581018517</v>
      </c>
      <c r="I528" s="1">
        <v>44872.782581018517</v>
      </c>
      <c r="J528" t="s">
        <v>32</v>
      </c>
      <c r="K528" s="1">
        <v>44888.782581018517</v>
      </c>
      <c r="L528" t="s">
        <v>33</v>
      </c>
      <c r="M528" t="s">
        <v>108</v>
      </c>
      <c r="T528">
        <v>0</v>
      </c>
      <c r="Y528" t="s">
        <v>55</v>
      </c>
      <c r="AC528" s="2">
        <f t="shared" si="72"/>
        <v>3</v>
      </c>
      <c r="AD528" s="2">
        <f t="shared" si="73"/>
        <v>19</v>
      </c>
      <c r="AE528" s="2">
        <f t="shared" si="74"/>
        <v>16</v>
      </c>
      <c r="AF528" s="2" t="str">
        <f t="shared" si="75"/>
        <v/>
      </c>
      <c r="AG528" s="2" t="str">
        <f t="shared" si="76"/>
        <v/>
      </c>
      <c r="AH528" s="4" t="str">
        <f t="shared" si="77"/>
        <v/>
      </c>
      <c r="AI528" s="2" t="str">
        <f t="shared" si="78"/>
        <v/>
      </c>
      <c r="AJ528" s="2" t="str">
        <f t="shared" si="79"/>
        <v/>
      </c>
      <c r="AK528" s="2" t="str">
        <f t="shared" si="80"/>
        <v/>
      </c>
    </row>
    <row r="529" spans="1:37" x14ac:dyDescent="0.25">
      <c r="A529">
        <v>2008</v>
      </c>
      <c r="B529" t="s">
        <v>609</v>
      </c>
      <c r="C529" t="s">
        <v>94</v>
      </c>
      <c r="D529" t="s">
        <v>558</v>
      </c>
      <c r="E529" t="s">
        <v>601</v>
      </c>
      <c r="F529" t="s">
        <v>602</v>
      </c>
      <c r="G529" t="s">
        <v>38</v>
      </c>
      <c r="H529" s="1">
        <v>44748.13113425926</v>
      </c>
      <c r="I529" s="1">
        <v>44749.13113425926</v>
      </c>
      <c r="J529" t="s">
        <v>32</v>
      </c>
      <c r="K529" s="1">
        <v>44765.13113425926</v>
      </c>
      <c r="L529" t="s">
        <v>39</v>
      </c>
      <c r="N529" s="4">
        <v>44770.13113425926</v>
      </c>
      <c r="O529" t="s">
        <v>39</v>
      </c>
      <c r="R529" s="4">
        <v>44767.13113425926</v>
      </c>
      <c r="T529">
        <v>0</v>
      </c>
      <c r="AC529" s="2">
        <f t="shared" si="72"/>
        <v>1</v>
      </c>
      <c r="AD529" s="2">
        <f t="shared" si="73"/>
        <v>17</v>
      </c>
      <c r="AE529" s="2">
        <f t="shared" si="74"/>
        <v>16</v>
      </c>
      <c r="AF529" s="2">
        <f t="shared" si="75"/>
        <v>19</v>
      </c>
      <c r="AG529" s="2">
        <f t="shared" si="76"/>
        <v>2</v>
      </c>
      <c r="AH529" s="4">
        <f t="shared" si="77"/>
        <v>44857.13113425926</v>
      </c>
      <c r="AI529" s="2" t="str">
        <f t="shared" si="78"/>
        <v/>
      </c>
      <c r="AJ529" s="2" t="str">
        <f t="shared" si="79"/>
        <v/>
      </c>
      <c r="AK529" s="2" t="str">
        <f t="shared" si="80"/>
        <v/>
      </c>
    </row>
    <row r="530" spans="1:37" x14ac:dyDescent="0.25">
      <c r="A530">
        <v>2006</v>
      </c>
      <c r="B530" t="s">
        <v>610</v>
      </c>
      <c r="C530" t="s">
        <v>94</v>
      </c>
      <c r="D530" t="s">
        <v>558</v>
      </c>
      <c r="E530" t="s">
        <v>601</v>
      </c>
      <c r="F530" t="s">
        <v>602</v>
      </c>
      <c r="G530" t="s">
        <v>38</v>
      </c>
      <c r="H530" s="1">
        <v>44747.13113425926</v>
      </c>
      <c r="I530" s="1">
        <v>44750.13113425926</v>
      </c>
      <c r="J530" t="s">
        <v>32</v>
      </c>
      <c r="K530" s="1">
        <v>44769.13113425926</v>
      </c>
      <c r="L530" t="s">
        <v>33</v>
      </c>
      <c r="M530" t="s">
        <v>92</v>
      </c>
      <c r="R530" s="4">
        <v>44773.13113425926</v>
      </c>
      <c r="T530">
        <v>0</v>
      </c>
      <c r="Y530" t="s">
        <v>35</v>
      </c>
      <c r="AC530" s="2">
        <f t="shared" si="72"/>
        <v>3</v>
      </c>
      <c r="AD530" s="2">
        <f t="shared" si="73"/>
        <v>22</v>
      </c>
      <c r="AE530" s="2">
        <f t="shared" si="74"/>
        <v>19</v>
      </c>
      <c r="AF530" s="2">
        <f t="shared" si="75"/>
        <v>26</v>
      </c>
      <c r="AG530" s="2">
        <f t="shared" si="76"/>
        <v>4</v>
      </c>
      <c r="AH530" s="4">
        <f t="shared" si="77"/>
        <v>44863.13113425926</v>
      </c>
      <c r="AI530" s="2" t="str">
        <f t="shared" si="78"/>
        <v/>
      </c>
      <c r="AJ530" s="2" t="str">
        <f t="shared" si="79"/>
        <v/>
      </c>
      <c r="AK530" s="2" t="str">
        <f t="shared" si="80"/>
        <v/>
      </c>
    </row>
    <row r="531" spans="1:37" x14ac:dyDescent="0.25">
      <c r="A531">
        <v>2001</v>
      </c>
      <c r="B531" t="s">
        <v>611</v>
      </c>
      <c r="C531" t="s">
        <v>94</v>
      </c>
      <c r="D531" t="s">
        <v>558</v>
      </c>
      <c r="E531" t="s">
        <v>601</v>
      </c>
      <c r="F531" t="s">
        <v>602</v>
      </c>
      <c r="G531" t="s">
        <v>38</v>
      </c>
      <c r="H531" s="1">
        <v>44749.13113425926</v>
      </c>
      <c r="I531" s="1">
        <v>44752.13113425926</v>
      </c>
      <c r="J531" t="s">
        <v>32</v>
      </c>
      <c r="K531" s="1">
        <v>44766.13113425926</v>
      </c>
      <c r="L531" t="s">
        <v>164</v>
      </c>
      <c r="N531" s="4">
        <v>44769.13113425926</v>
      </c>
      <c r="O531" t="s">
        <v>164</v>
      </c>
      <c r="R531" s="4">
        <v>44768.13113425926</v>
      </c>
      <c r="T531">
        <v>0</v>
      </c>
      <c r="AC531" s="2">
        <f t="shared" si="72"/>
        <v>3</v>
      </c>
      <c r="AD531" s="2">
        <f t="shared" si="73"/>
        <v>17</v>
      </c>
      <c r="AE531" s="2">
        <f t="shared" si="74"/>
        <v>14</v>
      </c>
      <c r="AF531" s="2">
        <f t="shared" si="75"/>
        <v>19</v>
      </c>
      <c r="AG531" s="2">
        <f t="shared" si="76"/>
        <v>2</v>
      </c>
      <c r="AH531" s="4">
        <f t="shared" si="77"/>
        <v>44858.13113425926</v>
      </c>
      <c r="AI531" s="2" t="str">
        <f t="shared" si="78"/>
        <v/>
      </c>
      <c r="AJ531" s="2" t="str">
        <f t="shared" si="79"/>
        <v/>
      </c>
      <c r="AK531" s="2" t="str">
        <f t="shared" si="80"/>
        <v/>
      </c>
    </row>
    <row r="532" spans="1:37" x14ac:dyDescent="0.25">
      <c r="A532">
        <v>1985</v>
      </c>
      <c r="B532" t="s">
        <v>612</v>
      </c>
      <c r="C532" t="s">
        <v>94</v>
      </c>
      <c r="D532" t="s">
        <v>558</v>
      </c>
      <c r="E532" t="s">
        <v>601</v>
      </c>
      <c r="F532" t="s">
        <v>602</v>
      </c>
      <c r="G532" t="s">
        <v>38</v>
      </c>
      <c r="H532" s="1">
        <v>44595.370439814818</v>
      </c>
      <c r="I532" s="1">
        <v>44599.370439814818</v>
      </c>
      <c r="J532" t="s">
        <v>32</v>
      </c>
      <c r="K532" s="1">
        <v>44618.370439814818</v>
      </c>
      <c r="L532" t="s">
        <v>164</v>
      </c>
      <c r="N532" s="4">
        <v>44626.370439814818</v>
      </c>
      <c r="O532" t="s">
        <v>164</v>
      </c>
      <c r="R532" s="4">
        <v>44622.370439814818</v>
      </c>
      <c r="T532">
        <v>0</v>
      </c>
      <c r="AC532" s="2">
        <f t="shared" si="72"/>
        <v>4</v>
      </c>
      <c r="AD532" s="2">
        <f t="shared" si="73"/>
        <v>23</v>
      </c>
      <c r="AE532" s="2">
        <f t="shared" si="74"/>
        <v>19</v>
      </c>
      <c r="AF532" s="2">
        <f t="shared" si="75"/>
        <v>27</v>
      </c>
      <c r="AG532" s="2">
        <f t="shared" si="76"/>
        <v>4</v>
      </c>
      <c r="AH532" s="4">
        <f t="shared" si="77"/>
        <v>44712.370439814818</v>
      </c>
      <c r="AI532" s="2" t="str">
        <f t="shared" si="78"/>
        <v/>
      </c>
      <c r="AJ532" s="2" t="str">
        <f t="shared" si="79"/>
        <v/>
      </c>
      <c r="AK532" s="2" t="str">
        <f t="shared" si="80"/>
        <v/>
      </c>
    </row>
    <row r="533" spans="1:37" x14ac:dyDescent="0.25">
      <c r="A533">
        <v>1972</v>
      </c>
      <c r="B533" t="s">
        <v>613</v>
      </c>
      <c r="C533" t="s">
        <v>94</v>
      </c>
      <c r="D533" t="s">
        <v>558</v>
      </c>
      <c r="E533" t="s">
        <v>601</v>
      </c>
      <c r="F533" t="s">
        <v>602</v>
      </c>
      <c r="G533" t="s">
        <v>38</v>
      </c>
      <c r="H533" s="1">
        <v>44852.498391203706</v>
      </c>
      <c r="I533" s="1">
        <v>44856.498391203706</v>
      </c>
      <c r="J533" t="s">
        <v>32</v>
      </c>
      <c r="K533" s="1">
        <v>44873.498391203706</v>
      </c>
      <c r="L533" t="s">
        <v>33</v>
      </c>
      <c r="M533" t="s">
        <v>51</v>
      </c>
      <c r="T533">
        <v>0</v>
      </c>
      <c r="Y533" t="s">
        <v>55</v>
      </c>
      <c r="AC533" s="2">
        <f t="shared" si="72"/>
        <v>4</v>
      </c>
      <c r="AD533" s="2">
        <f t="shared" si="73"/>
        <v>21</v>
      </c>
      <c r="AE533" s="2">
        <f t="shared" si="74"/>
        <v>17</v>
      </c>
      <c r="AF533" s="2" t="str">
        <f t="shared" si="75"/>
        <v/>
      </c>
      <c r="AG533" s="2" t="str">
        <f t="shared" si="76"/>
        <v/>
      </c>
      <c r="AH533" s="4" t="str">
        <f t="shared" si="77"/>
        <v/>
      </c>
      <c r="AI533" s="2" t="str">
        <f t="shared" si="78"/>
        <v/>
      </c>
      <c r="AJ533" s="2" t="str">
        <f t="shared" si="79"/>
        <v/>
      </c>
      <c r="AK533" s="2" t="str">
        <f t="shared" si="80"/>
        <v/>
      </c>
    </row>
    <row r="534" spans="1:37" x14ac:dyDescent="0.25">
      <c r="A534">
        <v>1969</v>
      </c>
      <c r="B534" t="s">
        <v>614</v>
      </c>
      <c r="C534" t="s">
        <v>94</v>
      </c>
      <c r="D534" t="s">
        <v>558</v>
      </c>
      <c r="E534" t="s">
        <v>601</v>
      </c>
      <c r="F534" t="s">
        <v>602</v>
      </c>
      <c r="G534" t="s">
        <v>38</v>
      </c>
      <c r="H534" s="1">
        <v>44900.432847222219</v>
      </c>
      <c r="I534" s="1">
        <v>44901.432847222219</v>
      </c>
      <c r="J534" t="s">
        <v>32</v>
      </c>
      <c r="K534" s="1">
        <v>44904.432847222219</v>
      </c>
      <c r="L534" t="s">
        <v>33</v>
      </c>
      <c r="M534" t="s">
        <v>67</v>
      </c>
      <c r="R534" s="4">
        <v>44908.432847222219</v>
      </c>
      <c r="T534">
        <v>0</v>
      </c>
      <c r="Y534" t="s">
        <v>55</v>
      </c>
      <c r="AC534" s="2">
        <f t="shared" si="72"/>
        <v>1</v>
      </c>
      <c r="AD534" s="2">
        <f t="shared" si="73"/>
        <v>4</v>
      </c>
      <c r="AE534" s="2">
        <f t="shared" si="74"/>
        <v>3</v>
      </c>
      <c r="AF534" s="2">
        <f t="shared" si="75"/>
        <v>8</v>
      </c>
      <c r="AG534" s="2">
        <f t="shared" si="76"/>
        <v>4</v>
      </c>
      <c r="AH534" s="4">
        <f t="shared" si="77"/>
        <v>44998.432847222219</v>
      </c>
      <c r="AI534" s="2" t="str">
        <f t="shared" si="78"/>
        <v/>
      </c>
      <c r="AJ534" s="2" t="str">
        <f t="shared" si="79"/>
        <v/>
      </c>
      <c r="AK534" s="2" t="str">
        <f t="shared" si="80"/>
        <v/>
      </c>
    </row>
    <row r="535" spans="1:37" x14ac:dyDescent="0.25">
      <c r="A535">
        <v>1964</v>
      </c>
      <c r="B535" t="s">
        <v>615</v>
      </c>
      <c r="C535" t="s">
        <v>94</v>
      </c>
      <c r="D535" t="s">
        <v>558</v>
      </c>
      <c r="E535" t="s">
        <v>601</v>
      </c>
      <c r="F535" t="s">
        <v>602</v>
      </c>
      <c r="G535" t="s">
        <v>38</v>
      </c>
      <c r="H535" s="1">
        <v>44897.432847222219</v>
      </c>
      <c r="I535" s="1">
        <v>44899.432847222219</v>
      </c>
      <c r="J535" t="s">
        <v>32</v>
      </c>
      <c r="K535" s="1">
        <v>44906.432847222219</v>
      </c>
      <c r="L535" t="s">
        <v>33</v>
      </c>
      <c r="M535" t="s">
        <v>92</v>
      </c>
      <c r="T535">
        <v>0</v>
      </c>
      <c r="Y535" t="s">
        <v>35</v>
      </c>
      <c r="AC535" s="2">
        <f t="shared" si="72"/>
        <v>2</v>
      </c>
      <c r="AD535" s="2">
        <f t="shared" si="73"/>
        <v>9</v>
      </c>
      <c r="AE535" s="2">
        <f t="shared" si="74"/>
        <v>7</v>
      </c>
      <c r="AF535" s="2" t="str">
        <f t="shared" si="75"/>
        <v/>
      </c>
      <c r="AG535" s="2" t="str">
        <f t="shared" si="76"/>
        <v/>
      </c>
      <c r="AH535" s="4" t="str">
        <f t="shared" si="77"/>
        <v/>
      </c>
      <c r="AI535" s="2" t="str">
        <f t="shared" si="78"/>
        <v/>
      </c>
      <c r="AJ535" s="2" t="str">
        <f t="shared" si="79"/>
        <v/>
      </c>
      <c r="AK535" s="2" t="str">
        <f t="shared" si="80"/>
        <v/>
      </c>
    </row>
    <row r="536" spans="1:37" x14ac:dyDescent="0.25">
      <c r="A536">
        <v>1961</v>
      </c>
      <c r="B536" t="s">
        <v>616</v>
      </c>
      <c r="C536" t="s">
        <v>94</v>
      </c>
      <c r="D536" t="s">
        <v>558</v>
      </c>
      <c r="E536" t="s">
        <v>601</v>
      </c>
      <c r="F536" t="s">
        <v>602</v>
      </c>
      <c r="G536" t="s">
        <v>38</v>
      </c>
      <c r="H536" s="1">
        <v>44897.432847222219</v>
      </c>
      <c r="I536" s="1">
        <v>44900.432847222219</v>
      </c>
      <c r="J536" t="s">
        <v>32</v>
      </c>
      <c r="K536" s="1">
        <v>44918.432847222219</v>
      </c>
      <c r="L536" t="s">
        <v>57</v>
      </c>
      <c r="N536" s="4">
        <v>44924.432847222219</v>
      </c>
      <c r="O536" t="s">
        <v>57</v>
      </c>
      <c r="P536" s="4">
        <v>44920.432847222219</v>
      </c>
      <c r="Q536" s="4">
        <v>44924.432847222219</v>
      </c>
      <c r="R536" s="4">
        <v>44921.432847222219</v>
      </c>
      <c r="S536" s="4">
        <v>44927.432847222219</v>
      </c>
      <c r="T536">
        <v>1</v>
      </c>
      <c r="U536" s="4">
        <v>44928.432847222219</v>
      </c>
      <c r="V536" s="4">
        <v>44931.432847222219</v>
      </c>
      <c r="W536" s="4">
        <v>44934.432847222219</v>
      </c>
      <c r="Z536" s="4">
        <v>44943.432847222219</v>
      </c>
      <c r="AC536" s="2">
        <f t="shared" si="72"/>
        <v>3</v>
      </c>
      <c r="AD536" s="2">
        <f t="shared" si="73"/>
        <v>21</v>
      </c>
      <c r="AE536" s="2">
        <f t="shared" si="74"/>
        <v>18</v>
      </c>
      <c r="AF536" s="2">
        <f t="shared" si="75"/>
        <v>24</v>
      </c>
      <c r="AG536" s="2">
        <f t="shared" si="76"/>
        <v>3</v>
      </c>
      <c r="AH536" s="4">
        <f t="shared" si="77"/>
        <v>45011.432847222219</v>
      </c>
      <c r="AI536" s="2">
        <f t="shared" si="78"/>
        <v>1</v>
      </c>
      <c r="AJ536" s="2">
        <f t="shared" si="79"/>
        <v>22</v>
      </c>
      <c r="AK536" s="2">
        <f t="shared" si="80"/>
        <v>13</v>
      </c>
    </row>
    <row r="537" spans="1:37" x14ac:dyDescent="0.25">
      <c r="A537">
        <v>1817</v>
      </c>
      <c r="B537" t="s">
        <v>617</v>
      </c>
      <c r="C537" t="s">
        <v>94</v>
      </c>
      <c r="D537" t="s">
        <v>558</v>
      </c>
      <c r="E537" t="s">
        <v>601</v>
      </c>
      <c r="F537" t="s">
        <v>602</v>
      </c>
      <c r="G537" t="s">
        <v>38</v>
      </c>
      <c r="H537" s="1">
        <v>44823.186388888891</v>
      </c>
      <c r="I537" s="1">
        <v>44825.186388888891</v>
      </c>
      <c r="J537" t="s">
        <v>32</v>
      </c>
      <c r="K537" s="1">
        <v>44837.186388888891</v>
      </c>
      <c r="L537" t="s">
        <v>57</v>
      </c>
      <c r="N537" s="4">
        <v>44843.186388888891</v>
      </c>
      <c r="O537" t="s">
        <v>57</v>
      </c>
      <c r="P537" s="4">
        <v>44838.186388888891</v>
      </c>
      <c r="Q537" s="4">
        <v>44841.186388888891</v>
      </c>
      <c r="R537" s="4">
        <v>44840.186388888891</v>
      </c>
      <c r="S537" s="4">
        <v>44844.186388888891</v>
      </c>
      <c r="T537">
        <v>1</v>
      </c>
      <c r="U537" s="4">
        <v>44846.186388888891</v>
      </c>
      <c r="V537" s="4">
        <v>44847.186388888891</v>
      </c>
      <c r="W537" s="4">
        <v>44849.186388888891</v>
      </c>
      <c r="Z537" s="4">
        <v>44859.186388888891</v>
      </c>
      <c r="AC537" s="2">
        <f t="shared" si="72"/>
        <v>2</v>
      </c>
      <c r="AD537" s="2">
        <f t="shared" si="73"/>
        <v>14</v>
      </c>
      <c r="AE537" s="2">
        <f t="shared" si="74"/>
        <v>12</v>
      </c>
      <c r="AF537" s="2">
        <f t="shared" si="75"/>
        <v>17</v>
      </c>
      <c r="AG537" s="2">
        <f t="shared" si="76"/>
        <v>3</v>
      </c>
      <c r="AH537" s="4">
        <f t="shared" si="77"/>
        <v>44930.186388888891</v>
      </c>
      <c r="AI537" s="2">
        <f t="shared" si="78"/>
        <v>2</v>
      </c>
      <c r="AJ537" s="2">
        <f t="shared" si="79"/>
        <v>19</v>
      </c>
      <c r="AK537" s="2">
        <f t="shared" si="80"/>
        <v>9</v>
      </c>
    </row>
    <row r="538" spans="1:37" x14ac:dyDescent="0.25">
      <c r="A538">
        <v>1800</v>
      </c>
      <c r="B538" t="s">
        <v>618</v>
      </c>
      <c r="C538" t="s">
        <v>94</v>
      </c>
      <c r="D538" t="s">
        <v>558</v>
      </c>
      <c r="E538" t="s">
        <v>601</v>
      </c>
      <c r="F538" t="s">
        <v>602</v>
      </c>
      <c r="G538" t="s">
        <v>38</v>
      </c>
      <c r="H538" s="1">
        <v>44832.47960648148</v>
      </c>
      <c r="I538" s="1">
        <v>44834.47960648148</v>
      </c>
      <c r="J538" t="s">
        <v>32</v>
      </c>
      <c r="K538" s="1">
        <v>44844.47960648148</v>
      </c>
      <c r="L538" t="s">
        <v>164</v>
      </c>
      <c r="N538" s="4">
        <v>44848.47960648148</v>
      </c>
      <c r="O538" t="s">
        <v>164</v>
      </c>
      <c r="R538" s="4">
        <v>44846.47960648148</v>
      </c>
      <c r="T538">
        <v>0</v>
      </c>
      <c r="AC538" s="2">
        <f t="shared" si="72"/>
        <v>2</v>
      </c>
      <c r="AD538" s="2">
        <f t="shared" si="73"/>
        <v>12</v>
      </c>
      <c r="AE538" s="2">
        <f t="shared" si="74"/>
        <v>10</v>
      </c>
      <c r="AF538" s="2">
        <f t="shared" si="75"/>
        <v>14</v>
      </c>
      <c r="AG538" s="2">
        <f t="shared" si="76"/>
        <v>2</v>
      </c>
      <c r="AH538" s="4">
        <f t="shared" si="77"/>
        <v>44936.47960648148</v>
      </c>
      <c r="AI538" s="2" t="str">
        <f t="shared" si="78"/>
        <v/>
      </c>
      <c r="AJ538" s="2" t="str">
        <f t="shared" si="79"/>
        <v/>
      </c>
      <c r="AK538" s="2" t="str">
        <f t="shared" si="80"/>
        <v/>
      </c>
    </row>
    <row r="539" spans="1:37" x14ac:dyDescent="0.25">
      <c r="A539">
        <v>1791</v>
      </c>
      <c r="B539" t="s">
        <v>619</v>
      </c>
      <c r="C539" t="s">
        <v>94</v>
      </c>
      <c r="D539" t="s">
        <v>558</v>
      </c>
      <c r="E539" t="s">
        <v>601</v>
      </c>
      <c r="F539" t="s">
        <v>602</v>
      </c>
      <c r="G539" t="s">
        <v>38</v>
      </c>
      <c r="H539" s="1">
        <v>44830.47960648148</v>
      </c>
      <c r="I539" s="1">
        <v>44834.47960648148</v>
      </c>
      <c r="J539" t="s">
        <v>44</v>
      </c>
      <c r="K539" s="1"/>
      <c r="T539">
        <v>0</v>
      </c>
      <c r="AC539" s="2">
        <f t="shared" si="72"/>
        <v>4</v>
      </c>
      <c r="AD539" s="2" t="str">
        <f t="shared" si="73"/>
        <v/>
      </c>
      <c r="AE539" s="2" t="str">
        <f t="shared" si="74"/>
        <v/>
      </c>
      <c r="AF539" s="2" t="str">
        <f t="shared" si="75"/>
        <v/>
      </c>
      <c r="AG539" s="2" t="str">
        <f t="shared" si="76"/>
        <v/>
      </c>
      <c r="AH539" s="4" t="str">
        <f t="shared" si="77"/>
        <v/>
      </c>
      <c r="AI539" s="2" t="str">
        <f t="shared" si="78"/>
        <v/>
      </c>
      <c r="AJ539" s="2" t="str">
        <f t="shared" si="79"/>
        <v/>
      </c>
      <c r="AK539" s="2" t="str">
        <f t="shared" si="80"/>
        <v/>
      </c>
    </row>
    <row r="540" spans="1:37" x14ac:dyDescent="0.25">
      <c r="A540">
        <v>1690</v>
      </c>
      <c r="B540" t="s">
        <v>620</v>
      </c>
      <c r="C540" t="s">
        <v>94</v>
      </c>
      <c r="D540" t="s">
        <v>558</v>
      </c>
      <c r="E540" t="s">
        <v>601</v>
      </c>
      <c r="F540" t="s">
        <v>602</v>
      </c>
      <c r="G540" t="s">
        <v>38</v>
      </c>
      <c r="H540" s="1">
        <v>44658.28056712963</v>
      </c>
      <c r="I540" s="1">
        <v>44660.28056712963</v>
      </c>
      <c r="J540" t="s">
        <v>32</v>
      </c>
      <c r="K540" s="1">
        <v>44671.28056712963</v>
      </c>
      <c r="L540" t="s">
        <v>57</v>
      </c>
      <c r="N540" s="4">
        <v>44678.28056712963</v>
      </c>
      <c r="O540" t="s">
        <v>57</v>
      </c>
      <c r="P540" s="4">
        <v>44672.28056712963</v>
      </c>
      <c r="Q540" s="4">
        <v>44676.28056712963</v>
      </c>
      <c r="R540" s="4">
        <v>44675.28056712963</v>
      </c>
      <c r="S540" s="4">
        <v>44680.28056712963</v>
      </c>
      <c r="T540">
        <v>1</v>
      </c>
      <c r="U540" s="4">
        <v>44681.28056712963</v>
      </c>
      <c r="V540" s="4">
        <v>44682.28056712963</v>
      </c>
      <c r="W540" s="4">
        <v>44683.28056712963</v>
      </c>
      <c r="Z540" s="4">
        <v>44706.28056712963</v>
      </c>
      <c r="AC540" s="2">
        <f t="shared" si="72"/>
        <v>2</v>
      </c>
      <c r="AD540" s="2">
        <f t="shared" si="73"/>
        <v>13</v>
      </c>
      <c r="AE540" s="2">
        <f t="shared" si="74"/>
        <v>11</v>
      </c>
      <c r="AF540" s="2">
        <f t="shared" si="75"/>
        <v>17</v>
      </c>
      <c r="AG540" s="2">
        <f t="shared" si="76"/>
        <v>4</v>
      </c>
      <c r="AH540" s="4">
        <f t="shared" si="77"/>
        <v>44765.28056712963</v>
      </c>
      <c r="AI540" s="2">
        <f t="shared" si="78"/>
        <v>1</v>
      </c>
      <c r="AJ540" s="2">
        <f t="shared" si="79"/>
        <v>31</v>
      </c>
      <c r="AK540" s="2">
        <f t="shared" si="80"/>
        <v>8</v>
      </c>
    </row>
    <row r="541" spans="1:37" x14ac:dyDescent="0.25">
      <c r="A541">
        <v>1685</v>
      </c>
      <c r="B541" t="s">
        <v>621</v>
      </c>
      <c r="C541" t="s">
        <v>94</v>
      </c>
      <c r="D541" t="s">
        <v>558</v>
      </c>
      <c r="E541" t="s">
        <v>601</v>
      </c>
      <c r="F541" t="s">
        <v>602</v>
      </c>
      <c r="G541" t="s">
        <v>38</v>
      </c>
      <c r="H541" s="1">
        <v>44664.28056712963</v>
      </c>
      <c r="I541" s="1">
        <v>44665.28056712963</v>
      </c>
      <c r="J541" t="s">
        <v>32</v>
      </c>
      <c r="K541" s="1">
        <v>44669.28056712963</v>
      </c>
      <c r="L541" t="s">
        <v>33</v>
      </c>
      <c r="M541" t="s">
        <v>34</v>
      </c>
      <c r="T541">
        <v>0</v>
      </c>
      <c r="Y541" t="s">
        <v>35</v>
      </c>
      <c r="AC541" s="2">
        <f t="shared" si="72"/>
        <v>1</v>
      </c>
      <c r="AD541" s="2">
        <f t="shared" si="73"/>
        <v>5</v>
      </c>
      <c r="AE541" s="2">
        <f t="shared" si="74"/>
        <v>4</v>
      </c>
      <c r="AF541" s="2" t="str">
        <f t="shared" si="75"/>
        <v/>
      </c>
      <c r="AG541" s="2" t="str">
        <f t="shared" si="76"/>
        <v/>
      </c>
      <c r="AH541" s="4" t="str">
        <f t="shared" si="77"/>
        <v/>
      </c>
      <c r="AI541" s="2" t="str">
        <f t="shared" si="78"/>
        <v/>
      </c>
      <c r="AJ541" s="2" t="str">
        <f t="shared" si="79"/>
        <v/>
      </c>
      <c r="AK541" s="2" t="str">
        <f t="shared" si="80"/>
        <v/>
      </c>
    </row>
    <row r="542" spans="1:37" x14ac:dyDescent="0.25">
      <c r="A542">
        <v>1668</v>
      </c>
      <c r="B542" t="s">
        <v>622</v>
      </c>
      <c r="C542" t="s">
        <v>94</v>
      </c>
      <c r="D542" t="s">
        <v>558</v>
      </c>
      <c r="E542" t="s">
        <v>601</v>
      </c>
      <c r="F542" t="s">
        <v>602</v>
      </c>
      <c r="G542" t="s">
        <v>38</v>
      </c>
      <c r="H542" s="1">
        <v>44676.935347222221</v>
      </c>
      <c r="I542" s="1">
        <v>44677.935347222221</v>
      </c>
      <c r="J542" t="s">
        <v>32</v>
      </c>
      <c r="K542" s="1">
        <v>44681.935347222221</v>
      </c>
      <c r="L542" t="s">
        <v>33</v>
      </c>
      <c r="M542" t="s">
        <v>34</v>
      </c>
      <c r="T542">
        <v>0</v>
      </c>
      <c r="Y542" t="s">
        <v>35</v>
      </c>
      <c r="AC542" s="2">
        <f t="shared" si="72"/>
        <v>1</v>
      </c>
      <c r="AD542" s="2">
        <f t="shared" si="73"/>
        <v>5</v>
      </c>
      <c r="AE542" s="2">
        <f t="shared" si="74"/>
        <v>4</v>
      </c>
      <c r="AF542" s="2" t="str">
        <f t="shared" si="75"/>
        <v/>
      </c>
      <c r="AG542" s="2" t="str">
        <f t="shared" si="76"/>
        <v/>
      </c>
      <c r="AH542" s="4" t="str">
        <f t="shared" si="77"/>
        <v/>
      </c>
      <c r="AI542" s="2" t="str">
        <f t="shared" si="78"/>
        <v/>
      </c>
      <c r="AJ542" s="2" t="str">
        <f t="shared" si="79"/>
        <v/>
      </c>
      <c r="AK542" s="2" t="str">
        <f t="shared" si="80"/>
        <v/>
      </c>
    </row>
    <row r="543" spans="1:37" x14ac:dyDescent="0.25">
      <c r="A543">
        <v>1667</v>
      </c>
      <c r="B543" t="s">
        <v>623</v>
      </c>
      <c r="C543" t="s">
        <v>94</v>
      </c>
      <c r="D543" t="s">
        <v>558</v>
      </c>
      <c r="E543" t="s">
        <v>601</v>
      </c>
      <c r="F543" t="s">
        <v>602</v>
      </c>
      <c r="G543" t="s">
        <v>38</v>
      </c>
      <c r="H543" s="1">
        <v>44672.935347222221</v>
      </c>
      <c r="I543" s="1">
        <v>44674.935347222221</v>
      </c>
      <c r="J543" t="s">
        <v>32</v>
      </c>
      <c r="K543" s="1">
        <v>44681.935347222221</v>
      </c>
      <c r="L543" t="s">
        <v>33</v>
      </c>
      <c r="M543" t="s">
        <v>67</v>
      </c>
      <c r="T543">
        <v>0</v>
      </c>
      <c r="Y543" t="s">
        <v>55</v>
      </c>
      <c r="AC543" s="2">
        <f t="shared" si="72"/>
        <v>2</v>
      </c>
      <c r="AD543" s="2">
        <f t="shared" si="73"/>
        <v>9</v>
      </c>
      <c r="AE543" s="2">
        <f t="shared" si="74"/>
        <v>7</v>
      </c>
      <c r="AF543" s="2" t="str">
        <f t="shared" si="75"/>
        <v/>
      </c>
      <c r="AG543" s="2" t="str">
        <f t="shared" si="76"/>
        <v/>
      </c>
      <c r="AH543" s="4" t="str">
        <f t="shared" si="77"/>
        <v/>
      </c>
      <c r="AI543" s="2" t="str">
        <f t="shared" si="78"/>
        <v/>
      </c>
      <c r="AJ543" s="2" t="str">
        <f t="shared" si="79"/>
        <v/>
      </c>
      <c r="AK543" s="2" t="str">
        <f t="shared" si="80"/>
        <v/>
      </c>
    </row>
    <row r="544" spans="1:37" x14ac:dyDescent="0.25">
      <c r="A544">
        <v>1665</v>
      </c>
      <c r="B544" t="s">
        <v>624</v>
      </c>
      <c r="C544" t="s">
        <v>94</v>
      </c>
      <c r="D544" t="s">
        <v>558</v>
      </c>
      <c r="E544" t="s">
        <v>601</v>
      </c>
      <c r="F544" t="s">
        <v>602</v>
      </c>
      <c r="G544" t="s">
        <v>38</v>
      </c>
      <c r="H544" s="1">
        <v>44671.935347222221</v>
      </c>
      <c r="I544" s="1">
        <v>44672.935347222221</v>
      </c>
      <c r="J544" t="s">
        <v>32</v>
      </c>
      <c r="K544" s="1">
        <v>44689.935347222221</v>
      </c>
      <c r="L544" t="s">
        <v>57</v>
      </c>
      <c r="N544" s="4">
        <v>44694.935347222221</v>
      </c>
      <c r="O544" t="s">
        <v>57</v>
      </c>
      <c r="P544" s="4">
        <v>44691.935347222221</v>
      </c>
      <c r="Q544" s="4">
        <v>44693.935347222221</v>
      </c>
      <c r="R544" s="4">
        <v>44692.935347222221</v>
      </c>
      <c r="S544" s="4">
        <v>44702.935347222221</v>
      </c>
      <c r="T544">
        <v>1</v>
      </c>
      <c r="U544" s="4">
        <v>44703.935347222221</v>
      </c>
      <c r="V544" s="4">
        <v>44705.935347222221</v>
      </c>
      <c r="W544" s="4">
        <v>44708.935347222221</v>
      </c>
      <c r="Z544" s="4">
        <v>44728.935347222221</v>
      </c>
      <c r="AC544" s="2">
        <f t="shared" si="72"/>
        <v>1</v>
      </c>
      <c r="AD544" s="2">
        <f t="shared" si="73"/>
        <v>18</v>
      </c>
      <c r="AE544" s="2">
        <f t="shared" si="74"/>
        <v>17</v>
      </c>
      <c r="AF544" s="2">
        <f t="shared" si="75"/>
        <v>21</v>
      </c>
      <c r="AG544" s="2">
        <f t="shared" si="76"/>
        <v>3</v>
      </c>
      <c r="AH544" s="4">
        <f t="shared" si="77"/>
        <v>44782.935347222221</v>
      </c>
      <c r="AI544" s="2">
        <f t="shared" si="78"/>
        <v>1</v>
      </c>
      <c r="AJ544" s="2">
        <f t="shared" si="79"/>
        <v>36</v>
      </c>
      <c r="AK544" s="2">
        <f t="shared" si="80"/>
        <v>16</v>
      </c>
    </row>
    <row r="545" spans="1:37" x14ac:dyDescent="0.25">
      <c r="A545">
        <v>1448</v>
      </c>
      <c r="B545" t="s">
        <v>625</v>
      </c>
      <c r="C545" t="s">
        <v>94</v>
      </c>
      <c r="D545" t="s">
        <v>558</v>
      </c>
      <c r="E545" t="s">
        <v>601</v>
      </c>
      <c r="F545" t="s">
        <v>602</v>
      </c>
      <c r="G545" t="s">
        <v>38</v>
      </c>
      <c r="H545" s="1">
        <v>45014.427199074074</v>
      </c>
      <c r="I545" s="1">
        <v>45018.427199074074</v>
      </c>
      <c r="J545" t="s">
        <v>32</v>
      </c>
      <c r="K545" s="1">
        <v>45028.427199074074</v>
      </c>
      <c r="L545" t="s">
        <v>33</v>
      </c>
      <c r="M545" t="s">
        <v>108</v>
      </c>
      <c r="R545" s="4">
        <v>45029.427199074074</v>
      </c>
      <c r="T545">
        <v>0</v>
      </c>
      <c r="Y545" t="s">
        <v>35</v>
      </c>
      <c r="AC545" s="2">
        <f t="shared" si="72"/>
        <v>4</v>
      </c>
      <c r="AD545" s="2">
        <f t="shared" si="73"/>
        <v>14</v>
      </c>
      <c r="AE545" s="2">
        <f t="shared" si="74"/>
        <v>10</v>
      </c>
      <c r="AF545" s="2">
        <f t="shared" si="75"/>
        <v>15</v>
      </c>
      <c r="AG545" s="2">
        <f t="shared" si="76"/>
        <v>1</v>
      </c>
      <c r="AH545" s="4">
        <f t="shared" si="77"/>
        <v>45119.427199074074</v>
      </c>
      <c r="AI545" s="2" t="str">
        <f t="shared" si="78"/>
        <v/>
      </c>
      <c r="AJ545" s="2" t="str">
        <f t="shared" si="79"/>
        <v/>
      </c>
      <c r="AK545" s="2" t="str">
        <f t="shared" si="80"/>
        <v/>
      </c>
    </row>
    <row r="546" spans="1:37" x14ac:dyDescent="0.25">
      <c r="A546">
        <v>1445</v>
      </c>
      <c r="B546" t="s">
        <v>626</v>
      </c>
      <c r="C546" t="s">
        <v>94</v>
      </c>
      <c r="D546" t="s">
        <v>558</v>
      </c>
      <c r="E546" t="s">
        <v>601</v>
      </c>
      <c r="F546" t="s">
        <v>602</v>
      </c>
      <c r="G546" t="s">
        <v>38</v>
      </c>
      <c r="H546" s="1">
        <v>45015.427199074074</v>
      </c>
      <c r="I546" s="1">
        <v>45016.427199074074</v>
      </c>
      <c r="J546" t="s">
        <v>44</v>
      </c>
      <c r="K546" s="1"/>
      <c r="T546">
        <v>0</v>
      </c>
      <c r="AC546" s="2">
        <f t="shared" si="72"/>
        <v>1</v>
      </c>
      <c r="AD546" s="2" t="str">
        <f t="shared" si="73"/>
        <v/>
      </c>
      <c r="AE546" s="2" t="str">
        <f t="shared" si="74"/>
        <v/>
      </c>
      <c r="AF546" s="2" t="str">
        <f t="shared" si="75"/>
        <v/>
      </c>
      <c r="AG546" s="2" t="str">
        <f t="shared" si="76"/>
        <v/>
      </c>
      <c r="AH546" s="4" t="str">
        <f t="shared" si="77"/>
        <v/>
      </c>
      <c r="AI546" s="2" t="str">
        <f t="shared" si="78"/>
        <v/>
      </c>
      <c r="AJ546" s="2" t="str">
        <f t="shared" si="79"/>
        <v/>
      </c>
      <c r="AK546" s="2" t="str">
        <f t="shared" si="80"/>
        <v/>
      </c>
    </row>
    <row r="547" spans="1:37" x14ac:dyDescent="0.25">
      <c r="A547">
        <v>1443</v>
      </c>
      <c r="B547" t="s">
        <v>627</v>
      </c>
      <c r="C547" t="s">
        <v>94</v>
      </c>
      <c r="D547" t="s">
        <v>558</v>
      </c>
      <c r="E547" t="s">
        <v>601</v>
      </c>
      <c r="F547" t="s">
        <v>602</v>
      </c>
      <c r="G547" t="s">
        <v>38</v>
      </c>
      <c r="H547" s="1">
        <v>45013.427199074074</v>
      </c>
      <c r="I547" s="1">
        <v>45014.427199074074</v>
      </c>
      <c r="J547" t="s">
        <v>32</v>
      </c>
      <c r="K547" s="1">
        <v>45032.427199074074</v>
      </c>
      <c r="L547" t="s">
        <v>33</v>
      </c>
      <c r="M547" t="s">
        <v>108</v>
      </c>
      <c r="T547">
        <v>0</v>
      </c>
      <c r="Y547" t="s">
        <v>35</v>
      </c>
      <c r="AC547" s="2">
        <f t="shared" si="72"/>
        <v>1</v>
      </c>
      <c r="AD547" s="2">
        <f t="shared" si="73"/>
        <v>19</v>
      </c>
      <c r="AE547" s="2">
        <f t="shared" si="74"/>
        <v>18</v>
      </c>
      <c r="AF547" s="2" t="str">
        <f t="shared" si="75"/>
        <v/>
      </c>
      <c r="AG547" s="2" t="str">
        <f t="shared" si="76"/>
        <v/>
      </c>
      <c r="AH547" s="4" t="str">
        <f t="shared" si="77"/>
        <v/>
      </c>
      <c r="AI547" s="2" t="str">
        <f t="shared" si="78"/>
        <v/>
      </c>
      <c r="AJ547" s="2" t="str">
        <f t="shared" si="79"/>
        <v/>
      </c>
      <c r="AK547" s="2" t="str">
        <f t="shared" si="80"/>
        <v/>
      </c>
    </row>
    <row r="548" spans="1:37" x14ac:dyDescent="0.25">
      <c r="A548">
        <v>1415</v>
      </c>
      <c r="B548" t="s">
        <v>628</v>
      </c>
      <c r="C548" t="s">
        <v>94</v>
      </c>
      <c r="D548" t="s">
        <v>558</v>
      </c>
      <c r="E548" t="s">
        <v>601</v>
      </c>
      <c r="F548" t="s">
        <v>602</v>
      </c>
      <c r="G548" t="s">
        <v>38</v>
      </c>
      <c r="H548" s="1">
        <v>44781.789305555554</v>
      </c>
      <c r="I548" s="1">
        <v>44785.789305555554</v>
      </c>
      <c r="J548" t="s">
        <v>32</v>
      </c>
      <c r="K548" s="1">
        <v>44795.789305555554</v>
      </c>
      <c r="L548" t="s">
        <v>39</v>
      </c>
      <c r="N548" s="4">
        <v>44799.789305555554</v>
      </c>
      <c r="O548" t="s">
        <v>39</v>
      </c>
      <c r="R548" s="4">
        <v>44797.789305555554</v>
      </c>
      <c r="T548">
        <v>0</v>
      </c>
      <c r="AC548" s="2">
        <f t="shared" si="72"/>
        <v>4</v>
      </c>
      <c r="AD548" s="2">
        <f t="shared" si="73"/>
        <v>14</v>
      </c>
      <c r="AE548" s="2">
        <f t="shared" si="74"/>
        <v>10</v>
      </c>
      <c r="AF548" s="2">
        <f t="shared" si="75"/>
        <v>16</v>
      </c>
      <c r="AG548" s="2">
        <f t="shared" si="76"/>
        <v>2</v>
      </c>
      <c r="AH548" s="4">
        <f t="shared" si="77"/>
        <v>44887.789305555554</v>
      </c>
      <c r="AI548" s="2" t="str">
        <f t="shared" si="78"/>
        <v/>
      </c>
      <c r="AJ548" s="2" t="str">
        <f t="shared" si="79"/>
        <v/>
      </c>
      <c r="AK548" s="2" t="str">
        <f t="shared" si="80"/>
        <v/>
      </c>
    </row>
    <row r="549" spans="1:37" x14ac:dyDescent="0.25">
      <c r="A549">
        <v>1413</v>
      </c>
      <c r="B549" t="s">
        <v>629</v>
      </c>
      <c r="C549" t="s">
        <v>94</v>
      </c>
      <c r="D549" t="s">
        <v>558</v>
      </c>
      <c r="E549" t="s">
        <v>601</v>
      </c>
      <c r="F549" t="s">
        <v>602</v>
      </c>
      <c r="G549" t="s">
        <v>38</v>
      </c>
      <c r="H549" s="1">
        <v>44784.789305555554</v>
      </c>
      <c r="I549" s="1">
        <v>44785.789305555554</v>
      </c>
      <c r="J549" t="s">
        <v>32</v>
      </c>
      <c r="K549" s="1">
        <v>44798.789305555554</v>
      </c>
      <c r="L549" t="s">
        <v>39</v>
      </c>
      <c r="N549" s="4">
        <v>44801.789305555554</v>
      </c>
      <c r="O549" t="s">
        <v>39</v>
      </c>
      <c r="R549" s="4">
        <v>44799.789305555554</v>
      </c>
      <c r="T549">
        <v>0</v>
      </c>
      <c r="AC549" s="2">
        <f t="shared" si="72"/>
        <v>1</v>
      </c>
      <c r="AD549" s="2">
        <f t="shared" si="73"/>
        <v>14</v>
      </c>
      <c r="AE549" s="2">
        <f t="shared" si="74"/>
        <v>13</v>
      </c>
      <c r="AF549" s="2">
        <f t="shared" si="75"/>
        <v>15</v>
      </c>
      <c r="AG549" s="2">
        <f t="shared" si="76"/>
        <v>1</v>
      </c>
      <c r="AH549" s="4">
        <f t="shared" si="77"/>
        <v>44889.789305555554</v>
      </c>
      <c r="AI549" s="2" t="str">
        <f t="shared" si="78"/>
        <v/>
      </c>
      <c r="AJ549" s="2" t="str">
        <f t="shared" si="79"/>
        <v/>
      </c>
      <c r="AK549" s="2" t="str">
        <f t="shared" si="80"/>
        <v/>
      </c>
    </row>
    <row r="550" spans="1:37" x14ac:dyDescent="0.25">
      <c r="A550">
        <v>1409</v>
      </c>
      <c r="B550" t="s">
        <v>630</v>
      </c>
      <c r="C550" t="s">
        <v>94</v>
      </c>
      <c r="D550" t="s">
        <v>558</v>
      </c>
      <c r="E550" t="s">
        <v>601</v>
      </c>
      <c r="F550" t="s">
        <v>602</v>
      </c>
      <c r="G550" t="s">
        <v>38</v>
      </c>
      <c r="H550" s="1">
        <v>44614.306493055556</v>
      </c>
      <c r="I550" s="1">
        <v>44616.306493055556</v>
      </c>
      <c r="J550" t="s">
        <v>32</v>
      </c>
      <c r="K550" s="1">
        <v>44633.306493055556</v>
      </c>
      <c r="L550" t="s">
        <v>33</v>
      </c>
      <c r="M550" t="s">
        <v>51</v>
      </c>
      <c r="R550" s="4">
        <v>44637.306493055556</v>
      </c>
      <c r="T550">
        <v>0</v>
      </c>
      <c r="Y550" t="s">
        <v>55</v>
      </c>
      <c r="AC550" s="2">
        <f t="shared" si="72"/>
        <v>2</v>
      </c>
      <c r="AD550" s="2">
        <f t="shared" si="73"/>
        <v>19</v>
      </c>
      <c r="AE550" s="2">
        <f t="shared" si="74"/>
        <v>17</v>
      </c>
      <c r="AF550" s="2">
        <f t="shared" si="75"/>
        <v>23</v>
      </c>
      <c r="AG550" s="2">
        <f t="shared" si="76"/>
        <v>4</v>
      </c>
      <c r="AH550" s="4">
        <f t="shared" si="77"/>
        <v>44727.306493055556</v>
      </c>
      <c r="AI550" s="2" t="str">
        <f t="shared" si="78"/>
        <v/>
      </c>
      <c r="AJ550" s="2" t="str">
        <f t="shared" si="79"/>
        <v/>
      </c>
      <c r="AK550" s="2" t="str">
        <f t="shared" si="80"/>
        <v/>
      </c>
    </row>
    <row r="551" spans="1:37" x14ac:dyDescent="0.25">
      <c r="A551">
        <v>1407</v>
      </c>
      <c r="B551" t="s">
        <v>631</v>
      </c>
      <c r="C551" t="s">
        <v>94</v>
      </c>
      <c r="D551" t="s">
        <v>558</v>
      </c>
      <c r="E551" t="s">
        <v>601</v>
      </c>
      <c r="F551" t="s">
        <v>602</v>
      </c>
      <c r="G551" t="s">
        <v>38</v>
      </c>
      <c r="H551" s="1">
        <v>44612.306493055556</v>
      </c>
      <c r="I551" s="1">
        <v>44614.306493055556</v>
      </c>
      <c r="J551" t="s">
        <v>32</v>
      </c>
      <c r="K551" s="1">
        <v>44636.306493055556</v>
      </c>
      <c r="L551" t="s">
        <v>33</v>
      </c>
      <c r="M551" t="s">
        <v>51</v>
      </c>
      <c r="T551">
        <v>0</v>
      </c>
      <c r="Y551" t="s">
        <v>55</v>
      </c>
      <c r="AC551" s="2">
        <f t="shared" si="72"/>
        <v>2</v>
      </c>
      <c r="AD551" s="2">
        <f t="shared" si="73"/>
        <v>24</v>
      </c>
      <c r="AE551" s="2">
        <f t="shared" si="74"/>
        <v>22</v>
      </c>
      <c r="AF551" s="2" t="str">
        <f t="shared" si="75"/>
        <v/>
      </c>
      <c r="AG551" s="2" t="str">
        <f t="shared" si="76"/>
        <v/>
      </c>
      <c r="AH551" s="4" t="str">
        <f t="shared" si="77"/>
        <v/>
      </c>
      <c r="AI551" s="2" t="str">
        <f t="shared" si="78"/>
        <v/>
      </c>
      <c r="AJ551" s="2" t="str">
        <f t="shared" si="79"/>
        <v/>
      </c>
      <c r="AK551" s="2" t="str">
        <f t="shared" si="80"/>
        <v/>
      </c>
    </row>
    <row r="552" spans="1:37" x14ac:dyDescent="0.25">
      <c r="A552">
        <v>1299</v>
      </c>
      <c r="B552" t="s">
        <v>632</v>
      </c>
      <c r="C552" t="s">
        <v>94</v>
      </c>
      <c r="D552" t="s">
        <v>558</v>
      </c>
      <c r="E552" t="s">
        <v>601</v>
      </c>
      <c r="F552" t="s">
        <v>602</v>
      </c>
      <c r="G552" t="s">
        <v>38</v>
      </c>
      <c r="H552" s="1">
        <v>45091.672731481478</v>
      </c>
      <c r="I552" s="1">
        <v>45094.672731481478</v>
      </c>
      <c r="J552" t="s">
        <v>32</v>
      </c>
      <c r="K552" s="1">
        <v>45102.672731481478</v>
      </c>
      <c r="L552" t="s">
        <v>33</v>
      </c>
      <c r="M552" t="s">
        <v>51</v>
      </c>
      <c r="R552" s="4">
        <v>45105.672731481478</v>
      </c>
      <c r="T552">
        <v>0</v>
      </c>
      <c r="Y552" t="s">
        <v>55</v>
      </c>
      <c r="AC552" s="2">
        <f t="shared" si="72"/>
        <v>3</v>
      </c>
      <c r="AD552" s="2">
        <f t="shared" si="73"/>
        <v>11</v>
      </c>
      <c r="AE552" s="2">
        <f t="shared" si="74"/>
        <v>8</v>
      </c>
      <c r="AF552" s="2">
        <f t="shared" si="75"/>
        <v>14</v>
      </c>
      <c r="AG552" s="2">
        <f t="shared" si="76"/>
        <v>3</v>
      </c>
      <c r="AH552" s="4">
        <f t="shared" si="77"/>
        <v>45195.672731481478</v>
      </c>
      <c r="AI552" s="2" t="str">
        <f t="shared" si="78"/>
        <v/>
      </c>
      <c r="AJ552" s="2" t="str">
        <f t="shared" si="79"/>
        <v/>
      </c>
      <c r="AK552" s="2" t="str">
        <f t="shared" si="80"/>
        <v/>
      </c>
    </row>
    <row r="553" spans="1:37" x14ac:dyDescent="0.25">
      <c r="A553">
        <v>1296</v>
      </c>
      <c r="B553" t="s">
        <v>633</v>
      </c>
      <c r="C553" t="s">
        <v>94</v>
      </c>
      <c r="D553" t="s">
        <v>558</v>
      </c>
      <c r="E553" t="s">
        <v>601</v>
      </c>
      <c r="F553" t="s">
        <v>602</v>
      </c>
      <c r="G553" t="s">
        <v>38</v>
      </c>
      <c r="H553" s="1">
        <v>45091.672731481478</v>
      </c>
      <c r="I553" s="1">
        <v>45092.672731481478</v>
      </c>
      <c r="J553" t="s">
        <v>44</v>
      </c>
      <c r="K553" s="1"/>
      <c r="T553">
        <v>0</v>
      </c>
      <c r="AC553" s="2">
        <f t="shared" si="72"/>
        <v>1</v>
      </c>
      <c r="AD553" s="2" t="str">
        <f t="shared" si="73"/>
        <v/>
      </c>
      <c r="AE553" s="2" t="str">
        <f t="shared" si="74"/>
        <v/>
      </c>
      <c r="AF553" s="2" t="str">
        <f t="shared" si="75"/>
        <v/>
      </c>
      <c r="AG553" s="2" t="str">
        <f t="shared" si="76"/>
        <v/>
      </c>
      <c r="AH553" s="4" t="str">
        <f t="shared" si="77"/>
        <v/>
      </c>
      <c r="AI553" s="2" t="str">
        <f t="shared" si="78"/>
        <v/>
      </c>
      <c r="AJ553" s="2" t="str">
        <f t="shared" si="79"/>
        <v/>
      </c>
      <c r="AK553" s="2" t="str">
        <f t="shared" si="80"/>
        <v/>
      </c>
    </row>
    <row r="554" spans="1:37" x14ac:dyDescent="0.25">
      <c r="A554">
        <v>1292</v>
      </c>
      <c r="B554" t="s">
        <v>634</v>
      </c>
      <c r="C554" t="s">
        <v>94</v>
      </c>
      <c r="D554" t="s">
        <v>558</v>
      </c>
      <c r="E554" t="s">
        <v>601</v>
      </c>
      <c r="F554" t="s">
        <v>602</v>
      </c>
      <c r="G554" t="s">
        <v>38</v>
      </c>
      <c r="H554" s="1">
        <v>45091.672731481478</v>
      </c>
      <c r="I554" s="1">
        <v>45094.672731481478</v>
      </c>
      <c r="J554" t="s">
        <v>32</v>
      </c>
      <c r="K554" s="1">
        <v>45105.672731481478</v>
      </c>
      <c r="L554" t="s">
        <v>164</v>
      </c>
      <c r="N554" s="4">
        <v>45112.672731481478</v>
      </c>
      <c r="O554" t="s">
        <v>164</v>
      </c>
      <c r="R554" s="4">
        <v>45109.672731481478</v>
      </c>
      <c r="T554">
        <v>0</v>
      </c>
      <c r="AC554" s="2">
        <f t="shared" si="72"/>
        <v>3</v>
      </c>
      <c r="AD554" s="2">
        <f t="shared" si="73"/>
        <v>14</v>
      </c>
      <c r="AE554" s="2">
        <f t="shared" si="74"/>
        <v>11</v>
      </c>
      <c r="AF554" s="2">
        <f t="shared" si="75"/>
        <v>18</v>
      </c>
      <c r="AG554" s="2">
        <f t="shared" si="76"/>
        <v>4</v>
      </c>
      <c r="AH554" s="4">
        <f t="shared" si="77"/>
        <v>45199.672731481478</v>
      </c>
      <c r="AI554" s="2" t="str">
        <f t="shared" si="78"/>
        <v/>
      </c>
      <c r="AJ554" s="2" t="str">
        <f t="shared" si="79"/>
        <v/>
      </c>
      <c r="AK554" s="2" t="str">
        <f t="shared" si="80"/>
        <v/>
      </c>
    </row>
    <row r="555" spans="1:37" x14ac:dyDescent="0.25">
      <c r="A555">
        <v>1159</v>
      </c>
      <c r="B555" t="s">
        <v>635</v>
      </c>
      <c r="C555" t="s">
        <v>94</v>
      </c>
      <c r="D555" t="s">
        <v>558</v>
      </c>
      <c r="E555" t="s">
        <v>601</v>
      </c>
      <c r="F555" t="s">
        <v>602</v>
      </c>
      <c r="G555" t="s">
        <v>38</v>
      </c>
      <c r="H555" s="1">
        <v>44638.808749999997</v>
      </c>
      <c r="I555" s="1">
        <v>44639.808749999997</v>
      </c>
      <c r="J555" t="s">
        <v>32</v>
      </c>
      <c r="K555" s="1">
        <v>44648.808749999997</v>
      </c>
      <c r="L555" t="s">
        <v>33</v>
      </c>
      <c r="M555" t="s">
        <v>34</v>
      </c>
      <c r="T555">
        <v>0</v>
      </c>
      <c r="Y555" t="s">
        <v>35</v>
      </c>
      <c r="AC555" s="2">
        <f t="shared" si="72"/>
        <v>1</v>
      </c>
      <c r="AD555" s="2">
        <f t="shared" si="73"/>
        <v>10</v>
      </c>
      <c r="AE555" s="2">
        <f t="shared" si="74"/>
        <v>9</v>
      </c>
      <c r="AF555" s="2" t="str">
        <f t="shared" si="75"/>
        <v/>
      </c>
      <c r="AG555" s="2" t="str">
        <f t="shared" si="76"/>
        <v/>
      </c>
      <c r="AH555" s="4" t="str">
        <f t="shared" si="77"/>
        <v/>
      </c>
      <c r="AI555" s="2" t="str">
        <f t="shared" si="78"/>
        <v/>
      </c>
      <c r="AJ555" s="2" t="str">
        <f t="shared" si="79"/>
        <v/>
      </c>
      <c r="AK555" s="2" t="str">
        <f t="shared" si="80"/>
        <v/>
      </c>
    </row>
    <row r="556" spans="1:37" x14ac:dyDescent="0.25">
      <c r="A556">
        <v>1158</v>
      </c>
      <c r="B556" t="s">
        <v>636</v>
      </c>
      <c r="C556" t="s">
        <v>94</v>
      </c>
      <c r="D556" t="s">
        <v>558</v>
      </c>
      <c r="E556" t="s">
        <v>601</v>
      </c>
      <c r="F556" t="s">
        <v>602</v>
      </c>
      <c r="G556" t="s">
        <v>38</v>
      </c>
      <c r="H556" s="1">
        <v>44636.808749999997</v>
      </c>
      <c r="I556" s="1">
        <v>44639.808749999997</v>
      </c>
      <c r="J556" t="s">
        <v>32</v>
      </c>
      <c r="K556" s="1">
        <v>44650.808749999997</v>
      </c>
      <c r="L556" t="s">
        <v>57</v>
      </c>
      <c r="N556" s="4">
        <v>44654.808749999997</v>
      </c>
      <c r="O556" t="s">
        <v>57</v>
      </c>
      <c r="P556" s="4">
        <v>44651.808749999997</v>
      </c>
      <c r="Q556" s="4">
        <v>44652.808749999997</v>
      </c>
      <c r="R556" s="4">
        <v>44653.808749999997</v>
      </c>
      <c r="S556" s="4">
        <v>44662.808749999997</v>
      </c>
      <c r="T556">
        <v>1</v>
      </c>
      <c r="U556" s="4">
        <v>44666.808749999997</v>
      </c>
      <c r="V556" s="4">
        <v>44668.808749999997</v>
      </c>
      <c r="W556" s="4">
        <v>44671.808749999997</v>
      </c>
      <c r="Z556" s="4">
        <v>44692.808749999997</v>
      </c>
      <c r="AC556" s="2">
        <f t="shared" si="72"/>
        <v>3</v>
      </c>
      <c r="AD556" s="2">
        <f t="shared" si="73"/>
        <v>14</v>
      </c>
      <c r="AE556" s="2">
        <f t="shared" si="74"/>
        <v>11</v>
      </c>
      <c r="AF556" s="2">
        <f t="shared" si="75"/>
        <v>17</v>
      </c>
      <c r="AG556" s="2">
        <f t="shared" si="76"/>
        <v>3</v>
      </c>
      <c r="AH556" s="4">
        <f t="shared" si="77"/>
        <v>44743.808749999997</v>
      </c>
      <c r="AI556" s="2">
        <f t="shared" si="78"/>
        <v>4</v>
      </c>
      <c r="AJ556" s="2">
        <f t="shared" si="79"/>
        <v>39</v>
      </c>
      <c r="AK556" s="2">
        <f t="shared" si="80"/>
        <v>18</v>
      </c>
    </row>
    <row r="557" spans="1:37" x14ac:dyDescent="0.25">
      <c r="A557">
        <v>996</v>
      </c>
      <c r="B557" t="s">
        <v>637</v>
      </c>
      <c r="C557" t="s">
        <v>94</v>
      </c>
      <c r="D557" t="s">
        <v>558</v>
      </c>
      <c r="E557" t="s">
        <v>601</v>
      </c>
      <c r="F557" t="s">
        <v>602</v>
      </c>
      <c r="G557" t="s">
        <v>38</v>
      </c>
      <c r="H557" s="1">
        <v>45015.858425925922</v>
      </c>
      <c r="I557" s="1">
        <v>45018.858425925922</v>
      </c>
      <c r="J557" t="s">
        <v>32</v>
      </c>
      <c r="K557" s="1">
        <v>45027.858425925922</v>
      </c>
      <c r="L557" t="s">
        <v>33</v>
      </c>
      <c r="M557" t="s">
        <v>67</v>
      </c>
      <c r="T557">
        <v>0</v>
      </c>
      <c r="Y557" t="s">
        <v>35</v>
      </c>
      <c r="AC557" s="2">
        <f t="shared" si="72"/>
        <v>3</v>
      </c>
      <c r="AD557" s="2">
        <f t="shared" si="73"/>
        <v>12</v>
      </c>
      <c r="AE557" s="2">
        <f t="shared" si="74"/>
        <v>9</v>
      </c>
      <c r="AF557" s="2" t="str">
        <f t="shared" si="75"/>
        <v/>
      </c>
      <c r="AG557" s="2" t="str">
        <f t="shared" si="76"/>
        <v/>
      </c>
      <c r="AH557" s="4" t="str">
        <f t="shared" si="77"/>
        <v/>
      </c>
      <c r="AI557" s="2" t="str">
        <f t="shared" si="78"/>
        <v/>
      </c>
      <c r="AJ557" s="2" t="str">
        <f t="shared" si="79"/>
        <v/>
      </c>
      <c r="AK557" s="2" t="str">
        <f t="shared" si="80"/>
        <v/>
      </c>
    </row>
    <row r="558" spans="1:37" x14ac:dyDescent="0.25">
      <c r="A558">
        <v>955</v>
      </c>
      <c r="B558" t="s">
        <v>638</v>
      </c>
      <c r="C558" t="s">
        <v>94</v>
      </c>
      <c r="D558" t="s">
        <v>558</v>
      </c>
      <c r="E558" t="s">
        <v>601</v>
      </c>
      <c r="F558" t="s">
        <v>602</v>
      </c>
      <c r="G558" t="s">
        <v>38</v>
      </c>
      <c r="H558" s="1">
        <v>45139.997118055559</v>
      </c>
      <c r="I558" s="1">
        <v>45143.997118055559</v>
      </c>
      <c r="J558" t="s">
        <v>32</v>
      </c>
      <c r="K558" s="1">
        <v>45159.997118055559</v>
      </c>
      <c r="L558" t="s">
        <v>57</v>
      </c>
      <c r="N558" s="4">
        <v>45165.997118055559</v>
      </c>
      <c r="O558" t="s">
        <v>57</v>
      </c>
      <c r="P558" s="4">
        <v>45161.997118055559</v>
      </c>
      <c r="Q558" s="4">
        <v>45162.997118055559</v>
      </c>
      <c r="R558" s="4">
        <v>45162.997118055559</v>
      </c>
      <c r="S558" s="4">
        <v>45168.997118055559</v>
      </c>
      <c r="T558">
        <v>1</v>
      </c>
      <c r="U558" s="4">
        <v>45171.997118055559</v>
      </c>
      <c r="V558" s="4">
        <v>45173.997118055559</v>
      </c>
      <c r="W558" s="4">
        <v>45176.997118055559</v>
      </c>
      <c r="Z558" s="4">
        <v>45197.997118055559</v>
      </c>
      <c r="AC558" s="2">
        <f t="shared" si="72"/>
        <v>4</v>
      </c>
      <c r="AD558" s="2">
        <f t="shared" si="73"/>
        <v>20</v>
      </c>
      <c r="AE558" s="2">
        <f t="shared" si="74"/>
        <v>16</v>
      </c>
      <c r="AF558" s="2">
        <f t="shared" si="75"/>
        <v>23</v>
      </c>
      <c r="AG558" s="2">
        <f t="shared" si="76"/>
        <v>3</v>
      </c>
      <c r="AH558" s="4">
        <f t="shared" si="77"/>
        <v>45252.997118055559</v>
      </c>
      <c r="AI558" s="2">
        <f t="shared" si="78"/>
        <v>3</v>
      </c>
      <c r="AJ558" s="2">
        <f t="shared" si="79"/>
        <v>35</v>
      </c>
      <c r="AK558" s="2">
        <f t="shared" si="80"/>
        <v>14</v>
      </c>
    </row>
    <row r="559" spans="1:37" x14ac:dyDescent="0.25">
      <c r="A559">
        <v>954</v>
      </c>
      <c r="B559" t="s">
        <v>639</v>
      </c>
      <c r="C559" t="s">
        <v>94</v>
      </c>
      <c r="D559" t="s">
        <v>558</v>
      </c>
      <c r="E559" t="s">
        <v>601</v>
      </c>
      <c r="F559" t="s">
        <v>602</v>
      </c>
      <c r="G559" t="s">
        <v>38</v>
      </c>
      <c r="H559" s="1">
        <v>45141.997118055559</v>
      </c>
      <c r="I559" s="1">
        <v>45143.997118055559</v>
      </c>
      <c r="J559" t="s">
        <v>32</v>
      </c>
      <c r="K559" s="1">
        <v>45163.997118055559</v>
      </c>
      <c r="L559" t="s">
        <v>57</v>
      </c>
      <c r="N559" s="4">
        <v>45166.997118055559</v>
      </c>
      <c r="O559" t="s">
        <v>57</v>
      </c>
      <c r="P559" s="4">
        <v>45164.997118055559</v>
      </c>
      <c r="Q559" s="4">
        <v>45166.997118055559</v>
      </c>
      <c r="R559" s="4">
        <v>45165.997118055559</v>
      </c>
      <c r="S559" s="4">
        <v>45172.997118055559</v>
      </c>
      <c r="T559">
        <v>1</v>
      </c>
      <c r="U559" s="4">
        <v>45173.997118055559</v>
      </c>
      <c r="V559" s="4">
        <v>45176.997118055559</v>
      </c>
      <c r="W559" s="4">
        <v>45179.997118055559</v>
      </c>
      <c r="Z559" s="4">
        <v>45188.997118055559</v>
      </c>
      <c r="AC559" s="2">
        <f t="shared" si="72"/>
        <v>2</v>
      </c>
      <c r="AD559" s="2">
        <f t="shared" si="73"/>
        <v>22</v>
      </c>
      <c r="AE559" s="2">
        <f t="shared" si="74"/>
        <v>20</v>
      </c>
      <c r="AF559" s="2">
        <f t="shared" si="75"/>
        <v>24</v>
      </c>
      <c r="AG559" s="2">
        <f t="shared" si="76"/>
        <v>2</v>
      </c>
      <c r="AH559" s="4">
        <f t="shared" si="77"/>
        <v>45255.997118055559</v>
      </c>
      <c r="AI559" s="2">
        <f t="shared" si="78"/>
        <v>1</v>
      </c>
      <c r="AJ559" s="2">
        <f t="shared" si="79"/>
        <v>23</v>
      </c>
      <c r="AK559" s="2">
        <f t="shared" si="80"/>
        <v>14</v>
      </c>
    </row>
    <row r="560" spans="1:37" x14ac:dyDescent="0.25">
      <c r="A560">
        <v>952</v>
      </c>
      <c r="B560" t="s">
        <v>640</v>
      </c>
      <c r="C560" t="s">
        <v>94</v>
      </c>
      <c r="D560" t="s">
        <v>558</v>
      </c>
      <c r="E560" t="s">
        <v>601</v>
      </c>
      <c r="F560" t="s">
        <v>602</v>
      </c>
      <c r="G560" t="s">
        <v>38</v>
      </c>
      <c r="H560" s="1">
        <v>45142.997118055559</v>
      </c>
      <c r="I560" s="1">
        <v>45143.997118055559</v>
      </c>
      <c r="J560" t="s">
        <v>32</v>
      </c>
      <c r="K560" s="1">
        <v>45155.997118055559</v>
      </c>
      <c r="L560" t="s">
        <v>57</v>
      </c>
      <c r="N560" s="4">
        <v>45157.997118055559</v>
      </c>
      <c r="O560" t="s">
        <v>57</v>
      </c>
      <c r="P560" s="4">
        <v>45157.997118055559</v>
      </c>
      <c r="Q560" s="4">
        <v>45160.997118055559</v>
      </c>
      <c r="R560" s="4">
        <v>45156.997118055559</v>
      </c>
      <c r="S560" s="4">
        <v>45158.997118055559</v>
      </c>
      <c r="T560">
        <v>1</v>
      </c>
      <c r="U560" s="4">
        <v>45162.997118055559</v>
      </c>
      <c r="V560" s="4">
        <v>45165.997118055559</v>
      </c>
      <c r="W560" s="4">
        <v>45167.997118055559</v>
      </c>
      <c r="Z560" s="4">
        <v>45181.997118055559</v>
      </c>
      <c r="AC560" s="2">
        <f t="shared" si="72"/>
        <v>1</v>
      </c>
      <c r="AD560" s="2">
        <f t="shared" si="73"/>
        <v>13</v>
      </c>
      <c r="AE560" s="2">
        <f t="shared" si="74"/>
        <v>12</v>
      </c>
      <c r="AF560" s="2">
        <f t="shared" si="75"/>
        <v>14</v>
      </c>
      <c r="AG560" s="2">
        <f t="shared" si="76"/>
        <v>1</v>
      </c>
      <c r="AH560" s="4">
        <f t="shared" si="77"/>
        <v>45246.997118055559</v>
      </c>
      <c r="AI560" s="2">
        <f t="shared" si="78"/>
        <v>4</v>
      </c>
      <c r="AJ560" s="2">
        <f t="shared" si="79"/>
        <v>25</v>
      </c>
      <c r="AK560" s="2">
        <f t="shared" si="80"/>
        <v>11</v>
      </c>
    </row>
    <row r="561" spans="1:37" x14ac:dyDescent="0.25">
      <c r="A561">
        <v>951</v>
      </c>
      <c r="B561" t="s">
        <v>641</v>
      </c>
      <c r="C561" t="s">
        <v>94</v>
      </c>
      <c r="D561" t="s">
        <v>558</v>
      </c>
      <c r="E561" t="s">
        <v>601</v>
      </c>
      <c r="F561" t="s">
        <v>602</v>
      </c>
      <c r="G561" t="s">
        <v>38</v>
      </c>
      <c r="H561" s="1">
        <v>45144.997118055559</v>
      </c>
      <c r="I561" s="1">
        <v>45146.997118055559</v>
      </c>
      <c r="J561" t="s">
        <v>32</v>
      </c>
      <c r="K561" s="1">
        <v>45161.997118055559</v>
      </c>
      <c r="L561" t="s">
        <v>33</v>
      </c>
      <c r="M561" t="s">
        <v>92</v>
      </c>
      <c r="R561" s="4">
        <v>45165.997118055559</v>
      </c>
      <c r="T561">
        <v>0</v>
      </c>
      <c r="Y561" t="s">
        <v>55</v>
      </c>
      <c r="AC561" s="2">
        <f t="shared" si="72"/>
        <v>2</v>
      </c>
      <c r="AD561" s="2">
        <f t="shared" si="73"/>
        <v>17</v>
      </c>
      <c r="AE561" s="2">
        <f t="shared" si="74"/>
        <v>15</v>
      </c>
      <c r="AF561" s="2">
        <f t="shared" si="75"/>
        <v>21</v>
      </c>
      <c r="AG561" s="2">
        <f t="shared" si="76"/>
        <v>4</v>
      </c>
      <c r="AH561" s="4">
        <f t="shared" si="77"/>
        <v>45255.997118055559</v>
      </c>
      <c r="AI561" s="2" t="str">
        <f t="shared" si="78"/>
        <v/>
      </c>
      <c r="AJ561" s="2" t="str">
        <f t="shared" si="79"/>
        <v/>
      </c>
      <c r="AK561" s="2" t="str">
        <f t="shared" si="80"/>
        <v/>
      </c>
    </row>
    <row r="562" spans="1:37" x14ac:dyDescent="0.25">
      <c r="A562">
        <v>943</v>
      </c>
      <c r="B562" t="s">
        <v>642</v>
      </c>
      <c r="C562" t="s">
        <v>94</v>
      </c>
      <c r="D562" t="s">
        <v>558</v>
      </c>
      <c r="E562" t="s">
        <v>601</v>
      </c>
      <c r="F562" t="s">
        <v>602</v>
      </c>
      <c r="G562" t="s">
        <v>38</v>
      </c>
      <c r="H562" s="1">
        <v>44859.043067129627</v>
      </c>
      <c r="I562" s="1">
        <v>44862.043067129627</v>
      </c>
      <c r="J562" t="s">
        <v>32</v>
      </c>
      <c r="K562" s="1">
        <v>44875.043067129627</v>
      </c>
      <c r="L562" t="s">
        <v>33</v>
      </c>
      <c r="M562" t="s">
        <v>67</v>
      </c>
      <c r="T562">
        <v>0</v>
      </c>
      <c r="Y562" t="s">
        <v>35</v>
      </c>
      <c r="AC562" s="2">
        <f t="shared" si="72"/>
        <v>3</v>
      </c>
      <c r="AD562" s="2">
        <f t="shared" si="73"/>
        <v>16</v>
      </c>
      <c r="AE562" s="2">
        <f t="shared" si="74"/>
        <v>13</v>
      </c>
      <c r="AF562" s="2" t="str">
        <f t="shared" si="75"/>
        <v/>
      </c>
      <c r="AG562" s="2" t="str">
        <f t="shared" si="76"/>
        <v/>
      </c>
      <c r="AH562" s="4" t="str">
        <f t="shared" si="77"/>
        <v/>
      </c>
      <c r="AI562" s="2" t="str">
        <f t="shared" si="78"/>
        <v/>
      </c>
      <c r="AJ562" s="2" t="str">
        <f t="shared" si="79"/>
        <v/>
      </c>
      <c r="AK562" s="2" t="str">
        <f t="shared" si="80"/>
        <v/>
      </c>
    </row>
    <row r="563" spans="1:37" x14ac:dyDescent="0.25">
      <c r="A563">
        <v>918</v>
      </c>
      <c r="B563" t="s">
        <v>643</v>
      </c>
      <c r="C563" t="s">
        <v>94</v>
      </c>
      <c r="D563" t="s">
        <v>558</v>
      </c>
      <c r="E563" t="s">
        <v>601</v>
      </c>
      <c r="F563" t="s">
        <v>602</v>
      </c>
      <c r="G563" t="s">
        <v>38</v>
      </c>
      <c r="H563" s="1">
        <v>44670.256099537037</v>
      </c>
      <c r="I563" s="1">
        <v>44674.256099537037</v>
      </c>
      <c r="J563" t="s">
        <v>32</v>
      </c>
      <c r="K563" s="1">
        <v>44679.256099537037</v>
      </c>
      <c r="L563" t="s">
        <v>39</v>
      </c>
      <c r="N563" s="4">
        <v>44684.256099537037</v>
      </c>
      <c r="O563" t="s">
        <v>39</v>
      </c>
      <c r="R563" s="4">
        <v>44681.256099537037</v>
      </c>
      <c r="T563">
        <v>0</v>
      </c>
      <c r="AC563" s="2">
        <f t="shared" si="72"/>
        <v>4</v>
      </c>
      <c r="AD563" s="2">
        <f t="shared" si="73"/>
        <v>9</v>
      </c>
      <c r="AE563" s="2">
        <f t="shared" si="74"/>
        <v>5</v>
      </c>
      <c r="AF563" s="2">
        <f t="shared" si="75"/>
        <v>11</v>
      </c>
      <c r="AG563" s="2">
        <f t="shared" si="76"/>
        <v>2</v>
      </c>
      <c r="AH563" s="4">
        <f t="shared" si="77"/>
        <v>44771.256099537037</v>
      </c>
      <c r="AI563" s="2" t="str">
        <f t="shared" si="78"/>
        <v/>
      </c>
      <c r="AJ563" s="2" t="str">
        <f t="shared" si="79"/>
        <v/>
      </c>
      <c r="AK563" s="2" t="str">
        <f t="shared" si="80"/>
        <v/>
      </c>
    </row>
    <row r="564" spans="1:37" x14ac:dyDescent="0.25">
      <c r="A564">
        <v>917</v>
      </c>
      <c r="B564" t="s">
        <v>644</v>
      </c>
      <c r="C564" t="s">
        <v>94</v>
      </c>
      <c r="D564" t="s">
        <v>558</v>
      </c>
      <c r="E564" t="s">
        <v>601</v>
      </c>
      <c r="F564" t="s">
        <v>602</v>
      </c>
      <c r="G564" t="s">
        <v>38</v>
      </c>
      <c r="H564" s="1">
        <v>44668.256099537037</v>
      </c>
      <c r="I564" s="1">
        <v>44671.256099537037</v>
      </c>
      <c r="J564" t="s">
        <v>44</v>
      </c>
      <c r="K564" s="1"/>
      <c r="T564">
        <v>0</v>
      </c>
      <c r="AC564" s="2">
        <f t="shared" si="72"/>
        <v>3</v>
      </c>
      <c r="AD564" s="2" t="str">
        <f t="shared" si="73"/>
        <v/>
      </c>
      <c r="AE564" s="2" t="str">
        <f t="shared" si="74"/>
        <v/>
      </c>
      <c r="AF564" s="2" t="str">
        <f t="shared" si="75"/>
        <v/>
      </c>
      <c r="AG564" s="2" t="str">
        <f t="shared" si="76"/>
        <v/>
      </c>
      <c r="AH564" s="4" t="str">
        <f t="shared" si="77"/>
        <v/>
      </c>
      <c r="AI564" s="2" t="str">
        <f t="shared" si="78"/>
        <v/>
      </c>
      <c r="AJ564" s="2" t="str">
        <f t="shared" si="79"/>
        <v/>
      </c>
      <c r="AK564" s="2" t="str">
        <f t="shared" si="80"/>
        <v/>
      </c>
    </row>
    <row r="565" spans="1:37" x14ac:dyDescent="0.25">
      <c r="A565">
        <v>909</v>
      </c>
      <c r="B565" t="s">
        <v>645</v>
      </c>
      <c r="C565" t="s">
        <v>94</v>
      </c>
      <c r="D565" t="s">
        <v>558</v>
      </c>
      <c r="E565" t="s">
        <v>601</v>
      </c>
      <c r="F565" t="s">
        <v>602</v>
      </c>
      <c r="G565" t="s">
        <v>38</v>
      </c>
      <c r="H565" s="1">
        <v>45158.249560185184</v>
      </c>
      <c r="I565" s="1">
        <v>45161.249560185184</v>
      </c>
      <c r="J565" t="s">
        <v>32</v>
      </c>
      <c r="K565" s="1">
        <v>45180.249560185184</v>
      </c>
      <c r="L565" t="s">
        <v>57</v>
      </c>
      <c r="N565" s="4">
        <v>45184.249560185184</v>
      </c>
      <c r="O565" t="s">
        <v>57</v>
      </c>
      <c r="P565" s="4">
        <v>45182.249560185184</v>
      </c>
      <c r="Q565" s="4">
        <v>45186.249560185184</v>
      </c>
      <c r="R565" s="4">
        <v>45183.249560185184</v>
      </c>
      <c r="S565" s="4">
        <v>45193.249560185184</v>
      </c>
      <c r="T565">
        <v>1</v>
      </c>
      <c r="U565" s="4">
        <v>45195.249560185184</v>
      </c>
      <c r="V565" s="4">
        <v>45197.249560185184</v>
      </c>
      <c r="W565" s="4">
        <v>45199.249560185184</v>
      </c>
      <c r="Z565" s="4">
        <v>45211.249560185184</v>
      </c>
      <c r="AC565" s="2">
        <f t="shared" si="72"/>
        <v>3</v>
      </c>
      <c r="AD565" s="2">
        <f t="shared" si="73"/>
        <v>22</v>
      </c>
      <c r="AE565" s="2">
        <f t="shared" si="74"/>
        <v>19</v>
      </c>
      <c r="AF565" s="2">
        <f t="shared" si="75"/>
        <v>25</v>
      </c>
      <c r="AG565" s="2">
        <f t="shared" si="76"/>
        <v>3</v>
      </c>
      <c r="AH565" s="4">
        <f t="shared" si="77"/>
        <v>45273.249560185184</v>
      </c>
      <c r="AI565" s="2">
        <f t="shared" si="78"/>
        <v>2</v>
      </c>
      <c r="AJ565" s="2">
        <f t="shared" si="79"/>
        <v>28</v>
      </c>
      <c r="AK565" s="2">
        <f t="shared" si="80"/>
        <v>16</v>
      </c>
    </row>
    <row r="566" spans="1:37" x14ac:dyDescent="0.25">
      <c r="A566">
        <v>902</v>
      </c>
      <c r="B566" t="s">
        <v>646</v>
      </c>
      <c r="C566" t="s">
        <v>94</v>
      </c>
      <c r="D566" t="s">
        <v>558</v>
      </c>
      <c r="E566" t="s">
        <v>601</v>
      </c>
      <c r="F566" t="s">
        <v>602</v>
      </c>
      <c r="G566" t="s">
        <v>38</v>
      </c>
      <c r="H566" s="1">
        <v>45164.249560185184</v>
      </c>
      <c r="I566" s="1">
        <v>45165.249560185184</v>
      </c>
      <c r="J566" t="s">
        <v>32</v>
      </c>
      <c r="K566" s="1">
        <v>45174.249560185184</v>
      </c>
      <c r="L566" t="s">
        <v>33</v>
      </c>
      <c r="M566" t="s">
        <v>108</v>
      </c>
      <c r="T566">
        <v>0</v>
      </c>
      <c r="Y566" t="s">
        <v>35</v>
      </c>
      <c r="AC566" s="2">
        <f t="shared" si="72"/>
        <v>1</v>
      </c>
      <c r="AD566" s="2">
        <f t="shared" si="73"/>
        <v>10</v>
      </c>
      <c r="AE566" s="2">
        <f t="shared" si="74"/>
        <v>9</v>
      </c>
      <c r="AF566" s="2" t="str">
        <f t="shared" si="75"/>
        <v/>
      </c>
      <c r="AG566" s="2" t="str">
        <f t="shared" si="76"/>
        <v/>
      </c>
      <c r="AH566" s="4" t="str">
        <f t="shared" si="77"/>
        <v/>
      </c>
      <c r="AI566" s="2" t="str">
        <f t="shared" si="78"/>
        <v/>
      </c>
      <c r="AJ566" s="2" t="str">
        <f t="shared" si="79"/>
        <v/>
      </c>
      <c r="AK566" s="2" t="str">
        <f t="shared" si="80"/>
        <v/>
      </c>
    </row>
    <row r="567" spans="1:37" x14ac:dyDescent="0.25">
      <c r="A567">
        <v>839</v>
      </c>
      <c r="B567" t="s">
        <v>647</v>
      </c>
      <c r="C567" t="s">
        <v>94</v>
      </c>
      <c r="D567" t="s">
        <v>558</v>
      </c>
      <c r="E567" t="s">
        <v>601</v>
      </c>
      <c r="F567" t="s">
        <v>602</v>
      </c>
      <c r="G567" t="s">
        <v>38</v>
      </c>
      <c r="H567" s="1">
        <v>44756.707071759258</v>
      </c>
      <c r="I567" s="1">
        <v>44759.707071759258</v>
      </c>
      <c r="J567" t="s">
        <v>32</v>
      </c>
      <c r="K567" s="1">
        <v>44762.707071759258</v>
      </c>
      <c r="L567" t="s">
        <v>57</v>
      </c>
      <c r="N567" s="4">
        <v>44767.707071759258</v>
      </c>
      <c r="O567" t="s">
        <v>57</v>
      </c>
      <c r="P567" s="4">
        <v>44763.707071759258</v>
      </c>
      <c r="Q567" s="4">
        <v>44765.707071759258</v>
      </c>
      <c r="R567" s="4">
        <v>44764.707071759258</v>
      </c>
      <c r="S567" s="4">
        <v>44765.707071759258</v>
      </c>
      <c r="T567">
        <v>1</v>
      </c>
      <c r="U567" s="4">
        <v>44767.707071759258</v>
      </c>
      <c r="V567" s="4">
        <v>44770.707071759258</v>
      </c>
      <c r="W567" s="4">
        <v>44772.707071759258</v>
      </c>
      <c r="Z567" s="4">
        <v>44791.707071759258</v>
      </c>
      <c r="AC567" s="2">
        <f t="shared" si="72"/>
        <v>3</v>
      </c>
      <c r="AD567" s="2">
        <f t="shared" si="73"/>
        <v>6</v>
      </c>
      <c r="AE567" s="2">
        <f t="shared" si="74"/>
        <v>3</v>
      </c>
      <c r="AF567" s="2">
        <f t="shared" si="75"/>
        <v>8</v>
      </c>
      <c r="AG567" s="2">
        <f t="shared" si="76"/>
        <v>2</v>
      </c>
      <c r="AH567" s="4">
        <f t="shared" si="77"/>
        <v>44854.707071759258</v>
      </c>
      <c r="AI567" s="2">
        <f t="shared" si="78"/>
        <v>2</v>
      </c>
      <c r="AJ567" s="2">
        <f t="shared" si="79"/>
        <v>27</v>
      </c>
      <c r="AK567" s="2">
        <f t="shared" si="80"/>
        <v>8</v>
      </c>
    </row>
    <row r="568" spans="1:37" x14ac:dyDescent="0.25">
      <c r="A568">
        <v>832</v>
      </c>
      <c r="B568" t="s">
        <v>648</v>
      </c>
      <c r="C568" t="s">
        <v>94</v>
      </c>
      <c r="D568" t="s">
        <v>558</v>
      </c>
      <c r="E568" t="s">
        <v>601</v>
      </c>
      <c r="F568" t="s">
        <v>602</v>
      </c>
      <c r="G568" t="s">
        <v>38</v>
      </c>
      <c r="H568" s="1">
        <v>44756.707071759258</v>
      </c>
      <c r="I568" s="1">
        <v>44758.707071759258</v>
      </c>
      <c r="J568" t="s">
        <v>32</v>
      </c>
      <c r="K568" s="1">
        <v>44767.707071759258</v>
      </c>
      <c r="L568" t="s">
        <v>39</v>
      </c>
      <c r="N568" s="4">
        <v>44775.707071759258</v>
      </c>
      <c r="O568" t="s">
        <v>39</v>
      </c>
      <c r="R568" s="4">
        <v>44771.707071759258</v>
      </c>
      <c r="T568">
        <v>0</v>
      </c>
      <c r="AC568" s="2">
        <f t="shared" si="72"/>
        <v>2</v>
      </c>
      <c r="AD568" s="2">
        <f t="shared" si="73"/>
        <v>11</v>
      </c>
      <c r="AE568" s="2">
        <f t="shared" si="74"/>
        <v>9</v>
      </c>
      <c r="AF568" s="2">
        <f t="shared" si="75"/>
        <v>15</v>
      </c>
      <c r="AG568" s="2">
        <f t="shared" si="76"/>
        <v>4</v>
      </c>
      <c r="AH568" s="4">
        <f t="shared" si="77"/>
        <v>44861.707071759258</v>
      </c>
      <c r="AI568" s="2" t="str">
        <f t="shared" si="78"/>
        <v/>
      </c>
      <c r="AJ568" s="2" t="str">
        <f t="shared" si="79"/>
        <v/>
      </c>
      <c r="AK568" s="2" t="str">
        <f t="shared" si="80"/>
        <v/>
      </c>
    </row>
    <row r="569" spans="1:37" x14ac:dyDescent="0.25">
      <c r="A569">
        <v>831</v>
      </c>
      <c r="B569" t="s">
        <v>649</v>
      </c>
      <c r="C569" t="s">
        <v>94</v>
      </c>
      <c r="D569" t="s">
        <v>558</v>
      </c>
      <c r="E569" t="s">
        <v>601</v>
      </c>
      <c r="F569" t="s">
        <v>602</v>
      </c>
      <c r="G569" t="s">
        <v>38</v>
      </c>
      <c r="H569" s="1">
        <v>44751.707071759258</v>
      </c>
      <c r="I569" s="1">
        <v>44754.707071759258</v>
      </c>
      <c r="J569" t="s">
        <v>44</v>
      </c>
      <c r="K569" s="1"/>
      <c r="T569">
        <v>0</v>
      </c>
      <c r="AC569" s="2">
        <f t="shared" si="72"/>
        <v>3</v>
      </c>
      <c r="AD569" s="2" t="str">
        <f t="shared" si="73"/>
        <v/>
      </c>
      <c r="AE569" s="2" t="str">
        <f t="shared" si="74"/>
        <v/>
      </c>
      <c r="AF569" s="2" t="str">
        <f t="shared" si="75"/>
        <v/>
      </c>
      <c r="AG569" s="2" t="str">
        <f t="shared" si="76"/>
        <v/>
      </c>
      <c r="AH569" s="4" t="str">
        <f t="shared" si="77"/>
        <v/>
      </c>
      <c r="AI569" s="2" t="str">
        <f t="shared" si="78"/>
        <v/>
      </c>
      <c r="AJ569" s="2" t="str">
        <f t="shared" si="79"/>
        <v/>
      </c>
      <c r="AK569" s="2" t="str">
        <f t="shared" si="80"/>
        <v/>
      </c>
    </row>
    <row r="570" spans="1:37" x14ac:dyDescent="0.25">
      <c r="A570">
        <v>823</v>
      </c>
      <c r="B570" t="s">
        <v>650</v>
      </c>
      <c r="C570" t="s">
        <v>94</v>
      </c>
      <c r="D570" t="s">
        <v>558</v>
      </c>
      <c r="E570" t="s">
        <v>601</v>
      </c>
      <c r="F570" t="s">
        <v>602</v>
      </c>
      <c r="G570" t="s">
        <v>38</v>
      </c>
      <c r="H570" s="1">
        <v>44626.625335648147</v>
      </c>
      <c r="I570" s="1">
        <v>44627.625335648147</v>
      </c>
      <c r="J570" t="s">
        <v>32</v>
      </c>
      <c r="K570" s="1">
        <v>44649.625335648147</v>
      </c>
      <c r="L570" t="s">
        <v>57</v>
      </c>
      <c r="N570" s="4">
        <v>44653.625335648147</v>
      </c>
      <c r="O570" t="s">
        <v>57</v>
      </c>
      <c r="P570" s="4">
        <v>44650.625335648147</v>
      </c>
      <c r="Q570" s="4">
        <v>44654.625335648147</v>
      </c>
      <c r="R570" s="4">
        <v>44651.625335648147</v>
      </c>
      <c r="S570" s="4">
        <v>44655.625335648147</v>
      </c>
      <c r="T570">
        <v>1</v>
      </c>
      <c r="U570" s="4">
        <v>44658.625335648147</v>
      </c>
      <c r="V570" s="4">
        <v>44660.625335648147</v>
      </c>
      <c r="W570" s="4">
        <v>44663.625335648147</v>
      </c>
      <c r="Z570" s="4">
        <v>44680.625335648147</v>
      </c>
      <c r="AC570" s="2">
        <f t="shared" si="72"/>
        <v>1</v>
      </c>
      <c r="AD570" s="2">
        <f t="shared" si="73"/>
        <v>23</v>
      </c>
      <c r="AE570" s="2">
        <f t="shared" si="74"/>
        <v>22</v>
      </c>
      <c r="AF570" s="2">
        <f t="shared" si="75"/>
        <v>25</v>
      </c>
      <c r="AG570" s="2">
        <f t="shared" si="76"/>
        <v>2</v>
      </c>
      <c r="AH570" s="4">
        <f t="shared" si="77"/>
        <v>44741.625335648147</v>
      </c>
      <c r="AI570" s="2">
        <f t="shared" si="78"/>
        <v>3</v>
      </c>
      <c r="AJ570" s="2">
        <f t="shared" si="79"/>
        <v>29</v>
      </c>
      <c r="AK570" s="2">
        <f t="shared" si="80"/>
        <v>12</v>
      </c>
    </row>
    <row r="571" spans="1:37" x14ac:dyDescent="0.25">
      <c r="A571">
        <v>770</v>
      </c>
      <c r="B571" t="s">
        <v>651</v>
      </c>
      <c r="C571" t="s">
        <v>94</v>
      </c>
      <c r="D571" t="s">
        <v>558</v>
      </c>
      <c r="E571" t="s">
        <v>601</v>
      </c>
      <c r="F571" t="s">
        <v>602</v>
      </c>
      <c r="G571" t="s">
        <v>38</v>
      </c>
      <c r="H571" s="1">
        <v>44724.736145833333</v>
      </c>
      <c r="I571" s="1">
        <v>44728.736145833333</v>
      </c>
      <c r="J571" t="s">
        <v>32</v>
      </c>
      <c r="K571" s="1">
        <v>44746.736145833333</v>
      </c>
      <c r="L571" t="s">
        <v>33</v>
      </c>
      <c r="M571" t="s">
        <v>108</v>
      </c>
      <c r="T571">
        <v>0</v>
      </c>
      <c r="Y571" t="s">
        <v>55</v>
      </c>
      <c r="AC571" s="2">
        <f t="shared" si="72"/>
        <v>4</v>
      </c>
      <c r="AD571" s="2">
        <f t="shared" si="73"/>
        <v>22</v>
      </c>
      <c r="AE571" s="2">
        <f t="shared" si="74"/>
        <v>18</v>
      </c>
      <c r="AF571" s="2" t="str">
        <f t="shared" si="75"/>
        <v/>
      </c>
      <c r="AG571" s="2" t="str">
        <f t="shared" si="76"/>
        <v/>
      </c>
      <c r="AH571" s="4" t="str">
        <f t="shared" si="77"/>
        <v/>
      </c>
      <c r="AI571" s="2" t="str">
        <f t="shared" si="78"/>
        <v/>
      </c>
      <c r="AJ571" s="2" t="str">
        <f t="shared" si="79"/>
        <v/>
      </c>
      <c r="AK571" s="2" t="str">
        <f t="shared" si="80"/>
        <v/>
      </c>
    </row>
    <row r="572" spans="1:37" x14ac:dyDescent="0.25">
      <c r="A572">
        <v>717</v>
      </c>
      <c r="B572" t="s">
        <v>652</v>
      </c>
      <c r="C572" t="s">
        <v>94</v>
      </c>
      <c r="D572" t="s">
        <v>558</v>
      </c>
      <c r="E572" t="s">
        <v>601</v>
      </c>
      <c r="F572" t="s">
        <v>602</v>
      </c>
      <c r="G572" t="s">
        <v>38</v>
      </c>
      <c r="H572" s="1">
        <v>44627.686331018522</v>
      </c>
      <c r="I572" s="1">
        <v>44630.686331018522</v>
      </c>
      <c r="J572" t="s">
        <v>32</v>
      </c>
      <c r="K572" s="1">
        <v>44640.686331018522</v>
      </c>
      <c r="L572" t="s">
        <v>57</v>
      </c>
      <c r="N572" s="4">
        <v>44644.686331018522</v>
      </c>
      <c r="O572" t="s">
        <v>57</v>
      </c>
      <c r="P572" s="4">
        <v>44642.686331018522</v>
      </c>
      <c r="Q572" s="4">
        <v>44646.686331018522</v>
      </c>
      <c r="R572" s="4">
        <v>44641.686331018522</v>
      </c>
      <c r="S572" s="4">
        <v>44649.686331018522</v>
      </c>
      <c r="T572">
        <v>1</v>
      </c>
      <c r="U572" s="4">
        <v>44651.686331018522</v>
      </c>
      <c r="V572" s="4">
        <v>44654.686331018522</v>
      </c>
      <c r="W572" s="4">
        <v>44656.686331018522</v>
      </c>
      <c r="Z572" s="4">
        <v>44675.686331018522</v>
      </c>
      <c r="AC572" s="2">
        <f t="shared" si="72"/>
        <v>3</v>
      </c>
      <c r="AD572" s="2">
        <f t="shared" si="73"/>
        <v>13</v>
      </c>
      <c r="AE572" s="2">
        <f t="shared" si="74"/>
        <v>10</v>
      </c>
      <c r="AF572" s="2">
        <f t="shared" si="75"/>
        <v>14</v>
      </c>
      <c r="AG572" s="2">
        <f t="shared" si="76"/>
        <v>1</v>
      </c>
      <c r="AH572" s="4">
        <f t="shared" si="77"/>
        <v>44731.686331018522</v>
      </c>
      <c r="AI572" s="2">
        <f t="shared" si="78"/>
        <v>2</v>
      </c>
      <c r="AJ572" s="2">
        <f t="shared" si="79"/>
        <v>34</v>
      </c>
      <c r="AK572" s="2">
        <f t="shared" si="80"/>
        <v>15</v>
      </c>
    </row>
    <row r="573" spans="1:37" x14ac:dyDescent="0.25">
      <c r="A573">
        <v>714</v>
      </c>
      <c r="B573" t="s">
        <v>653</v>
      </c>
      <c r="C573" t="s">
        <v>94</v>
      </c>
      <c r="D573" t="s">
        <v>558</v>
      </c>
      <c r="E573" t="s">
        <v>601</v>
      </c>
      <c r="F573" t="s">
        <v>602</v>
      </c>
      <c r="G573" t="s">
        <v>38</v>
      </c>
      <c r="H573" s="1">
        <v>44630.686331018522</v>
      </c>
      <c r="I573" s="1">
        <v>44631.686331018522</v>
      </c>
      <c r="J573" t="s">
        <v>32</v>
      </c>
      <c r="K573" s="1">
        <v>44648.686331018522</v>
      </c>
      <c r="L573" t="s">
        <v>33</v>
      </c>
      <c r="M573" t="s">
        <v>92</v>
      </c>
      <c r="T573">
        <v>0</v>
      </c>
      <c r="Y573" t="s">
        <v>55</v>
      </c>
      <c r="AC573" s="2">
        <f t="shared" si="72"/>
        <v>1</v>
      </c>
      <c r="AD573" s="2">
        <f t="shared" si="73"/>
        <v>18</v>
      </c>
      <c r="AE573" s="2">
        <f t="shared" si="74"/>
        <v>17</v>
      </c>
      <c r="AF573" s="2" t="str">
        <f t="shared" si="75"/>
        <v/>
      </c>
      <c r="AG573" s="2" t="str">
        <f t="shared" si="76"/>
        <v/>
      </c>
      <c r="AH573" s="4" t="str">
        <f t="shared" si="77"/>
        <v/>
      </c>
      <c r="AI573" s="2" t="str">
        <f t="shared" si="78"/>
        <v/>
      </c>
      <c r="AJ573" s="2" t="str">
        <f t="shared" si="79"/>
        <v/>
      </c>
      <c r="AK573" s="2" t="str">
        <f t="shared" si="80"/>
        <v/>
      </c>
    </row>
    <row r="574" spans="1:37" x14ac:dyDescent="0.25">
      <c r="A574">
        <v>673</v>
      </c>
      <c r="B574" t="s">
        <v>654</v>
      </c>
      <c r="C574" t="s">
        <v>94</v>
      </c>
      <c r="D574" t="s">
        <v>558</v>
      </c>
      <c r="E574" t="s">
        <v>601</v>
      </c>
      <c r="F574" t="s">
        <v>602</v>
      </c>
      <c r="G574" t="s">
        <v>38</v>
      </c>
      <c r="H574" s="1">
        <v>45141.885671296295</v>
      </c>
      <c r="I574" s="1">
        <v>45142.885671296295</v>
      </c>
      <c r="J574" t="s">
        <v>44</v>
      </c>
      <c r="K574" s="1"/>
      <c r="T574">
        <v>0</v>
      </c>
      <c r="AC574" s="2">
        <f t="shared" si="72"/>
        <v>1</v>
      </c>
      <c r="AD574" s="2" t="str">
        <f t="shared" si="73"/>
        <v/>
      </c>
      <c r="AE574" s="2" t="str">
        <f t="shared" si="74"/>
        <v/>
      </c>
      <c r="AF574" s="2" t="str">
        <f t="shared" si="75"/>
        <v/>
      </c>
      <c r="AG574" s="2" t="str">
        <f t="shared" si="76"/>
        <v/>
      </c>
      <c r="AH574" s="4" t="str">
        <f t="shared" si="77"/>
        <v/>
      </c>
      <c r="AI574" s="2" t="str">
        <f t="shared" si="78"/>
        <v/>
      </c>
      <c r="AJ574" s="2" t="str">
        <f t="shared" si="79"/>
        <v/>
      </c>
      <c r="AK574" s="2" t="str">
        <f t="shared" si="80"/>
        <v/>
      </c>
    </row>
    <row r="575" spans="1:37" x14ac:dyDescent="0.25">
      <c r="A575">
        <v>672</v>
      </c>
      <c r="B575" t="s">
        <v>655</v>
      </c>
      <c r="C575" t="s">
        <v>94</v>
      </c>
      <c r="D575" t="s">
        <v>558</v>
      </c>
      <c r="E575" t="s">
        <v>601</v>
      </c>
      <c r="F575" t="s">
        <v>602</v>
      </c>
      <c r="G575" t="s">
        <v>38</v>
      </c>
      <c r="H575" s="1">
        <v>45139.885671296295</v>
      </c>
      <c r="I575" s="1">
        <v>45142.885671296295</v>
      </c>
      <c r="J575" t="s">
        <v>32</v>
      </c>
      <c r="K575" s="1">
        <v>45156.885671296295</v>
      </c>
      <c r="L575" t="s">
        <v>33</v>
      </c>
      <c r="M575" t="s">
        <v>34</v>
      </c>
      <c r="R575" s="4">
        <v>45157.885671296295</v>
      </c>
      <c r="T575">
        <v>0</v>
      </c>
      <c r="Y575" t="s">
        <v>55</v>
      </c>
      <c r="AC575" s="2">
        <f t="shared" si="72"/>
        <v>3</v>
      </c>
      <c r="AD575" s="2">
        <f t="shared" si="73"/>
        <v>17</v>
      </c>
      <c r="AE575" s="2">
        <f t="shared" si="74"/>
        <v>14</v>
      </c>
      <c r="AF575" s="2">
        <f t="shared" si="75"/>
        <v>18</v>
      </c>
      <c r="AG575" s="2">
        <f t="shared" si="76"/>
        <v>1</v>
      </c>
      <c r="AH575" s="4">
        <f t="shared" si="77"/>
        <v>45247.885671296295</v>
      </c>
      <c r="AI575" s="2" t="str">
        <f t="shared" si="78"/>
        <v/>
      </c>
      <c r="AJ575" s="2" t="str">
        <f t="shared" si="79"/>
        <v/>
      </c>
      <c r="AK575" s="2" t="str">
        <f t="shared" si="80"/>
        <v/>
      </c>
    </row>
    <row r="576" spans="1:37" x14ac:dyDescent="0.25">
      <c r="A576">
        <v>660</v>
      </c>
      <c r="B576" t="s">
        <v>656</v>
      </c>
      <c r="C576" t="s">
        <v>94</v>
      </c>
      <c r="D576" t="s">
        <v>558</v>
      </c>
      <c r="E576" t="s">
        <v>601</v>
      </c>
      <c r="F576" t="s">
        <v>602</v>
      </c>
      <c r="G576" t="s">
        <v>38</v>
      </c>
      <c r="H576" s="1">
        <v>44917.016504629632</v>
      </c>
      <c r="I576" s="1">
        <v>44919.016504629632</v>
      </c>
      <c r="J576" t="s">
        <v>32</v>
      </c>
      <c r="K576" s="1">
        <v>44927.016504629632</v>
      </c>
      <c r="L576" t="s">
        <v>33</v>
      </c>
      <c r="M576" t="s">
        <v>34</v>
      </c>
      <c r="T576">
        <v>0</v>
      </c>
      <c r="Y576" t="s">
        <v>35</v>
      </c>
      <c r="AC576" s="2">
        <f t="shared" si="72"/>
        <v>2</v>
      </c>
      <c r="AD576" s="2">
        <f t="shared" si="73"/>
        <v>10</v>
      </c>
      <c r="AE576" s="2">
        <f t="shared" si="74"/>
        <v>8</v>
      </c>
      <c r="AF576" s="2" t="str">
        <f t="shared" si="75"/>
        <v/>
      </c>
      <c r="AG576" s="2" t="str">
        <f t="shared" si="76"/>
        <v/>
      </c>
      <c r="AH576" s="4" t="str">
        <f t="shared" si="77"/>
        <v/>
      </c>
      <c r="AI576" s="2" t="str">
        <f t="shared" si="78"/>
        <v/>
      </c>
      <c r="AJ576" s="2" t="str">
        <f t="shared" si="79"/>
        <v/>
      </c>
      <c r="AK576" s="2" t="str">
        <f t="shared" si="80"/>
        <v/>
      </c>
    </row>
    <row r="577" spans="1:37" x14ac:dyDescent="0.25">
      <c r="A577">
        <v>656</v>
      </c>
      <c r="B577" t="s">
        <v>657</v>
      </c>
      <c r="C577" t="s">
        <v>94</v>
      </c>
      <c r="D577" t="s">
        <v>558</v>
      </c>
      <c r="E577" t="s">
        <v>601</v>
      </c>
      <c r="F577" t="s">
        <v>602</v>
      </c>
      <c r="G577" t="s">
        <v>38</v>
      </c>
      <c r="H577" s="1">
        <v>44916.016504629632</v>
      </c>
      <c r="I577" s="1">
        <v>44918.016504629632</v>
      </c>
      <c r="J577" t="s">
        <v>44</v>
      </c>
      <c r="K577" s="1"/>
      <c r="T577">
        <v>0</v>
      </c>
      <c r="AC577" s="2">
        <f t="shared" si="72"/>
        <v>2</v>
      </c>
      <c r="AD577" s="2" t="str">
        <f t="shared" si="73"/>
        <v/>
      </c>
      <c r="AE577" s="2" t="str">
        <f t="shared" si="74"/>
        <v/>
      </c>
      <c r="AF577" s="2" t="str">
        <f t="shared" si="75"/>
        <v/>
      </c>
      <c r="AG577" s="2" t="str">
        <f t="shared" si="76"/>
        <v/>
      </c>
      <c r="AH577" s="4" t="str">
        <f t="shared" si="77"/>
        <v/>
      </c>
      <c r="AI577" s="2" t="str">
        <f t="shared" si="78"/>
        <v/>
      </c>
      <c r="AJ577" s="2" t="str">
        <f t="shared" si="79"/>
        <v/>
      </c>
      <c r="AK577" s="2" t="str">
        <f t="shared" si="80"/>
        <v/>
      </c>
    </row>
    <row r="578" spans="1:37" x14ac:dyDescent="0.25">
      <c r="A578">
        <v>637</v>
      </c>
      <c r="B578" t="s">
        <v>658</v>
      </c>
      <c r="C578" t="s">
        <v>94</v>
      </c>
      <c r="D578" t="s">
        <v>558</v>
      </c>
      <c r="E578" t="s">
        <v>601</v>
      </c>
      <c r="F578" t="s">
        <v>602</v>
      </c>
      <c r="G578" t="s">
        <v>38</v>
      </c>
      <c r="H578" s="1">
        <v>44828.302743055552</v>
      </c>
      <c r="I578" s="1">
        <v>44832.302743055552</v>
      </c>
      <c r="J578" t="s">
        <v>32</v>
      </c>
      <c r="K578" s="1">
        <v>44848.302743055552</v>
      </c>
      <c r="L578" t="s">
        <v>57</v>
      </c>
      <c r="N578" s="4">
        <v>44852.302743055552</v>
      </c>
      <c r="O578" t="s">
        <v>57</v>
      </c>
      <c r="P578" s="4">
        <v>44849.302743055552</v>
      </c>
      <c r="Q578" s="4">
        <v>44851.302743055552</v>
      </c>
      <c r="R578" s="4">
        <v>44849.302743055552</v>
      </c>
      <c r="S578" s="4">
        <v>44851.302743055552</v>
      </c>
      <c r="T578">
        <v>1</v>
      </c>
      <c r="U578" s="4">
        <v>44853.302743055552</v>
      </c>
      <c r="V578" s="4">
        <v>44855.302743055552</v>
      </c>
      <c r="W578" s="4">
        <v>44856.302743055552</v>
      </c>
      <c r="Z578" s="4">
        <v>44874.302743055552</v>
      </c>
      <c r="AC578" s="2">
        <f t="shared" si="72"/>
        <v>4</v>
      </c>
      <c r="AD578" s="2">
        <f t="shared" si="73"/>
        <v>20</v>
      </c>
      <c r="AE578" s="2">
        <f t="shared" si="74"/>
        <v>16</v>
      </c>
      <c r="AF578" s="2">
        <f t="shared" si="75"/>
        <v>21</v>
      </c>
      <c r="AG578" s="2">
        <f t="shared" si="76"/>
        <v>1</v>
      </c>
      <c r="AH578" s="4">
        <f t="shared" si="77"/>
        <v>44939.302743055552</v>
      </c>
      <c r="AI578" s="2">
        <f t="shared" si="78"/>
        <v>2</v>
      </c>
      <c r="AJ578" s="2">
        <f t="shared" si="79"/>
        <v>25</v>
      </c>
      <c r="AK578" s="2">
        <f t="shared" si="80"/>
        <v>7</v>
      </c>
    </row>
    <row r="579" spans="1:37" x14ac:dyDescent="0.25">
      <c r="A579">
        <v>612</v>
      </c>
      <c r="B579" t="s">
        <v>659</v>
      </c>
      <c r="C579" t="s">
        <v>94</v>
      </c>
      <c r="D579" t="s">
        <v>558</v>
      </c>
      <c r="E579" t="s">
        <v>601</v>
      </c>
      <c r="F579" t="s">
        <v>602</v>
      </c>
      <c r="G579" t="s">
        <v>38</v>
      </c>
      <c r="H579" s="1">
        <v>45155.885648148149</v>
      </c>
      <c r="I579" s="1">
        <v>45156.885648148149</v>
      </c>
      <c r="J579" t="s">
        <v>32</v>
      </c>
      <c r="K579" s="1">
        <v>45174.885648148149</v>
      </c>
      <c r="L579" t="s">
        <v>33</v>
      </c>
      <c r="M579" t="s">
        <v>34</v>
      </c>
      <c r="R579" s="4">
        <v>45177.885648148149</v>
      </c>
      <c r="T579">
        <v>0</v>
      </c>
      <c r="Y579" t="s">
        <v>35</v>
      </c>
      <c r="AC579" s="2">
        <f t="shared" ref="AC579:AC642" si="81">IF(AND(I579&lt;&gt;"",H579&lt;&gt;""), I579-H579, "")</f>
        <v>1</v>
      </c>
      <c r="AD579" s="2">
        <f t="shared" ref="AD579:AD642" si="82">IF(AND(K579&lt;&gt;"",H579&lt;&gt;""), K579-H579, "")</f>
        <v>19</v>
      </c>
      <c r="AE579" s="2">
        <f t="shared" ref="AE579:AE642" si="83">IF(AND(K579&lt;&gt;"",I579&lt;&gt;""), K579-I579, "")</f>
        <v>18</v>
      </c>
      <c r="AF579" s="2">
        <f t="shared" ref="AF579:AF642" si="84">IF(AND(R579&lt;&gt;"",H579&lt;&gt;""), R579-H579, "")</f>
        <v>22</v>
      </c>
      <c r="AG579" s="2">
        <f t="shared" ref="AG579:AG642" si="85">IF(AND(R579&lt;&gt;"",K579&lt;&gt;""), R579-K579, "")</f>
        <v>3</v>
      </c>
      <c r="AH579" s="4">
        <f t="shared" ref="AH579:AH642" si="86">IF(R579&lt;&gt;"", R579+90, "")</f>
        <v>45267.885648148149</v>
      </c>
      <c r="AI579" s="2" t="str">
        <f t="shared" ref="AI579:AI642" si="87">IF(AND(U579&lt;&gt;"",S579&lt;&gt;""), U579-S579, "")</f>
        <v/>
      </c>
      <c r="AJ579" s="2" t="str">
        <f t="shared" ref="AJ579:AJ642" si="88">IF(AND(Z579&lt;&gt;"",R579&lt;&gt;""), Z579-R579, "")</f>
        <v/>
      </c>
      <c r="AK579" s="2" t="str">
        <f t="shared" ref="AK579:AK642" si="89">IF(AND(W579&lt;&gt;"",R579&lt;&gt;""), W579-R579, "")</f>
        <v/>
      </c>
    </row>
    <row r="580" spans="1:37" x14ac:dyDescent="0.25">
      <c r="A580">
        <v>571</v>
      </c>
      <c r="B580" t="s">
        <v>660</v>
      </c>
      <c r="C580" t="s">
        <v>94</v>
      </c>
      <c r="D580" t="s">
        <v>558</v>
      </c>
      <c r="E580" t="s">
        <v>601</v>
      </c>
      <c r="F580" t="s">
        <v>602</v>
      </c>
      <c r="G580" t="s">
        <v>38</v>
      </c>
      <c r="H580" s="1">
        <v>44912.089930555558</v>
      </c>
      <c r="I580" s="1">
        <v>44914.089930555558</v>
      </c>
      <c r="J580" t="s">
        <v>32</v>
      </c>
      <c r="K580" s="1">
        <v>44931.089930555558</v>
      </c>
      <c r="L580" t="s">
        <v>39</v>
      </c>
      <c r="N580" s="4">
        <v>44939.089930555558</v>
      </c>
      <c r="O580" t="s">
        <v>39</v>
      </c>
      <c r="R580" s="4">
        <v>44935.089930555558</v>
      </c>
      <c r="T580">
        <v>0</v>
      </c>
      <c r="AC580" s="2">
        <f t="shared" si="81"/>
        <v>2</v>
      </c>
      <c r="AD580" s="2">
        <f t="shared" si="82"/>
        <v>19</v>
      </c>
      <c r="AE580" s="2">
        <f t="shared" si="83"/>
        <v>17</v>
      </c>
      <c r="AF580" s="2">
        <f t="shared" si="84"/>
        <v>23</v>
      </c>
      <c r="AG580" s="2">
        <f t="shared" si="85"/>
        <v>4</v>
      </c>
      <c r="AH580" s="4">
        <f t="shared" si="86"/>
        <v>45025.089930555558</v>
      </c>
      <c r="AI580" s="2" t="str">
        <f t="shared" si="87"/>
        <v/>
      </c>
      <c r="AJ580" s="2" t="str">
        <f t="shared" si="88"/>
        <v/>
      </c>
      <c r="AK580" s="2" t="str">
        <f t="shared" si="89"/>
        <v/>
      </c>
    </row>
    <row r="581" spans="1:37" x14ac:dyDescent="0.25">
      <c r="A581">
        <v>495</v>
      </c>
      <c r="B581" t="s">
        <v>661</v>
      </c>
      <c r="C581" t="s">
        <v>94</v>
      </c>
      <c r="D581" t="s">
        <v>558</v>
      </c>
      <c r="E581" t="s">
        <v>601</v>
      </c>
      <c r="F581" t="s">
        <v>602</v>
      </c>
      <c r="G581" t="s">
        <v>38</v>
      </c>
      <c r="H581" s="1">
        <v>45170.411724537036</v>
      </c>
      <c r="I581" s="1">
        <v>45171.411724537036</v>
      </c>
      <c r="J581" t="s">
        <v>44</v>
      </c>
      <c r="K581" s="1"/>
      <c r="T581">
        <v>0</v>
      </c>
      <c r="AC581" s="2">
        <f t="shared" si="81"/>
        <v>1</v>
      </c>
      <c r="AD581" s="2" t="str">
        <f t="shared" si="82"/>
        <v/>
      </c>
      <c r="AE581" s="2" t="str">
        <f t="shared" si="83"/>
        <v/>
      </c>
      <c r="AF581" s="2" t="str">
        <f t="shared" si="84"/>
        <v/>
      </c>
      <c r="AG581" s="2" t="str">
        <f t="shared" si="85"/>
        <v/>
      </c>
      <c r="AH581" s="4" t="str">
        <f t="shared" si="86"/>
        <v/>
      </c>
      <c r="AI581" s="2" t="str">
        <f t="shared" si="87"/>
        <v/>
      </c>
      <c r="AJ581" s="2" t="str">
        <f t="shared" si="88"/>
        <v/>
      </c>
      <c r="AK581" s="2" t="str">
        <f t="shared" si="89"/>
        <v/>
      </c>
    </row>
    <row r="582" spans="1:37" x14ac:dyDescent="0.25">
      <c r="A582">
        <v>488</v>
      </c>
      <c r="B582" t="s">
        <v>662</v>
      </c>
      <c r="C582" t="s">
        <v>94</v>
      </c>
      <c r="D582" t="s">
        <v>558</v>
      </c>
      <c r="E582" t="s">
        <v>601</v>
      </c>
      <c r="F582" t="s">
        <v>602</v>
      </c>
      <c r="G582" t="s">
        <v>38</v>
      </c>
      <c r="H582" s="1">
        <v>44932.566712962966</v>
      </c>
      <c r="I582" s="1">
        <v>44933.566712962966</v>
      </c>
      <c r="J582" t="s">
        <v>44</v>
      </c>
      <c r="K582" s="1"/>
      <c r="T582">
        <v>0</v>
      </c>
      <c r="AC582" s="2">
        <f t="shared" si="81"/>
        <v>1</v>
      </c>
      <c r="AD582" s="2" t="str">
        <f t="shared" si="82"/>
        <v/>
      </c>
      <c r="AE582" s="2" t="str">
        <f t="shared" si="83"/>
        <v/>
      </c>
      <c r="AF582" s="2" t="str">
        <f t="shared" si="84"/>
        <v/>
      </c>
      <c r="AG582" s="2" t="str">
        <f t="shared" si="85"/>
        <v/>
      </c>
      <c r="AH582" s="4" t="str">
        <f t="shared" si="86"/>
        <v/>
      </c>
      <c r="AI582" s="2" t="str">
        <f t="shared" si="87"/>
        <v/>
      </c>
      <c r="AJ582" s="2" t="str">
        <f t="shared" si="88"/>
        <v/>
      </c>
      <c r="AK582" s="2" t="str">
        <f t="shared" si="89"/>
        <v/>
      </c>
    </row>
    <row r="583" spans="1:37" x14ac:dyDescent="0.25">
      <c r="A583">
        <v>473</v>
      </c>
      <c r="B583" t="s">
        <v>663</v>
      </c>
      <c r="C583" t="s">
        <v>94</v>
      </c>
      <c r="D583" t="s">
        <v>558</v>
      </c>
      <c r="E583" t="s">
        <v>601</v>
      </c>
      <c r="F583" t="s">
        <v>602</v>
      </c>
      <c r="G583" t="s">
        <v>38</v>
      </c>
      <c r="H583" s="1">
        <v>44679.075752314813</v>
      </c>
      <c r="I583" s="1">
        <v>44681.075752314813</v>
      </c>
      <c r="J583" t="s">
        <v>32</v>
      </c>
      <c r="K583" s="1">
        <v>44694.075752314813</v>
      </c>
      <c r="L583" t="s">
        <v>57</v>
      </c>
      <c r="N583" s="4">
        <v>44701.075752314813</v>
      </c>
      <c r="O583" t="s">
        <v>57</v>
      </c>
      <c r="P583" s="4">
        <v>44695.075752314813</v>
      </c>
      <c r="Q583" s="4">
        <v>44698.075752314813</v>
      </c>
      <c r="R583" s="4">
        <v>44698.075752314813</v>
      </c>
      <c r="S583" s="4">
        <v>44707.075752314813</v>
      </c>
      <c r="T583">
        <v>1</v>
      </c>
      <c r="U583" s="4">
        <v>44710.075752314813</v>
      </c>
      <c r="V583" s="4">
        <v>44712.075752314813</v>
      </c>
      <c r="W583" s="4">
        <v>44714.075752314813</v>
      </c>
      <c r="Z583" s="4">
        <v>44722.075752314813</v>
      </c>
      <c r="AC583" s="2">
        <f t="shared" si="81"/>
        <v>2</v>
      </c>
      <c r="AD583" s="2">
        <f t="shared" si="82"/>
        <v>15</v>
      </c>
      <c r="AE583" s="2">
        <f t="shared" si="83"/>
        <v>13</v>
      </c>
      <c r="AF583" s="2">
        <f t="shared" si="84"/>
        <v>19</v>
      </c>
      <c r="AG583" s="2">
        <f t="shared" si="85"/>
        <v>4</v>
      </c>
      <c r="AH583" s="4">
        <f t="shared" si="86"/>
        <v>44788.075752314813</v>
      </c>
      <c r="AI583" s="2">
        <f t="shared" si="87"/>
        <v>3</v>
      </c>
      <c r="AJ583" s="2">
        <f t="shared" si="88"/>
        <v>24</v>
      </c>
      <c r="AK583" s="2">
        <f t="shared" si="89"/>
        <v>16</v>
      </c>
    </row>
    <row r="584" spans="1:37" x14ac:dyDescent="0.25">
      <c r="A584">
        <v>383</v>
      </c>
      <c r="B584" t="s">
        <v>664</v>
      </c>
      <c r="C584" t="s">
        <v>94</v>
      </c>
      <c r="D584" t="s">
        <v>558</v>
      </c>
      <c r="E584" t="s">
        <v>601</v>
      </c>
      <c r="F584" t="s">
        <v>602</v>
      </c>
      <c r="G584" t="s">
        <v>38</v>
      </c>
      <c r="H584" s="1">
        <v>44876.3830787037</v>
      </c>
      <c r="I584" s="1">
        <v>44877.3830787037</v>
      </c>
      <c r="J584" t="s">
        <v>32</v>
      </c>
      <c r="K584" s="1">
        <v>44888.3830787037</v>
      </c>
      <c r="L584" t="s">
        <v>39</v>
      </c>
      <c r="N584" s="4">
        <v>44893.3830787037</v>
      </c>
      <c r="O584" t="s">
        <v>39</v>
      </c>
      <c r="R584" s="4">
        <v>44890.3830787037</v>
      </c>
      <c r="T584">
        <v>0</v>
      </c>
      <c r="AC584" s="2">
        <f t="shared" si="81"/>
        <v>1</v>
      </c>
      <c r="AD584" s="2">
        <f t="shared" si="82"/>
        <v>12</v>
      </c>
      <c r="AE584" s="2">
        <f t="shared" si="83"/>
        <v>11</v>
      </c>
      <c r="AF584" s="2">
        <f t="shared" si="84"/>
        <v>14</v>
      </c>
      <c r="AG584" s="2">
        <f t="shared" si="85"/>
        <v>2</v>
      </c>
      <c r="AH584" s="4">
        <f t="shared" si="86"/>
        <v>44980.3830787037</v>
      </c>
      <c r="AI584" s="2" t="str">
        <f t="shared" si="87"/>
        <v/>
      </c>
      <c r="AJ584" s="2" t="str">
        <f t="shared" si="88"/>
        <v/>
      </c>
      <c r="AK584" s="2" t="str">
        <f t="shared" si="89"/>
        <v/>
      </c>
    </row>
    <row r="585" spans="1:37" x14ac:dyDescent="0.25">
      <c r="A585">
        <v>379</v>
      </c>
      <c r="B585" t="s">
        <v>665</v>
      </c>
      <c r="C585" t="s">
        <v>94</v>
      </c>
      <c r="D585" t="s">
        <v>558</v>
      </c>
      <c r="E585" t="s">
        <v>601</v>
      </c>
      <c r="F585" t="s">
        <v>602</v>
      </c>
      <c r="G585" t="s">
        <v>38</v>
      </c>
      <c r="H585" s="1">
        <v>44661.356712962966</v>
      </c>
      <c r="I585" s="1">
        <v>44664.356712962966</v>
      </c>
      <c r="J585" t="s">
        <v>32</v>
      </c>
      <c r="K585" s="1">
        <v>44678.356712962966</v>
      </c>
      <c r="L585" t="s">
        <v>57</v>
      </c>
      <c r="N585" s="4">
        <v>44680.356712962966</v>
      </c>
      <c r="O585" t="s">
        <v>57</v>
      </c>
      <c r="P585" s="4">
        <v>44679.356712962966</v>
      </c>
      <c r="Q585" s="4">
        <v>44680.356712962966</v>
      </c>
      <c r="R585" s="4">
        <v>44679.356712962966</v>
      </c>
      <c r="S585" s="4">
        <v>44684.356712962966</v>
      </c>
      <c r="T585">
        <v>1</v>
      </c>
      <c r="U585" s="4">
        <v>44686.356712962966</v>
      </c>
      <c r="V585" s="4">
        <v>44689.356712962966</v>
      </c>
      <c r="W585" s="4">
        <v>44692.356712962966</v>
      </c>
      <c r="Z585" s="4">
        <v>44706.356712962966</v>
      </c>
      <c r="AC585" s="2">
        <f t="shared" si="81"/>
        <v>3</v>
      </c>
      <c r="AD585" s="2">
        <f t="shared" si="82"/>
        <v>17</v>
      </c>
      <c r="AE585" s="2">
        <f t="shared" si="83"/>
        <v>14</v>
      </c>
      <c r="AF585" s="2">
        <f t="shared" si="84"/>
        <v>18</v>
      </c>
      <c r="AG585" s="2">
        <f t="shared" si="85"/>
        <v>1</v>
      </c>
      <c r="AH585" s="4">
        <f t="shared" si="86"/>
        <v>44769.356712962966</v>
      </c>
      <c r="AI585" s="2">
        <f t="shared" si="87"/>
        <v>2</v>
      </c>
      <c r="AJ585" s="2">
        <f t="shared" si="88"/>
        <v>27</v>
      </c>
      <c r="AK585" s="2">
        <f t="shared" si="89"/>
        <v>13</v>
      </c>
    </row>
    <row r="586" spans="1:37" x14ac:dyDescent="0.25">
      <c r="A586">
        <v>373</v>
      </c>
      <c r="B586" t="s">
        <v>666</v>
      </c>
      <c r="C586" t="s">
        <v>94</v>
      </c>
      <c r="D586" t="s">
        <v>558</v>
      </c>
      <c r="E586" t="s">
        <v>601</v>
      </c>
      <c r="F586" t="s">
        <v>602</v>
      </c>
      <c r="G586" t="s">
        <v>38</v>
      </c>
      <c r="H586" s="1">
        <v>44664.356712962966</v>
      </c>
      <c r="I586" s="1">
        <v>44666.356712962966</v>
      </c>
      <c r="J586" t="s">
        <v>32</v>
      </c>
      <c r="K586" s="1">
        <v>44683.356712962966</v>
      </c>
      <c r="L586" t="s">
        <v>164</v>
      </c>
      <c r="N586" s="4">
        <v>44687.356712962966</v>
      </c>
      <c r="O586" t="s">
        <v>164</v>
      </c>
      <c r="R586" s="4">
        <v>44686.356712962966</v>
      </c>
      <c r="T586">
        <v>0</v>
      </c>
      <c r="AC586" s="2">
        <f t="shared" si="81"/>
        <v>2</v>
      </c>
      <c r="AD586" s="2">
        <f t="shared" si="82"/>
        <v>19</v>
      </c>
      <c r="AE586" s="2">
        <f t="shared" si="83"/>
        <v>17</v>
      </c>
      <c r="AF586" s="2">
        <f t="shared" si="84"/>
        <v>22</v>
      </c>
      <c r="AG586" s="2">
        <f t="shared" si="85"/>
        <v>3</v>
      </c>
      <c r="AH586" s="4">
        <f t="shared" si="86"/>
        <v>44776.356712962966</v>
      </c>
      <c r="AI586" s="2" t="str">
        <f t="shared" si="87"/>
        <v/>
      </c>
      <c r="AJ586" s="2" t="str">
        <f t="shared" si="88"/>
        <v/>
      </c>
      <c r="AK586" s="2" t="str">
        <f t="shared" si="89"/>
        <v/>
      </c>
    </row>
    <row r="587" spans="1:37" x14ac:dyDescent="0.25">
      <c r="A587">
        <v>313</v>
      </c>
      <c r="B587" t="s">
        <v>667</v>
      </c>
      <c r="C587" t="s">
        <v>94</v>
      </c>
      <c r="D587" t="s">
        <v>558</v>
      </c>
      <c r="E587" t="s">
        <v>601</v>
      </c>
      <c r="F587" t="s">
        <v>602</v>
      </c>
      <c r="G587" t="s">
        <v>38</v>
      </c>
      <c r="H587" s="1">
        <v>44985.608946759261</v>
      </c>
      <c r="I587" s="1">
        <v>44986.608946759261</v>
      </c>
      <c r="J587" t="s">
        <v>32</v>
      </c>
      <c r="K587" s="1">
        <v>45005.608946759261</v>
      </c>
      <c r="L587" t="s">
        <v>39</v>
      </c>
      <c r="N587" s="4">
        <v>45008.608946759261</v>
      </c>
      <c r="O587" t="s">
        <v>39</v>
      </c>
      <c r="R587" s="4">
        <v>45006.608946759261</v>
      </c>
      <c r="T587">
        <v>0</v>
      </c>
      <c r="AC587" s="2">
        <f t="shared" si="81"/>
        <v>1</v>
      </c>
      <c r="AD587" s="2">
        <f t="shared" si="82"/>
        <v>20</v>
      </c>
      <c r="AE587" s="2">
        <f t="shared" si="83"/>
        <v>19</v>
      </c>
      <c r="AF587" s="2">
        <f t="shared" si="84"/>
        <v>21</v>
      </c>
      <c r="AG587" s="2">
        <f t="shared" si="85"/>
        <v>1</v>
      </c>
      <c r="AH587" s="4">
        <f t="shared" si="86"/>
        <v>45096.608946759261</v>
      </c>
      <c r="AI587" s="2" t="str">
        <f t="shared" si="87"/>
        <v/>
      </c>
      <c r="AJ587" s="2" t="str">
        <f t="shared" si="88"/>
        <v/>
      </c>
      <c r="AK587" s="2" t="str">
        <f t="shared" si="89"/>
        <v/>
      </c>
    </row>
    <row r="588" spans="1:37" x14ac:dyDescent="0.25">
      <c r="A588">
        <v>190</v>
      </c>
      <c r="B588" t="s">
        <v>668</v>
      </c>
      <c r="C588" t="s">
        <v>94</v>
      </c>
      <c r="D588" t="s">
        <v>558</v>
      </c>
      <c r="E588" t="s">
        <v>601</v>
      </c>
      <c r="F588" t="s">
        <v>602</v>
      </c>
      <c r="G588" t="s">
        <v>38</v>
      </c>
      <c r="H588" s="1">
        <v>44826.301365740743</v>
      </c>
      <c r="I588" s="1">
        <v>44829.301365740743</v>
      </c>
      <c r="J588" t="s">
        <v>32</v>
      </c>
      <c r="K588" s="1">
        <v>44852.301365740743</v>
      </c>
      <c r="L588" t="s">
        <v>57</v>
      </c>
      <c r="N588" s="4">
        <v>44856.301365740743</v>
      </c>
      <c r="O588" t="s">
        <v>57</v>
      </c>
      <c r="P588" s="4">
        <v>44854.301365740743</v>
      </c>
      <c r="Q588" s="4">
        <v>44858.301365740743</v>
      </c>
      <c r="R588" s="4">
        <v>44855.301365740743</v>
      </c>
      <c r="S588" s="4">
        <v>44862.301365740743</v>
      </c>
      <c r="T588">
        <v>1</v>
      </c>
      <c r="U588" s="4">
        <v>44864.301365740743</v>
      </c>
      <c r="V588" s="4">
        <v>44867.301365740743</v>
      </c>
      <c r="W588" s="4">
        <v>44869.301365740743</v>
      </c>
      <c r="Z588" s="4">
        <v>44890.301365740743</v>
      </c>
      <c r="AC588" s="2">
        <f t="shared" si="81"/>
        <v>3</v>
      </c>
      <c r="AD588" s="2">
        <f t="shared" si="82"/>
        <v>26</v>
      </c>
      <c r="AE588" s="2">
        <f t="shared" si="83"/>
        <v>23</v>
      </c>
      <c r="AF588" s="2">
        <f t="shared" si="84"/>
        <v>29</v>
      </c>
      <c r="AG588" s="2">
        <f t="shared" si="85"/>
        <v>3</v>
      </c>
      <c r="AH588" s="4">
        <f t="shared" si="86"/>
        <v>44945.301365740743</v>
      </c>
      <c r="AI588" s="2">
        <f t="shared" si="87"/>
        <v>2</v>
      </c>
      <c r="AJ588" s="2">
        <f t="shared" si="88"/>
        <v>35</v>
      </c>
      <c r="AK588" s="2">
        <f t="shared" si="89"/>
        <v>14</v>
      </c>
    </row>
    <row r="589" spans="1:37" x14ac:dyDescent="0.25">
      <c r="A589">
        <v>186</v>
      </c>
      <c r="B589" t="s">
        <v>669</v>
      </c>
      <c r="C589" t="s">
        <v>94</v>
      </c>
      <c r="D589" t="s">
        <v>558</v>
      </c>
      <c r="E589" t="s">
        <v>601</v>
      </c>
      <c r="F589" t="s">
        <v>602</v>
      </c>
      <c r="G589" t="s">
        <v>38</v>
      </c>
      <c r="H589" s="1">
        <v>44829.301365740743</v>
      </c>
      <c r="I589" s="1">
        <v>44832.301365740743</v>
      </c>
      <c r="J589" t="s">
        <v>32</v>
      </c>
      <c r="K589" s="1">
        <v>44851.301365740743</v>
      </c>
      <c r="L589" t="s">
        <v>33</v>
      </c>
      <c r="M589" t="s">
        <v>34</v>
      </c>
      <c r="T589">
        <v>0</v>
      </c>
      <c r="Y589" t="s">
        <v>35</v>
      </c>
      <c r="AC589" s="2">
        <f t="shared" si="81"/>
        <v>3</v>
      </c>
      <c r="AD589" s="2">
        <f t="shared" si="82"/>
        <v>22</v>
      </c>
      <c r="AE589" s="2">
        <f t="shared" si="83"/>
        <v>19</v>
      </c>
      <c r="AF589" s="2" t="str">
        <f t="shared" si="84"/>
        <v/>
      </c>
      <c r="AG589" s="2" t="str">
        <f t="shared" si="85"/>
        <v/>
      </c>
      <c r="AH589" s="4" t="str">
        <f t="shared" si="86"/>
        <v/>
      </c>
      <c r="AI589" s="2" t="str">
        <f t="shared" si="87"/>
        <v/>
      </c>
      <c r="AJ589" s="2" t="str">
        <f t="shared" si="88"/>
        <v/>
      </c>
      <c r="AK589" s="2" t="str">
        <f t="shared" si="89"/>
        <v/>
      </c>
    </row>
    <row r="590" spans="1:37" x14ac:dyDescent="0.25">
      <c r="A590">
        <v>183</v>
      </c>
      <c r="B590" t="s">
        <v>670</v>
      </c>
      <c r="C590" t="s">
        <v>94</v>
      </c>
      <c r="D590" t="s">
        <v>558</v>
      </c>
      <c r="E590" t="s">
        <v>601</v>
      </c>
      <c r="F590" t="s">
        <v>602</v>
      </c>
      <c r="G590" t="s">
        <v>38</v>
      </c>
      <c r="H590" s="1">
        <v>44830.301365740743</v>
      </c>
      <c r="I590" s="1">
        <v>44832.301365740743</v>
      </c>
      <c r="J590" t="s">
        <v>44</v>
      </c>
      <c r="K590" s="1"/>
      <c r="T590">
        <v>0</v>
      </c>
      <c r="AC590" s="2">
        <f t="shared" si="81"/>
        <v>2</v>
      </c>
      <c r="AD590" s="2" t="str">
        <f t="shared" si="82"/>
        <v/>
      </c>
      <c r="AE590" s="2" t="str">
        <f t="shared" si="83"/>
        <v/>
      </c>
      <c r="AF590" s="2" t="str">
        <f t="shared" si="84"/>
        <v/>
      </c>
      <c r="AG590" s="2" t="str">
        <f t="shared" si="85"/>
        <v/>
      </c>
      <c r="AH590" s="4" t="str">
        <f t="shared" si="86"/>
        <v/>
      </c>
      <c r="AI590" s="2" t="str">
        <f t="shared" si="87"/>
        <v/>
      </c>
      <c r="AJ590" s="2" t="str">
        <f t="shared" si="88"/>
        <v/>
      </c>
      <c r="AK590" s="2" t="str">
        <f t="shared" si="89"/>
        <v/>
      </c>
    </row>
    <row r="591" spans="1:37" x14ac:dyDescent="0.25">
      <c r="A591">
        <v>134</v>
      </c>
      <c r="B591" t="s">
        <v>671</v>
      </c>
      <c r="C591" t="s">
        <v>94</v>
      </c>
      <c r="D591" t="s">
        <v>558</v>
      </c>
      <c r="E591" t="s">
        <v>601</v>
      </c>
      <c r="F591" t="s">
        <v>602</v>
      </c>
      <c r="G591" t="s">
        <v>38</v>
      </c>
      <c r="H591" s="1">
        <v>44761.802951388891</v>
      </c>
      <c r="I591" s="1">
        <v>44765.802951388891</v>
      </c>
      <c r="J591" t="s">
        <v>44</v>
      </c>
      <c r="K591" s="1"/>
      <c r="T591">
        <v>0</v>
      </c>
      <c r="AC591" s="2">
        <f t="shared" si="81"/>
        <v>4</v>
      </c>
      <c r="AD591" s="2" t="str">
        <f t="shared" si="82"/>
        <v/>
      </c>
      <c r="AE591" s="2" t="str">
        <f t="shared" si="83"/>
        <v/>
      </c>
      <c r="AF591" s="2" t="str">
        <f t="shared" si="84"/>
        <v/>
      </c>
      <c r="AG591" s="2" t="str">
        <f t="shared" si="85"/>
        <v/>
      </c>
      <c r="AH591" s="4" t="str">
        <f t="shared" si="86"/>
        <v/>
      </c>
      <c r="AI591" s="2" t="str">
        <f t="shared" si="87"/>
        <v/>
      </c>
      <c r="AJ591" s="2" t="str">
        <f t="shared" si="88"/>
        <v/>
      </c>
      <c r="AK591" s="2" t="str">
        <f t="shared" si="89"/>
        <v/>
      </c>
    </row>
    <row r="592" spans="1:37" x14ac:dyDescent="0.25">
      <c r="A592">
        <v>69</v>
      </c>
      <c r="B592" t="s">
        <v>672</v>
      </c>
      <c r="C592" t="s">
        <v>94</v>
      </c>
      <c r="D592" t="s">
        <v>558</v>
      </c>
      <c r="E592" t="s">
        <v>601</v>
      </c>
      <c r="F592" t="s">
        <v>602</v>
      </c>
      <c r="G592" t="s">
        <v>38</v>
      </c>
      <c r="H592" s="1">
        <v>45163.755949074075</v>
      </c>
      <c r="I592" s="1">
        <v>45164.755949074075</v>
      </c>
      <c r="J592" t="s">
        <v>32</v>
      </c>
      <c r="K592" s="1">
        <v>45178.755949074075</v>
      </c>
      <c r="L592" t="s">
        <v>33</v>
      </c>
      <c r="M592" t="s">
        <v>51</v>
      </c>
      <c r="R592" s="4">
        <v>45181.755949074075</v>
      </c>
      <c r="T592">
        <v>0</v>
      </c>
      <c r="Y592" t="s">
        <v>35</v>
      </c>
      <c r="AC592" s="2">
        <f t="shared" si="81"/>
        <v>1</v>
      </c>
      <c r="AD592" s="2">
        <f t="shared" si="82"/>
        <v>15</v>
      </c>
      <c r="AE592" s="2">
        <f t="shared" si="83"/>
        <v>14</v>
      </c>
      <c r="AF592" s="2">
        <f t="shared" si="84"/>
        <v>18</v>
      </c>
      <c r="AG592" s="2">
        <f t="shared" si="85"/>
        <v>3</v>
      </c>
      <c r="AH592" s="4">
        <f t="shared" si="86"/>
        <v>45271.755949074075</v>
      </c>
      <c r="AI592" s="2" t="str">
        <f t="shared" si="87"/>
        <v/>
      </c>
      <c r="AJ592" s="2" t="str">
        <f t="shared" si="88"/>
        <v/>
      </c>
      <c r="AK592" s="2" t="str">
        <f t="shared" si="89"/>
        <v/>
      </c>
    </row>
    <row r="593" spans="1:37" x14ac:dyDescent="0.25">
      <c r="A593">
        <v>6</v>
      </c>
      <c r="B593" t="s">
        <v>673</v>
      </c>
      <c r="C593" t="s">
        <v>94</v>
      </c>
      <c r="D593" t="s">
        <v>558</v>
      </c>
      <c r="E593" t="s">
        <v>601</v>
      </c>
      <c r="F593" t="s">
        <v>602</v>
      </c>
      <c r="G593" t="s">
        <v>38</v>
      </c>
      <c r="H593" s="1">
        <v>45076.372060185182</v>
      </c>
      <c r="I593" s="1">
        <v>45078.372060185182</v>
      </c>
      <c r="J593" t="s">
        <v>32</v>
      </c>
      <c r="K593" s="1">
        <v>45092.372060185182</v>
      </c>
      <c r="L593" t="s">
        <v>57</v>
      </c>
      <c r="N593" s="4">
        <v>45099.372060185182</v>
      </c>
      <c r="O593" t="s">
        <v>57</v>
      </c>
      <c r="P593" s="4">
        <v>45094.372060185182</v>
      </c>
      <c r="Q593" s="4">
        <v>45096.372060185182</v>
      </c>
      <c r="R593" s="4">
        <v>45095.372060185182</v>
      </c>
      <c r="S593" s="4">
        <v>45103.372060185182</v>
      </c>
      <c r="T593">
        <v>1</v>
      </c>
      <c r="U593" s="4">
        <v>45104.372060185182</v>
      </c>
      <c r="V593" s="4">
        <v>45105.372060185182</v>
      </c>
      <c r="W593" s="4">
        <v>45107.372060185182</v>
      </c>
      <c r="Z593" s="4">
        <v>45121.372060185182</v>
      </c>
      <c r="AC593" s="2">
        <f t="shared" si="81"/>
        <v>2</v>
      </c>
      <c r="AD593" s="2">
        <f t="shared" si="82"/>
        <v>16</v>
      </c>
      <c r="AE593" s="2">
        <f t="shared" si="83"/>
        <v>14</v>
      </c>
      <c r="AF593" s="2">
        <f t="shared" si="84"/>
        <v>19</v>
      </c>
      <c r="AG593" s="2">
        <f t="shared" si="85"/>
        <v>3</v>
      </c>
      <c r="AH593" s="4">
        <f t="shared" si="86"/>
        <v>45185.372060185182</v>
      </c>
      <c r="AI593" s="2">
        <f t="shared" si="87"/>
        <v>1</v>
      </c>
      <c r="AJ593" s="2">
        <f t="shared" si="88"/>
        <v>26</v>
      </c>
      <c r="AK593" s="2">
        <f t="shared" si="89"/>
        <v>12</v>
      </c>
    </row>
    <row r="594" spans="1:37" x14ac:dyDescent="0.25">
      <c r="A594">
        <v>1</v>
      </c>
      <c r="B594" t="s">
        <v>674</v>
      </c>
      <c r="C594" t="s">
        <v>94</v>
      </c>
      <c r="D594" t="s">
        <v>558</v>
      </c>
      <c r="E594" t="s">
        <v>601</v>
      </c>
      <c r="F594" t="s">
        <v>602</v>
      </c>
      <c r="G594" t="s">
        <v>38</v>
      </c>
      <c r="H594" s="1">
        <v>45075.372060185182</v>
      </c>
      <c r="I594" s="1">
        <v>45077.372060185182</v>
      </c>
      <c r="J594" t="s">
        <v>32</v>
      </c>
      <c r="K594" s="1">
        <v>45088.372060185182</v>
      </c>
      <c r="L594" t="s">
        <v>33</v>
      </c>
      <c r="M594" t="s">
        <v>92</v>
      </c>
      <c r="R594" s="4">
        <v>45091.372060185182</v>
      </c>
      <c r="T594">
        <v>0</v>
      </c>
      <c r="Y594" t="s">
        <v>55</v>
      </c>
      <c r="AC594" s="2">
        <f t="shared" si="81"/>
        <v>2</v>
      </c>
      <c r="AD594" s="2">
        <f t="shared" si="82"/>
        <v>13</v>
      </c>
      <c r="AE594" s="2">
        <f t="shared" si="83"/>
        <v>11</v>
      </c>
      <c r="AF594" s="2">
        <f t="shared" si="84"/>
        <v>16</v>
      </c>
      <c r="AG594" s="2">
        <f t="shared" si="85"/>
        <v>3</v>
      </c>
      <c r="AH594" s="4">
        <f t="shared" si="86"/>
        <v>45181.372060185182</v>
      </c>
      <c r="AI594" s="2" t="str">
        <f t="shared" si="87"/>
        <v/>
      </c>
      <c r="AJ594" s="2" t="str">
        <f t="shared" si="88"/>
        <v/>
      </c>
      <c r="AK594" s="2" t="str">
        <f t="shared" si="89"/>
        <v/>
      </c>
    </row>
    <row r="595" spans="1:37" x14ac:dyDescent="0.25">
      <c r="A595">
        <v>2895</v>
      </c>
      <c r="B595" t="s">
        <v>675</v>
      </c>
      <c r="C595" t="s">
        <v>676</v>
      </c>
      <c r="D595" t="s">
        <v>677</v>
      </c>
      <c r="E595" t="s">
        <v>678</v>
      </c>
      <c r="F595" t="s">
        <v>679</v>
      </c>
      <c r="G595" t="s">
        <v>31</v>
      </c>
      <c r="H595" s="1">
        <v>44962.681840277779</v>
      </c>
      <c r="I595" s="1">
        <v>44965.681840277779</v>
      </c>
      <c r="J595" t="s">
        <v>32</v>
      </c>
      <c r="K595" s="1">
        <v>44974.681840277779</v>
      </c>
      <c r="L595" t="s">
        <v>57</v>
      </c>
      <c r="N595" s="4">
        <v>44979.681840277779</v>
      </c>
      <c r="O595" t="s">
        <v>57</v>
      </c>
      <c r="P595" s="4">
        <v>44975.681840277779</v>
      </c>
      <c r="Q595" s="4">
        <v>44977.681840277779</v>
      </c>
      <c r="R595" s="4">
        <v>44975.681840277779</v>
      </c>
      <c r="S595" s="4">
        <v>44978.681840277779</v>
      </c>
      <c r="T595">
        <v>1</v>
      </c>
      <c r="U595" s="4">
        <v>44981.681840277779</v>
      </c>
      <c r="V595" s="4">
        <v>44983.681840277779</v>
      </c>
      <c r="W595" s="4">
        <v>44985.681840277779</v>
      </c>
      <c r="Z595" s="4">
        <v>44995.681840277779</v>
      </c>
      <c r="AC595" s="2">
        <f t="shared" si="81"/>
        <v>3</v>
      </c>
      <c r="AD595" s="2">
        <f t="shared" si="82"/>
        <v>12</v>
      </c>
      <c r="AE595" s="2">
        <f t="shared" si="83"/>
        <v>9</v>
      </c>
      <c r="AF595" s="2">
        <f t="shared" si="84"/>
        <v>13</v>
      </c>
      <c r="AG595" s="2">
        <f t="shared" si="85"/>
        <v>1</v>
      </c>
      <c r="AH595" s="4">
        <f t="shared" si="86"/>
        <v>45065.681840277779</v>
      </c>
      <c r="AI595" s="2">
        <f t="shared" si="87"/>
        <v>3</v>
      </c>
      <c r="AJ595" s="2">
        <f t="shared" si="88"/>
        <v>20</v>
      </c>
      <c r="AK595" s="2">
        <f t="shared" si="89"/>
        <v>10</v>
      </c>
    </row>
    <row r="596" spans="1:37" x14ac:dyDescent="0.25">
      <c r="A596">
        <v>2728</v>
      </c>
      <c r="B596" t="s">
        <v>680</v>
      </c>
      <c r="C596" t="s">
        <v>676</v>
      </c>
      <c r="D596" t="s">
        <v>677</v>
      </c>
      <c r="E596" t="s">
        <v>678</v>
      </c>
      <c r="F596" t="s">
        <v>679</v>
      </c>
      <c r="G596" t="s">
        <v>31</v>
      </c>
      <c r="H596" s="1">
        <v>45065.24894675926</v>
      </c>
      <c r="I596" s="1">
        <v>45069.24894675926</v>
      </c>
      <c r="J596" t="s">
        <v>44</v>
      </c>
      <c r="K596" s="1"/>
      <c r="T596">
        <v>0</v>
      </c>
      <c r="AC596" s="2">
        <f t="shared" si="81"/>
        <v>4</v>
      </c>
      <c r="AD596" s="2" t="str">
        <f t="shared" si="82"/>
        <v/>
      </c>
      <c r="AE596" s="2" t="str">
        <f t="shared" si="83"/>
        <v/>
      </c>
      <c r="AF596" s="2" t="str">
        <f t="shared" si="84"/>
        <v/>
      </c>
      <c r="AG596" s="2" t="str">
        <f t="shared" si="85"/>
        <v/>
      </c>
      <c r="AH596" s="4" t="str">
        <f t="shared" si="86"/>
        <v/>
      </c>
      <c r="AI596" s="2" t="str">
        <f t="shared" si="87"/>
        <v/>
      </c>
      <c r="AJ596" s="2" t="str">
        <f t="shared" si="88"/>
        <v/>
      </c>
      <c r="AK596" s="2" t="str">
        <f t="shared" si="89"/>
        <v/>
      </c>
    </row>
    <row r="597" spans="1:37" x14ac:dyDescent="0.25">
      <c r="A597">
        <v>2332</v>
      </c>
      <c r="B597" t="s">
        <v>681</v>
      </c>
      <c r="C597" t="s">
        <v>676</v>
      </c>
      <c r="D597" t="s">
        <v>677</v>
      </c>
      <c r="E597" t="s">
        <v>678</v>
      </c>
      <c r="F597" t="s">
        <v>679</v>
      </c>
      <c r="G597" t="s">
        <v>31</v>
      </c>
      <c r="H597" s="1">
        <v>44695.386030092595</v>
      </c>
      <c r="I597" s="1">
        <v>44698.386030092595</v>
      </c>
      <c r="J597" t="s">
        <v>44</v>
      </c>
      <c r="K597" s="1"/>
      <c r="T597">
        <v>0</v>
      </c>
      <c r="AC597" s="2">
        <f t="shared" si="81"/>
        <v>3</v>
      </c>
      <c r="AD597" s="2" t="str">
        <f t="shared" si="82"/>
        <v/>
      </c>
      <c r="AE597" s="2" t="str">
        <f t="shared" si="83"/>
        <v/>
      </c>
      <c r="AF597" s="2" t="str">
        <f t="shared" si="84"/>
        <v/>
      </c>
      <c r="AG597" s="2" t="str">
        <f t="shared" si="85"/>
        <v/>
      </c>
      <c r="AH597" s="4" t="str">
        <f t="shared" si="86"/>
        <v/>
      </c>
      <c r="AI597" s="2" t="str">
        <f t="shared" si="87"/>
        <v/>
      </c>
      <c r="AJ597" s="2" t="str">
        <f t="shared" si="88"/>
        <v/>
      </c>
      <c r="AK597" s="2" t="str">
        <f t="shared" si="89"/>
        <v/>
      </c>
    </row>
    <row r="598" spans="1:37" x14ac:dyDescent="0.25">
      <c r="A598">
        <v>2255</v>
      </c>
      <c r="B598" t="s">
        <v>682</v>
      </c>
      <c r="C598" t="s">
        <v>676</v>
      </c>
      <c r="D598" t="s">
        <v>677</v>
      </c>
      <c r="E598" t="s">
        <v>678</v>
      </c>
      <c r="F598" t="s">
        <v>679</v>
      </c>
      <c r="G598" t="s">
        <v>31</v>
      </c>
      <c r="H598" s="1">
        <v>44783.68608796296</v>
      </c>
      <c r="I598" s="1">
        <v>44786.68608796296</v>
      </c>
      <c r="J598" t="s">
        <v>32</v>
      </c>
      <c r="K598" s="1">
        <v>44800.68608796296</v>
      </c>
      <c r="L598" t="s">
        <v>57</v>
      </c>
      <c r="N598" s="4">
        <v>44804.68608796296</v>
      </c>
      <c r="O598" t="s">
        <v>57</v>
      </c>
      <c r="P598" s="4">
        <v>44802.68608796296</v>
      </c>
      <c r="Q598" s="4">
        <v>44804.68608796296</v>
      </c>
      <c r="R598" s="4">
        <v>44801.68608796296</v>
      </c>
      <c r="S598" s="4">
        <v>44811.68608796296</v>
      </c>
      <c r="T598">
        <v>1</v>
      </c>
      <c r="U598" s="4">
        <v>44812.68608796296</v>
      </c>
      <c r="V598" s="4">
        <v>44815.68608796296</v>
      </c>
      <c r="W598" s="4">
        <v>44818.68608796296</v>
      </c>
      <c r="Z598" s="4">
        <v>44835.68608796296</v>
      </c>
      <c r="AC598" s="2">
        <f t="shared" si="81"/>
        <v>3</v>
      </c>
      <c r="AD598" s="2">
        <f t="shared" si="82"/>
        <v>17</v>
      </c>
      <c r="AE598" s="2">
        <f t="shared" si="83"/>
        <v>14</v>
      </c>
      <c r="AF598" s="2">
        <f t="shared" si="84"/>
        <v>18</v>
      </c>
      <c r="AG598" s="2">
        <f t="shared" si="85"/>
        <v>1</v>
      </c>
      <c r="AH598" s="4">
        <f t="shared" si="86"/>
        <v>44891.68608796296</v>
      </c>
      <c r="AI598" s="2">
        <f t="shared" si="87"/>
        <v>1</v>
      </c>
      <c r="AJ598" s="2">
        <f t="shared" si="88"/>
        <v>34</v>
      </c>
      <c r="AK598" s="2">
        <f t="shared" si="89"/>
        <v>17</v>
      </c>
    </row>
    <row r="599" spans="1:37" x14ac:dyDescent="0.25">
      <c r="A599">
        <v>2146</v>
      </c>
      <c r="B599" t="s">
        <v>683</v>
      </c>
      <c r="C599" t="s">
        <v>676</v>
      </c>
      <c r="D599" t="s">
        <v>677</v>
      </c>
      <c r="E599" t="s">
        <v>678</v>
      </c>
      <c r="F599" t="s">
        <v>679</v>
      </c>
      <c r="G599" t="s">
        <v>31</v>
      </c>
      <c r="H599" s="1">
        <v>44747.830833333333</v>
      </c>
      <c r="I599" s="1">
        <v>44750.830833333333</v>
      </c>
      <c r="J599" t="s">
        <v>44</v>
      </c>
      <c r="K599" s="1"/>
      <c r="T599">
        <v>0</v>
      </c>
      <c r="AC599" s="2">
        <f t="shared" si="81"/>
        <v>3</v>
      </c>
      <c r="AD599" s="2" t="str">
        <f t="shared" si="82"/>
        <v/>
      </c>
      <c r="AE599" s="2" t="str">
        <f t="shared" si="83"/>
        <v/>
      </c>
      <c r="AF599" s="2" t="str">
        <f t="shared" si="84"/>
        <v/>
      </c>
      <c r="AG599" s="2" t="str">
        <f t="shared" si="85"/>
        <v/>
      </c>
      <c r="AH599" s="4" t="str">
        <f t="shared" si="86"/>
        <v/>
      </c>
      <c r="AI599" s="2" t="str">
        <f t="shared" si="87"/>
        <v/>
      </c>
      <c r="AJ599" s="2" t="str">
        <f t="shared" si="88"/>
        <v/>
      </c>
      <c r="AK599" s="2" t="str">
        <f t="shared" si="89"/>
        <v/>
      </c>
    </row>
    <row r="600" spans="1:37" x14ac:dyDescent="0.25">
      <c r="A600">
        <v>1906</v>
      </c>
      <c r="B600" t="s">
        <v>684</v>
      </c>
      <c r="C600" t="s">
        <v>676</v>
      </c>
      <c r="D600" t="s">
        <v>677</v>
      </c>
      <c r="E600" t="s">
        <v>678</v>
      </c>
      <c r="F600" t="s">
        <v>679</v>
      </c>
      <c r="G600" t="s">
        <v>31</v>
      </c>
      <c r="H600" s="1">
        <v>44992.686469907407</v>
      </c>
      <c r="I600" s="1">
        <v>44996.686469907407</v>
      </c>
      <c r="J600" t="s">
        <v>44</v>
      </c>
      <c r="K600" s="1"/>
      <c r="T600">
        <v>0</v>
      </c>
      <c r="AC600" s="2">
        <f t="shared" si="81"/>
        <v>4</v>
      </c>
      <c r="AD600" s="2" t="str">
        <f t="shared" si="82"/>
        <v/>
      </c>
      <c r="AE600" s="2" t="str">
        <f t="shared" si="83"/>
        <v/>
      </c>
      <c r="AF600" s="2" t="str">
        <f t="shared" si="84"/>
        <v/>
      </c>
      <c r="AG600" s="2" t="str">
        <f t="shared" si="85"/>
        <v/>
      </c>
      <c r="AH600" s="4" t="str">
        <f t="shared" si="86"/>
        <v/>
      </c>
      <c r="AI600" s="2" t="str">
        <f t="shared" si="87"/>
        <v/>
      </c>
      <c r="AJ600" s="2" t="str">
        <f t="shared" si="88"/>
        <v/>
      </c>
      <c r="AK600" s="2" t="str">
        <f t="shared" si="89"/>
        <v/>
      </c>
    </row>
    <row r="601" spans="1:37" x14ac:dyDescent="0.25">
      <c r="A601">
        <v>1898</v>
      </c>
      <c r="B601" t="s">
        <v>685</v>
      </c>
      <c r="C601" t="s">
        <v>676</v>
      </c>
      <c r="D601" t="s">
        <v>677</v>
      </c>
      <c r="E601" t="s">
        <v>678</v>
      </c>
      <c r="F601" t="s">
        <v>679</v>
      </c>
      <c r="G601" t="s">
        <v>31</v>
      </c>
      <c r="H601" s="1">
        <v>44591.278043981481</v>
      </c>
      <c r="I601" s="1">
        <v>44594.278043981481</v>
      </c>
      <c r="J601" t="s">
        <v>32</v>
      </c>
      <c r="K601" s="1">
        <v>44604.278043981481</v>
      </c>
      <c r="L601" t="s">
        <v>57</v>
      </c>
      <c r="N601" s="4">
        <v>44611.278043981481</v>
      </c>
      <c r="O601" t="s">
        <v>57</v>
      </c>
      <c r="P601" s="4">
        <v>44605.278043981481</v>
      </c>
      <c r="Q601" s="4">
        <v>44608.278043981481</v>
      </c>
      <c r="R601" s="4">
        <v>44608.278043981481</v>
      </c>
      <c r="S601" s="4">
        <v>44613.278043981481</v>
      </c>
      <c r="T601">
        <v>1</v>
      </c>
      <c r="U601" s="4">
        <v>44615.278043981481</v>
      </c>
      <c r="V601" s="4">
        <v>44617.278043981481</v>
      </c>
      <c r="W601" s="4">
        <v>44619.278043981481</v>
      </c>
      <c r="Z601" s="4">
        <v>44640.278043981481</v>
      </c>
      <c r="AC601" s="2">
        <f t="shared" si="81"/>
        <v>3</v>
      </c>
      <c r="AD601" s="2">
        <f t="shared" si="82"/>
        <v>13</v>
      </c>
      <c r="AE601" s="2">
        <f t="shared" si="83"/>
        <v>10</v>
      </c>
      <c r="AF601" s="2">
        <f t="shared" si="84"/>
        <v>17</v>
      </c>
      <c r="AG601" s="2">
        <f t="shared" si="85"/>
        <v>4</v>
      </c>
      <c r="AH601" s="4">
        <f t="shared" si="86"/>
        <v>44698.278043981481</v>
      </c>
      <c r="AI601" s="2">
        <f t="shared" si="87"/>
        <v>2</v>
      </c>
      <c r="AJ601" s="2">
        <f t="shared" si="88"/>
        <v>32</v>
      </c>
      <c r="AK601" s="2">
        <f t="shared" si="89"/>
        <v>11</v>
      </c>
    </row>
    <row r="602" spans="1:37" x14ac:dyDescent="0.25">
      <c r="A602">
        <v>1892</v>
      </c>
      <c r="B602" t="s">
        <v>686</v>
      </c>
      <c r="C602" t="s">
        <v>676</v>
      </c>
      <c r="D602" t="s">
        <v>677</v>
      </c>
      <c r="E602" t="s">
        <v>678</v>
      </c>
      <c r="F602" t="s">
        <v>679</v>
      </c>
      <c r="G602" t="s">
        <v>31</v>
      </c>
      <c r="H602" s="1">
        <v>44593.278043981481</v>
      </c>
      <c r="I602" s="1">
        <v>44595.278043981481</v>
      </c>
      <c r="J602" t="s">
        <v>44</v>
      </c>
      <c r="K602" s="1"/>
      <c r="T602">
        <v>0</v>
      </c>
      <c r="AC602" s="2">
        <f t="shared" si="81"/>
        <v>2</v>
      </c>
      <c r="AD602" s="2" t="str">
        <f t="shared" si="82"/>
        <v/>
      </c>
      <c r="AE602" s="2" t="str">
        <f t="shared" si="83"/>
        <v/>
      </c>
      <c r="AF602" s="2" t="str">
        <f t="shared" si="84"/>
        <v/>
      </c>
      <c r="AG602" s="2" t="str">
        <f t="shared" si="85"/>
        <v/>
      </c>
      <c r="AH602" s="4" t="str">
        <f t="shared" si="86"/>
        <v/>
      </c>
      <c r="AI602" s="2" t="str">
        <f t="shared" si="87"/>
        <v/>
      </c>
      <c r="AJ602" s="2" t="str">
        <f t="shared" si="88"/>
        <v/>
      </c>
      <c r="AK602" s="2" t="str">
        <f t="shared" si="89"/>
        <v/>
      </c>
    </row>
    <row r="603" spans="1:37" x14ac:dyDescent="0.25">
      <c r="A603">
        <v>1773</v>
      </c>
      <c r="B603" t="s">
        <v>687</v>
      </c>
      <c r="C603" t="s">
        <v>676</v>
      </c>
      <c r="D603" t="s">
        <v>677</v>
      </c>
      <c r="E603" t="s">
        <v>678</v>
      </c>
      <c r="F603" t="s">
        <v>679</v>
      </c>
      <c r="G603" t="s">
        <v>31</v>
      </c>
      <c r="H603" s="1">
        <v>44712.825856481482</v>
      </c>
      <c r="I603" s="1">
        <v>44716.825856481482</v>
      </c>
      <c r="J603" t="s">
        <v>44</v>
      </c>
      <c r="K603" s="1"/>
      <c r="T603">
        <v>0</v>
      </c>
      <c r="AC603" s="2">
        <f t="shared" si="81"/>
        <v>4</v>
      </c>
      <c r="AD603" s="2" t="str">
        <f t="shared" si="82"/>
        <v/>
      </c>
      <c r="AE603" s="2" t="str">
        <f t="shared" si="83"/>
        <v/>
      </c>
      <c r="AF603" s="2" t="str">
        <f t="shared" si="84"/>
        <v/>
      </c>
      <c r="AG603" s="2" t="str">
        <f t="shared" si="85"/>
        <v/>
      </c>
      <c r="AH603" s="4" t="str">
        <f t="shared" si="86"/>
        <v/>
      </c>
      <c r="AI603" s="2" t="str">
        <f t="shared" si="87"/>
        <v/>
      </c>
      <c r="AJ603" s="2" t="str">
        <f t="shared" si="88"/>
        <v/>
      </c>
      <c r="AK603" s="2" t="str">
        <f t="shared" si="89"/>
        <v/>
      </c>
    </row>
    <row r="604" spans="1:37" x14ac:dyDescent="0.25">
      <c r="A604">
        <v>1646</v>
      </c>
      <c r="B604" t="s">
        <v>688</v>
      </c>
      <c r="C604" t="s">
        <v>676</v>
      </c>
      <c r="D604" t="s">
        <v>677</v>
      </c>
      <c r="E604" t="s">
        <v>678</v>
      </c>
      <c r="F604" t="s">
        <v>679</v>
      </c>
      <c r="G604" t="s">
        <v>31</v>
      </c>
      <c r="H604" s="1">
        <v>44914.661261574074</v>
      </c>
      <c r="I604" s="1">
        <v>44915.661261574074</v>
      </c>
      <c r="J604" t="s">
        <v>32</v>
      </c>
      <c r="K604" s="1">
        <v>44925.661261574074</v>
      </c>
      <c r="L604" t="s">
        <v>57</v>
      </c>
      <c r="N604" s="4">
        <v>44930.661261574074</v>
      </c>
      <c r="O604" t="s">
        <v>57</v>
      </c>
      <c r="P604" s="4">
        <v>44927.661261574074</v>
      </c>
      <c r="Q604" s="4">
        <v>44931.661261574074</v>
      </c>
      <c r="R604" s="4">
        <v>44927.661261574074</v>
      </c>
      <c r="S604" s="4">
        <v>44932.661261574074</v>
      </c>
      <c r="T604">
        <v>1</v>
      </c>
      <c r="U604" s="4">
        <v>44933.661261574074</v>
      </c>
      <c r="V604" s="4">
        <v>44935.661261574074</v>
      </c>
      <c r="W604" s="4">
        <v>44938.661261574074</v>
      </c>
      <c r="Z604" s="4">
        <v>44950.661261574074</v>
      </c>
      <c r="AC604" s="2">
        <f t="shared" si="81"/>
        <v>1</v>
      </c>
      <c r="AD604" s="2">
        <f t="shared" si="82"/>
        <v>11</v>
      </c>
      <c r="AE604" s="2">
        <f t="shared" si="83"/>
        <v>10</v>
      </c>
      <c r="AF604" s="2">
        <f t="shared" si="84"/>
        <v>13</v>
      </c>
      <c r="AG604" s="2">
        <f t="shared" si="85"/>
        <v>2</v>
      </c>
      <c r="AH604" s="4">
        <f t="shared" si="86"/>
        <v>45017.661261574074</v>
      </c>
      <c r="AI604" s="2">
        <f t="shared" si="87"/>
        <v>1</v>
      </c>
      <c r="AJ604" s="2">
        <f t="shared" si="88"/>
        <v>23</v>
      </c>
      <c r="AK604" s="2">
        <f t="shared" si="89"/>
        <v>11</v>
      </c>
    </row>
    <row r="605" spans="1:37" x14ac:dyDescent="0.25">
      <c r="A605">
        <v>1577</v>
      </c>
      <c r="B605" t="s">
        <v>689</v>
      </c>
      <c r="C605" t="s">
        <v>676</v>
      </c>
      <c r="D605" t="s">
        <v>677</v>
      </c>
      <c r="E605" t="s">
        <v>678</v>
      </c>
      <c r="F605" t="s">
        <v>679</v>
      </c>
      <c r="G605" t="s">
        <v>31</v>
      </c>
      <c r="H605" s="1">
        <v>44805.733078703706</v>
      </c>
      <c r="I605" s="1">
        <v>44807.733078703706</v>
      </c>
      <c r="J605" t="s">
        <v>44</v>
      </c>
      <c r="K605" s="1"/>
      <c r="T605">
        <v>0</v>
      </c>
      <c r="AC605" s="2">
        <f t="shared" si="81"/>
        <v>2</v>
      </c>
      <c r="AD605" s="2" t="str">
        <f t="shared" si="82"/>
        <v/>
      </c>
      <c r="AE605" s="2" t="str">
        <f t="shared" si="83"/>
        <v/>
      </c>
      <c r="AF605" s="2" t="str">
        <f t="shared" si="84"/>
        <v/>
      </c>
      <c r="AG605" s="2" t="str">
        <f t="shared" si="85"/>
        <v/>
      </c>
      <c r="AH605" s="4" t="str">
        <f t="shared" si="86"/>
        <v/>
      </c>
      <c r="AI605" s="2" t="str">
        <f t="shared" si="87"/>
        <v/>
      </c>
      <c r="AJ605" s="2" t="str">
        <f t="shared" si="88"/>
        <v/>
      </c>
      <c r="AK605" s="2" t="str">
        <f t="shared" si="89"/>
        <v/>
      </c>
    </row>
    <row r="606" spans="1:37" x14ac:dyDescent="0.25">
      <c r="A606">
        <v>1507</v>
      </c>
      <c r="B606" t="s">
        <v>690</v>
      </c>
      <c r="C606" t="s">
        <v>676</v>
      </c>
      <c r="D606" t="s">
        <v>677</v>
      </c>
      <c r="E606" t="s">
        <v>678</v>
      </c>
      <c r="F606" t="s">
        <v>679</v>
      </c>
      <c r="G606" t="s">
        <v>31</v>
      </c>
      <c r="H606" s="1">
        <v>44756.346215277779</v>
      </c>
      <c r="I606" s="1">
        <v>44760.346215277779</v>
      </c>
      <c r="J606" t="s">
        <v>44</v>
      </c>
      <c r="K606" s="1"/>
      <c r="T606">
        <v>0</v>
      </c>
      <c r="AC606" s="2">
        <f t="shared" si="81"/>
        <v>4</v>
      </c>
      <c r="AD606" s="2" t="str">
        <f t="shared" si="82"/>
        <v/>
      </c>
      <c r="AE606" s="2" t="str">
        <f t="shared" si="83"/>
        <v/>
      </c>
      <c r="AF606" s="2" t="str">
        <f t="shared" si="84"/>
        <v/>
      </c>
      <c r="AG606" s="2" t="str">
        <f t="shared" si="85"/>
        <v/>
      </c>
      <c r="AH606" s="4" t="str">
        <f t="shared" si="86"/>
        <v/>
      </c>
      <c r="AI606" s="2" t="str">
        <f t="shared" si="87"/>
        <v/>
      </c>
      <c r="AJ606" s="2" t="str">
        <f t="shared" si="88"/>
        <v/>
      </c>
      <c r="AK606" s="2" t="str">
        <f t="shared" si="89"/>
        <v/>
      </c>
    </row>
    <row r="607" spans="1:37" x14ac:dyDescent="0.25">
      <c r="A607">
        <v>1423</v>
      </c>
      <c r="B607" t="s">
        <v>691</v>
      </c>
      <c r="C607" t="s">
        <v>676</v>
      </c>
      <c r="D607" t="s">
        <v>677</v>
      </c>
      <c r="E607" t="s">
        <v>678</v>
      </c>
      <c r="F607" t="s">
        <v>679</v>
      </c>
      <c r="G607" t="s">
        <v>31</v>
      </c>
      <c r="H607" s="1">
        <v>44662.11314814815</v>
      </c>
      <c r="I607" s="1">
        <v>44665.11314814815</v>
      </c>
      <c r="J607" t="s">
        <v>44</v>
      </c>
      <c r="K607" s="1"/>
      <c r="T607">
        <v>0</v>
      </c>
      <c r="AC607" s="2">
        <f t="shared" si="81"/>
        <v>3</v>
      </c>
      <c r="AD607" s="2" t="str">
        <f t="shared" si="82"/>
        <v/>
      </c>
      <c r="AE607" s="2" t="str">
        <f t="shared" si="83"/>
        <v/>
      </c>
      <c r="AF607" s="2" t="str">
        <f t="shared" si="84"/>
        <v/>
      </c>
      <c r="AG607" s="2" t="str">
        <f t="shared" si="85"/>
        <v/>
      </c>
      <c r="AH607" s="4" t="str">
        <f t="shared" si="86"/>
        <v/>
      </c>
      <c r="AI607" s="2" t="str">
        <f t="shared" si="87"/>
        <v/>
      </c>
      <c r="AJ607" s="2" t="str">
        <f t="shared" si="88"/>
        <v/>
      </c>
      <c r="AK607" s="2" t="str">
        <f t="shared" si="89"/>
        <v/>
      </c>
    </row>
    <row r="608" spans="1:37" x14ac:dyDescent="0.25">
      <c r="A608">
        <v>1272</v>
      </c>
      <c r="B608" t="s">
        <v>692</v>
      </c>
      <c r="C608" t="s">
        <v>676</v>
      </c>
      <c r="D608" t="s">
        <v>677</v>
      </c>
      <c r="E608" t="s">
        <v>678</v>
      </c>
      <c r="F608" t="s">
        <v>679</v>
      </c>
      <c r="G608" t="s">
        <v>31</v>
      </c>
      <c r="H608" s="1">
        <v>44712.107928240737</v>
      </c>
      <c r="I608" s="1">
        <v>44716.107928240737</v>
      </c>
      <c r="J608" t="s">
        <v>32</v>
      </c>
      <c r="K608" s="1">
        <v>44719.107928240737</v>
      </c>
      <c r="L608" t="s">
        <v>57</v>
      </c>
      <c r="N608" s="4">
        <v>44724.107928240737</v>
      </c>
      <c r="O608" t="s">
        <v>57</v>
      </c>
      <c r="P608" s="4">
        <v>44720.107928240737</v>
      </c>
      <c r="Q608" s="4">
        <v>44722.107928240737</v>
      </c>
      <c r="R608" s="4">
        <v>44721.107928240737</v>
      </c>
      <c r="S608" s="4">
        <v>44728.107928240737</v>
      </c>
      <c r="T608">
        <v>1</v>
      </c>
      <c r="U608" s="4">
        <v>44729.107928240737</v>
      </c>
      <c r="V608" s="4">
        <v>44731.107928240737</v>
      </c>
      <c r="W608" s="4">
        <v>44733.107928240737</v>
      </c>
      <c r="Z608" s="4">
        <v>44750.107928240737</v>
      </c>
      <c r="AC608" s="2">
        <f t="shared" si="81"/>
        <v>4</v>
      </c>
      <c r="AD608" s="2">
        <f t="shared" si="82"/>
        <v>7</v>
      </c>
      <c r="AE608" s="2">
        <f t="shared" si="83"/>
        <v>3</v>
      </c>
      <c r="AF608" s="2">
        <f t="shared" si="84"/>
        <v>9</v>
      </c>
      <c r="AG608" s="2">
        <f t="shared" si="85"/>
        <v>2</v>
      </c>
      <c r="AH608" s="4">
        <f t="shared" si="86"/>
        <v>44811.107928240737</v>
      </c>
      <c r="AI608" s="2">
        <f t="shared" si="87"/>
        <v>1</v>
      </c>
      <c r="AJ608" s="2">
        <f t="shared" si="88"/>
        <v>29</v>
      </c>
      <c r="AK608" s="2">
        <f t="shared" si="89"/>
        <v>12</v>
      </c>
    </row>
    <row r="609" spans="1:37" x14ac:dyDescent="0.25">
      <c r="A609">
        <v>1216</v>
      </c>
      <c r="B609" t="s">
        <v>693</v>
      </c>
      <c r="C609" t="s">
        <v>676</v>
      </c>
      <c r="D609" t="s">
        <v>677</v>
      </c>
      <c r="E609" t="s">
        <v>678</v>
      </c>
      <c r="F609" t="s">
        <v>679</v>
      </c>
      <c r="G609" t="s">
        <v>31</v>
      </c>
      <c r="H609" s="1">
        <v>45129.004317129627</v>
      </c>
      <c r="I609" s="1">
        <v>45132.004317129627</v>
      </c>
      <c r="J609" t="s">
        <v>44</v>
      </c>
      <c r="K609" s="1"/>
      <c r="T609">
        <v>0</v>
      </c>
      <c r="AC609" s="2">
        <f t="shared" si="81"/>
        <v>3</v>
      </c>
      <c r="AD609" s="2" t="str">
        <f t="shared" si="82"/>
        <v/>
      </c>
      <c r="AE609" s="2" t="str">
        <f t="shared" si="83"/>
        <v/>
      </c>
      <c r="AF609" s="2" t="str">
        <f t="shared" si="84"/>
        <v/>
      </c>
      <c r="AG609" s="2" t="str">
        <f t="shared" si="85"/>
        <v/>
      </c>
      <c r="AH609" s="4" t="str">
        <f t="shared" si="86"/>
        <v/>
      </c>
      <c r="AI609" s="2" t="str">
        <f t="shared" si="87"/>
        <v/>
      </c>
      <c r="AJ609" s="2" t="str">
        <f t="shared" si="88"/>
        <v/>
      </c>
      <c r="AK609" s="2" t="str">
        <f t="shared" si="89"/>
        <v/>
      </c>
    </row>
    <row r="610" spans="1:37" x14ac:dyDescent="0.25">
      <c r="A610">
        <v>1186</v>
      </c>
      <c r="B610" t="s">
        <v>694</v>
      </c>
      <c r="C610" t="s">
        <v>676</v>
      </c>
      <c r="D610" t="s">
        <v>677</v>
      </c>
      <c r="E610" t="s">
        <v>601</v>
      </c>
      <c r="F610" t="s">
        <v>695</v>
      </c>
      <c r="G610" t="s">
        <v>31</v>
      </c>
      <c r="H610" s="1">
        <v>45072.784872685188</v>
      </c>
      <c r="I610" s="1">
        <v>45076.784872685188</v>
      </c>
      <c r="J610" t="s">
        <v>44</v>
      </c>
      <c r="K610" s="1"/>
      <c r="T610">
        <v>0</v>
      </c>
      <c r="AC610" s="2">
        <f t="shared" si="81"/>
        <v>4</v>
      </c>
      <c r="AD610" s="2" t="str">
        <f t="shared" si="82"/>
        <v/>
      </c>
      <c r="AE610" s="2" t="str">
        <f t="shared" si="83"/>
        <v/>
      </c>
      <c r="AF610" s="2" t="str">
        <f t="shared" si="84"/>
        <v/>
      </c>
      <c r="AG610" s="2" t="str">
        <f t="shared" si="85"/>
        <v/>
      </c>
      <c r="AH610" s="4" t="str">
        <f t="shared" si="86"/>
        <v/>
      </c>
      <c r="AI610" s="2" t="str">
        <f t="shared" si="87"/>
        <v/>
      </c>
      <c r="AJ610" s="2" t="str">
        <f t="shared" si="88"/>
        <v/>
      </c>
      <c r="AK610" s="2" t="str">
        <f t="shared" si="89"/>
        <v/>
      </c>
    </row>
    <row r="611" spans="1:37" x14ac:dyDescent="0.25">
      <c r="A611">
        <v>1129</v>
      </c>
      <c r="B611" t="s">
        <v>696</v>
      </c>
      <c r="C611" t="s">
        <v>676</v>
      </c>
      <c r="D611" t="s">
        <v>677</v>
      </c>
      <c r="E611" t="s">
        <v>601</v>
      </c>
      <c r="F611" t="s">
        <v>695</v>
      </c>
      <c r="G611" t="s">
        <v>31</v>
      </c>
      <c r="H611" s="1">
        <v>45095.561550925922</v>
      </c>
      <c r="I611" s="1">
        <v>45097.561550925922</v>
      </c>
      <c r="J611" t="s">
        <v>44</v>
      </c>
      <c r="K611" s="1"/>
      <c r="T611">
        <v>0</v>
      </c>
      <c r="AC611" s="2">
        <f t="shared" si="81"/>
        <v>2</v>
      </c>
      <c r="AD611" s="2" t="str">
        <f t="shared" si="82"/>
        <v/>
      </c>
      <c r="AE611" s="2" t="str">
        <f t="shared" si="83"/>
        <v/>
      </c>
      <c r="AF611" s="2" t="str">
        <f t="shared" si="84"/>
        <v/>
      </c>
      <c r="AG611" s="2" t="str">
        <f t="shared" si="85"/>
        <v/>
      </c>
      <c r="AH611" s="4" t="str">
        <f t="shared" si="86"/>
        <v/>
      </c>
      <c r="AI611" s="2" t="str">
        <f t="shared" si="87"/>
        <v/>
      </c>
      <c r="AJ611" s="2" t="str">
        <f t="shared" si="88"/>
        <v/>
      </c>
      <c r="AK611" s="2" t="str">
        <f t="shared" si="89"/>
        <v/>
      </c>
    </row>
    <row r="612" spans="1:37" x14ac:dyDescent="0.25">
      <c r="A612">
        <v>1082</v>
      </c>
      <c r="B612" t="s">
        <v>697</v>
      </c>
      <c r="C612" t="s">
        <v>676</v>
      </c>
      <c r="D612" t="s">
        <v>677</v>
      </c>
      <c r="E612" t="s">
        <v>601</v>
      </c>
      <c r="F612" t="s">
        <v>695</v>
      </c>
      <c r="G612" t="s">
        <v>31</v>
      </c>
      <c r="H612" s="1">
        <v>44893.976215277777</v>
      </c>
      <c r="I612" s="1">
        <v>44894.976215277777</v>
      </c>
      <c r="J612" t="s">
        <v>32</v>
      </c>
      <c r="K612" s="1">
        <v>44906.976215277777</v>
      </c>
      <c r="L612" t="s">
        <v>57</v>
      </c>
      <c r="N612" s="4">
        <v>44910.976215277777</v>
      </c>
      <c r="O612" t="s">
        <v>57</v>
      </c>
      <c r="P612" s="4">
        <v>44907.976215277777</v>
      </c>
      <c r="Q612" s="4">
        <v>44908.976215277777</v>
      </c>
      <c r="R612" s="4">
        <v>44909.976215277777</v>
      </c>
      <c r="S612" s="4">
        <v>44910.976215277777</v>
      </c>
      <c r="T612">
        <v>1</v>
      </c>
      <c r="U612" s="4">
        <v>44912.976215277777</v>
      </c>
      <c r="V612" s="4">
        <v>44914.976215277777</v>
      </c>
      <c r="W612" s="4">
        <v>44916.976215277777</v>
      </c>
      <c r="Z612" s="4">
        <v>44937.976215277777</v>
      </c>
      <c r="AC612" s="2">
        <f t="shared" si="81"/>
        <v>1</v>
      </c>
      <c r="AD612" s="2">
        <f t="shared" si="82"/>
        <v>13</v>
      </c>
      <c r="AE612" s="2">
        <f t="shared" si="83"/>
        <v>12</v>
      </c>
      <c r="AF612" s="2">
        <f t="shared" si="84"/>
        <v>16</v>
      </c>
      <c r="AG612" s="2">
        <f t="shared" si="85"/>
        <v>3</v>
      </c>
      <c r="AH612" s="4">
        <f t="shared" si="86"/>
        <v>44999.976215277777</v>
      </c>
      <c r="AI612" s="2">
        <f t="shared" si="87"/>
        <v>2</v>
      </c>
      <c r="AJ612" s="2">
        <f t="shared" si="88"/>
        <v>28</v>
      </c>
      <c r="AK612" s="2">
        <f t="shared" si="89"/>
        <v>7</v>
      </c>
    </row>
    <row r="613" spans="1:37" x14ac:dyDescent="0.25">
      <c r="A613">
        <v>1046</v>
      </c>
      <c r="B613" t="s">
        <v>698</v>
      </c>
      <c r="C613" t="s">
        <v>676</v>
      </c>
      <c r="D613" t="s">
        <v>677</v>
      </c>
      <c r="E613" t="s">
        <v>601</v>
      </c>
      <c r="F613" t="s">
        <v>695</v>
      </c>
      <c r="G613" t="s">
        <v>31</v>
      </c>
      <c r="H613" s="1">
        <v>44887.960578703707</v>
      </c>
      <c r="I613" s="1">
        <v>44889.960578703707</v>
      </c>
      <c r="J613" t="s">
        <v>44</v>
      </c>
      <c r="K613" s="1"/>
      <c r="T613">
        <v>0</v>
      </c>
      <c r="AC613" s="2">
        <f t="shared" si="81"/>
        <v>2</v>
      </c>
      <c r="AD613" s="2" t="str">
        <f t="shared" si="82"/>
        <v/>
      </c>
      <c r="AE613" s="2" t="str">
        <f t="shared" si="83"/>
        <v/>
      </c>
      <c r="AF613" s="2" t="str">
        <f t="shared" si="84"/>
        <v/>
      </c>
      <c r="AG613" s="2" t="str">
        <f t="shared" si="85"/>
        <v/>
      </c>
      <c r="AH613" s="4" t="str">
        <f t="shared" si="86"/>
        <v/>
      </c>
      <c r="AI613" s="2" t="str">
        <f t="shared" si="87"/>
        <v/>
      </c>
      <c r="AJ613" s="2" t="str">
        <f t="shared" si="88"/>
        <v/>
      </c>
      <c r="AK613" s="2" t="str">
        <f t="shared" si="89"/>
        <v/>
      </c>
    </row>
    <row r="614" spans="1:37" x14ac:dyDescent="0.25">
      <c r="A614">
        <v>940</v>
      </c>
      <c r="B614" t="s">
        <v>699</v>
      </c>
      <c r="C614" t="s">
        <v>676</v>
      </c>
      <c r="D614" t="s">
        <v>677</v>
      </c>
      <c r="E614" t="s">
        <v>601</v>
      </c>
      <c r="F614" t="s">
        <v>695</v>
      </c>
      <c r="G614" t="s">
        <v>31</v>
      </c>
      <c r="H614" s="1">
        <v>44998.704907407409</v>
      </c>
      <c r="I614" s="1">
        <v>45001.704907407409</v>
      </c>
      <c r="J614" t="s">
        <v>32</v>
      </c>
      <c r="K614" s="1">
        <v>45017.704907407409</v>
      </c>
      <c r="L614" t="s">
        <v>39</v>
      </c>
      <c r="N614" s="4">
        <v>45020.704907407409</v>
      </c>
      <c r="O614" t="s">
        <v>39</v>
      </c>
      <c r="R614" s="4">
        <v>45019.704907407409</v>
      </c>
      <c r="T614">
        <v>0</v>
      </c>
      <c r="AC614" s="2">
        <f t="shared" si="81"/>
        <v>3</v>
      </c>
      <c r="AD614" s="2">
        <f t="shared" si="82"/>
        <v>19</v>
      </c>
      <c r="AE614" s="2">
        <f t="shared" si="83"/>
        <v>16</v>
      </c>
      <c r="AF614" s="2">
        <f t="shared" si="84"/>
        <v>21</v>
      </c>
      <c r="AG614" s="2">
        <f t="shared" si="85"/>
        <v>2</v>
      </c>
      <c r="AH614" s="4">
        <f t="shared" si="86"/>
        <v>45109.704907407409</v>
      </c>
      <c r="AI614" s="2" t="str">
        <f t="shared" si="87"/>
        <v/>
      </c>
      <c r="AJ614" s="2" t="str">
        <f t="shared" si="88"/>
        <v/>
      </c>
      <c r="AK614" s="2" t="str">
        <f t="shared" si="89"/>
        <v/>
      </c>
    </row>
    <row r="615" spans="1:37" x14ac:dyDescent="0.25">
      <c r="A615">
        <v>848</v>
      </c>
      <c r="B615" t="s">
        <v>700</v>
      </c>
      <c r="C615" t="s">
        <v>676</v>
      </c>
      <c r="D615" t="s">
        <v>677</v>
      </c>
      <c r="E615" t="s">
        <v>601</v>
      </c>
      <c r="F615" t="s">
        <v>695</v>
      </c>
      <c r="G615" t="s">
        <v>31</v>
      </c>
      <c r="H615" s="1">
        <v>44778.836053240739</v>
      </c>
      <c r="I615" s="1">
        <v>44780.836053240739</v>
      </c>
      <c r="J615" t="s">
        <v>32</v>
      </c>
      <c r="K615" s="1">
        <v>44795.836053240739</v>
      </c>
      <c r="L615" t="s">
        <v>33</v>
      </c>
      <c r="M615" t="s">
        <v>108</v>
      </c>
      <c r="T615">
        <v>0</v>
      </c>
      <c r="Y615" t="s">
        <v>55</v>
      </c>
      <c r="AC615" s="2">
        <f t="shared" si="81"/>
        <v>2</v>
      </c>
      <c r="AD615" s="2">
        <f t="shared" si="82"/>
        <v>17</v>
      </c>
      <c r="AE615" s="2">
        <f t="shared" si="83"/>
        <v>15</v>
      </c>
      <c r="AF615" s="2" t="str">
        <f t="shared" si="84"/>
        <v/>
      </c>
      <c r="AG615" s="2" t="str">
        <f t="shared" si="85"/>
        <v/>
      </c>
      <c r="AH615" s="4" t="str">
        <f t="shared" si="86"/>
        <v/>
      </c>
      <c r="AI615" s="2" t="str">
        <f t="shared" si="87"/>
        <v/>
      </c>
      <c r="AJ615" s="2" t="str">
        <f t="shared" si="88"/>
        <v/>
      </c>
      <c r="AK615" s="2" t="str">
        <f t="shared" si="89"/>
        <v/>
      </c>
    </row>
    <row r="616" spans="1:37" x14ac:dyDescent="0.25">
      <c r="A616">
        <v>819</v>
      </c>
      <c r="B616" t="s">
        <v>701</v>
      </c>
      <c r="C616" t="s">
        <v>676</v>
      </c>
      <c r="D616" t="s">
        <v>677</v>
      </c>
      <c r="E616" t="s">
        <v>601</v>
      </c>
      <c r="F616" t="s">
        <v>695</v>
      </c>
      <c r="G616" t="s">
        <v>31</v>
      </c>
      <c r="H616" s="1">
        <v>44670.895150462966</v>
      </c>
      <c r="I616" s="1">
        <v>44674.895150462966</v>
      </c>
      <c r="J616" t="s">
        <v>32</v>
      </c>
      <c r="K616" s="1">
        <v>44690.895150462966</v>
      </c>
      <c r="L616" t="s">
        <v>39</v>
      </c>
      <c r="N616" s="4">
        <v>44697.895150462966</v>
      </c>
      <c r="O616" t="s">
        <v>39</v>
      </c>
      <c r="R616" s="4">
        <v>44694.895150462966</v>
      </c>
      <c r="T616">
        <v>0</v>
      </c>
      <c r="AC616" s="2">
        <f t="shared" si="81"/>
        <v>4</v>
      </c>
      <c r="AD616" s="2">
        <f t="shared" si="82"/>
        <v>20</v>
      </c>
      <c r="AE616" s="2">
        <f t="shared" si="83"/>
        <v>16</v>
      </c>
      <c r="AF616" s="2">
        <f t="shared" si="84"/>
        <v>24</v>
      </c>
      <c r="AG616" s="2">
        <f t="shared" si="85"/>
        <v>4</v>
      </c>
      <c r="AH616" s="4">
        <f t="shared" si="86"/>
        <v>44784.895150462966</v>
      </c>
      <c r="AI616" s="2" t="str">
        <f t="shared" si="87"/>
        <v/>
      </c>
      <c r="AJ616" s="2" t="str">
        <f t="shared" si="88"/>
        <v/>
      </c>
      <c r="AK616" s="2" t="str">
        <f t="shared" si="89"/>
        <v/>
      </c>
    </row>
    <row r="617" spans="1:37" x14ac:dyDescent="0.25">
      <c r="A617">
        <v>814</v>
      </c>
      <c r="B617" t="s">
        <v>702</v>
      </c>
      <c r="C617" t="s">
        <v>676</v>
      </c>
      <c r="D617" t="s">
        <v>677</v>
      </c>
      <c r="E617" t="s">
        <v>601</v>
      </c>
      <c r="F617" t="s">
        <v>695</v>
      </c>
      <c r="G617" t="s">
        <v>31</v>
      </c>
      <c r="H617" s="1">
        <v>44671.895150462966</v>
      </c>
      <c r="I617" s="1">
        <v>44672.895150462966</v>
      </c>
      <c r="J617" t="s">
        <v>32</v>
      </c>
      <c r="K617" s="1">
        <v>44686.895150462966</v>
      </c>
      <c r="L617" t="s">
        <v>39</v>
      </c>
      <c r="N617" s="4">
        <v>44691.895150462966</v>
      </c>
      <c r="O617" t="s">
        <v>39</v>
      </c>
      <c r="R617" s="4">
        <v>44690.895150462966</v>
      </c>
      <c r="T617">
        <v>0</v>
      </c>
      <c r="AC617" s="2">
        <f t="shared" si="81"/>
        <v>1</v>
      </c>
      <c r="AD617" s="2">
        <f t="shared" si="82"/>
        <v>15</v>
      </c>
      <c r="AE617" s="2">
        <f t="shared" si="83"/>
        <v>14</v>
      </c>
      <c r="AF617" s="2">
        <f t="shared" si="84"/>
        <v>19</v>
      </c>
      <c r="AG617" s="2">
        <f t="shared" si="85"/>
        <v>4</v>
      </c>
      <c r="AH617" s="4">
        <f t="shared" si="86"/>
        <v>44780.895150462966</v>
      </c>
      <c r="AI617" s="2" t="str">
        <f t="shared" si="87"/>
        <v/>
      </c>
      <c r="AJ617" s="2" t="str">
        <f t="shared" si="88"/>
        <v/>
      </c>
      <c r="AK617" s="2" t="str">
        <f t="shared" si="89"/>
        <v/>
      </c>
    </row>
    <row r="618" spans="1:37" x14ac:dyDescent="0.25">
      <c r="A618">
        <v>790</v>
      </c>
      <c r="B618" t="s">
        <v>703</v>
      </c>
      <c r="C618" t="s">
        <v>676</v>
      </c>
      <c r="D618" t="s">
        <v>677</v>
      </c>
      <c r="E618" t="s">
        <v>601</v>
      </c>
      <c r="F618" t="s">
        <v>695</v>
      </c>
      <c r="G618" t="s">
        <v>31</v>
      </c>
      <c r="H618" s="1">
        <v>44933.996932870374</v>
      </c>
      <c r="I618" s="1">
        <v>44935.996932870374</v>
      </c>
      <c r="J618" t="s">
        <v>32</v>
      </c>
      <c r="K618" s="1">
        <v>44954.996932870374</v>
      </c>
      <c r="L618" t="s">
        <v>33</v>
      </c>
      <c r="M618" t="s">
        <v>34</v>
      </c>
      <c r="R618" s="4">
        <v>44955.996932870374</v>
      </c>
      <c r="T618">
        <v>0</v>
      </c>
      <c r="Y618" t="s">
        <v>35</v>
      </c>
      <c r="AC618" s="2">
        <f t="shared" si="81"/>
        <v>2</v>
      </c>
      <c r="AD618" s="2">
        <f t="shared" si="82"/>
        <v>21</v>
      </c>
      <c r="AE618" s="2">
        <f t="shared" si="83"/>
        <v>19</v>
      </c>
      <c r="AF618" s="2">
        <f t="shared" si="84"/>
        <v>22</v>
      </c>
      <c r="AG618" s="2">
        <f t="shared" si="85"/>
        <v>1</v>
      </c>
      <c r="AH618" s="4">
        <f t="shared" si="86"/>
        <v>45045.996932870374</v>
      </c>
      <c r="AI618" s="2" t="str">
        <f t="shared" si="87"/>
        <v/>
      </c>
      <c r="AJ618" s="2" t="str">
        <f t="shared" si="88"/>
        <v/>
      </c>
      <c r="AK618" s="2" t="str">
        <f t="shared" si="89"/>
        <v/>
      </c>
    </row>
    <row r="619" spans="1:37" x14ac:dyDescent="0.25">
      <c r="A619">
        <v>736</v>
      </c>
      <c r="B619" t="s">
        <v>704</v>
      </c>
      <c r="C619" t="s">
        <v>676</v>
      </c>
      <c r="D619" t="s">
        <v>677</v>
      </c>
      <c r="E619" t="s">
        <v>601</v>
      </c>
      <c r="F619" t="s">
        <v>695</v>
      </c>
      <c r="G619" t="s">
        <v>31</v>
      </c>
      <c r="H619" s="1">
        <v>45040.644548611112</v>
      </c>
      <c r="I619" s="1">
        <v>45043.644548611112</v>
      </c>
      <c r="J619" t="s">
        <v>44</v>
      </c>
      <c r="K619" s="1"/>
      <c r="T619">
        <v>0</v>
      </c>
      <c r="AC619" s="2">
        <f t="shared" si="81"/>
        <v>3</v>
      </c>
      <c r="AD619" s="2" t="str">
        <f t="shared" si="82"/>
        <v/>
      </c>
      <c r="AE619" s="2" t="str">
        <f t="shared" si="83"/>
        <v/>
      </c>
      <c r="AF619" s="2" t="str">
        <f t="shared" si="84"/>
        <v/>
      </c>
      <c r="AG619" s="2" t="str">
        <f t="shared" si="85"/>
        <v/>
      </c>
      <c r="AH619" s="4" t="str">
        <f t="shared" si="86"/>
        <v/>
      </c>
      <c r="AI619" s="2" t="str">
        <f t="shared" si="87"/>
        <v/>
      </c>
      <c r="AJ619" s="2" t="str">
        <f t="shared" si="88"/>
        <v/>
      </c>
      <c r="AK619" s="2" t="str">
        <f t="shared" si="89"/>
        <v/>
      </c>
    </row>
    <row r="620" spans="1:37" x14ac:dyDescent="0.25">
      <c r="A620">
        <v>733</v>
      </c>
      <c r="B620" t="s">
        <v>705</v>
      </c>
      <c r="C620" t="s">
        <v>676</v>
      </c>
      <c r="D620" t="s">
        <v>677</v>
      </c>
      <c r="E620" t="s">
        <v>601</v>
      </c>
      <c r="F620" t="s">
        <v>695</v>
      </c>
      <c r="G620" t="s">
        <v>31</v>
      </c>
      <c r="H620" s="1">
        <v>45038.644548611112</v>
      </c>
      <c r="I620" s="1">
        <v>45042.644548611112</v>
      </c>
      <c r="J620" t="s">
        <v>32</v>
      </c>
      <c r="K620" s="1">
        <v>45060.644548611112</v>
      </c>
      <c r="L620" t="s">
        <v>57</v>
      </c>
      <c r="N620" s="4">
        <v>45065.644548611112</v>
      </c>
      <c r="O620" t="s">
        <v>57</v>
      </c>
      <c r="P620" s="4">
        <v>45061.644548611112</v>
      </c>
      <c r="Q620" s="4">
        <v>45062.644548611112</v>
      </c>
      <c r="R620" s="4">
        <v>45064.644548611112</v>
      </c>
      <c r="S620" s="4">
        <v>45073.644548611112</v>
      </c>
      <c r="T620">
        <v>1</v>
      </c>
      <c r="U620" s="4">
        <v>45076.644548611112</v>
      </c>
      <c r="V620" s="4">
        <v>45077.644548611112</v>
      </c>
      <c r="W620" s="4">
        <v>45079.644548611112</v>
      </c>
      <c r="Z620" s="4">
        <v>45094.644548611112</v>
      </c>
      <c r="AC620" s="2">
        <f t="shared" si="81"/>
        <v>4</v>
      </c>
      <c r="AD620" s="2">
        <f t="shared" si="82"/>
        <v>22</v>
      </c>
      <c r="AE620" s="2">
        <f t="shared" si="83"/>
        <v>18</v>
      </c>
      <c r="AF620" s="2">
        <f t="shared" si="84"/>
        <v>26</v>
      </c>
      <c r="AG620" s="2">
        <f t="shared" si="85"/>
        <v>4</v>
      </c>
      <c r="AH620" s="4">
        <f t="shared" si="86"/>
        <v>45154.644548611112</v>
      </c>
      <c r="AI620" s="2">
        <f t="shared" si="87"/>
        <v>3</v>
      </c>
      <c r="AJ620" s="2">
        <f t="shared" si="88"/>
        <v>30</v>
      </c>
      <c r="AK620" s="2">
        <f t="shared" si="89"/>
        <v>15</v>
      </c>
    </row>
    <row r="621" spans="1:37" x14ac:dyDescent="0.25">
      <c r="A621">
        <v>681</v>
      </c>
      <c r="B621" t="s">
        <v>706</v>
      </c>
      <c r="C621" t="s">
        <v>676</v>
      </c>
      <c r="D621" t="s">
        <v>677</v>
      </c>
      <c r="E621" t="s">
        <v>601</v>
      </c>
      <c r="F621" t="s">
        <v>695</v>
      </c>
      <c r="G621" t="s">
        <v>31</v>
      </c>
      <c r="H621" s="1">
        <v>45100.115520833337</v>
      </c>
      <c r="I621" s="1">
        <v>45102.115520833337</v>
      </c>
      <c r="J621" t="s">
        <v>32</v>
      </c>
      <c r="K621" s="1">
        <v>45121.115520833337</v>
      </c>
      <c r="L621" t="s">
        <v>33</v>
      </c>
      <c r="M621" t="s">
        <v>51</v>
      </c>
      <c r="T621">
        <v>0</v>
      </c>
      <c r="Y621" t="s">
        <v>35</v>
      </c>
      <c r="AC621" s="2">
        <f t="shared" si="81"/>
        <v>2</v>
      </c>
      <c r="AD621" s="2">
        <f t="shared" si="82"/>
        <v>21</v>
      </c>
      <c r="AE621" s="2">
        <f t="shared" si="83"/>
        <v>19</v>
      </c>
      <c r="AF621" s="2" t="str">
        <f t="shared" si="84"/>
        <v/>
      </c>
      <c r="AG621" s="2" t="str">
        <f t="shared" si="85"/>
        <v/>
      </c>
      <c r="AH621" s="4" t="str">
        <f t="shared" si="86"/>
        <v/>
      </c>
      <c r="AI621" s="2" t="str">
        <f t="shared" si="87"/>
        <v/>
      </c>
      <c r="AJ621" s="2" t="str">
        <f t="shared" si="88"/>
        <v/>
      </c>
      <c r="AK621" s="2" t="str">
        <f t="shared" si="89"/>
        <v/>
      </c>
    </row>
    <row r="622" spans="1:37" x14ac:dyDescent="0.25">
      <c r="A622">
        <v>568</v>
      </c>
      <c r="B622" t="s">
        <v>707</v>
      </c>
      <c r="C622" t="s">
        <v>676</v>
      </c>
      <c r="D622" t="s">
        <v>677</v>
      </c>
      <c r="E622" t="s">
        <v>601</v>
      </c>
      <c r="F622" t="s">
        <v>695</v>
      </c>
      <c r="G622" t="s">
        <v>31</v>
      </c>
      <c r="H622" s="1">
        <v>44864.965416666666</v>
      </c>
      <c r="I622" s="1">
        <v>44867.965416666666</v>
      </c>
      <c r="J622" t="s">
        <v>32</v>
      </c>
      <c r="K622" s="1">
        <v>44889.965416666666</v>
      </c>
      <c r="L622" t="s">
        <v>33</v>
      </c>
      <c r="M622" t="s">
        <v>34</v>
      </c>
      <c r="R622" s="4">
        <v>44892.965416666666</v>
      </c>
      <c r="T622">
        <v>0</v>
      </c>
      <c r="Y622" t="s">
        <v>35</v>
      </c>
      <c r="AC622" s="2">
        <f t="shared" si="81"/>
        <v>3</v>
      </c>
      <c r="AD622" s="2">
        <f t="shared" si="82"/>
        <v>25</v>
      </c>
      <c r="AE622" s="2">
        <f t="shared" si="83"/>
        <v>22</v>
      </c>
      <c r="AF622" s="2">
        <f t="shared" si="84"/>
        <v>28</v>
      </c>
      <c r="AG622" s="2">
        <f t="shared" si="85"/>
        <v>3</v>
      </c>
      <c r="AH622" s="4">
        <f t="shared" si="86"/>
        <v>44982.965416666666</v>
      </c>
      <c r="AI622" s="2" t="str">
        <f t="shared" si="87"/>
        <v/>
      </c>
      <c r="AJ622" s="2" t="str">
        <f t="shared" si="88"/>
        <v/>
      </c>
      <c r="AK622" s="2" t="str">
        <f t="shared" si="89"/>
        <v/>
      </c>
    </row>
    <row r="623" spans="1:37" x14ac:dyDescent="0.25">
      <c r="A623">
        <v>565</v>
      </c>
      <c r="B623" t="s">
        <v>708</v>
      </c>
      <c r="C623" t="s">
        <v>676</v>
      </c>
      <c r="D623" t="s">
        <v>677</v>
      </c>
      <c r="E623" t="s">
        <v>601</v>
      </c>
      <c r="F623" t="s">
        <v>695</v>
      </c>
      <c r="G623" t="s">
        <v>31</v>
      </c>
      <c r="H623" s="1">
        <v>44869.965416666666</v>
      </c>
      <c r="I623" s="1">
        <v>44870.965416666666</v>
      </c>
      <c r="J623" t="s">
        <v>32</v>
      </c>
      <c r="K623" s="1">
        <v>44882.965416666666</v>
      </c>
      <c r="L623" t="s">
        <v>57</v>
      </c>
      <c r="N623" s="4">
        <v>44889.965416666666</v>
      </c>
      <c r="O623" t="s">
        <v>57</v>
      </c>
      <c r="P623" s="4">
        <v>44883.965416666666</v>
      </c>
      <c r="Q623" s="4">
        <v>44885.965416666666</v>
      </c>
      <c r="R623" s="4">
        <v>44885.965416666666</v>
      </c>
      <c r="S623" s="4">
        <v>44890.965416666666</v>
      </c>
      <c r="T623">
        <v>1</v>
      </c>
      <c r="U623" s="4">
        <v>44891.965416666666</v>
      </c>
      <c r="V623" s="4">
        <v>44892.965416666666</v>
      </c>
      <c r="W623" s="4">
        <v>44895.965416666666</v>
      </c>
      <c r="Z623" s="4">
        <v>44906.965416666666</v>
      </c>
      <c r="AC623" s="2">
        <f t="shared" si="81"/>
        <v>1</v>
      </c>
      <c r="AD623" s="2">
        <f t="shared" si="82"/>
        <v>13</v>
      </c>
      <c r="AE623" s="2">
        <f t="shared" si="83"/>
        <v>12</v>
      </c>
      <c r="AF623" s="2">
        <f t="shared" si="84"/>
        <v>16</v>
      </c>
      <c r="AG623" s="2">
        <f t="shared" si="85"/>
        <v>3</v>
      </c>
      <c r="AH623" s="4">
        <f t="shared" si="86"/>
        <v>44975.965416666666</v>
      </c>
      <c r="AI623" s="2">
        <f t="shared" si="87"/>
        <v>1</v>
      </c>
      <c r="AJ623" s="2">
        <f t="shared" si="88"/>
        <v>21</v>
      </c>
      <c r="AK623" s="2">
        <f t="shared" si="89"/>
        <v>10</v>
      </c>
    </row>
    <row r="624" spans="1:37" x14ac:dyDescent="0.25">
      <c r="A624">
        <v>438</v>
      </c>
      <c r="B624" t="s">
        <v>709</v>
      </c>
      <c r="C624" t="s">
        <v>676</v>
      </c>
      <c r="D624" t="s">
        <v>677</v>
      </c>
      <c r="E624" t="s">
        <v>601</v>
      </c>
      <c r="F624" t="s">
        <v>695</v>
      </c>
      <c r="G624" t="s">
        <v>31</v>
      </c>
      <c r="H624" s="1">
        <v>44736.315601851849</v>
      </c>
      <c r="I624" s="1">
        <v>44740.315601851849</v>
      </c>
      <c r="J624" t="s">
        <v>32</v>
      </c>
      <c r="K624" s="1">
        <v>44745.315601851849</v>
      </c>
      <c r="L624" t="s">
        <v>39</v>
      </c>
      <c r="N624" s="4">
        <v>44750.315601851849</v>
      </c>
      <c r="O624" t="s">
        <v>39</v>
      </c>
      <c r="R624" s="4">
        <v>44746.315601851849</v>
      </c>
      <c r="T624">
        <v>0</v>
      </c>
      <c r="AC624" s="2">
        <f t="shared" si="81"/>
        <v>4</v>
      </c>
      <c r="AD624" s="2">
        <f t="shared" si="82"/>
        <v>9</v>
      </c>
      <c r="AE624" s="2">
        <f t="shared" si="83"/>
        <v>5</v>
      </c>
      <c r="AF624" s="2">
        <f t="shared" si="84"/>
        <v>10</v>
      </c>
      <c r="AG624" s="2">
        <f t="shared" si="85"/>
        <v>1</v>
      </c>
      <c r="AH624" s="4">
        <f t="shared" si="86"/>
        <v>44836.315601851849</v>
      </c>
      <c r="AI624" s="2" t="str">
        <f t="shared" si="87"/>
        <v/>
      </c>
      <c r="AJ624" s="2" t="str">
        <f t="shared" si="88"/>
        <v/>
      </c>
      <c r="AK624" s="2" t="str">
        <f t="shared" si="89"/>
        <v/>
      </c>
    </row>
    <row r="625" spans="1:37" x14ac:dyDescent="0.25">
      <c r="A625">
        <v>435</v>
      </c>
      <c r="B625" t="s">
        <v>710</v>
      </c>
      <c r="C625" t="s">
        <v>676</v>
      </c>
      <c r="D625" t="s">
        <v>677</v>
      </c>
      <c r="E625" t="s">
        <v>601</v>
      </c>
      <c r="F625" t="s">
        <v>695</v>
      </c>
      <c r="G625" t="s">
        <v>31</v>
      </c>
      <c r="H625" s="1">
        <v>44737.315601851849</v>
      </c>
      <c r="I625" s="1">
        <v>44739.315601851849</v>
      </c>
      <c r="J625" t="s">
        <v>32</v>
      </c>
      <c r="K625" s="1">
        <v>44745.315601851849</v>
      </c>
      <c r="L625" t="s">
        <v>39</v>
      </c>
      <c r="N625" s="4">
        <v>44752.315601851849</v>
      </c>
      <c r="O625" t="s">
        <v>39</v>
      </c>
      <c r="R625" s="4">
        <v>44748.315601851849</v>
      </c>
      <c r="T625">
        <v>0</v>
      </c>
      <c r="AC625" s="2">
        <f t="shared" si="81"/>
        <v>2</v>
      </c>
      <c r="AD625" s="2">
        <f t="shared" si="82"/>
        <v>8</v>
      </c>
      <c r="AE625" s="2">
        <f t="shared" si="83"/>
        <v>6</v>
      </c>
      <c r="AF625" s="2">
        <f t="shared" si="84"/>
        <v>11</v>
      </c>
      <c r="AG625" s="2">
        <f t="shared" si="85"/>
        <v>3</v>
      </c>
      <c r="AH625" s="4">
        <f t="shared" si="86"/>
        <v>44838.315601851849</v>
      </c>
      <c r="AI625" s="2" t="str">
        <f t="shared" si="87"/>
        <v/>
      </c>
      <c r="AJ625" s="2" t="str">
        <f t="shared" si="88"/>
        <v/>
      </c>
      <c r="AK625" s="2" t="str">
        <f t="shared" si="89"/>
        <v/>
      </c>
    </row>
    <row r="626" spans="1:37" x14ac:dyDescent="0.25">
      <c r="A626">
        <v>370</v>
      </c>
      <c r="B626" t="s">
        <v>711</v>
      </c>
      <c r="C626" t="s">
        <v>676</v>
      </c>
      <c r="D626" t="s">
        <v>677</v>
      </c>
      <c r="E626" t="s">
        <v>601</v>
      </c>
      <c r="F626" t="s">
        <v>695</v>
      </c>
      <c r="G626" t="s">
        <v>31</v>
      </c>
      <c r="H626" s="1">
        <v>44684.751585648148</v>
      </c>
      <c r="I626" s="1">
        <v>44686.751585648148</v>
      </c>
      <c r="J626" t="s">
        <v>32</v>
      </c>
      <c r="K626" s="1">
        <v>44693.751585648148</v>
      </c>
      <c r="L626" t="s">
        <v>33</v>
      </c>
      <c r="M626" t="s">
        <v>51</v>
      </c>
      <c r="R626" s="4">
        <v>44696.751585648148</v>
      </c>
      <c r="T626">
        <v>0</v>
      </c>
      <c r="Y626" t="s">
        <v>55</v>
      </c>
      <c r="AC626" s="2">
        <f t="shared" si="81"/>
        <v>2</v>
      </c>
      <c r="AD626" s="2">
        <f t="shared" si="82"/>
        <v>9</v>
      </c>
      <c r="AE626" s="2">
        <f t="shared" si="83"/>
        <v>7</v>
      </c>
      <c r="AF626" s="2">
        <f t="shared" si="84"/>
        <v>12</v>
      </c>
      <c r="AG626" s="2">
        <f t="shared" si="85"/>
        <v>3</v>
      </c>
      <c r="AH626" s="4">
        <f t="shared" si="86"/>
        <v>44786.751585648148</v>
      </c>
      <c r="AI626" s="2" t="str">
        <f t="shared" si="87"/>
        <v/>
      </c>
      <c r="AJ626" s="2" t="str">
        <f t="shared" si="88"/>
        <v/>
      </c>
      <c r="AK626" s="2" t="str">
        <f t="shared" si="89"/>
        <v/>
      </c>
    </row>
    <row r="627" spans="1:37" x14ac:dyDescent="0.25">
      <c r="A627">
        <v>361</v>
      </c>
      <c r="B627" t="s">
        <v>712</v>
      </c>
      <c r="C627" t="s">
        <v>676</v>
      </c>
      <c r="D627" t="s">
        <v>677</v>
      </c>
      <c r="E627" t="s">
        <v>601</v>
      </c>
      <c r="F627" t="s">
        <v>695</v>
      </c>
      <c r="G627" t="s">
        <v>31</v>
      </c>
      <c r="H627" s="1">
        <v>44682.751585648148</v>
      </c>
      <c r="I627" s="1">
        <v>44683.751585648148</v>
      </c>
      <c r="J627" t="s">
        <v>44</v>
      </c>
      <c r="K627" s="1"/>
      <c r="T627">
        <v>0</v>
      </c>
      <c r="AC627" s="2">
        <f t="shared" si="81"/>
        <v>1</v>
      </c>
      <c r="AD627" s="2" t="str">
        <f t="shared" si="82"/>
        <v/>
      </c>
      <c r="AE627" s="2" t="str">
        <f t="shared" si="83"/>
        <v/>
      </c>
      <c r="AF627" s="2" t="str">
        <f t="shared" si="84"/>
        <v/>
      </c>
      <c r="AG627" s="2" t="str">
        <f t="shared" si="85"/>
        <v/>
      </c>
      <c r="AH627" s="4" t="str">
        <f t="shared" si="86"/>
        <v/>
      </c>
      <c r="AI627" s="2" t="str">
        <f t="shared" si="87"/>
        <v/>
      </c>
      <c r="AJ627" s="2" t="str">
        <f t="shared" si="88"/>
        <v/>
      </c>
      <c r="AK627" s="2" t="str">
        <f t="shared" si="89"/>
        <v/>
      </c>
    </row>
    <row r="628" spans="1:37" x14ac:dyDescent="0.25">
      <c r="A628">
        <v>359</v>
      </c>
      <c r="B628" t="s">
        <v>713</v>
      </c>
      <c r="C628" t="s">
        <v>676</v>
      </c>
      <c r="D628" t="s">
        <v>677</v>
      </c>
      <c r="E628" t="s">
        <v>601</v>
      </c>
      <c r="F628" t="s">
        <v>695</v>
      </c>
      <c r="G628" t="s">
        <v>31</v>
      </c>
      <c r="H628" s="1">
        <v>44841.176585648151</v>
      </c>
      <c r="I628" s="1">
        <v>44842.176585648151</v>
      </c>
      <c r="J628" t="s">
        <v>32</v>
      </c>
      <c r="K628" s="1">
        <v>44852.176585648151</v>
      </c>
      <c r="L628" t="s">
        <v>39</v>
      </c>
      <c r="N628" s="4">
        <v>44854.176585648151</v>
      </c>
      <c r="O628" t="s">
        <v>39</v>
      </c>
      <c r="R628" s="4">
        <v>44853.176585648151</v>
      </c>
      <c r="T628">
        <v>0</v>
      </c>
      <c r="AC628" s="2">
        <f t="shared" si="81"/>
        <v>1</v>
      </c>
      <c r="AD628" s="2">
        <f t="shared" si="82"/>
        <v>11</v>
      </c>
      <c r="AE628" s="2">
        <f t="shared" si="83"/>
        <v>10</v>
      </c>
      <c r="AF628" s="2">
        <f t="shared" si="84"/>
        <v>12</v>
      </c>
      <c r="AG628" s="2">
        <f t="shared" si="85"/>
        <v>1</v>
      </c>
      <c r="AH628" s="4">
        <f t="shared" si="86"/>
        <v>44943.176585648151</v>
      </c>
      <c r="AI628" s="2" t="str">
        <f t="shared" si="87"/>
        <v/>
      </c>
      <c r="AJ628" s="2" t="str">
        <f t="shared" si="88"/>
        <v/>
      </c>
      <c r="AK628" s="2" t="str">
        <f t="shared" si="89"/>
        <v/>
      </c>
    </row>
    <row r="629" spans="1:37" x14ac:dyDescent="0.25">
      <c r="A629">
        <v>2892</v>
      </c>
      <c r="B629" t="s">
        <v>714</v>
      </c>
      <c r="C629" t="s">
        <v>676</v>
      </c>
      <c r="D629" t="s">
        <v>715</v>
      </c>
      <c r="E629" t="s">
        <v>716</v>
      </c>
      <c r="F629" t="s">
        <v>717</v>
      </c>
      <c r="G629" t="s">
        <v>49</v>
      </c>
      <c r="H629" s="1">
        <v>44962.681840277779</v>
      </c>
      <c r="I629" s="1">
        <v>44963.681840277779</v>
      </c>
      <c r="J629" t="s">
        <v>44</v>
      </c>
      <c r="K629" s="1"/>
      <c r="T629">
        <v>0</v>
      </c>
      <c r="AC629" s="2">
        <f t="shared" si="81"/>
        <v>1</v>
      </c>
      <c r="AD629" s="2" t="str">
        <f t="shared" si="82"/>
        <v/>
      </c>
      <c r="AE629" s="2" t="str">
        <f t="shared" si="83"/>
        <v/>
      </c>
      <c r="AF629" s="2" t="str">
        <f t="shared" si="84"/>
        <v/>
      </c>
      <c r="AG629" s="2" t="str">
        <f t="shared" si="85"/>
        <v/>
      </c>
      <c r="AH629" s="4" t="str">
        <f t="shared" si="86"/>
        <v/>
      </c>
      <c r="AI629" s="2" t="str">
        <f t="shared" si="87"/>
        <v/>
      </c>
      <c r="AJ629" s="2" t="str">
        <f t="shared" si="88"/>
        <v/>
      </c>
      <c r="AK629" s="2" t="str">
        <f t="shared" si="89"/>
        <v/>
      </c>
    </row>
    <row r="630" spans="1:37" x14ac:dyDescent="0.25">
      <c r="A630">
        <v>2663</v>
      </c>
      <c r="B630" t="s">
        <v>718</v>
      </c>
      <c r="C630" t="s">
        <v>676</v>
      </c>
      <c r="D630" t="s">
        <v>715</v>
      </c>
      <c r="E630" t="s">
        <v>716</v>
      </c>
      <c r="F630" t="s">
        <v>717</v>
      </c>
      <c r="G630" t="s">
        <v>49</v>
      </c>
      <c r="H630" s="1">
        <v>44899.903680555559</v>
      </c>
      <c r="I630" s="1">
        <v>44900.903680555559</v>
      </c>
      <c r="J630" t="s">
        <v>44</v>
      </c>
      <c r="K630" s="1"/>
      <c r="T630">
        <v>0</v>
      </c>
      <c r="AC630" s="2">
        <f t="shared" si="81"/>
        <v>1</v>
      </c>
      <c r="AD630" s="2" t="str">
        <f t="shared" si="82"/>
        <v/>
      </c>
      <c r="AE630" s="2" t="str">
        <f t="shared" si="83"/>
        <v/>
      </c>
      <c r="AF630" s="2" t="str">
        <f t="shared" si="84"/>
        <v/>
      </c>
      <c r="AG630" s="2" t="str">
        <f t="shared" si="85"/>
        <v/>
      </c>
      <c r="AH630" s="4" t="str">
        <f t="shared" si="86"/>
        <v/>
      </c>
      <c r="AI630" s="2" t="str">
        <f t="shared" si="87"/>
        <v/>
      </c>
      <c r="AJ630" s="2" t="str">
        <f t="shared" si="88"/>
        <v/>
      </c>
      <c r="AK630" s="2" t="str">
        <f t="shared" si="89"/>
        <v/>
      </c>
    </row>
    <row r="631" spans="1:37" x14ac:dyDescent="0.25">
      <c r="A631">
        <v>1901</v>
      </c>
      <c r="B631" t="s">
        <v>719</v>
      </c>
      <c r="C631" t="s">
        <v>676</v>
      </c>
      <c r="D631" t="s">
        <v>715</v>
      </c>
      <c r="E631" t="s">
        <v>716</v>
      </c>
      <c r="F631" t="s">
        <v>717</v>
      </c>
      <c r="G631" t="s">
        <v>49</v>
      </c>
      <c r="H631" s="1">
        <v>44997.686469907407</v>
      </c>
      <c r="I631" s="1">
        <v>45000.686469907407</v>
      </c>
      <c r="J631" t="s">
        <v>44</v>
      </c>
      <c r="K631" s="1"/>
      <c r="T631">
        <v>0</v>
      </c>
      <c r="AC631" s="2">
        <f t="shared" si="81"/>
        <v>3</v>
      </c>
      <c r="AD631" s="2" t="str">
        <f t="shared" si="82"/>
        <v/>
      </c>
      <c r="AE631" s="2" t="str">
        <f t="shared" si="83"/>
        <v/>
      </c>
      <c r="AF631" s="2" t="str">
        <f t="shared" si="84"/>
        <v/>
      </c>
      <c r="AG631" s="2" t="str">
        <f t="shared" si="85"/>
        <v/>
      </c>
      <c r="AH631" s="4" t="str">
        <f t="shared" si="86"/>
        <v/>
      </c>
      <c r="AI631" s="2" t="str">
        <f t="shared" si="87"/>
        <v/>
      </c>
      <c r="AJ631" s="2" t="str">
        <f t="shared" si="88"/>
        <v/>
      </c>
      <c r="AK631" s="2" t="str">
        <f t="shared" si="89"/>
        <v/>
      </c>
    </row>
    <row r="632" spans="1:37" x14ac:dyDescent="0.25">
      <c r="A632">
        <v>1539</v>
      </c>
      <c r="B632" t="s">
        <v>720</v>
      </c>
      <c r="C632" t="s">
        <v>676</v>
      </c>
      <c r="D632" t="s">
        <v>715</v>
      </c>
      <c r="E632" t="s">
        <v>716</v>
      </c>
      <c r="F632" t="s">
        <v>717</v>
      </c>
      <c r="G632" t="s">
        <v>49</v>
      </c>
      <c r="H632" s="1">
        <v>45052.546423611115</v>
      </c>
      <c r="I632" s="1">
        <v>45054.546423611115</v>
      </c>
      <c r="J632" t="s">
        <v>44</v>
      </c>
      <c r="K632" s="1"/>
      <c r="T632">
        <v>0</v>
      </c>
      <c r="AC632" s="2">
        <f t="shared" si="81"/>
        <v>2</v>
      </c>
      <c r="AD632" s="2" t="str">
        <f t="shared" si="82"/>
        <v/>
      </c>
      <c r="AE632" s="2" t="str">
        <f t="shared" si="83"/>
        <v/>
      </c>
      <c r="AF632" s="2" t="str">
        <f t="shared" si="84"/>
        <v/>
      </c>
      <c r="AG632" s="2" t="str">
        <f t="shared" si="85"/>
        <v/>
      </c>
      <c r="AH632" s="4" t="str">
        <f t="shared" si="86"/>
        <v/>
      </c>
      <c r="AI632" s="2" t="str">
        <f t="shared" si="87"/>
        <v/>
      </c>
      <c r="AJ632" s="2" t="str">
        <f t="shared" si="88"/>
        <v/>
      </c>
      <c r="AK632" s="2" t="str">
        <f t="shared" si="89"/>
        <v/>
      </c>
    </row>
    <row r="633" spans="1:37" x14ac:dyDescent="0.25">
      <c r="A633">
        <v>1454</v>
      </c>
      <c r="B633" t="s">
        <v>721</v>
      </c>
      <c r="C633" t="s">
        <v>676</v>
      </c>
      <c r="D633" t="s">
        <v>715</v>
      </c>
      <c r="E633" t="s">
        <v>716</v>
      </c>
      <c r="F633" t="s">
        <v>717</v>
      </c>
      <c r="G633" t="s">
        <v>49</v>
      </c>
      <c r="H633" s="1">
        <v>45026.57240740741</v>
      </c>
      <c r="I633" s="1">
        <v>45028.57240740741</v>
      </c>
      <c r="J633" t="s">
        <v>44</v>
      </c>
      <c r="K633" s="1"/>
      <c r="T633">
        <v>0</v>
      </c>
      <c r="AC633" s="2">
        <f t="shared" si="81"/>
        <v>2</v>
      </c>
      <c r="AD633" s="2" t="str">
        <f t="shared" si="82"/>
        <v/>
      </c>
      <c r="AE633" s="2" t="str">
        <f t="shared" si="83"/>
        <v/>
      </c>
      <c r="AF633" s="2" t="str">
        <f t="shared" si="84"/>
        <v/>
      </c>
      <c r="AG633" s="2" t="str">
        <f t="shared" si="85"/>
        <v/>
      </c>
      <c r="AH633" s="4" t="str">
        <f t="shared" si="86"/>
        <v/>
      </c>
      <c r="AI633" s="2" t="str">
        <f t="shared" si="87"/>
        <v/>
      </c>
      <c r="AJ633" s="2" t="str">
        <f t="shared" si="88"/>
        <v/>
      </c>
      <c r="AK633" s="2" t="str">
        <f t="shared" si="89"/>
        <v/>
      </c>
    </row>
    <row r="634" spans="1:37" x14ac:dyDescent="0.25">
      <c r="A634">
        <v>1130</v>
      </c>
      <c r="B634" t="s">
        <v>722</v>
      </c>
      <c r="C634" t="s">
        <v>676</v>
      </c>
      <c r="D634" t="s">
        <v>715</v>
      </c>
      <c r="E634" t="s">
        <v>716</v>
      </c>
      <c r="F634" t="s">
        <v>717</v>
      </c>
      <c r="G634" t="s">
        <v>49</v>
      </c>
      <c r="H634" s="1">
        <v>45094.561550925922</v>
      </c>
      <c r="I634" s="1">
        <v>45098.561550925922</v>
      </c>
      <c r="J634" t="s">
        <v>44</v>
      </c>
      <c r="K634" s="1"/>
      <c r="T634">
        <v>0</v>
      </c>
      <c r="AC634" s="2">
        <f t="shared" si="81"/>
        <v>4</v>
      </c>
      <c r="AD634" s="2" t="str">
        <f t="shared" si="82"/>
        <v/>
      </c>
      <c r="AE634" s="2" t="str">
        <f t="shared" si="83"/>
        <v/>
      </c>
      <c r="AF634" s="2" t="str">
        <f t="shared" si="84"/>
        <v/>
      </c>
      <c r="AG634" s="2" t="str">
        <f t="shared" si="85"/>
        <v/>
      </c>
      <c r="AH634" s="4" t="str">
        <f t="shared" si="86"/>
        <v/>
      </c>
      <c r="AI634" s="2" t="str">
        <f t="shared" si="87"/>
        <v/>
      </c>
      <c r="AJ634" s="2" t="str">
        <f t="shared" si="88"/>
        <v/>
      </c>
      <c r="AK634" s="2" t="str">
        <f t="shared" si="89"/>
        <v/>
      </c>
    </row>
    <row r="635" spans="1:37" x14ac:dyDescent="0.25">
      <c r="A635">
        <v>1123</v>
      </c>
      <c r="B635" t="s">
        <v>723</v>
      </c>
      <c r="C635" t="s">
        <v>676</v>
      </c>
      <c r="D635" t="s">
        <v>715</v>
      </c>
      <c r="E635" t="s">
        <v>716</v>
      </c>
      <c r="F635" t="s">
        <v>717</v>
      </c>
      <c r="G635" t="s">
        <v>49</v>
      </c>
      <c r="H635" s="1">
        <v>45094.561550925922</v>
      </c>
      <c r="I635" s="1">
        <v>45096.561550925922</v>
      </c>
      <c r="J635" t="s">
        <v>44</v>
      </c>
      <c r="K635" s="1"/>
      <c r="T635">
        <v>0</v>
      </c>
      <c r="AC635" s="2">
        <f t="shared" si="81"/>
        <v>2</v>
      </c>
      <c r="AD635" s="2" t="str">
        <f t="shared" si="82"/>
        <v/>
      </c>
      <c r="AE635" s="2" t="str">
        <f t="shared" si="83"/>
        <v/>
      </c>
      <c r="AF635" s="2" t="str">
        <f t="shared" si="84"/>
        <v/>
      </c>
      <c r="AG635" s="2" t="str">
        <f t="shared" si="85"/>
        <v/>
      </c>
      <c r="AH635" s="4" t="str">
        <f t="shared" si="86"/>
        <v/>
      </c>
      <c r="AI635" s="2" t="str">
        <f t="shared" si="87"/>
        <v/>
      </c>
      <c r="AJ635" s="2" t="str">
        <f t="shared" si="88"/>
        <v/>
      </c>
      <c r="AK635" s="2" t="str">
        <f t="shared" si="89"/>
        <v/>
      </c>
    </row>
    <row r="636" spans="1:37" x14ac:dyDescent="0.25">
      <c r="A636">
        <v>937</v>
      </c>
      <c r="B636" t="s">
        <v>724</v>
      </c>
      <c r="C636" t="s">
        <v>676</v>
      </c>
      <c r="D636" t="s">
        <v>715</v>
      </c>
      <c r="E636" t="s">
        <v>716</v>
      </c>
      <c r="F636" t="s">
        <v>717</v>
      </c>
      <c r="G636" t="s">
        <v>49</v>
      </c>
      <c r="H636" s="1">
        <v>45002.704907407409</v>
      </c>
      <c r="I636" s="1">
        <v>45004.704907407409</v>
      </c>
      <c r="J636" t="s">
        <v>32</v>
      </c>
      <c r="K636" s="1">
        <v>45022.704907407409</v>
      </c>
      <c r="L636" t="s">
        <v>33</v>
      </c>
      <c r="M636" t="s">
        <v>51</v>
      </c>
      <c r="R636" s="4">
        <v>45025.704907407409</v>
      </c>
      <c r="T636">
        <v>0</v>
      </c>
      <c r="Y636" t="s">
        <v>55</v>
      </c>
      <c r="AC636" s="2">
        <f t="shared" si="81"/>
        <v>2</v>
      </c>
      <c r="AD636" s="2">
        <f t="shared" si="82"/>
        <v>20</v>
      </c>
      <c r="AE636" s="2">
        <f t="shared" si="83"/>
        <v>18</v>
      </c>
      <c r="AF636" s="2">
        <f t="shared" si="84"/>
        <v>23</v>
      </c>
      <c r="AG636" s="2">
        <f t="shared" si="85"/>
        <v>3</v>
      </c>
      <c r="AH636" s="4">
        <f t="shared" si="86"/>
        <v>45115.704907407409</v>
      </c>
      <c r="AI636" s="2" t="str">
        <f t="shared" si="87"/>
        <v/>
      </c>
      <c r="AJ636" s="2" t="str">
        <f t="shared" si="88"/>
        <v/>
      </c>
      <c r="AK636" s="2" t="str">
        <f t="shared" si="89"/>
        <v/>
      </c>
    </row>
    <row r="637" spans="1:37" x14ac:dyDescent="0.25">
      <c r="A637">
        <v>935</v>
      </c>
      <c r="B637" t="s">
        <v>725</v>
      </c>
      <c r="C637" t="s">
        <v>676</v>
      </c>
      <c r="D637" t="s">
        <v>715</v>
      </c>
      <c r="E637" t="s">
        <v>716</v>
      </c>
      <c r="F637" t="s">
        <v>717</v>
      </c>
      <c r="G637" t="s">
        <v>49</v>
      </c>
      <c r="H637" s="1">
        <v>44999.704907407409</v>
      </c>
      <c r="I637" s="1">
        <v>45002.704907407409</v>
      </c>
      <c r="J637" t="s">
        <v>32</v>
      </c>
      <c r="K637" s="1">
        <v>45018.704907407409</v>
      </c>
      <c r="L637" t="s">
        <v>39</v>
      </c>
      <c r="N637" s="4">
        <v>45022.704907407409</v>
      </c>
      <c r="O637" t="s">
        <v>39</v>
      </c>
      <c r="R637" s="4">
        <v>45021.704907407409</v>
      </c>
      <c r="T637">
        <v>0</v>
      </c>
      <c r="AC637" s="2">
        <f t="shared" si="81"/>
        <v>3</v>
      </c>
      <c r="AD637" s="2">
        <f t="shared" si="82"/>
        <v>19</v>
      </c>
      <c r="AE637" s="2">
        <f t="shared" si="83"/>
        <v>16</v>
      </c>
      <c r="AF637" s="2">
        <f t="shared" si="84"/>
        <v>22</v>
      </c>
      <c r="AG637" s="2">
        <f t="shared" si="85"/>
        <v>3</v>
      </c>
      <c r="AH637" s="4">
        <f t="shared" si="86"/>
        <v>45111.704907407409</v>
      </c>
      <c r="AI637" s="2" t="str">
        <f t="shared" si="87"/>
        <v/>
      </c>
      <c r="AJ637" s="2" t="str">
        <f t="shared" si="88"/>
        <v/>
      </c>
      <c r="AK637" s="2" t="str">
        <f t="shared" si="89"/>
        <v/>
      </c>
    </row>
    <row r="638" spans="1:37" x14ac:dyDescent="0.25">
      <c r="A638">
        <v>934</v>
      </c>
      <c r="B638" t="s">
        <v>726</v>
      </c>
      <c r="C638" t="s">
        <v>676</v>
      </c>
      <c r="D638" t="s">
        <v>715</v>
      </c>
      <c r="E638" t="s">
        <v>716</v>
      </c>
      <c r="F638" t="s">
        <v>717</v>
      </c>
      <c r="G638" t="s">
        <v>49</v>
      </c>
      <c r="H638" s="1">
        <v>45001.704907407409</v>
      </c>
      <c r="I638" s="1">
        <v>45003.704907407409</v>
      </c>
      <c r="J638" t="s">
        <v>32</v>
      </c>
      <c r="K638" s="1">
        <v>45011.704907407409</v>
      </c>
      <c r="L638" t="s">
        <v>33</v>
      </c>
      <c r="M638" t="s">
        <v>92</v>
      </c>
      <c r="T638">
        <v>0</v>
      </c>
      <c r="Y638" t="s">
        <v>35</v>
      </c>
      <c r="AC638" s="2">
        <f t="shared" si="81"/>
        <v>2</v>
      </c>
      <c r="AD638" s="2">
        <f t="shared" si="82"/>
        <v>10</v>
      </c>
      <c r="AE638" s="2">
        <f t="shared" si="83"/>
        <v>8</v>
      </c>
      <c r="AF638" s="2" t="str">
        <f t="shared" si="84"/>
        <v/>
      </c>
      <c r="AG638" s="2" t="str">
        <f t="shared" si="85"/>
        <v/>
      </c>
      <c r="AH638" s="4" t="str">
        <f t="shared" si="86"/>
        <v/>
      </c>
      <c r="AI638" s="2" t="str">
        <f t="shared" si="87"/>
        <v/>
      </c>
      <c r="AJ638" s="2" t="str">
        <f t="shared" si="88"/>
        <v/>
      </c>
      <c r="AK638" s="2" t="str">
        <f t="shared" si="89"/>
        <v/>
      </c>
    </row>
    <row r="639" spans="1:37" x14ac:dyDescent="0.25">
      <c r="A639">
        <v>932</v>
      </c>
      <c r="B639" t="s">
        <v>727</v>
      </c>
      <c r="C639" t="s">
        <v>676</v>
      </c>
      <c r="D639" t="s">
        <v>715</v>
      </c>
      <c r="E639" t="s">
        <v>716</v>
      </c>
      <c r="F639" t="s">
        <v>717</v>
      </c>
      <c r="G639" t="s">
        <v>49</v>
      </c>
      <c r="H639" s="1">
        <v>44996.704907407409</v>
      </c>
      <c r="I639" s="1">
        <v>45000.704907407409</v>
      </c>
      <c r="J639" t="s">
        <v>32</v>
      </c>
      <c r="K639" s="1">
        <v>45012.704907407409</v>
      </c>
      <c r="L639" t="s">
        <v>33</v>
      </c>
      <c r="M639" t="s">
        <v>67</v>
      </c>
      <c r="T639">
        <v>0</v>
      </c>
      <c r="Y639" t="s">
        <v>35</v>
      </c>
      <c r="AC639" s="2">
        <f t="shared" si="81"/>
        <v>4</v>
      </c>
      <c r="AD639" s="2">
        <f t="shared" si="82"/>
        <v>16</v>
      </c>
      <c r="AE639" s="2">
        <f t="shared" si="83"/>
        <v>12</v>
      </c>
      <c r="AF639" s="2" t="str">
        <f t="shared" si="84"/>
        <v/>
      </c>
      <c r="AG639" s="2" t="str">
        <f t="shared" si="85"/>
        <v/>
      </c>
      <c r="AH639" s="4" t="str">
        <f t="shared" si="86"/>
        <v/>
      </c>
      <c r="AI639" s="2" t="str">
        <f t="shared" si="87"/>
        <v/>
      </c>
      <c r="AJ639" s="2" t="str">
        <f t="shared" si="88"/>
        <v/>
      </c>
      <c r="AK639" s="2" t="str">
        <f t="shared" si="89"/>
        <v/>
      </c>
    </row>
    <row r="640" spans="1:37" x14ac:dyDescent="0.25">
      <c r="A640">
        <v>845</v>
      </c>
      <c r="B640" t="s">
        <v>728</v>
      </c>
      <c r="C640" t="s">
        <v>676</v>
      </c>
      <c r="D640" t="s">
        <v>715</v>
      </c>
      <c r="E640" t="s">
        <v>716</v>
      </c>
      <c r="F640" t="s">
        <v>717</v>
      </c>
      <c r="G640" t="s">
        <v>49</v>
      </c>
      <c r="H640" s="1">
        <v>44776.836053240739</v>
      </c>
      <c r="I640" s="1">
        <v>44778.836053240739</v>
      </c>
      <c r="J640" t="s">
        <v>32</v>
      </c>
      <c r="K640" s="1">
        <v>44788.836053240739</v>
      </c>
      <c r="L640" t="s">
        <v>39</v>
      </c>
      <c r="N640" s="4">
        <v>44792.836053240739</v>
      </c>
      <c r="O640" t="s">
        <v>39</v>
      </c>
      <c r="R640" s="4">
        <v>44789.836053240739</v>
      </c>
      <c r="T640">
        <v>0</v>
      </c>
      <c r="AC640" s="2">
        <f t="shared" si="81"/>
        <v>2</v>
      </c>
      <c r="AD640" s="2">
        <f t="shared" si="82"/>
        <v>12</v>
      </c>
      <c r="AE640" s="2">
        <f t="shared" si="83"/>
        <v>10</v>
      </c>
      <c r="AF640" s="2">
        <f t="shared" si="84"/>
        <v>13</v>
      </c>
      <c r="AG640" s="2">
        <f t="shared" si="85"/>
        <v>1</v>
      </c>
      <c r="AH640" s="4">
        <f t="shared" si="86"/>
        <v>44879.836053240739</v>
      </c>
      <c r="AI640" s="2" t="str">
        <f t="shared" si="87"/>
        <v/>
      </c>
      <c r="AJ640" s="2" t="str">
        <f t="shared" si="88"/>
        <v/>
      </c>
      <c r="AK640" s="2" t="str">
        <f t="shared" si="89"/>
        <v/>
      </c>
    </row>
    <row r="641" spans="1:37" x14ac:dyDescent="0.25">
      <c r="A641">
        <v>844</v>
      </c>
      <c r="B641" t="s">
        <v>729</v>
      </c>
      <c r="C641" t="s">
        <v>676</v>
      </c>
      <c r="D641" t="s">
        <v>715</v>
      </c>
      <c r="E641" t="s">
        <v>716</v>
      </c>
      <c r="F641" t="s">
        <v>717</v>
      </c>
      <c r="G641" t="s">
        <v>49</v>
      </c>
      <c r="H641" s="1">
        <v>44775.836053240739</v>
      </c>
      <c r="I641" s="1">
        <v>44777.836053240739</v>
      </c>
      <c r="J641" t="s">
        <v>32</v>
      </c>
      <c r="K641" s="1">
        <v>44793.836053240739</v>
      </c>
      <c r="L641" t="s">
        <v>33</v>
      </c>
      <c r="M641" t="s">
        <v>34</v>
      </c>
      <c r="T641">
        <v>0</v>
      </c>
      <c r="Y641" t="s">
        <v>55</v>
      </c>
      <c r="AC641" s="2">
        <f t="shared" si="81"/>
        <v>2</v>
      </c>
      <c r="AD641" s="2">
        <f t="shared" si="82"/>
        <v>18</v>
      </c>
      <c r="AE641" s="2">
        <f t="shared" si="83"/>
        <v>16</v>
      </c>
      <c r="AF641" s="2" t="str">
        <f t="shared" si="84"/>
        <v/>
      </c>
      <c r="AG641" s="2" t="str">
        <f t="shared" si="85"/>
        <v/>
      </c>
      <c r="AH641" s="4" t="str">
        <f t="shared" si="86"/>
        <v/>
      </c>
      <c r="AI641" s="2" t="str">
        <f t="shared" si="87"/>
        <v/>
      </c>
      <c r="AJ641" s="2" t="str">
        <f t="shared" si="88"/>
        <v/>
      </c>
      <c r="AK641" s="2" t="str">
        <f t="shared" si="89"/>
        <v/>
      </c>
    </row>
    <row r="642" spans="1:37" x14ac:dyDescent="0.25">
      <c r="A642">
        <v>842</v>
      </c>
      <c r="B642" t="s">
        <v>730</v>
      </c>
      <c r="C642" t="s">
        <v>676</v>
      </c>
      <c r="D642" t="s">
        <v>715</v>
      </c>
      <c r="E642" t="s">
        <v>716</v>
      </c>
      <c r="F642" t="s">
        <v>717</v>
      </c>
      <c r="G642" t="s">
        <v>49</v>
      </c>
      <c r="H642" s="1">
        <v>44776.836053240739</v>
      </c>
      <c r="I642" s="1">
        <v>44780.836053240739</v>
      </c>
      <c r="J642" t="s">
        <v>32</v>
      </c>
      <c r="K642" s="1">
        <v>44789.836053240739</v>
      </c>
      <c r="L642" t="s">
        <v>33</v>
      </c>
      <c r="M642" t="s">
        <v>51</v>
      </c>
      <c r="R642" s="4">
        <v>44793.836053240739</v>
      </c>
      <c r="T642">
        <v>0</v>
      </c>
      <c r="Y642" t="s">
        <v>55</v>
      </c>
      <c r="AC642" s="2">
        <f t="shared" si="81"/>
        <v>4</v>
      </c>
      <c r="AD642" s="2">
        <f t="shared" si="82"/>
        <v>13</v>
      </c>
      <c r="AE642" s="2">
        <f t="shared" si="83"/>
        <v>9</v>
      </c>
      <c r="AF642" s="2">
        <f t="shared" si="84"/>
        <v>17</v>
      </c>
      <c r="AG642" s="2">
        <f t="shared" si="85"/>
        <v>4</v>
      </c>
      <c r="AH642" s="4">
        <f t="shared" si="86"/>
        <v>44883.836053240739</v>
      </c>
      <c r="AI642" s="2" t="str">
        <f t="shared" si="87"/>
        <v/>
      </c>
      <c r="AJ642" s="2" t="str">
        <f t="shared" si="88"/>
        <v/>
      </c>
      <c r="AK642" s="2" t="str">
        <f t="shared" si="89"/>
        <v/>
      </c>
    </row>
    <row r="643" spans="1:37" x14ac:dyDescent="0.25">
      <c r="A643">
        <v>785</v>
      </c>
      <c r="B643" t="s">
        <v>731</v>
      </c>
      <c r="C643" t="s">
        <v>676</v>
      </c>
      <c r="D643" t="s">
        <v>715</v>
      </c>
      <c r="E643" t="s">
        <v>716</v>
      </c>
      <c r="F643" t="s">
        <v>717</v>
      </c>
      <c r="G643" t="s">
        <v>49</v>
      </c>
      <c r="H643" s="1">
        <v>44937.996932870374</v>
      </c>
      <c r="I643" s="1">
        <v>44940.996932870374</v>
      </c>
      <c r="J643" t="s">
        <v>32</v>
      </c>
      <c r="K643" s="1">
        <v>44959.996932870374</v>
      </c>
      <c r="L643" t="s">
        <v>33</v>
      </c>
      <c r="M643" t="s">
        <v>92</v>
      </c>
      <c r="R643" s="4">
        <v>44961.996932870374</v>
      </c>
      <c r="T643">
        <v>0</v>
      </c>
      <c r="Y643" t="s">
        <v>55</v>
      </c>
      <c r="AC643" s="2">
        <f t="shared" ref="AC643:AC706" si="90">IF(AND(I643&lt;&gt;"",H643&lt;&gt;""), I643-H643, "")</f>
        <v>3</v>
      </c>
      <c r="AD643" s="2">
        <f t="shared" ref="AD643:AD706" si="91">IF(AND(K643&lt;&gt;"",H643&lt;&gt;""), K643-H643, "")</f>
        <v>22</v>
      </c>
      <c r="AE643" s="2">
        <f t="shared" ref="AE643:AE706" si="92">IF(AND(K643&lt;&gt;"",I643&lt;&gt;""), K643-I643, "")</f>
        <v>19</v>
      </c>
      <c r="AF643" s="2">
        <f t="shared" ref="AF643:AF706" si="93">IF(AND(R643&lt;&gt;"",H643&lt;&gt;""), R643-H643, "")</f>
        <v>24</v>
      </c>
      <c r="AG643" s="2">
        <f t="shared" ref="AG643:AG706" si="94">IF(AND(R643&lt;&gt;"",K643&lt;&gt;""), R643-K643, "")</f>
        <v>2</v>
      </c>
      <c r="AH643" s="4">
        <f t="shared" ref="AH643:AH706" si="95">IF(R643&lt;&gt;"", R643+90, "")</f>
        <v>45051.996932870374</v>
      </c>
      <c r="AI643" s="2" t="str">
        <f t="shared" ref="AI643:AI706" si="96">IF(AND(U643&lt;&gt;"",S643&lt;&gt;""), U643-S643, "")</f>
        <v/>
      </c>
      <c r="AJ643" s="2" t="str">
        <f t="shared" ref="AJ643:AJ706" si="97">IF(AND(Z643&lt;&gt;"",R643&lt;&gt;""), Z643-R643, "")</f>
        <v/>
      </c>
      <c r="AK643" s="2" t="str">
        <f t="shared" ref="AK643:AK706" si="98">IF(AND(W643&lt;&gt;"",R643&lt;&gt;""), W643-R643, "")</f>
        <v/>
      </c>
    </row>
    <row r="644" spans="1:37" x14ac:dyDescent="0.25">
      <c r="A644">
        <v>740</v>
      </c>
      <c r="B644" t="s">
        <v>732</v>
      </c>
      <c r="C644" t="s">
        <v>676</v>
      </c>
      <c r="D644" t="s">
        <v>715</v>
      </c>
      <c r="E644" t="s">
        <v>716</v>
      </c>
      <c r="F644" t="s">
        <v>717</v>
      </c>
      <c r="G644" t="s">
        <v>49</v>
      </c>
      <c r="H644" s="1">
        <v>45041.644548611112</v>
      </c>
      <c r="I644" s="1">
        <v>45044.644548611112</v>
      </c>
      <c r="J644" t="s">
        <v>44</v>
      </c>
      <c r="K644" s="1"/>
      <c r="T644">
        <v>0</v>
      </c>
      <c r="AC644" s="2">
        <f t="shared" si="90"/>
        <v>3</v>
      </c>
      <c r="AD644" s="2" t="str">
        <f t="shared" si="91"/>
        <v/>
      </c>
      <c r="AE644" s="2" t="str">
        <f t="shared" si="92"/>
        <v/>
      </c>
      <c r="AF644" s="2" t="str">
        <f t="shared" si="93"/>
        <v/>
      </c>
      <c r="AG644" s="2" t="str">
        <f t="shared" si="94"/>
        <v/>
      </c>
      <c r="AH644" s="4" t="str">
        <f t="shared" si="95"/>
        <v/>
      </c>
      <c r="AI644" s="2" t="str">
        <f t="shared" si="96"/>
        <v/>
      </c>
      <c r="AJ644" s="2" t="str">
        <f t="shared" si="97"/>
        <v/>
      </c>
      <c r="AK644" s="2" t="str">
        <f t="shared" si="98"/>
        <v/>
      </c>
    </row>
    <row r="645" spans="1:37" x14ac:dyDescent="0.25">
      <c r="A645">
        <v>686</v>
      </c>
      <c r="B645" t="s">
        <v>733</v>
      </c>
      <c r="C645" t="s">
        <v>676</v>
      </c>
      <c r="D645" t="s">
        <v>715</v>
      </c>
      <c r="E645" t="s">
        <v>47</v>
      </c>
      <c r="F645" t="s">
        <v>734</v>
      </c>
      <c r="G645" t="s">
        <v>49</v>
      </c>
      <c r="H645" s="1">
        <v>45102.115520833337</v>
      </c>
      <c r="I645" s="1">
        <v>45104.115520833337</v>
      </c>
      <c r="J645" t="s">
        <v>32</v>
      </c>
      <c r="K645" s="1">
        <v>45110.115520833337</v>
      </c>
      <c r="L645" t="s">
        <v>33</v>
      </c>
      <c r="M645" t="s">
        <v>108</v>
      </c>
      <c r="T645">
        <v>0</v>
      </c>
      <c r="Y645" t="s">
        <v>55</v>
      </c>
      <c r="AC645" s="2">
        <f t="shared" si="90"/>
        <v>2</v>
      </c>
      <c r="AD645" s="2">
        <f t="shared" si="91"/>
        <v>8</v>
      </c>
      <c r="AE645" s="2">
        <f t="shared" si="92"/>
        <v>6</v>
      </c>
      <c r="AF645" s="2" t="str">
        <f t="shared" si="93"/>
        <v/>
      </c>
      <c r="AG645" s="2" t="str">
        <f t="shared" si="94"/>
        <v/>
      </c>
      <c r="AH645" s="4" t="str">
        <f t="shared" si="95"/>
        <v/>
      </c>
      <c r="AI645" s="2" t="str">
        <f t="shared" si="96"/>
        <v/>
      </c>
      <c r="AJ645" s="2" t="str">
        <f t="shared" si="97"/>
        <v/>
      </c>
      <c r="AK645" s="2" t="str">
        <f t="shared" si="98"/>
        <v/>
      </c>
    </row>
    <row r="646" spans="1:37" x14ac:dyDescent="0.25">
      <c r="A646">
        <v>562</v>
      </c>
      <c r="B646" t="s">
        <v>735</v>
      </c>
      <c r="C646" t="s">
        <v>676</v>
      </c>
      <c r="D646" t="s">
        <v>715</v>
      </c>
      <c r="E646" t="s">
        <v>47</v>
      </c>
      <c r="F646" t="s">
        <v>734</v>
      </c>
      <c r="G646" t="s">
        <v>49</v>
      </c>
      <c r="H646" s="1">
        <v>44866.965416666666</v>
      </c>
      <c r="I646" s="1">
        <v>44869.965416666666</v>
      </c>
      <c r="J646" t="s">
        <v>32</v>
      </c>
      <c r="K646" s="1">
        <v>44886.965416666666</v>
      </c>
      <c r="L646" t="s">
        <v>39</v>
      </c>
      <c r="N646" s="4">
        <v>44890.965416666666</v>
      </c>
      <c r="O646" t="s">
        <v>39</v>
      </c>
      <c r="R646" s="4">
        <v>44889.965416666666</v>
      </c>
      <c r="T646">
        <v>0</v>
      </c>
      <c r="AC646" s="2">
        <f t="shared" si="90"/>
        <v>3</v>
      </c>
      <c r="AD646" s="2">
        <f t="shared" si="91"/>
        <v>20</v>
      </c>
      <c r="AE646" s="2">
        <f t="shared" si="92"/>
        <v>17</v>
      </c>
      <c r="AF646" s="2">
        <f t="shared" si="93"/>
        <v>23</v>
      </c>
      <c r="AG646" s="2">
        <f t="shared" si="94"/>
        <v>3</v>
      </c>
      <c r="AH646" s="4">
        <f t="shared" si="95"/>
        <v>44979.965416666666</v>
      </c>
      <c r="AI646" s="2" t="str">
        <f t="shared" si="96"/>
        <v/>
      </c>
      <c r="AJ646" s="2" t="str">
        <f t="shared" si="97"/>
        <v/>
      </c>
      <c r="AK646" s="2" t="str">
        <f t="shared" si="98"/>
        <v/>
      </c>
    </row>
    <row r="647" spans="1:37" x14ac:dyDescent="0.25">
      <c r="A647">
        <v>561</v>
      </c>
      <c r="B647" t="s">
        <v>736</v>
      </c>
      <c r="C647" t="s">
        <v>676</v>
      </c>
      <c r="D647" t="s">
        <v>715</v>
      </c>
      <c r="E647" t="s">
        <v>47</v>
      </c>
      <c r="F647" t="s">
        <v>734</v>
      </c>
      <c r="G647" t="s">
        <v>49</v>
      </c>
      <c r="H647" s="1">
        <v>44865.965416666666</v>
      </c>
      <c r="I647" s="1">
        <v>44869.965416666666</v>
      </c>
      <c r="J647" t="s">
        <v>32</v>
      </c>
      <c r="K647" s="1">
        <v>44886.965416666666</v>
      </c>
      <c r="L647" t="s">
        <v>33</v>
      </c>
      <c r="M647" t="s">
        <v>34</v>
      </c>
      <c r="R647" s="4">
        <v>44889.965416666666</v>
      </c>
      <c r="T647">
        <v>0</v>
      </c>
      <c r="Y647" t="s">
        <v>35</v>
      </c>
      <c r="AC647" s="2">
        <f t="shared" si="90"/>
        <v>4</v>
      </c>
      <c r="AD647" s="2">
        <f t="shared" si="91"/>
        <v>21</v>
      </c>
      <c r="AE647" s="2">
        <f t="shared" si="92"/>
        <v>17</v>
      </c>
      <c r="AF647" s="2">
        <f t="shared" si="93"/>
        <v>24</v>
      </c>
      <c r="AG647" s="2">
        <f t="shared" si="94"/>
        <v>3</v>
      </c>
      <c r="AH647" s="4">
        <f t="shared" si="95"/>
        <v>44979.965416666666</v>
      </c>
      <c r="AI647" s="2" t="str">
        <f t="shared" si="96"/>
        <v/>
      </c>
      <c r="AJ647" s="2" t="str">
        <f t="shared" si="97"/>
        <v/>
      </c>
      <c r="AK647" s="2" t="str">
        <f t="shared" si="98"/>
        <v/>
      </c>
    </row>
    <row r="648" spans="1:37" x14ac:dyDescent="0.25">
      <c r="A648">
        <v>431</v>
      </c>
      <c r="B648" t="s">
        <v>737</v>
      </c>
      <c r="C648" t="s">
        <v>676</v>
      </c>
      <c r="D648" t="s">
        <v>715</v>
      </c>
      <c r="E648" t="s">
        <v>47</v>
      </c>
      <c r="F648" t="s">
        <v>734</v>
      </c>
      <c r="G648" t="s">
        <v>49</v>
      </c>
      <c r="H648" s="1">
        <v>44732.315601851849</v>
      </c>
      <c r="I648" s="1">
        <v>44735.315601851849</v>
      </c>
      <c r="J648" t="s">
        <v>44</v>
      </c>
      <c r="K648" s="1"/>
      <c r="T648">
        <v>0</v>
      </c>
      <c r="AC648" s="2">
        <f t="shared" si="90"/>
        <v>3</v>
      </c>
      <c r="AD648" s="2" t="str">
        <f t="shared" si="91"/>
        <v/>
      </c>
      <c r="AE648" s="2" t="str">
        <f t="shared" si="92"/>
        <v/>
      </c>
      <c r="AF648" s="2" t="str">
        <f t="shared" si="93"/>
        <v/>
      </c>
      <c r="AG648" s="2" t="str">
        <f t="shared" si="94"/>
        <v/>
      </c>
      <c r="AH648" s="4" t="str">
        <f t="shared" si="95"/>
        <v/>
      </c>
      <c r="AI648" s="2" t="str">
        <f t="shared" si="96"/>
        <v/>
      </c>
      <c r="AJ648" s="2" t="str">
        <f t="shared" si="97"/>
        <v/>
      </c>
      <c r="AK648" s="2" t="str">
        <f t="shared" si="98"/>
        <v/>
      </c>
    </row>
    <row r="649" spans="1:37" x14ac:dyDescent="0.25">
      <c r="A649">
        <v>328</v>
      </c>
      <c r="B649" t="s">
        <v>738</v>
      </c>
      <c r="C649" t="s">
        <v>676</v>
      </c>
      <c r="D649" t="s">
        <v>715</v>
      </c>
      <c r="E649" t="s">
        <v>47</v>
      </c>
      <c r="F649" t="s">
        <v>734</v>
      </c>
      <c r="G649" t="s">
        <v>49</v>
      </c>
      <c r="H649" s="1">
        <v>44580.917696759258</v>
      </c>
      <c r="I649" s="1">
        <v>44581.917696759258</v>
      </c>
      <c r="J649" t="s">
        <v>32</v>
      </c>
      <c r="K649" s="1">
        <v>44592.917696759258</v>
      </c>
      <c r="L649" t="s">
        <v>39</v>
      </c>
      <c r="N649" s="4">
        <v>44597.917696759258</v>
      </c>
      <c r="O649" t="s">
        <v>39</v>
      </c>
      <c r="R649" s="4">
        <v>44596.917696759258</v>
      </c>
      <c r="T649">
        <v>0</v>
      </c>
      <c r="AC649" s="2">
        <f t="shared" si="90"/>
        <v>1</v>
      </c>
      <c r="AD649" s="2">
        <f t="shared" si="91"/>
        <v>12</v>
      </c>
      <c r="AE649" s="2">
        <f t="shared" si="92"/>
        <v>11</v>
      </c>
      <c r="AF649" s="2">
        <f t="shared" si="93"/>
        <v>16</v>
      </c>
      <c r="AG649" s="2">
        <f t="shared" si="94"/>
        <v>4</v>
      </c>
      <c r="AH649" s="4">
        <f t="shared" si="95"/>
        <v>44686.917696759258</v>
      </c>
      <c r="AI649" s="2" t="str">
        <f t="shared" si="96"/>
        <v/>
      </c>
      <c r="AJ649" s="2" t="str">
        <f t="shared" si="97"/>
        <v/>
      </c>
      <c r="AK649" s="2" t="str">
        <f t="shared" si="98"/>
        <v/>
      </c>
    </row>
    <row r="650" spans="1:37" x14ac:dyDescent="0.25">
      <c r="A650">
        <v>322</v>
      </c>
      <c r="B650" t="s">
        <v>739</v>
      </c>
      <c r="C650" t="s">
        <v>676</v>
      </c>
      <c r="D650" t="s">
        <v>715</v>
      </c>
      <c r="E650" t="s">
        <v>47</v>
      </c>
      <c r="F650" t="s">
        <v>734</v>
      </c>
      <c r="G650" t="s">
        <v>49</v>
      </c>
      <c r="H650" s="1">
        <v>44572.917696759258</v>
      </c>
      <c r="I650" s="1">
        <v>44576.917696759258</v>
      </c>
      <c r="J650" t="s">
        <v>32</v>
      </c>
      <c r="K650" s="1">
        <v>44586.917696759258</v>
      </c>
      <c r="L650" t="s">
        <v>33</v>
      </c>
      <c r="M650" t="s">
        <v>92</v>
      </c>
      <c r="R650" s="4">
        <v>44590.917696759258</v>
      </c>
      <c r="T650">
        <v>0</v>
      </c>
      <c r="Y650" t="s">
        <v>55</v>
      </c>
      <c r="AC650" s="2">
        <f t="shared" si="90"/>
        <v>4</v>
      </c>
      <c r="AD650" s="2">
        <f t="shared" si="91"/>
        <v>14</v>
      </c>
      <c r="AE650" s="2">
        <f t="shared" si="92"/>
        <v>10</v>
      </c>
      <c r="AF650" s="2">
        <f t="shared" si="93"/>
        <v>18</v>
      </c>
      <c r="AG650" s="2">
        <f t="shared" si="94"/>
        <v>4</v>
      </c>
      <c r="AH650" s="4">
        <f t="shared" si="95"/>
        <v>44680.917696759258</v>
      </c>
      <c r="AI650" s="2" t="str">
        <f t="shared" si="96"/>
        <v/>
      </c>
      <c r="AJ650" s="2" t="str">
        <f t="shared" si="97"/>
        <v/>
      </c>
      <c r="AK650" s="2" t="str">
        <f t="shared" si="98"/>
        <v/>
      </c>
    </row>
    <row r="651" spans="1:37" x14ac:dyDescent="0.25">
      <c r="A651">
        <v>321</v>
      </c>
      <c r="B651" t="s">
        <v>740</v>
      </c>
      <c r="C651" t="s">
        <v>676</v>
      </c>
      <c r="D651" t="s">
        <v>715</v>
      </c>
      <c r="E651" t="s">
        <v>47</v>
      </c>
      <c r="F651" t="s">
        <v>734</v>
      </c>
      <c r="G651" t="s">
        <v>49</v>
      </c>
      <c r="H651" s="1">
        <v>44578.917696759258</v>
      </c>
      <c r="I651" s="1">
        <v>44581.917696759258</v>
      </c>
      <c r="J651" t="s">
        <v>44</v>
      </c>
      <c r="K651" s="1"/>
      <c r="T651">
        <v>0</v>
      </c>
      <c r="AC651" s="2">
        <f t="shared" si="90"/>
        <v>3</v>
      </c>
      <c r="AD651" s="2" t="str">
        <f t="shared" si="91"/>
        <v/>
      </c>
      <c r="AE651" s="2" t="str">
        <f t="shared" si="92"/>
        <v/>
      </c>
      <c r="AF651" s="2" t="str">
        <f t="shared" si="93"/>
        <v/>
      </c>
      <c r="AG651" s="2" t="str">
        <f t="shared" si="94"/>
        <v/>
      </c>
      <c r="AH651" s="4" t="str">
        <f t="shared" si="95"/>
        <v/>
      </c>
      <c r="AI651" s="2" t="str">
        <f t="shared" si="96"/>
        <v/>
      </c>
      <c r="AJ651" s="2" t="str">
        <f t="shared" si="97"/>
        <v/>
      </c>
      <c r="AK651" s="2" t="str">
        <f t="shared" si="98"/>
        <v/>
      </c>
    </row>
    <row r="652" spans="1:37" x14ac:dyDescent="0.25">
      <c r="A652">
        <v>291</v>
      </c>
      <c r="B652" t="s">
        <v>741</v>
      </c>
      <c r="C652" t="s">
        <v>676</v>
      </c>
      <c r="D652" t="s">
        <v>715</v>
      </c>
      <c r="E652" t="s">
        <v>47</v>
      </c>
      <c r="F652" t="s">
        <v>734</v>
      </c>
      <c r="G652" t="s">
        <v>49</v>
      </c>
      <c r="H652" s="1">
        <v>45129.740011574075</v>
      </c>
      <c r="I652" s="1">
        <v>45132.740011574075</v>
      </c>
      <c r="J652" t="s">
        <v>32</v>
      </c>
      <c r="K652" s="1">
        <v>45142.740011574075</v>
      </c>
      <c r="L652" t="s">
        <v>57</v>
      </c>
      <c r="N652" s="4">
        <v>45147.740011574075</v>
      </c>
      <c r="O652" t="s">
        <v>57</v>
      </c>
      <c r="P652" s="4">
        <v>45144.740011574075</v>
      </c>
      <c r="Q652" s="4">
        <v>45146.740011574075</v>
      </c>
      <c r="R652" s="4">
        <v>45144.740011574075</v>
      </c>
      <c r="S652" s="4">
        <v>45147.740011574075</v>
      </c>
      <c r="T652">
        <v>1</v>
      </c>
      <c r="U652" s="4">
        <v>45151.740011574075</v>
      </c>
      <c r="V652" s="4">
        <v>45152.740011574075</v>
      </c>
      <c r="W652" s="4">
        <v>45155.740011574075</v>
      </c>
      <c r="Z652" s="4">
        <v>45168.740011574075</v>
      </c>
      <c r="AC652" s="2">
        <f t="shared" si="90"/>
        <v>3</v>
      </c>
      <c r="AD652" s="2">
        <f t="shared" si="91"/>
        <v>13</v>
      </c>
      <c r="AE652" s="2">
        <f t="shared" si="92"/>
        <v>10</v>
      </c>
      <c r="AF652" s="2">
        <f t="shared" si="93"/>
        <v>15</v>
      </c>
      <c r="AG652" s="2">
        <f t="shared" si="94"/>
        <v>2</v>
      </c>
      <c r="AH652" s="4">
        <f t="shared" si="95"/>
        <v>45234.740011574075</v>
      </c>
      <c r="AI652" s="2">
        <f t="shared" si="96"/>
        <v>4</v>
      </c>
      <c r="AJ652" s="2">
        <f t="shared" si="97"/>
        <v>24</v>
      </c>
      <c r="AK652" s="2">
        <f t="shared" si="98"/>
        <v>11</v>
      </c>
    </row>
    <row r="653" spans="1:37" x14ac:dyDescent="0.25">
      <c r="A653">
        <v>276</v>
      </c>
      <c r="B653" t="s">
        <v>742</v>
      </c>
      <c r="C653" t="s">
        <v>676</v>
      </c>
      <c r="D653" t="s">
        <v>715</v>
      </c>
      <c r="E653" t="s">
        <v>47</v>
      </c>
      <c r="F653" t="s">
        <v>734</v>
      </c>
      <c r="G653" t="s">
        <v>49</v>
      </c>
      <c r="H653" s="1">
        <v>44848.592418981483</v>
      </c>
      <c r="I653" s="1">
        <v>44850.592418981483</v>
      </c>
      <c r="J653" t="s">
        <v>44</v>
      </c>
      <c r="K653" s="1"/>
      <c r="T653">
        <v>0</v>
      </c>
      <c r="AC653" s="2">
        <f t="shared" si="90"/>
        <v>2</v>
      </c>
      <c r="AD653" s="2" t="str">
        <f t="shared" si="91"/>
        <v/>
      </c>
      <c r="AE653" s="2" t="str">
        <f t="shared" si="92"/>
        <v/>
      </c>
      <c r="AF653" s="2" t="str">
        <f t="shared" si="93"/>
        <v/>
      </c>
      <c r="AG653" s="2" t="str">
        <f t="shared" si="94"/>
        <v/>
      </c>
      <c r="AH653" s="4" t="str">
        <f t="shared" si="95"/>
        <v/>
      </c>
      <c r="AI653" s="2" t="str">
        <f t="shared" si="96"/>
        <v/>
      </c>
      <c r="AJ653" s="2" t="str">
        <f t="shared" si="97"/>
        <v/>
      </c>
      <c r="AK653" s="2" t="str">
        <f t="shared" si="98"/>
        <v/>
      </c>
    </row>
    <row r="654" spans="1:37" x14ac:dyDescent="0.25">
      <c r="A654">
        <v>275</v>
      </c>
      <c r="B654" t="s">
        <v>743</v>
      </c>
      <c r="C654" t="s">
        <v>676</v>
      </c>
      <c r="D654" t="s">
        <v>715</v>
      </c>
      <c r="E654" t="s">
        <v>62</v>
      </c>
      <c r="F654" t="s">
        <v>744</v>
      </c>
      <c r="G654" t="s">
        <v>49</v>
      </c>
      <c r="H654" s="1">
        <v>44848.592418981483</v>
      </c>
      <c r="I654" s="1">
        <v>44851.592418981483</v>
      </c>
      <c r="J654" t="s">
        <v>32</v>
      </c>
      <c r="K654" s="1">
        <v>44867.592418981483</v>
      </c>
      <c r="L654" t="s">
        <v>57</v>
      </c>
      <c r="N654" s="4">
        <v>44870.592418981483</v>
      </c>
      <c r="O654" t="s">
        <v>57</v>
      </c>
      <c r="P654" s="4">
        <v>44869.592418981483</v>
      </c>
      <c r="Q654" s="4">
        <v>44872.592418981483</v>
      </c>
      <c r="R654" s="4">
        <v>44868.592418981483</v>
      </c>
      <c r="S654" s="4">
        <v>44878.592418981483</v>
      </c>
      <c r="T654">
        <v>1</v>
      </c>
      <c r="U654" s="4">
        <v>44880.592418981483</v>
      </c>
      <c r="V654" s="4">
        <v>44883.592418981483</v>
      </c>
      <c r="W654" s="4">
        <v>44886.592418981483</v>
      </c>
      <c r="Z654" s="4">
        <v>44901.592418981483</v>
      </c>
      <c r="AC654" s="2">
        <f t="shared" si="90"/>
        <v>3</v>
      </c>
      <c r="AD654" s="2">
        <f t="shared" si="91"/>
        <v>19</v>
      </c>
      <c r="AE654" s="2">
        <f t="shared" si="92"/>
        <v>16</v>
      </c>
      <c r="AF654" s="2">
        <f t="shared" si="93"/>
        <v>20</v>
      </c>
      <c r="AG654" s="2">
        <f t="shared" si="94"/>
        <v>1</v>
      </c>
      <c r="AH654" s="4">
        <f t="shared" si="95"/>
        <v>44958.592418981483</v>
      </c>
      <c r="AI654" s="2">
        <f t="shared" si="96"/>
        <v>2</v>
      </c>
      <c r="AJ654" s="2">
        <f t="shared" si="97"/>
        <v>33</v>
      </c>
      <c r="AK654" s="2">
        <f t="shared" si="98"/>
        <v>18</v>
      </c>
    </row>
    <row r="655" spans="1:37" x14ac:dyDescent="0.25">
      <c r="A655">
        <v>250</v>
      </c>
      <c r="B655" t="s">
        <v>745</v>
      </c>
      <c r="C655" t="s">
        <v>676</v>
      </c>
      <c r="D655" t="s">
        <v>715</v>
      </c>
      <c r="E655" t="s">
        <v>62</v>
      </c>
      <c r="F655" t="s">
        <v>744</v>
      </c>
      <c r="G655" t="s">
        <v>49</v>
      </c>
      <c r="H655" s="1">
        <v>44675.34851851852</v>
      </c>
      <c r="I655" s="1">
        <v>44676.34851851852</v>
      </c>
      <c r="J655" t="s">
        <v>32</v>
      </c>
      <c r="K655" s="1">
        <v>44695.34851851852</v>
      </c>
      <c r="L655" t="s">
        <v>39</v>
      </c>
      <c r="N655" s="4">
        <v>44702.34851851852</v>
      </c>
      <c r="O655" t="s">
        <v>39</v>
      </c>
      <c r="R655" s="4">
        <v>44699.34851851852</v>
      </c>
      <c r="T655">
        <v>0</v>
      </c>
      <c r="AC655" s="2">
        <f t="shared" si="90"/>
        <v>1</v>
      </c>
      <c r="AD655" s="2">
        <f t="shared" si="91"/>
        <v>20</v>
      </c>
      <c r="AE655" s="2">
        <f t="shared" si="92"/>
        <v>19</v>
      </c>
      <c r="AF655" s="2">
        <f t="shared" si="93"/>
        <v>24</v>
      </c>
      <c r="AG655" s="2">
        <f t="shared" si="94"/>
        <v>4</v>
      </c>
      <c r="AH655" s="4">
        <f t="shared" si="95"/>
        <v>44789.34851851852</v>
      </c>
      <c r="AI655" s="2" t="str">
        <f t="shared" si="96"/>
        <v/>
      </c>
      <c r="AJ655" s="2" t="str">
        <f t="shared" si="97"/>
        <v/>
      </c>
      <c r="AK655" s="2" t="str">
        <f t="shared" si="98"/>
        <v/>
      </c>
    </row>
    <row r="656" spans="1:37" x14ac:dyDescent="0.25">
      <c r="A656">
        <v>248</v>
      </c>
      <c r="B656" t="s">
        <v>746</v>
      </c>
      <c r="C656" t="s">
        <v>676</v>
      </c>
      <c r="D656" t="s">
        <v>715</v>
      </c>
      <c r="E656" t="s">
        <v>62</v>
      </c>
      <c r="F656" t="s">
        <v>744</v>
      </c>
      <c r="G656" t="s">
        <v>49</v>
      </c>
      <c r="H656" s="1">
        <v>44680.34851851852</v>
      </c>
      <c r="I656" s="1">
        <v>44681.34851851852</v>
      </c>
      <c r="J656" t="s">
        <v>32</v>
      </c>
      <c r="K656" s="1">
        <v>44686.34851851852</v>
      </c>
      <c r="L656" t="s">
        <v>33</v>
      </c>
      <c r="M656" t="s">
        <v>92</v>
      </c>
      <c r="T656">
        <v>0</v>
      </c>
      <c r="Y656" t="s">
        <v>55</v>
      </c>
      <c r="AC656" s="2">
        <f t="shared" si="90"/>
        <v>1</v>
      </c>
      <c r="AD656" s="2">
        <f t="shared" si="91"/>
        <v>6</v>
      </c>
      <c r="AE656" s="2">
        <f t="shared" si="92"/>
        <v>5</v>
      </c>
      <c r="AF656" s="2" t="str">
        <f t="shared" si="93"/>
        <v/>
      </c>
      <c r="AG656" s="2" t="str">
        <f t="shared" si="94"/>
        <v/>
      </c>
      <c r="AH656" s="4" t="str">
        <f t="shared" si="95"/>
        <v/>
      </c>
      <c r="AI656" s="2" t="str">
        <f t="shared" si="96"/>
        <v/>
      </c>
      <c r="AJ656" s="2" t="str">
        <f t="shared" si="97"/>
        <v/>
      </c>
      <c r="AK656" s="2" t="str">
        <f t="shared" si="98"/>
        <v/>
      </c>
    </row>
    <row r="657" spans="1:37" x14ac:dyDescent="0.25">
      <c r="A657">
        <v>246</v>
      </c>
      <c r="B657" t="s">
        <v>747</v>
      </c>
      <c r="C657" t="s">
        <v>676</v>
      </c>
      <c r="D657" t="s">
        <v>715</v>
      </c>
      <c r="E657" t="s">
        <v>62</v>
      </c>
      <c r="F657" t="s">
        <v>744</v>
      </c>
      <c r="G657" t="s">
        <v>49</v>
      </c>
      <c r="H657" s="1">
        <v>44677.34851851852</v>
      </c>
      <c r="I657" s="1">
        <v>44679.34851851852</v>
      </c>
      <c r="J657" t="s">
        <v>32</v>
      </c>
      <c r="K657" s="1">
        <v>44686.34851851852</v>
      </c>
      <c r="L657" t="s">
        <v>33</v>
      </c>
      <c r="M657" t="s">
        <v>108</v>
      </c>
      <c r="R657" s="4">
        <v>44690.34851851852</v>
      </c>
      <c r="T657">
        <v>0</v>
      </c>
      <c r="Y657" t="s">
        <v>55</v>
      </c>
      <c r="AC657" s="2">
        <f t="shared" si="90"/>
        <v>2</v>
      </c>
      <c r="AD657" s="2">
        <f t="shared" si="91"/>
        <v>9</v>
      </c>
      <c r="AE657" s="2">
        <f t="shared" si="92"/>
        <v>7</v>
      </c>
      <c r="AF657" s="2">
        <f t="shared" si="93"/>
        <v>13</v>
      </c>
      <c r="AG657" s="2">
        <f t="shared" si="94"/>
        <v>4</v>
      </c>
      <c r="AH657" s="4">
        <f t="shared" si="95"/>
        <v>44780.34851851852</v>
      </c>
      <c r="AI657" s="2" t="str">
        <f t="shared" si="96"/>
        <v/>
      </c>
      <c r="AJ657" s="2" t="str">
        <f t="shared" si="97"/>
        <v/>
      </c>
      <c r="AK657" s="2" t="str">
        <f t="shared" si="98"/>
        <v/>
      </c>
    </row>
    <row r="658" spans="1:37" x14ac:dyDescent="0.25">
      <c r="A658">
        <v>245</v>
      </c>
      <c r="B658" t="s">
        <v>748</v>
      </c>
      <c r="C658" t="s">
        <v>676</v>
      </c>
      <c r="D658" t="s">
        <v>715</v>
      </c>
      <c r="E658" t="s">
        <v>62</v>
      </c>
      <c r="F658" t="s">
        <v>744</v>
      </c>
      <c r="G658" t="s">
        <v>49</v>
      </c>
      <c r="H658" s="1">
        <v>44676.34851851852</v>
      </c>
      <c r="I658" s="1">
        <v>44680.34851851852</v>
      </c>
      <c r="J658" t="s">
        <v>44</v>
      </c>
      <c r="K658" s="1"/>
      <c r="T658">
        <v>0</v>
      </c>
      <c r="AC658" s="2">
        <f t="shared" si="90"/>
        <v>4</v>
      </c>
      <c r="AD658" s="2" t="str">
        <f t="shared" si="91"/>
        <v/>
      </c>
      <c r="AE658" s="2" t="str">
        <f t="shared" si="92"/>
        <v/>
      </c>
      <c r="AF658" s="2" t="str">
        <f t="shared" si="93"/>
        <v/>
      </c>
      <c r="AG658" s="2" t="str">
        <f t="shared" si="94"/>
        <v/>
      </c>
      <c r="AH658" s="4" t="str">
        <f t="shared" si="95"/>
        <v/>
      </c>
      <c r="AI658" s="2" t="str">
        <f t="shared" si="96"/>
        <v/>
      </c>
      <c r="AJ658" s="2" t="str">
        <f t="shared" si="97"/>
        <v/>
      </c>
      <c r="AK658" s="2" t="str">
        <f t="shared" si="98"/>
        <v/>
      </c>
    </row>
    <row r="659" spans="1:37" x14ac:dyDescent="0.25">
      <c r="A659">
        <v>243</v>
      </c>
      <c r="B659" t="s">
        <v>749</v>
      </c>
      <c r="C659" t="s">
        <v>676</v>
      </c>
      <c r="D659" t="s">
        <v>715</v>
      </c>
      <c r="E659" t="s">
        <v>62</v>
      </c>
      <c r="F659" t="s">
        <v>744</v>
      </c>
      <c r="G659" t="s">
        <v>49</v>
      </c>
      <c r="H659" s="1">
        <v>44675.34851851852</v>
      </c>
      <c r="I659" s="1">
        <v>44678.34851851852</v>
      </c>
      <c r="J659" t="s">
        <v>32</v>
      </c>
      <c r="K659" s="1">
        <v>44691.34851851852</v>
      </c>
      <c r="L659" t="s">
        <v>33</v>
      </c>
      <c r="M659" t="s">
        <v>92</v>
      </c>
      <c r="T659">
        <v>0</v>
      </c>
      <c r="Y659" t="s">
        <v>35</v>
      </c>
      <c r="AC659" s="2">
        <f t="shared" si="90"/>
        <v>3</v>
      </c>
      <c r="AD659" s="2">
        <f t="shared" si="91"/>
        <v>16</v>
      </c>
      <c r="AE659" s="2">
        <f t="shared" si="92"/>
        <v>13</v>
      </c>
      <c r="AF659" s="2" t="str">
        <f t="shared" si="93"/>
        <v/>
      </c>
      <c r="AG659" s="2" t="str">
        <f t="shared" si="94"/>
        <v/>
      </c>
      <c r="AH659" s="4" t="str">
        <f t="shared" si="95"/>
        <v/>
      </c>
      <c r="AI659" s="2" t="str">
        <f t="shared" si="96"/>
        <v/>
      </c>
      <c r="AJ659" s="2" t="str">
        <f t="shared" si="97"/>
        <v/>
      </c>
      <c r="AK659" s="2" t="str">
        <f t="shared" si="98"/>
        <v/>
      </c>
    </row>
    <row r="660" spans="1:37" x14ac:dyDescent="0.25">
      <c r="A660">
        <v>198</v>
      </c>
      <c r="B660" t="s">
        <v>750</v>
      </c>
      <c r="C660" t="s">
        <v>676</v>
      </c>
      <c r="D660" t="s">
        <v>715</v>
      </c>
      <c r="E660" t="s">
        <v>62</v>
      </c>
      <c r="F660" t="s">
        <v>744</v>
      </c>
      <c r="G660" t="s">
        <v>49</v>
      </c>
      <c r="H660" s="1">
        <v>44725.769965277781</v>
      </c>
      <c r="I660" s="1">
        <v>44726.769965277781</v>
      </c>
      <c r="J660" t="s">
        <v>32</v>
      </c>
      <c r="K660" s="1">
        <v>44734.769965277781</v>
      </c>
      <c r="L660" t="s">
        <v>39</v>
      </c>
      <c r="N660" s="4">
        <v>44739.769965277781</v>
      </c>
      <c r="O660" t="s">
        <v>39</v>
      </c>
      <c r="R660" s="4">
        <v>44737.769965277781</v>
      </c>
      <c r="T660">
        <v>0</v>
      </c>
      <c r="AC660" s="2">
        <f t="shared" si="90"/>
        <v>1</v>
      </c>
      <c r="AD660" s="2">
        <f t="shared" si="91"/>
        <v>9</v>
      </c>
      <c r="AE660" s="2">
        <f t="shared" si="92"/>
        <v>8</v>
      </c>
      <c r="AF660" s="2">
        <f t="shared" si="93"/>
        <v>12</v>
      </c>
      <c r="AG660" s="2">
        <f t="shared" si="94"/>
        <v>3</v>
      </c>
      <c r="AH660" s="4">
        <f t="shared" si="95"/>
        <v>44827.769965277781</v>
      </c>
      <c r="AI660" s="2" t="str">
        <f t="shared" si="96"/>
        <v/>
      </c>
      <c r="AJ660" s="2" t="str">
        <f t="shared" si="97"/>
        <v/>
      </c>
      <c r="AK660" s="2" t="str">
        <f t="shared" si="98"/>
        <v/>
      </c>
    </row>
    <row r="661" spans="1:37" x14ac:dyDescent="0.25">
      <c r="A661">
        <v>195</v>
      </c>
      <c r="B661" t="s">
        <v>751</v>
      </c>
      <c r="C661" t="s">
        <v>676</v>
      </c>
      <c r="D661" t="s">
        <v>715</v>
      </c>
      <c r="E661" t="s">
        <v>47</v>
      </c>
      <c r="F661" t="s">
        <v>734</v>
      </c>
      <c r="G661" t="s">
        <v>49</v>
      </c>
      <c r="H661" s="1">
        <v>44728.769965277781</v>
      </c>
      <c r="I661" s="1">
        <v>44729.769965277781</v>
      </c>
      <c r="J661" t="s">
        <v>32</v>
      </c>
      <c r="K661" s="1">
        <v>44745.769965277781</v>
      </c>
      <c r="L661" t="s">
        <v>33</v>
      </c>
      <c r="M661" t="s">
        <v>34</v>
      </c>
      <c r="T661">
        <v>0</v>
      </c>
      <c r="Y661" t="s">
        <v>55</v>
      </c>
      <c r="AC661" s="2">
        <f t="shared" si="90"/>
        <v>1</v>
      </c>
      <c r="AD661" s="2">
        <f t="shared" si="91"/>
        <v>17</v>
      </c>
      <c r="AE661" s="2">
        <f t="shared" si="92"/>
        <v>16</v>
      </c>
      <c r="AF661" s="2" t="str">
        <f t="shared" si="93"/>
        <v/>
      </c>
      <c r="AG661" s="2" t="str">
        <f t="shared" si="94"/>
        <v/>
      </c>
      <c r="AH661" s="4" t="str">
        <f t="shared" si="95"/>
        <v/>
      </c>
      <c r="AI661" s="2" t="str">
        <f t="shared" si="96"/>
        <v/>
      </c>
      <c r="AJ661" s="2" t="str">
        <f t="shared" si="97"/>
        <v/>
      </c>
      <c r="AK661" s="2" t="str">
        <f t="shared" si="98"/>
        <v/>
      </c>
    </row>
    <row r="662" spans="1:37" x14ac:dyDescent="0.25">
      <c r="A662">
        <v>193</v>
      </c>
      <c r="B662" t="s">
        <v>752</v>
      </c>
      <c r="C662" t="s">
        <v>676</v>
      </c>
      <c r="D662" t="s">
        <v>715</v>
      </c>
      <c r="E662" t="s">
        <v>47</v>
      </c>
      <c r="F662" t="s">
        <v>734</v>
      </c>
      <c r="G662" t="s">
        <v>49</v>
      </c>
      <c r="H662" s="1">
        <v>44727.769965277781</v>
      </c>
      <c r="I662" s="1">
        <v>44730.769965277781</v>
      </c>
      <c r="J662" t="s">
        <v>32</v>
      </c>
      <c r="K662" s="1">
        <v>44741.769965277781</v>
      </c>
      <c r="L662" t="s">
        <v>33</v>
      </c>
      <c r="M662" t="s">
        <v>51</v>
      </c>
      <c r="R662" s="4">
        <v>44744.769965277781</v>
      </c>
      <c r="T662">
        <v>0</v>
      </c>
      <c r="Y662" t="s">
        <v>35</v>
      </c>
      <c r="AC662" s="2">
        <f t="shared" si="90"/>
        <v>3</v>
      </c>
      <c r="AD662" s="2">
        <f t="shared" si="91"/>
        <v>14</v>
      </c>
      <c r="AE662" s="2">
        <f t="shared" si="92"/>
        <v>11</v>
      </c>
      <c r="AF662" s="2">
        <f t="shared" si="93"/>
        <v>17</v>
      </c>
      <c r="AG662" s="2">
        <f t="shared" si="94"/>
        <v>3</v>
      </c>
      <c r="AH662" s="4">
        <f t="shared" si="95"/>
        <v>44834.769965277781</v>
      </c>
      <c r="AI662" s="2" t="str">
        <f t="shared" si="96"/>
        <v/>
      </c>
      <c r="AJ662" s="2" t="str">
        <f t="shared" si="97"/>
        <v/>
      </c>
      <c r="AK662" s="2" t="str">
        <f t="shared" si="98"/>
        <v/>
      </c>
    </row>
    <row r="663" spans="1:37" x14ac:dyDescent="0.25">
      <c r="A663">
        <v>161</v>
      </c>
      <c r="B663" t="s">
        <v>753</v>
      </c>
      <c r="C663" t="s">
        <v>676</v>
      </c>
      <c r="D663" t="s">
        <v>715</v>
      </c>
      <c r="E663" t="s">
        <v>47</v>
      </c>
      <c r="F663" t="s">
        <v>734</v>
      </c>
      <c r="G663" t="s">
        <v>49</v>
      </c>
      <c r="H663" s="1">
        <v>44907.64775462963</v>
      </c>
      <c r="I663" s="1">
        <v>44908.64775462963</v>
      </c>
      <c r="J663" t="s">
        <v>32</v>
      </c>
      <c r="K663" s="1">
        <v>44914.64775462963</v>
      </c>
      <c r="L663" t="s">
        <v>57</v>
      </c>
      <c r="N663" s="4">
        <v>44922.64775462963</v>
      </c>
      <c r="O663" t="s">
        <v>57</v>
      </c>
      <c r="P663" s="4">
        <v>44915.64775462963</v>
      </c>
      <c r="Q663" s="4">
        <v>44918.64775462963</v>
      </c>
      <c r="R663" s="4">
        <v>44918.64775462963</v>
      </c>
      <c r="S663" s="4">
        <v>44923.64775462963</v>
      </c>
      <c r="T663">
        <v>1</v>
      </c>
      <c r="U663" s="4">
        <v>44926.64775462963</v>
      </c>
      <c r="V663" s="4">
        <v>44929.64775462963</v>
      </c>
      <c r="W663" s="4">
        <v>44932.64775462963</v>
      </c>
      <c r="Z663" s="4">
        <v>44943.64775462963</v>
      </c>
      <c r="AC663" s="2">
        <f t="shared" si="90"/>
        <v>1</v>
      </c>
      <c r="AD663" s="2">
        <f t="shared" si="91"/>
        <v>7</v>
      </c>
      <c r="AE663" s="2">
        <f t="shared" si="92"/>
        <v>6</v>
      </c>
      <c r="AF663" s="2">
        <f t="shared" si="93"/>
        <v>11</v>
      </c>
      <c r="AG663" s="2">
        <f t="shared" si="94"/>
        <v>4</v>
      </c>
      <c r="AH663" s="4">
        <f t="shared" si="95"/>
        <v>45008.64775462963</v>
      </c>
      <c r="AI663" s="2">
        <f t="shared" si="96"/>
        <v>3</v>
      </c>
      <c r="AJ663" s="2">
        <f t="shared" si="97"/>
        <v>25</v>
      </c>
      <c r="AK663" s="2">
        <f t="shared" si="98"/>
        <v>14</v>
      </c>
    </row>
    <row r="664" spans="1:37" x14ac:dyDescent="0.25">
      <c r="A664">
        <v>121</v>
      </c>
      <c r="B664" t="s">
        <v>754</v>
      </c>
      <c r="C664" t="s">
        <v>676</v>
      </c>
      <c r="D664" t="s">
        <v>715</v>
      </c>
      <c r="E664" t="s">
        <v>47</v>
      </c>
      <c r="F664" t="s">
        <v>734</v>
      </c>
      <c r="G664" t="s">
        <v>49</v>
      </c>
      <c r="H664" s="1">
        <v>44828.472696759258</v>
      </c>
      <c r="I664" s="1">
        <v>44832.472696759258</v>
      </c>
      <c r="J664" t="s">
        <v>32</v>
      </c>
      <c r="K664" s="1">
        <v>44842.472696759258</v>
      </c>
      <c r="L664" t="s">
        <v>39</v>
      </c>
      <c r="N664" s="4">
        <v>44848.472696759258</v>
      </c>
      <c r="O664" t="s">
        <v>39</v>
      </c>
      <c r="R664" s="4">
        <v>44845.472696759258</v>
      </c>
      <c r="T664">
        <v>0</v>
      </c>
      <c r="AC664" s="2">
        <f t="shared" si="90"/>
        <v>4</v>
      </c>
      <c r="AD664" s="2">
        <f t="shared" si="91"/>
        <v>14</v>
      </c>
      <c r="AE664" s="2">
        <f t="shared" si="92"/>
        <v>10</v>
      </c>
      <c r="AF664" s="2">
        <f t="shared" si="93"/>
        <v>17</v>
      </c>
      <c r="AG664" s="2">
        <f t="shared" si="94"/>
        <v>3</v>
      </c>
      <c r="AH664" s="4">
        <f t="shared" si="95"/>
        <v>44935.472696759258</v>
      </c>
      <c r="AI664" s="2" t="str">
        <f t="shared" si="96"/>
        <v/>
      </c>
      <c r="AJ664" s="2" t="str">
        <f t="shared" si="97"/>
        <v/>
      </c>
      <c r="AK664" s="2" t="str">
        <f t="shared" si="98"/>
        <v/>
      </c>
    </row>
    <row r="665" spans="1:37" x14ac:dyDescent="0.25">
      <c r="A665">
        <v>46</v>
      </c>
      <c r="B665" t="s">
        <v>755</v>
      </c>
      <c r="C665" t="s">
        <v>676</v>
      </c>
      <c r="D665" t="s">
        <v>715</v>
      </c>
      <c r="E665" t="s">
        <v>47</v>
      </c>
      <c r="F665" t="s">
        <v>734</v>
      </c>
      <c r="G665" t="s">
        <v>49</v>
      </c>
      <c r="H665" s="1">
        <v>44621.885358796295</v>
      </c>
      <c r="I665" s="1">
        <v>44623.885358796295</v>
      </c>
      <c r="J665" t="s">
        <v>32</v>
      </c>
      <c r="K665" s="1">
        <v>44645.885358796295</v>
      </c>
      <c r="L665" t="s">
        <v>39</v>
      </c>
      <c r="N665" s="4">
        <v>44653.885358796295</v>
      </c>
      <c r="O665" t="s">
        <v>39</v>
      </c>
      <c r="R665" s="4">
        <v>44649.885358796295</v>
      </c>
      <c r="T665">
        <v>0</v>
      </c>
      <c r="AC665" s="2">
        <f t="shared" si="90"/>
        <v>2</v>
      </c>
      <c r="AD665" s="2">
        <f t="shared" si="91"/>
        <v>24</v>
      </c>
      <c r="AE665" s="2">
        <f t="shared" si="92"/>
        <v>22</v>
      </c>
      <c r="AF665" s="2">
        <f t="shared" si="93"/>
        <v>28</v>
      </c>
      <c r="AG665" s="2">
        <f t="shared" si="94"/>
        <v>4</v>
      </c>
      <c r="AH665" s="4">
        <f t="shared" si="95"/>
        <v>44739.885358796295</v>
      </c>
      <c r="AI665" s="2" t="str">
        <f t="shared" si="96"/>
        <v/>
      </c>
      <c r="AJ665" s="2" t="str">
        <f t="shared" si="97"/>
        <v/>
      </c>
      <c r="AK665" s="2" t="str">
        <f t="shared" si="98"/>
        <v/>
      </c>
    </row>
    <row r="666" spans="1:37" x14ac:dyDescent="0.25">
      <c r="A666">
        <v>2641</v>
      </c>
      <c r="B666" t="s">
        <v>756</v>
      </c>
      <c r="C666" t="s">
        <v>676</v>
      </c>
      <c r="D666" t="s">
        <v>757</v>
      </c>
      <c r="E666" t="s">
        <v>47</v>
      </c>
      <c r="F666" t="s">
        <v>734</v>
      </c>
      <c r="G666" t="s">
        <v>38</v>
      </c>
      <c r="H666" s="1">
        <v>44585.587569444448</v>
      </c>
      <c r="I666" s="1">
        <v>44589.587569444448</v>
      </c>
      <c r="J666" t="s">
        <v>32</v>
      </c>
      <c r="K666" s="1">
        <v>44606.587569444448</v>
      </c>
      <c r="L666" t="s">
        <v>57</v>
      </c>
      <c r="N666" s="4">
        <v>44610.587569444448</v>
      </c>
      <c r="O666" t="s">
        <v>57</v>
      </c>
      <c r="P666" s="4">
        <v>44607.587569444448</v>
      </c>
      <c r="Q666" s="4">
        <v>44610.587569444448</v>
      </c>
      <c r="R666" s="4">
        <v>44608.587569444448</v>
      </c>
      <c r="S666" s="4">
        <v>44610.587569444448</v>
      </c>
      <c r="T666">
        <v>1</v>
      </c>
      <c r="U666" s="4">
        <v>44613.587569444448</v>
      </c>
      <c r="V666" s="4">
        <v>44616.587569444448</v>
      </c>
      <c r="W666" s="4">
        <v>44618.587569444448</v>
      </c>
      <c r="Z666" s="4">
        <v>44631.587569444448</v>
      </c>
      <c r="AC666" s="2">
        <f t="shared" si="90"/>
        <v>4</v>
      </c>
      <c r="AD666" s="2">
        <f t="shared" si="91"/>
        <v>21</v>
      </c>
      <c r="AE666" s="2">
        <f t="shared" si="92"/>
        <v>17</v>
      </c>
      <c r="AF666" s="2">
        <f t="shared" si="93"/>
        <v>23</v>
      </c>
      <c r="AG666" s="2">
        <f t="shared" si="94"/>
        <v>2</v>
      </c>
      <c r="AH666" s="4">
        <f t="shared" si="95"/>
        <v>44698.587569444448</v>
      </c>
      <c r="AI666" s="2">
        <f t="shared" si="96"/>
        <v>3</v>
      </c>
      <c r="AJ666" s="2">
        <f t="shared" si="97"/>
        <v>23</v>
      </c>
      <c r="AK666" s="2">
        <f t="shared" si="98"/>
        <v>10</v>
      </c>
    </row>
    <row r="667" spans="1:37" x14ac:dyDescent="0.25">
      <c r="A667">
        <v>2413</v>
      </c>
      <c r="B667" t="s">
        <v>758</v>
      </c>
      <c r="C667" t="s">
        <v>676</v>
      </c>
      <c r="D667" t="s">
        <v>757</v>
      </c>
      <c r="E667" t="s">
        <v>47</v>
      </c>
      <c r="F667" t="s">
        <v>734</v>
      </c>
      <c r="G667" t="s">
        <v>38</v>
      </c>
      <c r="H667" s="1">
        <v>45010.608229166668</v>
      </c>
      <c r="I667" s="1">
        <v>45011.608229166668</v>
      </c>
      <c r="J667" t="s">
        <v>44</v>
      </c>
      <c r="K667" s="1"/>
      <c r="T667">
        <v>0</v>
      </c>
      <c r="AC667" s="2">
        <f t="shared" si="90"/>
        <v>1</v>
      </c>
      <c r="AD667" s="2" t="str">
        <f t="shared" si="91"/>
        <v/>
      </c>
      <c r="AE667" s="2" t="str">
        <f t="shared" si="92"/>
        <v/>
      </c>
      <c r="AF667" s="2" t="str">
        <f t="shared" si="93"/>
        <v/>
      </c>
      <c r="AG667" s="2" t="str">
        <f t="shared" si="94"/>
        <v/>
      </c>
      <c r="AH667" s="4" t="str">
        <f t="shared" si="95"/>
        <v/>
      </c>
      <c r="AI667" s="2" t="str">
        <f t="shared" si="96"/>
        <v/>
      </c>
      <c r="AJ667" s="2" t="str">
        <f t="shared" si="97"/>
        <v/>
      </c>
      <c r="AK667" s="2" t="str">
        <f t="shared" si="98"/>
        <v/>
      </c>
    </row>
    <row r="668" spans="1:37" x14ac:dyDescent="0.25">
      <c r="A668">
        <v>2333</v>
      </c>
      <c r="B668" t="s">
        <v>759</v>
      </c>
      <c r="C668" t="s">
        <v>676</v>
      </c>
      <c r="D668" t="s">
        <v>757</v>
      </c>
      <c r="E668" t="s">
        <v>47</v>
      </c>
      <c r="F668" t="s">
        <v>734</v>
      </c>
      <c r="G668" t="s">
        <v>38</v>
      </c>
      <c r="H668" s="1">
        <v>44694.386030092595</v>
      </c>
      <c r="I668" s="1">
        <v>44696.386030092595</v>
      </c>
      <c r="J668" t="s">
        <v>44</v>
      </c>
      <c r="K668" s="1"/>
      <c r="T668">
        <v>0</v>
      </c>
      <c r="AC668" s="2">
        <f t="shared" si="90"/>
        <v>2</v>
      </c>
      <c r="AD668" s="2" t="str">
        <f t="shared" si="91"/>
        <v/>
      </c>
      <c r="AE668" s="2" t="str">
        <f t="shared" si="92"/>
        <v/>
      </c>
      <c r="AF668" s="2" t="str">
        <f t="shared" si="93"/>
        <v/>
      </c>
      <c r="AG668" s="2" t="str">
        <f t="shared" si="94"/>
        <v/>
      </c>
      <c r="AH668" s="4" t="str">
        <f t="shared" si="95"/>
        <v/>
      </c>
      <c r="AI668" s="2" t="str">
        <f t="shared" si="96"/>
        <v/>
      </c>
      <c r="AJ668" s="2" t="str">
        <f t="shared" si="97"/>
        <v/>
      </c>
      <c r="AK668" s="2" t="str">
        <f t="shared" si="98"/>
        <v/>
      </c>
    </row>
    <row r="669" spans="1:37" x14ac:dyDescent="0.25">
      <c r="A669">
        <v>2253</v>
      </c>
      <c r="B669" t="s">
        <v>760</v>
      </c>
      <c r="C669" t="s">
        <v>676</v>
      </c>
      <c r="D669" t="s">
        <v>757</v>
      </c>
      <c r="E669" t="s">
        <v>47</v>
      </c>
      <c r="F669" t="s">
        <v>734</v>
      </c>
      <c r="G669" t="s">
        <v>38</v>
      </c>
      <c r="H669" s="1">
        <v>44781.68608796296</v>
      </c>
      <c r="I669" s="1">
        <v>44782.68608796296</v>
      </c>
      <c r="J669" t="s">
        <v>44</v>
      </c>
      <c r="K669" s="1"/>
      <c r="T669">
        <v>0</v>
      </c>
      <c r="AC669" s="2">
        <f t="shared" si="90"/>
        <v>1</v>
      </c>
      <c r="AD669" s="2" t="str">
        <f t="shared" si="91"/>
        <v/>
      </c>
      <c r="AE669" s="2" t="str">
        <f t="shared" si="92"/>
        <v/>
      </c>
      <c r="AF669" s="2" t="str">
        <f t="shared" si="93"/>
        <v/>
      </c>
      <c r="AG669" s="2" t="str">
        <f t="shared" si="94"/>
        <v/>
      </c>
      <c r="AH669" s="4" t="str">
        <f t="shared" si="95"/>
        <v/>
      </c>
      <c r="AI669" s="2" t="str">
        <f t="shared" si="96"/>
        <v/>
      </c>
      <c r="AJ669" s="2" t="str">
        <f t="shared" si="97"/>
        <v/>
      </c>
      <c r="AK669" s="2" t="str">
        <f t="shared" si="98"/>
        <v/>
      </c>
    </row>
    <row r="670" spans="1:37" x14ac:dyDescent="0.25">
      <c r="A670">
        <v>2150</v>
      </c>
      <c r="B670" t="s">
        <v>761</v>
      </c>
      <c r="C670" t="s">
        <v>676</v>
      </c>
      <c r="D670" t="s">
        <v>757</v>
      </c>
      <c r="E670" t="s">
        <v>47</v>
      </c>
      <c r="F670" t="s">
        <v>734</v>
      </c>
      <c r="G670" t="s">
        <v>38</v>
      </c>
      <c r="H670" s="1">
        <v>44746.830833333333</v>
      </c>
      <c r="I670" s="1">
        <v>44748.830833333333</v>
      </c>
      <c r="J670" t="s">
        <v>44</v>
      </c>
      <c r="K670" s="1"/>
      <c r="T670">
        <v>0</v>
      </c>
      <c r="AC670" s="2">
        <f t="shared" si="90"/>
        <v>2</v>
      </c>
      <c r="AD670" s="2" t="str">
        <f t="shared" si="91"/>
        <v/>
      </c>
      <c r="AE670" s="2" t="str">
        <f t="shared" si="92"/>
        <v/>
      </c>
      <c r="AF670" s="2" t="str">
        <f t="shared" si="93"/>
        <v/>
      </c>
      <c r="AG670" s="2" t="str">
        <f t="shared" si="94"/>
        <v/>
      </c>
      <c r="AH670" s="4" t="str">
        <f t="shared" si="95"/>
        <v/>
      </c>
      <c r="AI670" s="2" t="str">
        <f t="shared" si="96"/>
        <v/>
      </c>
      <c r="AJ670" s="2" t="str">
        <f t="shared" si="97"/>
        <v/>
      </c>
      <c r="AK670" s="2" t="str">
        <f t="shared" si="98"/>
        <v/>
      </c>
    </row>
    <row r="671" spans="1:37" x14ac:dyDescent="0.25">
      <c r="A671">
        <v>2052</v>
      </c>
      <c r="B671" t="s">
        <v>762</v>
      </c>
      <c r="C671" t="s">
        <v>676</v>
      </c>
      <c r="D671" t="s">
        <v>757</v>
      </c>
      <c r="E671" t="s">
        <v>47</v>
      </c>
      <c r="F671" t="s">
        <v>734</v>
      </c>
      <c r="G671" t="s">
        <v>38</v>
      </c>
      <c r="H671" s="1">
        <v>44570.831099537034</v>
      </c>
      <c r="I671" s="1">
        <v>44574.831099537034</v>
      </c>
      <c r="J671" t="s">
        <v>44</v>
      </c>
      <c r="K671" s="1"/>
      <c r="T671">
        <v>0</v>
      </c>
      <c r="AC671" s="2">
        <f t="shared" si="90"/>
        <v>4</v>
      </c>
      <c r="AD671" s="2" t="str">
        <f t="shared" si="91"/>
        <v/>
      </c>
      <c r="AE671" s="2" t="str">
        <f t="shared" si="92"/>
        <v/>
      </c>
      <c r="AF671" s="2" t="str">
        <f t="shared" si="93"/>
        <v/>
      </c>
      <c r="AG671" s="2" t="str">
        <f t="shared" si="94"/>
        <v/>
      </c>
      <c r="AH671" s="4" t="str">
        <f t="shared" si="95"/>
        <v/>
      </c>
      <c r="AI671" s="2" t="str">
        <f t="shared" si="96"/>
        <v/>
      </c>
      <c r="AJ671" s="2" t="str">
        <f t="shared" si="97"/>
        <v/>
      </c>
      <c r="AK671" s="2" t="str">
        <f t="shared" si="98"/>
        <v/>
      </c>
    </row>
    <row r="672" spans="1:37" x14ac:dyDescent="0.25">
      <c r="A672">
        <v>1897</v>
      </c>
      <c r="B672" t="s">
        <v>763</v>
      </c>
      <c r="C672" t="s">
        <v>676</v>
      </c>
      <c r="D672" t="s">
        <v>757</v>
      </c>
      <c r="E672" t="s">
        <v>47</v>
      </c>
      <c r="F672" t="s">
        <v>734</v>
      </c>
      <c r="G672" t="s">
        <v>38</v>
      </c>
      <c r="H672" s="1">
        <v>44592.278043981481</v>
      </c>
      <c r="I672" s="1">
        <v>44596.278043981481</v>
      </c>
      <c r="J672" t="s">
        <v>44</v>
      </c>
      <c r="K672" s="1"/>
      <c r="T672">
        <v>0</v>
      </c>
      <c r="AC672" s="2">
        <f t="shared" si="90"/>
        <v>4</v>
      </c>
      <c r="AD672" s="2" t="str">
        <f t="shared" si="91"/>
        <v/>
      </c>
      <c r="AE672" s="2" t="str">
        <f t="shared" si="92"/>
        <v/>
      </c>
      <c r="AF672" s="2" t="str">
        <f t="shared" si="93"/>
        <v/>
      </c>
      <c r="AG672" s="2" t="str">
        <f t="shared" si="94"/>
        <v/>
      </c>
      <c r="AH672" s="4" t="str">
        <f t="shared" si="95"/>
        <v/>
      </c>
      <c r="AI672" s="2" t="str">
        <f t="shared" si="96"/>
        <v/>
      </c>
      <c r="AJ672" s="2" t="str">
        <f t="shared" si="97"/>
        <v/>
      </c>
      <c r="AK672" s="2" t="str">
        <f t="shared" si="98"/>
        <v/>
      </c>
    </row>
    <row r="673" spans="1:37" x14ac:dyDescent="0.25">
      <c r="A673">
        <v>1747</v>
      </c>
      <c r="B673" t="s">
        <v>764</v>
      </c>
      <c r="C673" t="s">
        <v>676</v>
      </c>
      <c r="D673" t="s">
        <v>757</v>
      </c>
      <c r="E673" t="s">
        <v>47</v>
      </c>
      <c r="F673" t="s">
        <v>734</v>
      </c>
      <c r="G673" t="s">
        <v>38</v>
      </c>
      <c r="H673" s="1">
        <v>44944.798078703701</v>
      </c>
      <c r="I673" s="1">
        <v>44948.798078703701</v>
      </c>
      <c r="J673" t="s">
        <v>44</v>
      </c>
      <c r="K673" s="1"/>
      <c r="T673">
        <v>0</v>
      </c>
      <c r="AC673" s="2">
        <f t="shared" si="90"/>
        <v>4</v>
      </c>
      <c r="AD673" s="2" t="str">
        <f t="shared" si="91"/>
        <v/>
      </c>
      <c r="AE673" s="2" t="str">
        <f t="shared" si="92"/>
        <v/>
      </c>
      <c r="AF673" s="2" t="str">
        <f t="shared" si="93"/>
        <v/>
      </c>
      <c r="AG673" s="2" t="str">
        <f t="shared" si="94"/>
        <v/>
      </c>
      <c r="AH673" s="4" t="str">
        <f t="shared" si="95"/>
        <v/>
      </c>
      <c r="AI673" s="2" t="str">
        <f t="shared" si="96"/>
        <v/>
      </c>
      <c r="AJ673" s="2" t="str">
        <f t="shared" si="97"/>
        <v/>
      </c>
      <c r="AK673" s="2" t="str">
        <f t="shared" si="98"/>
        <v/>
      </c>
    </row>
    <row r="674" spans="1:37" x14ac:dyDescent="0.25">
      <c r="A674">
        <v>1428</v>
      </c>
      <c r="B674" t="s">
        <v>765</v>
      </c>
      <c r="C674" t="s">
        <v>676</v>
      </c>
      <c r="D674" t="s">
        <v>757</v>
      </c>
      <c r="E674" t="s">
        <v>47</v>
      </c>
      <c r="F674" t="s">
        <v>734</v>
      </c>
      <c r="G674" t="s">
        <v>38</v>
      </c>
      <c r="H674" s="1">
        <v>44664.11314814815</v>
      </c>
      <c r="I674" s="1">
        <v>44665.11314814815</v>
      </c>
      <c r="J674" t="s">
        <v>44</v>
      </c>
      <c r="K674" s="1"/>
      <c r="T674">
        <v>0</v>
      </c>
      <c r="AC674" s="2">
        <f t="shared" si="90"/>
        <v>1</v>
      </c>
      <c r="AD674" s="2" t="str">
        <f t="shared" si="91"/>
        <v/>
      </c>
      <c r="AE674" s="2" t="str">
        <f t="shared" si="92"/>
        <v/>
      </c>
      <c r="AF674" s="2" t="str">
        <f t="shared" si="93"/>
        <v/>
      </c>
      <c r="AG674" s="2" t="str">
        <f t="shared" si="94"/>
        <v/>
      </c>
      <c r="AH674" s="4" t="str">
        <f t="shared" si="95"/>
        <v/>
      </c>
      <c r="AI674" s="2" t="str">
        <f t="shared" si="96"/>
        <v/>
      </c>
      <c r="AJ674" s="2" t="str">
        <f t="shared" si="97"/>
        <v/>
      </c>
      <c r="AK674" s="2" t="str">
        <f t="shared" si="98"/>
        <v/>
      </c>
    </row>
    <row r="675" spans="1:37" x14ac:dyDescent="0.25">
      <c r="A675">
        <v>1211</v>
      </c>
      <c r="B675" t="s">
        <v>766</v>
      </c>
      <c r="C675" t="s">
        <v>676</v>
      </c>
      <c r="D675" t="s">
        <v>757</v>
      </c>
      <c r="E675" t="s">
        <v>47</v>
      </c>
      <c r="F675" t="s">
        <v>734</v>
      </c>
      <c r="G675" t="s">
        <v>38</v>
      </c>
      <c r="H675" s="1">
        <v>45130.004317129627</v>
      </c>
      <c r="I675" s="1">
        <v>45134.004317129627</v>
      </c>
      <c r="J675" t="s">
        <v>32</v>
      </c>
      <c r="K675" s="1">
        <v>45144.004317129627</v>
      </c>
      <c r="L675" t="s">
        <v>57</v>
      </c>
      <c r="N675" s="4">
        <v>45149.004317129627</v>
      </c>
      <c r="O675" t="s">
        <v>57</v>
      </c>
      <c r="P675" s="4">
        <v>45145.004317129627</v>
      </c>
      <c r="Q675" s="4">
        <v>45148.004317129627</v>
      </c>
      <c r="R675" s="4">
        <v>45145.004317129627</v>
      </c>
      <c r="S675" s="4">
        <v>45152.004317129627</v>
      </c>
      <c r="T675">
        <v>1</v>
      </c>
      <c r="U675" s="4">
        <v>45155.004317129627</v>
      </c>
      <c r="V675" s="4">
        <v>45158.004317129627</v>
      </c>
      <c r="W675" s="4">
        <v>45159.004317129627</v>
      </c>
      <c r="Z675" s="4">
        <v>45176.004317129627</v>
      </c>
      <c r="AC675" s="2">
        <f t="shared" si="90"/>
        <v>4</v>
      </c>
      <c r="AD675" s="2">
        <f t="shared" si="91"/>
        <v>14</v>
      </c>
      <c r="AE675" s="2">
        <f t="shared" si="92"/>
        <v>10</v>
      </c>
      <c r="AF675" s="2">
        <f t="shared" si="93"/>
        <v>15</v>
      </c>
      <c r="AG675" s="2">
        <f t="shared" si="94"/>
        <v>1</v>
      </c>
      <c r="AH675" s="4">
        <f t="shared" si="95"/>
        <v>45235.004317129627</v>
      </c>
      <c r="AI675" s="2">
        <f t="shared" si="96"/>
        <v>3</v>
      </c>
      <c r="AJ675" s="2">
        <f t="shared" si="97"/>
        <v>31</v>
      </c>
      <c r="AK675" s="2">
        <f t="shared" si="98"/>
        <v>14</v>
      </c>
    </row>
    <row r="676" spans="1:37" x14ac:dyDescent="0.25">
      <c r="A676">
        <v>1139</v>
      </c>
      <c r="B676" t="s">
        <v>767</v>
      </c>
      <c r="C676" t="s">
        <v>676</v>
      </c>
      <c r="D676" t="s">
        <v>757</v>
      </c>
      <c r="E676" t="s">
        <v>47</v>
      </c>
      <c r="F676" t="s">
        <v>734</v>
      </c>
      <c r="G676" t="s">
        <v>38</v>
      </c>
      <c r="H676" s="1">
        <v>44634.796018518522</v>
      </c>
      <c r="I676" s="1">
        <v>44636.796018518522</v>
      </c>
      <c r="J676" t="s">
        <v>44</v>
      </c>
      <c r="K676" s="1"/>
      <c r="T676">
        <v>0</v>
      </c>
      <c r="AC676" s="2">
        <f t="shared" si="90"/>
        <v>2</v>
      </c>
      <c r="AD676" s="2" t="str">
        <f t="shared" si="91"/>
        <v/>
      </c>
      <c r="AE676" s="2" t="str">
        <f t="shared" si="92"/>
        <v/>
      </c>
      <c r="AF676" s="2" t="str">
        <f t="shared" si="93"/>
        <v/>
      </c>
      <c r="AG676" s="2" t="str">
        <f t="shared" si="94"/>
        <v/>
      </c>
      <c r="AH676" s="4" t="str">
        <f t="shared" si="95"/>
        <v/>
      </c>
      <c r="AI676" s="2" t="str">
        <f t="shared" si="96"/>
        <v/>
      </c>
      <c r="AJ676" s="2" t="str">
        <f t="shared" si="97"/>
        <v/>
      </c>
      <c r="AK676" s="2" t="str">
        <f t="shared" si="98"/>
        <v/>
      </c>
    </row>
    <row r="677" spans="1:37" x14ac:dyDescent="0.25">
      <c r="A677">
        <v>1022</v>
      </c>
      <c r="B677" t="s">
        <v>768</v>
      </c>
      <c r="C677" t="s">
        <v>676</v>
      </c>
      <c r="D677" t="s">
        <v>757</v>
      </c>
      <c r="E677" t="s">
        <v>47</v>
      </c>
      <c r="F677" t="s">
        <v>734</v>
      </c>
      <c r="G677" t="s">
        <v>38</v>
      </c>
      <c r="H677" s="1">
        <v>44951.791134259256</v>
      </c>
      <c r="I677" s="1">
        <v>44952.791134259256</v>
      </c>
      <c r="J677" t="s">
        <v>44</v>
      </c>
      <c r="K677" s="1"/>
      <c r="T677">
        <v>0</v>
      </c>
      <c r="AC677" s="2">
        <f t="shared" si="90"/>
        <v>1</v>
      </c>
      <c r="AD677" s="2" t="str">
        <f t="shared" si="91"/>
        <v/>
      </c>
      <c r="AE677" s="2" t="str">
        <f t="shared" si="92"/>
        <v/>
      </c>
      <c r="AF677" s="2" t="str">
        <f t="shared" si="93"/>
        <v/>
      </c>
      <c r="AG677" s="2" t="str">
        <f t="shared" si="94"/>
        <v/>
      </c>
      <c r="AH677" s="4" t="str">
        <f t="shared" si="95"/>
        <v/>
      </c>
      <c r="AI677" s="2" t="str">
        <f t="shared" si="96"/>
        <v/>
      </c>
      <c r="AJ677" s="2" t="str">
        <f t="shared" si="97"/>
        <v/>
      </c>
      <c r="AK677" s="2" t="str">
        <f t="shared" si="98"/>
        <v/>
      </c>
    </row>
    <row r="678" spans="1:37" x14ac:dyDescent="0.25">
      <c r="A678">
        <v>936</v>
      </c>
      <c r="B678" t="s">
        <v>769</v>
      </c>
      <c r="C678" t="s">
        <v>676</v>
      </c>
      <c r="D678" t="s">
        <v>757</v>
      </c>
      <c r="E678" t="s">
        <v>47</v>
      </c>
      <c r="F678" t="s">
        <v>734</v>
      </c>
      <c r="G678" t="s">
        <v>38</v>
      </c>
      <c r="H678" s="1">
        <v>44998.704907407409</v>
      </c>
      <c r="I678" s="1">
        <v>45002.704907407409</v>
      </c>
      <c r="J678" t="s">
        <v>32</v>
      </c>
      <c r="K678" s="1">
        <v>45019.704907407409</v>
      </c>
      <c r="L678" t="s">
        <v>33</v>
      </c>
      <c r="M678" t="s">
        <v>51</v>
      </c>
      <c r="T678">
        <v>0</v>
      </c>
      <c r="Y678" t="s">
        <v>35</v>
      </c>
      <c r="AC678" s="2">
        <f t="shared" si="90"/>
        <v>4</v>
      </c>
      <c r="AD678" s="2">
        <f t="shared" si="91"/>
        <v>21</v>
      </c>
      <c r="AE678" s="2">
        <f t="shared" si="92"/>
        <v>17</v>
      </c>
      <c r="AF678" s="2" t="str">
        <f t="shared" si="93"/>
        <v/>
      </c>
      <c r="AG678" s="2" t="str">
        <f t="shared" si="94"/>
        <v/>
      </c>
      <c r="AH678" s="4" t="str">
        <f t="shared" si="95"/>
        <v/>
      </c>
      <c r="AI678" s="2" t="str">
        <f t="shared" si="96"/>
        <v/>
      </c>
      <c r="AJ678" s="2" t="str">
        <f t="shared" si="97"/>
        <v/>
      </c>
      <c r="AK678" s="2" t="str">
        <f t="shared" si="98"/>
        <v/>
      </c>
    </row>
    <row r="679" spans="1:37" x14ac:dyDescent="0.25">
      <c r="A679">
        <v>850</v>
      </c>
      <c r="B679" t="s">
        <v>770</v>
      </c>
      <c r="C679" t="s">
        <v>676</v>
      </c>
      <c r="D679" t="s">
        <v>757</v>
      </c>
      <c r="E679" t="s">
        <v>47</v>
      </c>
      <c r="F679" t="s">
        <v>734</v>
      </c>
      <c r="G679" t="s">
        <v>38</v>
      </c>
      <c r="H679" s="1">
        <v>44778.836053240739</v>
      </c>
      <c r="I679" s="1">
        <v>44779.836053240739</v>
      </c>
      <c r="J679" t="s">
        <v>32</v>
      </c>
      <c r="K679" s="1">
        <v>44790.836053240739</v>
      </c>
      <c r="L679" t="s">
        <v>33</v>
      </c>
      <c r="M679" t="s">
        <v>51</v>
      </c>
      <c r="T679">
        <v>0</v>
      </c>
      <c r="Y679" t="s">
        <v>35</v>
      </c>
      <c r="AC679" s="2">
        <f t="shared" si="90"/>
        <v>1</v>
      </c>
      <c r="AD679" s="2">
        <f t="shared" si="91"/>
        <v>12</v>
      </c>
      <c r="AE679" s="2">
        <f t="shared" si="92"/>
        <v>11</v>
      </c>
      <c r="AF679" s="2" t="str">
        <f t="shared" si="93"/>
        <v/>
      </c>
      <c r="AG679" s="2" t="str">
        <f t="shared" si="94"/>
        <v/>
      </c>
      <c r="AH679" s="4" t="str">
        <f t="shared" si="95"/>
        <v/>
      </c>
      <c r="AI679" s="2" t="str">
        <f t="shared" si="96"/>
        <v/>
      </c>
      <c r="AJ679" s="2" t="str">
        <f t="shared" si="97"/>
        <v/>
      </c>
      <c r="AK679" s="2" t="str">
        <f t="shared" si="98"/>
        <v/>
      </c>
    </row>
    <row r="680" spans="1:37" x14ac:dyDescent="0.25">
      <c r="A680">
        <v>818</v>
      </c>
      <c r="B680" t="s">
        <v>771</v>
      </c>
      <c r="C680" t="s">
        <v>676</v>
      </c>
      <c r="D680" t="s">
        <v>757</v>
      </c>
      <c r="E680" t="s">
        <v>47</v>
      </c>
      <c r="F680" t="s">
        <v>734</v>
      </c>
      <c r="G680" t="s">
        <v>38</v>
      </c>
      <c r="H680" s="1">
        <v>44672.895150462966</v>
      </c>
      <c r="I680" s="1">
        <v>44673.895150462966</v>
      </c>
      <c r="J680" t="s">
        <v>32</v>
      </c>
      <c r="K680" s="1">
        <v>44684.895150462966</v>
      </c>
      <c r="L680" t="s">
        <v>33</v>
      </c>
      <c r="M680" t="s">
        <v>51</v>
      </c>
      <c r="T680">
        <v>0</v>
      </c>
      <c r="Y680" t="s">
        <v>55</v>
      </c>
      <c r="AC680" s="2">
        <f t="shared" si="90"/>
        <v>1</v>
      </c>
      <c r="AD680" s="2">
        <f t="shared" si="91"/>
        <v>12</v>
      </c>
      <c r="AE680" s="2">
        <f t="shared" si="92"/>
        <v>11</v>
      </c>
      <c r="AF680" s="2" t="str">
        <f t="shared" si="93"/>
        <v/>
      </c>
      <c r="AG680" s="2" t="str">
        <f t="shared" si="94"/>
        <v/>
      </c>
      <c r="AH680" s="4" t="str">
        <f t="shared" si="95"/>
        <v/>
      </c>
      <c r="AI680" s="2" t="str">
        <f t="shared" si="96"/>
        <v/>
      </c>
      <c r="AJ680" s="2" t="str">
        <f t="shared" si="97"/>
        <v/>
      </c>
      <c r="AK680" s="2" t="str">
        <f t="shared" si="98"/>
        <v/>
      </c>
    </row>
    <row r="681" spans="1:37" x14ac:dyDescent="0.25">
      <c r="A681">
        <v>817</v>
      </c>
      <c r="B681" t="s">
        <v>772</v>
      </c>
      <c r="C681" t="s">
        <v>676</v>
      </c>
      <c r="D681" t="s">
        <v>757</v>
      </c>
      <c r="E681" t="s">
        <v>47</v>
      </c>
      <c r="F681" t="s">
        <v>734</v>
      </c>
      <c r="G681" t="s">
        <v>38</v>
      </c>
      <c r="H681" s="1">
        <v>44672.895150462966</v>
      </c>
      <c r="I681" s="1">
        <v>44673.895150462966</v>
      </c>
      <c r="J681" t="s">
        <v>32</v>
      </c>
      <c r="K681" s="1">
        <v>44682.895150462966</v>
      </c>
      <c r="L681" t="s">
        <v>33</v>
      </c>
      <c r="M681" t="s">
        <v>67</v>
      </c>
      <c r="T681">
        <v>0</v>
      </c>
      <c r="Y681" t="s">
        <v>55</v>
      </c>
      <c r="AC681" s="2">
        <f t="shared" si="90"/>
        <v>1</v>
      </c>
      <c r="AD681" s="2">
        <f t="shared" si="91"/>
        <v>10</v>
      </c>
      <c r="AE681" s="2">
        <f t="shared" si="92"/>
        <v>9</v>
      </c>
      <c r="AF681" s="2" t="str">
        <f t="shared" si="93"/>
        <v/>
      </c>
      <c r="AG681" s="2" t="str">
        <f t="shared" si="94"/>
        <v/>
      </c>
      <c r="AH681" s="4" t="str">
        <f t="shared" si="95"/>
        <v/>
      </c>
      <c r="AI681" s="2" t="str">
        <f t="shared" si="96"/>
        <v/>
      </c>
      <c r="AJ681" s="2" t="str">
        <f t="shared" si="97"/>
        <v/>
      </c>
      <c r="AK681" s="2" t="str">
        <f t="shared" si="98"/>
        <v/>
      </c>
    </row>
    <row r="682" spans="1:37" x14ac:dyDescent="0.25">
      <c r="A682">
        <v>813</v>
      </c>
      <c r="B682" t="s">
        <v>773</v>
      </c>
      <c r="C682" t="s">
        <v>676</v>
      </c>
      <c r="D682" t="s">
        <v>757</v>
      </c>
      <c r="E682" t="s">
        <v>47</v>
      </c>
      <c r="F682" t="s">
        <v>734</v>
      </c>
      <c r="G682" t="s">
        <v>38</v>
      </c>
      <c r="H682" s="1">
        <v>44674.895150462966</v>
      </c>
      <c r="I682" s="1">
        <v>44675.895150462966</v>
      </c>
      <c r="J682" t="s">
        <v>32</v>
      </c>
      <c r="K682" s="1">
        <v>44682.895150462966</v>
      </c>
      <c r="L682" t="s">
        <v>33</v>
      </c>
      <c r="M682" t="s">
        <v>92</v>
      </c>
      <c r="R682" s="4">
        <v>44684.895150462966</v>
      </c>
      <c r="T682">
        <v>0</v>
      </c>
      <c r="Y682" t="s">
        <v>55</v>
      </c>
      <c r="AC682" s="2">
        <f t="shared" si="90"/>
        <v>1</v>
      </c>
      <c r="AD682" s="2">
        <f t="shared" si="91"/>
        <v>8</v>
      </c>
      <c r="AE682" s="2">
        <f t="shared" si="92"/>
        <v>7</v>
      </c>
      <c r="AF682" s="2">
        <f t="shared" si="93"/>
        <v>10</v>
      </c>
      <c r="AG682" s="2">
        <f t="shared" si="94"/>
        <v>2</v>
      </c>
      <c r="AH682" s="4">
        <f t="shared" si="95"/>
        <v>44774.895150462966</v>
      </c>
      <c r="AI682" s="2" t="str">
        <f t="shared" si="96"/>
        <v/>
      </c>
      <c r="AJ682" s="2" t="str">
        <f t="shared" si="97"/>
        <v/>
      </c>
      <c r="AK682" s="2" t="str">
        <f t="shared" si="98"/>
        <v/>
      </c>
    </row>
    <row r="683" spans="1:37" x14ac:dyDescent="0.25">
      <c r="A683">
        <v>812</v>
      </c>
      <c r="B683" t="s">
        <v>774</v>
      </c>
      <c r="C683" t="s">
        <v>676</v>
      </c>
      <c r="D683" t="s">
        <v>757</v>
      </c>
      <c r="E683" t="s">
        <v>47</v>
      </c>
      <c r="F683" t="s">
        <v>734</v>
      </c>
      <c r="G683" t="s">
        <v>38</v>
      </c>
      <c r="H683" s="1">
        <v>44674.895150462966</v>
      </c>
      <c r="I683" s="1">
        <v>44675.895150462966</v>
      </c>
      <c r="J683" t="s">
        <v>32</v>
      </c>
      <c r="K683" s="1">
        <v>44680.895150462966</v>
      </c>
      <c r="L683" t="s">
        <v>33</v>
      </c>
      <c r="M683" t="s">
        <v>67</v>
      </c>
      <c r="T683">
        <v>0</v>
      </c>
      <c r="Y683" t="s">
        <v>55</v>
      </c>
      <c r="AC683" s="2">
        <f t="shared" si="90"/>
        <v>1</v>
      </c>
      <c r="AD683" s="2">
        <f t="shared" si="91"/>
        <v>6</v>
      </c>
      <c r="AE683" s="2">
        <f t="shared" si="92"/>
        <v>5</v>
      </c>
      <c r="AF683" s="2" t="str">
        <f t="shared" si="93"/>
        <v/>
      </c>
      <c r="AG683" s="2" t="str">
        <f t="shared" si="94"/>
        <v/>
      </c>
      <c r="AH683" s="4" t="str">
        <f t="shared" si="95"/>
        <v/>
      </c>
      <c r="AI683" s="2" t="str">
        <f t="shared" si="96"/>
        <v/>
      </c>
      <c r="AJ683" s="2" t="str">
        <f t="shared" si="97"/>
        <v/>
      </c>
      <c r="AK683" s="2" t="str">
        <f t="shared" si="98"/>
        <v/>
      </c>
    </row>
    <row r="684" spans="1:37" x14ac:dyDescent="0.25">
      <c r="A684">
        <v>788</v>
      </c>
      <c r="B684" t="s">
        <v>775</v>
      </c>
      <c r="C684" t="s">
        <v>676</v>
      </c>
      <c r="D684" t="s">
        <v>757</v>
      </c>
      <c r="E684" t="s">
        <v>47</v>
      </c>
      <c r="F684" t="s">
        <v>734</v>
      </c>
      <c r="G684" t="s">
        <v>38</v>
      </c>
      <c r="H684" s="1">
        <v>44937.996932870374</v>
      </c>
      <c r="I684" s="1">
        <v>44939.996932870374</v>
      </c>
      <c r="J684" t="s">
        <v>32</v>
      </c>
      <c r="K684" s="1">
        <v>44957.996932870374</v>
      </c>
      <c r="L684" t="s">
        <v>33</v>
      </c>
      <c r="M684" t="s">
        <v>108</v>
      </c>
      <c r="R684" s="4">
        <v>44959.996932870374</v>
      </c>
      <c r="T684">
        <v>0</v>
      </c>
      <c r="Y684" t="s">
        <v>35</v>
      </c>
      <c r="AC684" s="2">
        <f t="shared" si="90"/>
        <v>2</v>
      </c>
      <c r="AD684" s="2">
        <f t="shared" si="91"/>
        <v>20</v>
      </c>
      <c r="AE684" s="2">
        <f t="shared" si="92"/>
        <v>18</v>
      </c>
      <c r="AF684" s="2">
        <f t="shared" si="93"/>
        <v>22</v>
      </c>
      <c r="AG684" s="2">
        <f t="shared" si="94"/>
        <v>2</v>
      </c>
      <c r="AH684" s="4">
        <f t="shared" si="95"/>
        <v>45049.996932870374</v>
      </c>
      <c r="AI684" s="2" t="str">
        <f t="shared" si="96"/>
        <v/>
      </c>
      <c r="AJ684" s="2" t="str">
        <f t="shared" si="97"/>
        <v/>
      </c>
      <c r="AK684" s="2" t="str">
        <f t="shared" si="98"/>
        <v/>
      </c>
    </row>
    <row r="685" spans="1:37" x14ac:dyDescent="0.25">
      <c r="A685">
        <v>786</v>
      </c>
      <c r="B685" t="s">
        <v>776</v>
      </c>
      <c r="C685" t="s">
        <v>676</v>
      </c>
      <c r="D685" t="s">
        <v>757</v>
      </c>
      <c r="E685" t="s">
        <v>47</v>
      </c>
      <c r="F685" t="s">
        <v>734</v>
      </c>
      <c r="G685" t="s">
        <v>38</v>
      </c>
      <c r="H685" s="1">
        <v>44934.996932870374</v>
      </c>
      <c r="I685" s="1">
        <v>44938.996932870374</v>
      </c>
      <c r="J685" t="s">
        <v>44</v>
      </c>
      <c r="K685" s="1"/>
      <c r="T685">
        <v>0</v>
      </c>
      <c r="AC685" s="2">
        <f t="shared" si="90"/>
        <v>4</v>
      </c>
      <c r="AD685" s="2" t="str">
        <f t="shared" si="91"/>
        <v/>
      </c>
      <c r="AE685" s="2" t="str">
        <f t="shared" si="92"/>
        <v/>
      </c>
      <c r="AF685" s="2" t="str">
        <f t="shared" si="93"/>
        <v/>
      </c>
      <c r="AG685" s="2" t="str">
        <f t="shared" si="94"/>
        <v/>
      </c>
      <c r="AH685" s="4" t="str">
        <f t="shared" si="95"/>
        <v/>
      </c>
      <c r="AI685" s="2" t="str">
        <f t="shared" si="96"/>
        <v/>
      </c>
      <c r="AJ685" s="2" t="str">
        <f t="shared" si="97"/>
        <v/>
      </c>
      <c r="AK685" s="2" t="str">
        <f t="shared" si="98"/>
        <v/>
      </c>
    </row>
    <row r="686" spans="1:37" x14ac:dyDescent="0.25">
      <c r="A686">
        <v>783</v>
      </c>
      <c r="B686" t="s">
        <v>777</v>
      </c>
      <c r="C686" t="s">
        <v>676</v>
      </c>
      <c r="D686" t="s">
        <v>757</v>
      </c>
      <c r="E686" t="s">
        <v>47</v>
      </c>
      <c r="F686" t="s">
        <v>734</v>
      </c>
      <c r="G686" t="s">
        <v>38</v>
      </c>
      <c r="H686" s="1">
        <v>44938.996932870374</v>
      </c>
      <c r="I686" s="1">
        <v>44940.996932870374</v>
      </c>
      <c r="J686" t="s">
        <v>32</v>
      </c>
      <c r="K686" s="1">
        <v>44948.996932870374</v>
      </c>
      <c r="L686" t="s">
        <v>33</v>
      </c>
      <c r="M686" t="s">
        <v>51</v>
      </c>
      <c r="R686" s="4">
        <v>44949.996932870374</v>
      </c>
      <c r="T686">
        <v>0</v>
      </c>
      <c r="Y686" t="s">
        <v>35</v>
      </c>
      <c r="AC686" s="2">
        <f t="shared" si="90"/>
        <v>2</v>
      </c>
      <c r="AD686" s="2">
        <f t="shared" si="91"/>
        <v>10</v>
      </c>
      <c r="AE686" s="2">
        <f t="shared" si="92"/>
        <v>8</v>
      </c>
      <c r="AF686" s="2">
        <f t="shared" si="93"/>
        <v>11</v>
      </c>
      <c r="AG686" s="2">
        <f t="shared" si="94"/>
        <v>1</v>
      </c>
      <c r="AH686" s="4">
        <f t="shared" si="95"/>
        <v>45039.996932870374</v>
      </c>
      <c r="AI686" s="2" t="str">
        <f t="shared" si="96"/>
        <v/>
      </c>
      <c r="AJ686" s="2" t="str">
        <f t="shared" si="97"/>
        <v/>
      </c>
      <c r="AK686" s="2" t="str">
        <f t="shared" si="98"/>
        <v/>
      </c>
    </row>
    <row r="687" spans="1:37" x14ac:dyDescent="0.25">
      <c r="A687">
        <v>732</v>
      </c>
      <c r="B687" t="s">
        <v>778</v>
      </c>
      <c r="C687" t="s">
        <v>676</v>
      </c>
      <c r="D687" t="s">
        <v>757</v>
      </c>
      <c r="E687" t="s">
        <v>47</v>
      </c>
      <c r="F687" t="s">
        <v>734</v>
      </c>
      <c r="G687" t="s">
        <v>38</v>
      </c>
      <c r="H687" s="1">
        <v>45044.644548611112</v>
      </c>
      <c r="I687" s="1">
        <v>45046.644548611112</v>
      </c>
      <c r="J687" t="s">
        <v>32</v>
      </c>
      <c r="K687" s="1">
        <v>45049.644548611112</v>
      </c>
      <c r="L687" t="s">
        <v>33</v>
      </c>
      <c r="M687" t="s">
        <v>51</v>
      </c>
      <c r="T687">
        <v>0</v>
      </c>
      <c r="Y687" t="s">
        <v>55</v>
      </c>
      <c r="AC687" s="2">
        <f t="shared" si="90"/>
        <v>2</v>
      </c>
      <c r="AD687" s="2">
        <f t="shared" si="91"/>
        <v>5</v>
      </c>
      <c r="AE687" s="2">
        <f t="shared" si="92"/>
        <v>3</v>
      </c>
      <c r="AF687" s="2" t="str">
        <f t="shared" si="93"/>
        <v/>
      </c>
      <c r="AG687" s="2" t="str">
        <f t="shared" si="94"/>
        <v/>
      </c>
      <c r="AH687" s="4" t="str">
        <f t="shared" si="95"/>
        <v/>
      </c>
      <c r="AI687" s="2" t="str">
        <f t="shared" si="96"/>
        <v/>
      </c>
      <c r="AJ687" s="2" t="str">
        <f t="shared" si="97"/>
        <v/>
      </c>
      <c r="AK687" s="2" t="str">
        <f t="shared" si="98"/>
        <v/>
      </c>
    </row>
    <row r="688" spans="1:37" x14ac:dyDescent="0.25">
      <c r="A688">
        <v>731</v>
      </c>
      <c r="B688" t="s">
        <v>779</v>
      </c>
      <c r="C688" t="s">
        <v>676</v>
      </c>
      <c r="D688" t="s">
        <v>757</v>
      </c>
      <c r="E688" t="s">
        <v>62</v>
      </c>
      <c r="F688" t="s">
        <v>744</v>
      </c>
      <c r="G688" t="s">
        <v>38</v>
      </c>
      <c r="H688" s="1">
        <v>45041.644548611112</v>
      </c>
      <c r="I688" s="1">
        <v>45044.644548611112</v>
      </c>
      <c r="J688" t="s">
        <v>32</v>
      </c>
      <c r="K688" s="1">
        <v>45058.644548611112</v>
      </c>
      <c r="L688" t="s">
        <v>39</v>
      </c>
      <c r="N688" s="4">
        <v>45064.644548611112</v>
      </c>
      <c r="O688" t="s">
        <v>39</v>
      </c>
      <c r="R688" s="4">
        <v>45062.644548611112</v>
      </c>
      <c r="T688">
        <v>0</v>
      </c>
      <c r="AC688" s="2">
        <f t="shared" si="90"/>
        <v>3</v>
      </c>
      <c r="AD688" s="2">
        <f t="shared" si="91"/>
        <v>17</v>
      </c>
      <c r="AE688" s="2">
        <f t="shared" si="92"/>
        <v>14</v>
      </c>
      <c r="AF688" s="2">
        <f t="shared" si="93"/>
        <v>21</v>
      </c>
      <c r="AG688" s="2">
        <f t="shared" si="94"/>
        <v>4</v>
      </c>
      <c r="AH688" s="4">
        <f t="shared" si="95"/>
        <v>45152.644548611112</v>
      </c>
      <c r="AI688" s="2" t="str">
        <f t="shared" si="96"/>
        <v/>
      </c>
      <c r="AJ688" s="2" t="str">
        <f t="shared" si="97"/>
        <v/>
      </c>
      <c r="AK688" s="2" t="str">
        <f t="shared" si="98"/>
        <v/>
      </c>
    </row>
    <row r="689" spans="1:37" x14ac:dyDescent="0.25">
      <c r="A689">
        <v>690</v>
      </c>
      <c r="B689" t="s">
        <v>780</v>
      </c>
      <c r="C689" t="s">
        <v>676</v>
      </c>
      <c r="D689" t="s">
        <v>757</v>
      </c>
      <c r="E689" t="s">
        <v>62</v>
      </c>
      <c r="F689" t="s">
        <v>744</v>
      </c>
      <c r="G689" t="s">
        <v>38</v>
      </c>
      <c r="H689" s="1">
        <v>45099.115520833337</v>
      </c>
      <c r="I689" s="1">
        <v>45103.115520833337</v>
      </c>
      <c r="J689" t="s">
        <v>32</v>
      </c>
      <c r="K689" s="1">
        <v>45113.115520833337</v>
      </c>
      <c r="L689" t="s">
        <v>33</v>
      </c>
      <c r="M689" t="s">
        <v>92</v>
      </c>
      <c r="T689">
        <v>0</v>
      </c>
      <c r="Y689" t="s">
        <v>55</v>
      </c>
      <c r="AC689" s="2">
        <f t="shared" si="90"/>
        <v>4</v>
      </c>
      <c r="AD689" s="2">
        <f t="shared" si="91"/>
        <v>14</v>
      </c>
      <c r="AE689" s="2">
        <f t="shared" si="92"/>
        <v>10</v>
      </c>
      <c r="AF689" s="2" t="str">
        <f t="shared" si="93"/>
        <v/>
      </c>
      <c r="AG689" s="2" t="str">
        <f t="shared" si="94"/>
        <v/>
      </c>
      <c r="AH689" s="4" t="str">
        <f t="shared" si="95"/>
        <v/>
      </c>
      <c r="AI689" s="2" t="str">
        <f t="shared" si="96"/>
        <v/>
      </c>
      <c r="AJ689" s="2" t="str">
        <f t="shared" si="97"/>
        <v/>
      </c>
      <c r="AK689" s="2" t="str">
        <f t="shared" si="98"/>
        <v/>
      </c>
    </row>
    <row r="690" spans="1:37" x14ac:dyDescent="0.25">
      <c r="A690">
        <v>683</v>
      </c>
      <c r="B690" t="s">
        <v>781</v>
      </c>
      <c r="C690" t="s">
        <v>676</v>
      </c>
      <c r="D690" t="s">
        <v>757</v>
      </c>
      <c r="E690" t="s">
        <v>62</v>
      </c>
      <c r="F690" t="s">
        <v>744</v>
      </c>
      <c r="G690" t="s">
        <v>38</v>
      </c>
      <c r="H690" s="1">
        <v>45099.115520833337</v>
      </c>
      <c r="I690" s="1">
        <v>45100.115520833337</v>
      </c>
      <c r="J690" t="s">
        <v>32</v>
      </c>
      <c r="K690" s="1">
        <v>45114.115520833337</v>
      </c>
      <c r="L690" t="s">
        <v>33</v>
      </c>
      <c r="M690" t="s">
        <v>34</v>
      </c>
      <c r="R690" s="4">
        <v>45118.115520833337</v>
      </c>
      <c r="T690">
        <v>0</v>
      </c>
      <c r="Y690" t="s">
        <v>55</v>
      </c>
      <c r="AC690" s="2">
        <f t="shared" si="90"/>
        <v>1</v>
      </c>
      <c r="AD690" s="2">
        <f t="shared" si="91"/>
        <v>15</v>
      </c>
      <c r="AE690" s="2">
        <f t="shared" si="92"/>
        <v>14</v>
      </c>
      <c r="AF690" s="2">
        <f t="shared" si="93"/>
        <v>19</v>
      </c>
      <c r="AG690" s="2">
        <f t="shared" si="94"/>
        <v>4</v>
      </c>
      <c r="AH690" s="4">
        <f t="shared" si="95"/>
        <v>45208.115520833337</v>
      </c>
      <c r="AI690" s="2" t="str">
        <f t="shared" si="96"/>
        <v/>
      </c>
      <c r="AJ690" s="2" t="str">
        <f t="shared" si="97"/>
        <v/>
      </c>
      <c r="AK690" s="2" t="str">
        <f t="shared" si="98"/>
        <v/>
      </c>
    </row>
    <row r="691" spans="1:37" x14ac:dyDescent="0.25">
      <c r="A691">
        <v>564</v>
      </c>
      <c r="B691" t="s">
        <v>782</v>
      </c>
      <c r="C691" t="s">
        <v>676</v>
      </c>
      <c r="D691" t="s">
        <v>757</v>
      </c>
      <c r="E691" t="s">
        <v>62</v>
      </c>
      <c r="F691" t="s">
        <v>744</v>
      </c>
      <c r="G691" t="s">
        <v>38</v>
      </c>
      <c r="H691" s="1">
        <v>44867.965416666666</v>
      </c>
      <c r="I691" s="1">
        <v>44868.965416666666</v>
      </c>
      <c r="J691" t="s">
        <v>32</v>
      </c>
      <c r="K691" s="1">
        <v>44881.965416666666</v>
      </c>
      <c r="L691" t="s">
        <v>39</v>
      </c>
      <c r="N691" s="4">
        <v>44886.965416666666</v>
      </c>
      <c r="O691" t="s">
        <v>39</v>
      </c>
      <c r="R691" s="4">
        <v>44884.965416666666</v>
      </c>
      <c r="T691">
        <v>0</v>
      </c>
      <c r="AC691" s="2">
        <f t="shared" si="90"/>
        <v>1</v>
      </c>
      <c r="AD691" s="2">
        <f t="shared" si="91"/>
        <v>14</v>
      </c>
      <c r="AE691" s="2">
        <f t="shared" si="92"/>
        <v>13</v>
      </c>
      <c r="AF691" s="2">
        <f t="shared" si="93"/>
        <v>17</v>
      </c>
      <c r="AG691" s="2">
        <f t="shared" si="94"/>
        <v>3</v>
      </c>
      <c r="AH691" s="4">
        <f t="shared" si="95"/>
        <v>44974.965416666666</v>
      </c>
      <c r="AI691" s="2" t="str">
        <f t="shared" si="96"/>
        <v/>
      </c>
      <c r="AJ691" s="2" t="str">
        <f t="shared" si="97"/>
        <v/>
      </c>
      <c r="AK691" s="2" t="str">
        <f t="shared" si="98"/>
        <v/>
      </c>
    </row>
    <row r="692" spans="1:37" x14ac:dyDescent="0.25">
      <c r="A692">
        <v>440</v>
      </c>
      <c r="B692" t="s">
        <v>783</v>
      </c>
      <c r="C692" t="s">
        <v>676</v>
      </c>
      <c r="D692" t="s">
        <v>757</v>
      </c>
      <c r="E692" t="s">
        <v>62</v>
      </c>
      <c r="F692" t="s">
        <v>744</v>
      </c>
      <c r="G692" t="s">
        <v>38</v>
      </c>
      <c r="H692" s="1">
        <v>44736.315601851849</v>
      </c>
      <c r="I692" s="1">
        <v>44737.315601851849</v>
      </c>
      <c r="J692" t="s">
        <v>44</v>
      </c>
      <c r="K692" s="1"/>
      <c r="T692">
        <v>0</v>
      </c>
      <c r="AC692" s="2">
        <f t="shared" si="90"/>
        <v>1</v>
      </c>
      <c r="AD692" s="2" t="str">
        <f t="shared" si="91"/>
        <v/>
      </c>
      <c r="AE692" s="2" t="str">
        <f t="shared" si="92"/>
        <v/>
      </c>
      <c r="AF692" s="2" t="str">
        <f t="shared" si="93"/>
        <v/>
      </c>
      <c r="AG692" s="2" t="str">
        <f t="shared" si="94"/>
        <v/>
      </c>
      <c r="AH692" s="4" t="str">
        <f t="shared" si="95"/>
        <v/>
      </c>
      <c r="AI692" s="2" t="str">
        <f t="shared" si="96"/>
        <v/>
      </c>
      <c r="AJ692" s="2" t="str">
        <f t="shared" si="97"/>
        <v/>
      </c>
      <c r="AK692" s="2" t="str">
        <f t="shared" si="98"/>
        <v/>
      </c>
    </row>
    <row r="693" spans="1:37" x14ac:dyDescent="0.25">
      <c r="A693">
        <v>436</v>
      </c>
      <c r="B693" t="s">
        <v>784</v>
      </c>
      <c r="C693" t="s">
        <v>676</v>
      </c>
      <c r="D693" t="s">
        <v>757</v>
      </c>
      <c r="E693" t="s">
        <v>62</v>
      </c>
      <c r="F693" t="s">
        <v>744</v>
      </c>
      <c r="G693" t="s">
        <v>38</v>
      </c>
      <c r="H693" s="1">
        <v>44734.315601851849</v>
      </c>
      <c r="I693" s="1">
        <v>44737.315601851849</v>
      </c>
      <c r="J693" t="s">
        <v>32</v>
      </c>
      <c r="K693" s="1">
        <v>44756.315601851849</v>
      </c>
      <c r="L693" t="s">
        <v>33</v>
      </c>
      <c r="M693" t="s">
        <v>92</v>
      </c>
      <c r="R693" s="4">
        <v>44759.315601851849</v>
      </c>
      <c r="T693">
        <v>0</v>
      </c>
      <c r="Y693" t="s">
        <v>35</v>
      </c>
      <c r="AC693" s="2">
        <f t="shared" si="90"/>
        <v>3</v>
      </c>
      <c r="AD693" s="2">
        <f t="shared" si="91"/>
        <v>22</v>
      </c>
      <c r="AE693" s="2">
        <f t="shared" si="92"/>
        <v>19</v>
      </c>
      <c r="AF693" s="2">
        <f t="shared" si="93"/>
        <v>25</v>
      </c>
      <c r="AG693" s="2">
        <f t="shared" si="94"/>
        <v>3</v>
      </c>
      <c r="AH693" s="4">
        <f t="shared" si="95"/>
        <v>44849.315601851849</v>
      </c>
      <c r="AI693" s="2" t="str">
        <f t="shared" si="96"/>
        <v/>
      </c>
      <c r="AJ693" s="2" t="str">
        <f t="shared" si="97"/>
        <v/>
      </c>
      <c r="AK693" s="2" t="str">
        <f t="shared" si="98"/>
        <v/>
      </c>
    </row>
    <row r="694" spans="1:37" x14ac:dyDescent="0.25">
      <c r="A694">
        <v>433</v>
      </c>
      <c r="B694" t="s">
        <v>785</v>
      </c>
      <c r="C694" t="s">
        <v>676</v>
      </c>
      <c r="D694" t="s">
        <v>757</v>
      </c>
      <c r="E694" t="s">
        <v>62</v>
      </c>
      <c r="F694" t="s">
        <v>744</v>
      </c>
      <c r="G694" t="s">
        <v>38</v>
      </c>
      <c r="H694" s="1">
        <v>44737.315601851849</v>
      </c>
      <c r="I694" s="1">
        <v>44740.315601851849</v>
      </c>
      <c r="J694" t="s">
        <v>44</v>
      </c>
      <c r="K694" s="1"/>
      <c r="T694">
        <v>0</v>
      </c>
      <c r="AC694" s="2">
        <f t="shared" si="90"/>
        <v>3</v>
      </c>
      <c r="AD694" s="2" t="str">
        <f t="shared" si="91"/>
        <v/>
      </c>
      <c r="AE694" s="2" t="str">
        <f t="shared" si="92"/>
        <v/>
      </c>
      <c r="AF694" s="2" t="str">
        <f t="shared" si="93"/>
        <v/>
      </c>
      <c r="AG694" s="2" t="str">
        <f t="shared" si="94"/>
        <v/>
      </c>
      <c r="AH694" s="4" t="str">
        <f t="shared" si="95"/>
        <v/>
      </c>
      <c r="AI694" s="2" t="str">
        <f t="shared" si="96"/>
        <v/>
      </c>
      <c r="AJ694" s="2" t="str">
        <f t="shared" si="97"/>
        <v/>
      </c>
      <c r="AK694" s="2" t="str">
        <f t="shared" si="98"/>
        <v/>
      </c>
    </row>
    <row r="695" spans="1:37" x14ac:dyDescent="0.25">
      <c r="A695">
        <v>368</v>
      </c>
      <c r="B695" t="s">
        <v>786</v>
      </c>
      <c r="C695" t="s">
        <v>676</v>
      </c>
      <c r="D695" t="s">
        <v>757</v>
      </c>
      <c r="E695" t="s">
        <v>62</v>
      </c>
      <c r="F695" t="s">
        <v>744</v>
      </c>
      <c r="G695" t="s">
        <v>38</v>
      </c>
      <c r="H695" s="1">
        <v>44687.751585648148</v>
      </c>
      <c r="I695" s="1">
        <v>44688.751585648148</v>
      </c>
      <c r="J695" t="s">
        <v>32</v>
      </c>
      <c r="K695" s="1">
        <v>44698.751585648148</v>
      </c>
      <c r="L695" t="s">
        <v>33</v>
      </c>
      <c r="M695" t="s">
        <v>67</v>
      </c>
      <c r="T695">
        <v>0</v>
      </c>
      <c r="Y695" t="s">
        <v>35</v>
      </c>
      <c r="AC695" s="2">
        <f t="shared" si="90"/>
        <v>1</v>
      </c>
      <c r="AD695" s="2">
        <f t="shared" si="91"/>
        <v>11</v>
      </c>
      <c r="AE695" s="2">
        <f t="shared" si="92"/>
        <v>10</v>
      </c>
      <c r="AF695" s="2" t="str">
        <f t="shared" si="93"/>
        <v/>
      </c>
      <c r="AG695" s="2" t="str">
        <f t="shared" si="94"/>
        <v/>
      </c>
      <c r="AH695" s="4" t="str">
        <f t="shared" si="95"/>
        <v/>
      </c>
      <c r="AI695" s="2" t="str">
        <f t="shared" si="96"/>
        <v/>
      </c>
      <c r="AJ695" s="2" t="str">
        <f t="shared" si="97"/>
        <v/>
      </c>
      <c r="AK695" s="2" t="str">
        <f t="shared" si="98"/>
        <v/>
      </c>
    </row>
    <row r="696" spans="1:37" x14ac:dyDescent="0.25">
      <c r="A696">
        <v>367</v>
      </c>
      <c r="B696" t="s">
        <v>787</v>
      </c>
      <c r="C696" t="s">
        <v>676</v>
      </c>
      <c r="D696" t="s">
        <v>757</v>
      </c>
      <c r="E696" t="s">
        <v>62</v>
      </c>
      <c r="F696" t="s">
        <v>744</v>
      </c>
      <c r="G696" t="s">
        <v>38</v>
      </c>
      <c r="H696" s="1">
        <v>44686.751585648148</v>
      </c>
      <c r="I696" s="1">
        <v>44688.751585648148</v>
      </c>
      <c r="J696" t="s">
        <v>32</v>
      </c>
      <c r="K696" s="1">
        <v>44703.751585648148</v>
      </c>
      <c r="L696" t="s">
        <v>39</v>
      </c>
      <c r="N696" s="4">
        <v>44708.751585648148</v>
      </c>
      <c r="O696" t="s">
        <v>39</v>
      </c>
      <c r="R696" s="4">
        <v>44704.751585648148</v>
      </c>
      <c r="T696">
        <v>0</v>
      </c>
      <c r="AC696" s="2">
        <f t="shared" si="90"/>
        <v>2</v>
      </c>
      <c r="AD696" s="2">
        <f t="shared" si="91"/>
        <v>17</v>
      </c>
      <c r="AE696" s="2">
        <f t="shared" si="92"/>
        <v>15</v>
      </c>
      <c r="AF696" s="2">
        <f t="shared" si="93"/>
        <v>18</v>
      </c>
      <c r="AG696" s="2">
        <f t="shared" si="94"/>
        <v>1</v>
      </c>
      <c r="AH696" s="4">
        <f t="shared" si="95"/>
        <v>44794.751585648148</v>
      </c>
      <c r="AI696" s="2" t="str">
        <f t="shared" si="96"/>
        <v/>
      </c>
      <c r="AJ696" s="2" t="str">
        <f t="shared" si="97"/>
        <v/>
      </c>
      <c r="AK696" s="2" t="str">
        <f t="shared" si="98"/>
        <v/>
      </c>
    </row>
    <row r="697" spans="1:37" x14ac:dyDescent="0.25">
      <c r="A697">
        <v>362</v>
      </c>
      <c r="B697" t="s">
        <v>788</v>
      </c>
      <c r="C697" t="s">
        <v>676</v>
      </c>
      <c r="D697" t="s">
        <v>757</v>
      </c>
      <c r="E697" t="s">
        <v>62</v>
      </c>
      <c r="F697" t="s">
        <v>744</v>
      </c>
      <c r="G697" t="s">
        <v>38</v>
      </c>
      <c r="H697" s="1">
        <v>44681.751585648148</v>
      </c>
      <c r="I697" s="1">
        <v>44685.751585648148</v>
      </c>
      <c r="J697" t="s">
        <v>32</v>
      </c>
      <c r="K697" s="1">
        <v>44695.751585648148</v>
      </c>
      <c r="L697" t="s">
        <v>39</v>
      </c>
      <c r="N697" s="4">
        <v>44702.751585648148</v>
      </c>
      <c r="O697" t="s">
        <v>39</v>
      </c>
      <c r="R697" s="4">
        <v>44699.751585648148</v>
      </c>
      <c r="T697">
        <v>0</v>
      </c>
      <c r="AC697" s="2">
        <f t="shared" si="90"/>
        <v>4</v>
      </c>
      <c r="AD697" s="2">
        <f t="shared" si="91"/>
        <v>14</v>
      </c>
      <c r="AE697" s="2">
        <f t="shared" si="92"/>
        <v>10</v>
      </c>
      <c r="AF697" s="2">
        <f t="shared" si="93"/>
        <v>18</v>
      </c>
      <c r="AG697" s="2">
        <f t="shared" si="94"/>
        <v>4</v>
      </c>
      <c r="AH697" s="4">
        <f t="shared" si="95"/>
        <v>44789.751585648148</v>
      </c>
      <c r="AI697" s="2" t="str">
        <f t="shared" si="96"/>
        <v/>
      </c>
      <c r="AJ697" s="2" t="str">
        <f t="shared" si="97"/>
        <v/>
      </c>
      <c r="AK697" s="2" t="str">
        <f t="shared" si="98"/>
        <v/>
      </c>
    </row>
    <row r="698" spans="1:37" x14ac:dyDescent="0.25">
      <c r="A698">
        <v>356</v>
      </c>
      <c r="B698" t="s">
        <v>789</v>
      </c>
      <c r="C698" t="s">
        <v>676</v>
      </c>
      <c r="D698" t="s">
        <v>757</v>
      </c>
      <c r="E698" t="s">
        <v>62</v>
      </c>
      <c r="F698" t="s">
        <v>744</v>
      </c>
      <c r="G698" t="s">
        <v>38</v>
      </c>
      <c r="H698" s="1">
        <v>44834.176585648151</v>
      </c>
      <c r="I698" s="1">
        <v>44838.176585648151</v>
      </c>
      <c r="J698" t="s">
        <v>32</v>
      </c>
      <c r="K698" s="1">
        <v>44857.176585648151</v>
      </c>
      <c r="L698" t="s">
        <v>57</v>
      </c>
      <c r="N698" s="4">
        <v>44864.176585648151</v>
      </c>
      <c r="O698" t="s">
        <v>57</v>
      </c>
      <c r="P698" s="4">
        <v>44859.176585648151</v>
      </c>
      <c r="Q698" s="4">
        <v>44863.176585648151</v>
      </c>
      <c r="R698" s="4">
        <v>44861.176585648151</v>
      </c>
      <c r="S698" s="4">
        <v>44866.176585648151</v>
      </c>
      <c r="T698">
        <v>1</v>
      </c>
      <c r="U698" s="4">
        <v>44868.176585648151</v>
      </c>
      <c r="V698" s="4">
        <v>44871.176585648151</v>
      </c>
      <c r="W698" s="4">
        <v>44874.176585648151</v>
      </c>
      <c r="Z698" s="4">
        <v>44895.176585648151</v>
      </c>
      <c r="AC698" s="2">
        <f t="shared" si="90"/>
        <v>4</v>
      </c>
      <c r="AD698" s="2">
        <f t="shared" si="91"/>
        <v>23</v>
      </c>
      <c r="AE698" s="2">
        <f t="shared" si="92"/>
        <v>19</v>
      </c>
      <c r="AF698" s="2">
        <f t="shared" si="93"/>
        <v>27</v>
      </c>
      <c r="AG698" s="2">
        <f t="shared" si="94"/>
        <v>4</v>
      </c>
      <c r="AH698" s="4">
        <f t="shared" si="95"/>
        <v>44951.176585648151</v>
      </c>
      <c r="AI698" s="2">
        <f t="shared" si="96"/>
        <v>2</v>
      </c>
      <c r="AJ698" s="2">
        <f t="shared" si="97"/>
        <v>34</v>
      </c>
      <c r="AK698" s="2">
        <f t="shared" si="98"/>
        <v>13</v>
      </c>
    </row>
    <row r="699" spans="1:37" x14ac:dyDescent="0.25">
      <c r="A699">
        <v>351</v>
      </c>
      <c r="B699" t="s">
        <v>790</v>
      </c>
      <c r="C699" t="s">
        <v>676</v>
      </c>
      <c r="D699" t="s">
        <v>757</v>
      </c>
      <c r="E699" t="s">
        <v>62</v>
      </c>
      <c r="F699" t="s">
        <v>744</v>
      </c>
      <c r="G699" t="s">
        <v>38</v>
      </c>
      <c r="H699" s="1">
        <v>44836.176585648151</v>
      </c>
      <c r="I699" s="1">
        <v>44840.176585648151</v>
      </c>
      <c r="J699" t="s">
        <v>32</v>
      </c>
      <c r="K699" s="1">
        <v>44848.176585648151</v>
      </c>
      <c r="L699" t="s">
        <v>33</v>
      </c>
      <c r="M699" t="s">
        <v>108</v>
      </c>
      <c r="T699">
        <v>0</v>
      </c>
      <c r="Y699" t="s">
        <v>55</v>
      </c>
      <c r="AC699" s="2">
        <f t="shared" si="90"/>
        <v>4</v>
      </c>
      <c r="AD699" s="2">
        <f t="shared" si="91"/>
        <v>12</v>
      </c>
      <c r="AE699" s="2">
        <f t="shared" si="92"/>
        <v>8</v>
      </c>
      <c r="AF699" s="2" t="str">
        <f t="shared" si="93"/>
        <v/>
      </c>
      <c r="AG699" s="2" t="str">
        <f t="shared" si="94"/>
        <v/>
      </c>
      <c r="AH699" s="4" t="str">
        <f t="shared" si="95"/>
        <v/>
      </c>
      <c r="AI699" s="2" t="str">
        <f t="shared" si="96"/>
        <v/>
      </c>
      <c r="AJ699" s="2" t="str">
        <f t="shared" si="97"/>
        <v/>
      </c>
      <c r="AK699" s="2" t="str">
        <f t="shared" si="98"/>
        <v/>
      </c>
    </row>
    <row r="700" spans="1:37" x14ac:dyDescent="0.25">
      <c r="A700">
        <v>325</v>
      </c>
      <c r="B700" t="s">
        <v>791</v>
      </c>
      <c r="C700" t="s">
        <v>676</v>
      </c>
      <c r="D700" t="s">
        <v>757</v>
      </c>
      <c r="E700" t="s">
        <v>62</v>
      </c>
      <c r="F700" t="s">
        <v>744</v>
      </c>
      <c r="G700" t="s">
        <v>38</v>
      </c>
      <c r="H700" s="1">
        <v>44577.917696759258</v>
      </c>
      <c r="I700" s="1">
        <v>44578.917696759258</v>
      </c>
      <c r="J700" t="s">
        <v>32</v>
      </c>
      <c r="K700" s="1">
        <v>44584.917696759258</v>
      </c>
      <c r="L700" t="s">
        <v>33</v>
      </c>
      <c r="M700" t="s">
        <v>108</v>
      </c>
      <c r="T700">
        <v>0</v>
      </c>
      <c r="Y700" t="s">
        <v>55</v>
      </c>
      <c r="AC700" s="2">
        <f t="shared" si="90"/>
        <v>1</v>
      </c>
      <c r="AD700" s="2">
        <f t="shared" si="91"/>
        <v>7</v>
      </c>
      <c r="AE700" s="2">
        <f t="shared" si="92"/>
        <v>6</v>
      </c>
      <c r="AF700" s="2" t="str">
        <f t="shared" si="93"/>
        <v/>
      </c>
      <c r="AG700" s="2" t="str">
        <f t="shared" si="94"/>
        <v/>
      </c>
      <c r="AH700" s="4" t="str">
        <f t="shared" si="95"/>
        <v/>
      </c>
      <c r="AI700" s="2" t="str">
        <f t="shared" si="96"/>
        <v/>
      </c>
      <c r="AJ700" s="2" t="str">
        <f t="shared" si="97"/>
        <v/>
      </c>
      <c r="AK700" s="2" t="str">
        <f t="shared" si="98"/>
        <v/>
      </c>
    </row>
    <row r="701" spans="1:37" x14ac:dyDescent="0.25">
      <c r="A701">
        <v>300</v>
      </c>
      <c r="B701" t="s">
        <v>792</v>
      </c>
      <c r="C701" t="s">
        <v>676</v>
      </c>
      <c r="D701" t="s">
        <v>757</v>
      </c>
      <c r="E701" t="s">
        <v>62</v>
      </c>
      <c r="F701" t="s">
        <v>744</v>
      </c>
      <c r="G701" t="s">
        <v>38</v>
      </c>
      <c r="H701" s="1">
        <v>45132.740011574075</v>
      </c>
      <c r="I701" s="1">
        <v>45136.740011574075</v>
      </c>
      <c r="J701" t="s">
        <v>32</v>
      </c>
      <c r="K701" s="1">
        <v>45145.740011574075</v>
      </c>
      <c r="L701" t="s">
        <v>33</v>
      </c>
      <c r="M701" t="s">
        <v>34</v>
      </c>
      <c r="T701">
        <v>0</v>
      </c>
      <c r="Y701" t="s">
        <v>35</v>
      </c>
      <c r="AC701" s="2">
        <f t="shared" si="90"/>
        <v>4</v>
      </c>
      <c r="AD701" s="2">
        <f t="shared" si="91"/>
        <v>13</v>
      </c>
      <c r="AE701" s="2">
        <f t="shared" si="92"/>
        <v>9</v>
      </c>
      <c r="AF701" s="2" t="str">
        <f t="shared" si="93"/>
        <v/>
      </c>
      <c r="AG701" s="2" t="str">
        <f t="shared" si="94"/>
        <v/>
      </c>
      <c r="AH701" s="4" t="str">
        <f t="shared" si="95"/>
        <v/>
      </c>
      <c r="AI701" s="2" t="str">
        <f t="shared" si="96"/>
        <v/>
      </c>
      <c r="AJ701" s="2" t="str">
        <f t="shared" si="97"/>
        <v/>
      </c>
      <c r="AK701" s="2" t="str">
        <f t="shared" si="98"/>
        <v/>
      </c>
    </row>
    <row r="702" spans="1:37" x14ac:dyDescent="0.25">
      <c r="A702">
        <v>299</v>
      </c>
      <c r="B702" t="s">
        <v>793</v>
      </c>
      <c r="C702" t="s">
        <v>676</v>
      </c>
      <c r="D702" t="s">
        <v>757</v>
      </c>
      <c r="E702" t="s">
        <v>62</v>
      </c>
      <c r="F702" t="s">
        <v>744</v>
      </c>
      <c r="G702" t="s">
        <v>38</v>
      </c>
      <c r="H702" s="1">
        <v>45133.740011574075</v>
      </c>
      <c r="I702" s="1">
        <v>45137.740011574075</v>
      </c>
      <c r="J702" t="s">
        <v>32</v>
      </c>
      <c r="K702" s="1">
        <v>45142.740011574075</v>
      </c>
      <c r="L702" t="s">
        <v>164</v>
      </c>
      <c r="N702" s="4">
        <v>45145.740011574075</v>
      </c>
      <c r="O702" t="s">
        <v>164</v>
      </c>
      <c r="R702" s="4">
        <v>45144.740011574075</v>
      </c>
      <c r="T702">
        <v>0</v>
      </c>
      <c r="AC702" s="2">
        <f t="shared" si="90"/>
        <v>4</v>
      </c>
      <c r="AD702" s="2">
        <f t="shared" si="91"/>
        <v>9</v>
      </c>
      <c r="AE702" s="2">
        <f t="shared" si="92"/>
        <v>5</v>
      </c>
      <c r="AF702" s="2">
        <f t="shared" si="93"/>
        <v>11</v>
      </c>
      <c r="AG702" s="2">
        <f t="shared" si="94"/>
        <v>2</v>
      </c>
      <c r="AH702" s="4">
        <f t="shared" si="95"/>
        <v>45234.740011574075</v>
      </c>
      <c r="AI702" s="2" t="str">
        <f t="shared" si="96"/>
        <v/>
      </c>
      <c r="AJ702" s="2" t="str">
        <f t="shared" si="97"/>
        <v/>
      </c>
      <c r="AK702" s="2" t="str">
        <f t="shared" si="98"/>
        <v/>
      </c>
    </row>
    <row r="703" spans="1:37" x14ac:dyDescent="0.25">
      <c r="A703">
        <v>295</v>
      </c>
      <c r="B703" t="s">
        <v>794</v>
      </c>
      <c r="C703" t="s">
        <v>676</v>
      </c>
      <c r="D703" t="s">
        <v>757</v>
      </c>
      <c r="E703" t="s">
        <v>47</v>
      </c>
      <c r="F703" t="s">
        <v>734</v>
      </c>
      <c r="G703" t="s">
        <v>38</v>
      </c>
      <c r="H703" s="1">
        <v>45132.740011574075</v>
      </c>
      <c r="I703" s="1">
        <v>45133.740011574075</v>
      </c>
      <c r="J703" t="s">
        <v>44</v>
      </c>
      <c r="K703" s="1"/>
      <c r="T703">
        <v>0</v>
      </c>
      <c r="AC703" s="2">
        <f t="shared" si="90"/>
        <v>1</v>
      </c>
      <c r="AD703" s="2" t="str">
        <f t="shared" si="91"/>
        <v/>
      </c>
      <c r="AE703" s="2" t="str">
        <f t="shared" si="92"/>
        <v/>
      </c>
      <c r="AF703" s="2" t="str">
        <f t="shared" si="93"/>
        <v/>
      </c>
      <c r="AG703" s="2" t="str">
        <f t="shared" si="94"/>
        <v/>
      </c>
      <c r="AH703" s="4" t="str">
        <f t="shared" si="95"/>
        <v/>
      </c>
      <c r="AI703" s="2" t="str">
        <f t="shared" si="96"/>
        <v/>
      </c>
      <c r="AJ703" s="2" t="str">
        <f t="shared" si="97"/>
        <v/>
      </c>
      <c r="AK703" s="2" t="str">
        <f t="shared" si="98"/>
        <v/>
      </c>
    </row>
    <row r="704" spans="1:37" x14ac:dyDescent="0.25">
      <c r="A704">
        <v>294</v>
      </c>
      <c r="B704" t="s">
        <v>795</v>
      </c>
      <c r="C704" t="s">
        <v>676</v>
      </c>
      <c r="D704" t="s">
        <v>757</v>
      </c>
      <c r="E704" t="s">
        <v>47</v>
      </c>
      <c r="F704" t="s">
        <v>734</v>
      </c>
      <c r="G704" t="s">
        <v>38</v>
      </c>
      <c r="H704" s="1">
        <v>45130.740011574075</v>
      </c>
      <c r="I704" s="1">
        <v>45132.740011574075</v>
      </c>
      <c r="J704" t="s">
        <v>44</v>
      </c>
      <c r="K704" s="1"/>
      <c r="T704">
        <v>0</v>
      </c>
      <c r="AC704" s="2">
        <f t="shared" si="90"/>
        <v>2</v>
      </c>
      <c r="AD704" s="2" t="str">
        <f t="shared" si="91"/>
        <v/>
      </c>
      <c r="AE704" s="2" t="str">
        <f t="shared" si="92"/>
        <v/>
      </c>
      <c r="AF704" s="2" t="str">
        <f t="shared" si="93"/>
        <v/>
      </c>
      <c r="AG704" s="2" t="str">
        <f t="shared" si="94"/>
        <v/>
      </c>
      <c r="AH704" s="4" t="str">
        <f t="shared" si="95"/>
        <v/>
      </c>
      <c r="AI704" s="2" t="str">
        <f t="shared" si="96"/>
        <v/>
      </c>
      <c r="AJ704" s="2" t="str">
        <f t="shared" si="97"/>
        <v/>
      </c>
      <c r="AK704" s="2" t="str">
        <f t="shared" si="98"/>
        <v/>
      </c>
    </row>
    <row r="705" spans="1:37" x14ac:dyDescent="0.25">
      <c r="A705">
        <v>292</v>
      </c>
      <c r="B705" t="s">
        <v>796</v>
      </c>
      <c r="C705" t="s">
        <v>676</v>
      </c>
      <c r="D705" t="s">
        <v>757</v>
      </c>
      <c r="E705" t="s">
        <v>47</v>
      </c>
      <c r="F705" t="s">
        <v>734</v>
      </c>
      <c r="G705" t="s">
        <v>38</v>
      </c>
      <c r="H705" s="1">
        <v>45134.740011574075</v>
      </c>
      <c r="I705" s="1">
        <v>45136.740011574075</v>
      </c>
      <c r="J705" t="s">
        <v>32</v>
      </c>
      <c r="K705" s="1">
        <v>45156.740011574075</v>
      </c>
      <c r="L705" t="s">
        <v>33</v>
      </c>
      <c r="M705" t="s">
        <v>67</v>
      </c>
      <c r="T705">
        <v>0</v>
      </c>
      <c r="Y705" t="s">
        <v>35</v>
      </c>
      <c r="AC705" s="2">
        <f t="shared" si="90"/>
        <v>2</v>
      </c>
      <c r="AD705" s="2">
        <f t="shared" si="91"/>
        <v>22</v>
      </c>
      <c r="AE705" s="2">
        <f t="shared" si="92"/>
        <v>20</v>
      </c>
      <c r="AF705" s="2" t="str">
        <f t="shared" si="93"/>
        <v/>
      </c>
      <c r="AG705" s="2" t="str">
        <f t="shared" si="94"/>
        <v/>
      </c>
      <c r="AH705" s="4" t="str">
        <f t="shared" si="95"/>
        <v/>
      </c>
      <c r="AI705" s="2" t="str">
        <f t="shared" si="96"/>
        <v/>
      </c>
      <c r="AJ705" s="2" t="str">
        <f t="shared" si="97"/>
        <v/>
      </c>
      <c r="AK705" s="2" t="str">
        <f t="shared" si="98"/>
        <v/>
      </c>
    </row>
    <row r="706" spans="1:37" x14ac:dyDescent="0.25">
      <c r="A706">
        <v>200</v>
      </c>
      <c r="B706" t="s">
        <v>797</v>
      </c>
      <c r="C706" t="s">
        <v>676</v>
      </c>
      <c r="D706" t="s">
        <v>757</v>
      </c>
      <c r="E706" t="s">
        <v>47</v>
      </c>
      <c r="F706" t="s">
        <v>734</v>
      </c>
      <c r="G706" t="s">
        <v>38</v>
      </c>
      <c r="H706" s="1">
        <v>44726.769965277781</v>
      </c>
      <c r="I706" s="1">
        <v>44730.769965277781</v>
      </c>
      <c r="J706" t="s">
        <v>32</v>
      </c>
      <c r="K706" s="1">
        <v>44738.769965277781</v>
      </c>
      <c r="L706" t="s">
        <v>39</v>
      </c>
      <c r="N706" s="4">
        <v>44744.769965277781</v>
      </c>
      <c r="O706" t="s">
        <v>39</v>
      </c>
      <c r="R706" s="4">
        <v>44740.769965277781</v>
      </c>
      <c r="T706">
        <v>0</v>
      </c>
      <c r="AC706" s="2">
        <f t="shared" si="90"/>
        <v>4</v>
      </c>
      <c r="AD706" s="2">
        <f t="shared" si="91"/>
        <v>12</v>
      </c>
      <c r="AE706" s="2">
        <f t="shared" si="92"/>
        <v>8</v>
      </c>
      <c r="AF706" s="2">
        <f t="shared" si="93"/>
        <v>14</v>
      </c>
      <c r="AG706" s="2">
        <f t="shared" si="94"/>
        <v>2</v>
      </c>
      <c r="AH706" s="4">
        <f t="shared" si="95"/>
        <v>44830.769965277781</v>
      </c>
      <c r="AI706" s="2" t="str">
        <f t="shared" si="96"/>
        <v/>
      </c>
      <c r="AJ706" s="2" t="str">
        <f t="shared" si="97"/>
        <v/>
      </c>
      <c r="AK706" s="2" t="str">
        <f t="shared" si="98"/>
        <v/>
      </c>
    </row>
    <row r="707" spans="1:37" x14ac:dyDescent="0.25">
      <c r="A707">
        <v>191</v>
      </c>
      <c r="B707" t="s">
        <v>798</v>
      </c>
      <c r="C707" t="s">
        <v>676</v>
      </c>
      <c r="D707" t="s">
        <v>757</v>
      </c>
      <c r="E707" t="s">
        <v>47</v>
      </c>
      <c r="F707" t="s">
        <v>734</v>
      </c>
      <c r="G707" t="s">
        <v>38</v>
      </c>
      <c r="H707" s="1">
        <v>44725.769965277781</v>
      </c>
      <c r="I707" s="1">
        <v>44727.769965277781</v>
      </c>
      <c r="J707" t="s">
        <v>32</v>
      </c>
      <c r="K707" s="1">
        <v>44745.769965277781</v>
      </c>
      <c r="L707" t="s">
        <v>33</v>
      </c>
      <c r="M707" t="s">
        <v>51</v>
      </c>
      <c r="R707" s="4">
        <v>44746.769965277781</v>
      </c>
      <c r="T707">
        <v>0</v>
      </c>
      <c r="Y707" t="s">
        <v>55</v>
      </c>
      <c r="AC707" s="2">
        <f t="shared" ref="AC707:AC770" si="99">IF(AND(I707&lt;&gt;"",H707&lt;&gt;""), I707-H707, "")</f>
        <v>2</v>
      </c>
      <c r="AD707" s="2">
        <f t="shared" ref="AD707:AD770" si="100">IF(AND(K707&lt;&gt;"",H707&lt;&gt;""), K707-H707, "")</f>
        <v>20</v>
      </c>
      <c r="AE707" s="2">
        <f t="shared" ref="AE707:AE770" si="101">IF(AND(K707&lt;&gt;"",I707&lt;&gt;""), K707-I707, "")</f>
        <v>18</v>
      </c>
      <c r="AF707" s="2">
        <f t="shared" ref="AF707:AF770" si="102">IF(AND(R707&lt;&gt;"",H707&lt;&gt;""), R707-H707, "")</f>
        <v>21</v>
      </c>
      <c r="AG707" s="2">
        <f t="shared" ref="AG707:AG770" si="103">IF(AND(R707&lt;&gt;"",K707&lt;&gt;""), R707-K707, "")</f>
        <v>1</v>
      </c>
      <c r="AH707" s="4">
        <f t="shared" ref="AH707:AH770" si="104">IF(R707&lt;&gt;"", R707+90, "")</f>
        <v>44836.769965277781</v>
      </c>
      <c r="AI707" s="2" t="str">
        <f t="shared" ref="AI707:AI770" si="105">IF(AND(U707&lt;&gt;"",S707&lt;&gt;""), U707-S707, "")</f>
        <v/>
      </c>
      <c r="AJ707" s="2" t="str">
        <f t="shared" ref="AJ707:AJ770" si="106">IF(AND(Z707&lt;&gt;"",R707&lt;&gt;""), Z707-R707, "")</f>
        <v/>
      </c>
      <c r="AK707" s="2" t="str">
        <f t="shared" ref="AK707:AK770" si="107">IF(AND(W707&lt;&gt;"",R707&lt;&gt;""), W707-R707, "")</f>
        <v/>
      </c>
    </row>
    <row r="708" spans="1:37" x14ac:dyDescent="0.25">
      <c r="A708">
        <v>164</v>
      </c>
      <c r="B708" t="s">
        <v>799</v>
      </c>
      <c r="C708" t="s">
        <v>676</v>
      </c>
      <c r="D708" t="s">
        <v>757</v>
      </c>
      <c r="E708" t="s">
        <v>716</v>
      </c>
      <c r="F708" t="s">
        <v>717</v>
      </c>
      <c r="G708" t="s">
        <v>38</v>
      </c>
      <c r="H708" s="1">
        <v>44906.64775462963</v>
      </c>
      <c r="I708" s="1">
        <v>44909.64775462963</v>
      </c>
      <c r="J708" t="s">
        <v>32</v>
      </c>
      <c r="K708" s="1">
        <v>44917.64775462963</v>
      </c>
      <c r="L708" t="s">
        <v>33</v>
      </c>
      <c r="M708" t="s">
        <v>92</v>
      </c>
      <c r="T708">
        <v>0</v>
      </c>
      <c r="Y708" t="s">
        <v>35</v>
      </c>
      <c r="AC708" s="2">
        <f t="shared" si="99"/>
        <v>3</v>
      </c>
      <c r="AD708" s="2">
        <f t="shared" si="100"/>
        <v>11</v>
      </c>
      <c r="AE708" s="2">
        <f t="shared" si="101"/>
        <v>8</v>
      </c>
      <c r="AF708" s="2" t="str">
        <f t="shared" si="102"/>
        <v/>
      </c>
      <c r="AG708" s="2" t="str">
        <f t="shared" si="103"/>
        <v/>
      </c>
      <c r="AH708" s="4" t="str">
        <f t="shared" si="104"/>
        <v/>
      </c>
      <c r="AI708" s="2" t="str">
        <f t="shared" si="105"/>
        <v/>
      </c>
      <c r="AJ708" s="2" t="str">
        <f t="shared" si="106"/>
        <v/>
      </c>
      <c r="AK708" s="2" t="str">
        <f t="shared" si="107"/>
        <v/>
      </c>
    </row>
    <row r="709" spans="1:37" x14ac:dyDescent="0.25">
      <c r="A709">
        <v>162</v>
      </c>
      <c r="B709" t="s">
        <v>800</v>
      </c>
      <c r="C709" t="s">
        <v>676</v>
      </c>
      <c r="D709" t="s">
        <v>757</v>
      </c>
      <c r="E709" t="s">
        <v>716</v>
      </c>
      <c r="F709" t="s">
        <v>717</v>
      </c>
      <c r="G709" t="s">
        <v>38</v>
      </c>
      <c r="H709" s="1">
        <v>44904.64775462963</v>
      </c>
      <c r="I709" s="1">
        <v>44907.64775462963</v>
      </c>
      <c r="J709" t="s">
        <v>32</v>
      </c>
      <c r="K709" s="1">
        <v>44923.64775462963</v>
      </c>
      <c r="L709" t="s">
        <v>33</v>
      </c>
      <c r="M709" t="s">
        <v>92</v>
      </c>
      <c r="T709">
        <v>0</v>
      </c>
      <c r="Y709" t="s">
        <v>55</v>
      </c>
      <c r="AC709" s="2">
        <f t="shared" si="99"/>
        <v>3</v>
      </c>
      <c r="AD709" s="2">
        <f t="shared" si="100"/>
        <v>19</v>
      </c>
      <c r="AE709" s="2">
        <f t="shared" si="101"/>
        <v>16</v>
      </c>
      <c r="AF709" s="2" t="str">
        <f t="shared" si="102"/>
        <v/>
      </c>
      <c r="AG709" s="2" t="str">
        <f t="shared" si="103"/>
        <v/>
      </c>
      <c r="AH709" s="4" t="str">
        <f t="shared" si="104"/>
        <v/>
      </c>
      <c r="AI709" s="2" t="str">
        <f t="shared" si="105"/>
        <v/>
      </c>
      <c r="AJ709" s="2" t="str">
        <f t="shared" si="106"/>
        <v/>
      </c>
      <c r="AK709" s="2" t="str">
        <f t="shared" si="107"/>
        <v/>
      </c>
    </row>
    <row r="710" spans="1:37" x14ac:dyDescent="0.25">
      <c r="A710">
        <v>89</v>
      </c>
      <c r="B710" t="s">
        <v>801</v>
      </c>
      <c r="C710" t="s">
        <v>676</v>
      </c>
      <c r="D710" t="s">
        <v>757</v>
      </c>
      <c r="E710" t="s">
        <v>716</v>
      </c>
      <c r="F710" t="s">
        <v>717</v>
      </c>
      <c r="G710" t="s">
        <v>38</v>
      </c>
      <c r="H710" s="1">
        <v>44727.092650462961</v>
      </c>
      <c r="I710" s="1">
        <v>44730.092650462961</v>
      </c>
      <c r="J710" t="s">
        <v>32</v>
      </c>
      <c r="K710" s="1">
        <v>44736.092650462961</v>
      </c>
      <c r="L710" t="s">
        <v>33</v>
      </c>
      <c r="M710" t="s">
        <v>51</v>
      </c>
      <c r="R710" s="4">
        <v>44737.092650462961</v>
      </c>
      <c r="T710">
        <v>0</v>
      </c>
      <c r="Y710" t="s">
        <v>55</v>
      </c>
      <c r="AC710" s="2">
        <f t="shared" si="99"/>
        <v>3</v>
      </c>
      <c r="AD710" s="2">
        <f t="shared" si="100"/>
        <v>9</v>
      </c>
      <c r="AE710" s="2">
        <f t="shared" si="101"/>
        <v>6</v>
      </c>
      <c r="AF710" s="2">
        <f t="shared" si="102"/>
        <v>10</v>
      </c>
      <c r="AG710" s="2">
        <f t="shared" si="103"/>
        <v>1</v>
      </c>
      <c r="AH710" s="4">
        <f t="shared" si="104"/>
        <v>44827.092650462961</v>
      </c>
      <c r="AI710" s="2" t="str">
        <f t="shared" si="105"/>
        <v/>
      </c>
      <c r="AJ710" s="2" t="str">
        <f t="shared" si="106"/>
        <v/>
      </c>
      <c r="AK710" s="2" t="str">
        <f t="shared" si="107"/>
        <v/>
      </c>
    </row>
    <row r="711" spans="1:37" x14ac:dyDescent="0.25">
      <c r="A711">
        <v>83</v>
      </c>
      <c r="B711" t="s">
        <v>802</v>
      </c>
      <c r="C711" t="s">
        <v>676</v>
      </c>
      <c r="D711" t="s">
        <v>757</v>
      </c>
      <c r="E711" t="s">
        <v>716</v>
      </c>
      <c r="F711" t="s">
        <v>717</v>
      </c>
      <c r="G711" t="s">
        <v>38</v>
      </c>
      <c r="H711" s="1">
        <v>44722.092650462961</v>
      </c>
      <c r="I711" s="1">
        <v>44725.092650462961</v>
      </c>
      <c r="J711" t="s">
        <v>32</v>
      </c>
      <c r="K711" s="1">
        <v>44744.092650462961</v>
      </c>
      <c r="L711" t="s">
        <v>39</v>
      </c>
      <c r="N711" s="4">
        <v>44749.092650462961</v>
      </c>
      <c r="O711" t="s">
        <v>39</v>
      </c>
      <c r="R711" s="4">
        <v>44746.092650462961</v>
      </c>
      <c r="T711">
        <v>0</v>
      </c>
      <c r="AC711" s="2">
        <f t="shared" si="99"/>
        <v>3</v>
      </c>
      <c r="AD711" s="2">
        <f t="shared" si="100"/>
        <v>22</v>
      </c>
      <c r="AE711" s="2">
        <f t="shared" si="101"/>
        <v>19</v>
      </c>
      <c r="AF711" s="2">
        <f t="shared" si="102"/>
        <v>24</v>
      </c>
      <c r="AG711" s="2">
        <f t="shared" si="103"/>
        <v>2</v>
      </c>
      <c r="AH711" s="4">
        <f t="shared" si="104"/>
        <v>44836.092650462961</v>
      </c>
      <c r="AI711" s="2" t="str">
        <f t="shared" si="105"/>
        <v/>
      </c>
      <c r="AJ711" s="2" t="str">
        <f t="shared" si="106"/>
        <v/>
      </c>
      <c r="AK711" s="2" t="str">
        <f t="shared" si="107"/>
        <v/>
      </c>
    </row>
    <row r="712" spans="1:37" x14ac:dyDescent="0.25">
      <c r="A712">
        <v>82</v>
      </c>
      <c r="B712" t="s">
        <v>803</v>
      </c>
      <c r="C712" t="s">
        <v>676</v>
      </c>
      <c r="D712" t="s">
        <v>757</v>
      </c>
      <c r="E712" t="s">
        <v>716</v>
      </c>
      <c r="F712" t="s">
        <v>717</v>
      </c>
      <c r="G712" t="s">
        <v>38</v>
      </c>
      <c r="H712" s="1">
        <v>44729.092650462961</v>
      </c>
      <c r="I712" s="1">
        <v>44730.092650462961</v>
      </c>
      <c r="J712" t="s">
        <v>32</v>
      </c>
      <c r="K712" s="1">
        <v>44738.092650462961</v>
      </c>
      <c r="L712" t="s">
        <v>33</v>
      </c>
      <c r="M712" t="s">
        <v>67</v>
      </c>
      <c r="T712">
        <v>0</v>
      </c>
      <c r="Y712" t="s">
        <v>55</v>
      </c>
      <c r="AC712" s="2">
        <f t="shared" si="99"/>
        <v>1</v>
      </c>
      <c r="AD712" s="2">
        <f t="shared" si="100"/>
        <v>9</v>
      </c>
      <c r="AE712" s="2">
        <f t="shared" si="101"/>
        <v>8</v>
      </c>
      <c r="AF712" s="2" t="str">
        <f t="shared" si="102"/>
        <v/>
      </c>
      <c r="AG712" s="2" t="str">
        <f t="shared" si="103"/>
        <v/>
      </c>
      <c r="AH712" s="4" t="str">
        <f t="shared" si="104"/>
        <v/>
      </c>
      <c r="AI712" s="2" t="str">
        <f t="shared" si="105"/>
        <v/>
      </c>
      <c r="AJ712" s="2" t="str">
        <f t="shared" si="106"/>
        <v/>
      </c>
      <c r="AK712" s="2" t="str">
        <f t="shared" si="107"/>
        <v/>
      </c>
    </row>
    <row r="713" spans="1:37" x14ac:dyDescent="0.25">
      <c r="A713">
        <v>45</v>
      </c>
      <c r="B713" t="s">
        <v>804</v>
      </c>
      <c r="C713" t="s">
        <v>676</v>
      </c>
      <c r="D713" t="s">
        <v>757</v>
      </c>
      <c r="E713" t="s">
        <v>716</v>
      </c>
      <c r="F713" t="s">
        <v>717</v>
      </c>
      <c r="G713" t="s">
        <v>38</v>
      </c>
      <c r="H713" s="1">
        <v>44622.885358796295</v>
      </c>
      <c r="I713" s="1">
        <v>44623.885358796295</v>
      </c>
      <c r="J713" t="s">
        <v>44</v>
      </c>
      <c r="K713" s="1"/>
      <c r="T713">
        <v>0</v>
      </c>
      <c r="AC713" s="2">
        <f t="shared" si="99"/>
        <v>1</v>
      </c>
      <c r="AD713" s="2" t="str">
        <f t="shared" si="100"/>
        <v/>
      </c>
      <c r="AE713" s="2" t="str">
        <f t="shared" si="101"/>
        <v/>
      </c>
      <c r="AF713" s="2" t="str">
        <f t="shared" si="102"/>
        <v/>
      </c>
      <c r="AG713" s="2" t="str">
        <f t="shared" si="103"/>
        <v/>
      </c>
      <c r="AH713" s="4" t="str">
        <f t="shared" si="104"/>
        <v/>
      </c>
      <c r="AI713" s="2" t="str">
        <f t="shared" si="105"/>
        <v/>
      </c>
      <c r="AJ713" s="2" t="str">
        <f t="shared" si="106"/>
        <v/>
      </c>
      <c r="AK713" s="2" t="str">
        <f t="shared" si="107"/>
        <v/>
      </c>
    </row>
    <row r="714" spans="1:37" x14ac:dyDescent="0.25">
      <c r="A714">
        <v>2988</v>
      </c>
      <c r="B714" t="s">
        <v>805</v>
      </c>
      <c r="C714" t="s">
        <v>806</v>
      </c>
      <c r="D714" t="s">
        <v>807</v>
      </c>
      <c r="E714" t="s">
        <v>716</v>
      </c>
      <c r="F714" t="s">
        <v>808</v>
      </c>
      <c r="G714" t="s">
        <v>98</v>
      </c>
      <c r="H714" s="1">
        <v>44923.987974537034</v>
      </c>
      <c r="I714" s="1">
        <v>44927.987974537034</v>
      </c>
      <c r="J714" t="s">
        <v>32</v>
      </c>
      <c r="K714" s="1">
        <v>44933.987974537034</v>
      </c>
      <c r="L714" t="s">
        <v>33</v>
      </c>
      <c r="M714" t="s">
        <v>67</v>
      </c>
      <c r="T714">
        <v>0</v>
      </c>
      <c r="Y714" t="s">
        <v>35</v>
      </c>
      <c r="AC714" s="2">
        <f t="shared" si="99"/>
        <v>4</v>
      </c>
      <c r="AD714" s="2">
        <f t="shared" si="100"/>
        <v>10</v>
      </c>
      <c r="AE714" s="2">
        <f t="shared" si="101"/>
        <v>6</v>
      </c>
      <c r="AF714" s="2" t="str">
        <f t="shared" si="102"/>
        <v/>
      </c>
      <c r="AG714" s="2" t="str">
        <f t="shared" si="103"/>
        <v/>
      </c>
      <c r="AH714" s="4" t="str">
        <f t="shared" si="104"/>
        <v/>
      </c>
      <c r="AI714" s="2" t="str">
        <f t="shared" si="105"/>
        <v/>
      </c>
      <c r="AJ714" s="2" t="str">
        <f t="shared" si="106"/>
        <v/>
      </c>
      <c r="AK714" s="2" t="str">
        <f t="shared" si="107"/>
        <v/>
      </c>
    </row>
    <row r="715" spans="1:37" x14ac:dyDescent="0.25">
      <c r="A715">
        <v>2981</v>
      </c>
      <c r="B715" t="s">
        <v>809</v>
      </c>
      <c r="C715" t="s">
        <v>806</v>
      </c>
      <c r="D715" t="s">
        <v>807</v>
      </c>
      <c r="E715" t="s">
        <v>716</v>
      </c>
      <c r="F715" t="s">
        <v>808</v>
      </c>
      <c r="G715" t="s">
        <v>98</v>
      </c>
      <c r="H715" s="1">
        <v>44924.987974537034</v>
      </c>
      <c r="I715" s="1">
        <v>44926.987974537034</v>
      </c>
      <c r="J715" t="s">
        <v>32</v>
      </c>
      <c r="K715" s="1">
        <v>44946.987974537034</v>
      </c>
      <c r="L715" t="s">
        <v>33</v>
      </c>
      <c r="M715" t="s">
        <v>51</v>
      </c>
      <c r="T715">
        <v>0</v>
      </c>
      <c r="Y715" t="s">
        <v>35</v>
      </c>
      <c r="AC715" s="2">
        <f t="shared" si="99"/>
        <v>2</v>
      </c>
      <c r="AD715" s="2">
        <f t="shared" si="100"/>
        <v>22</v>
      </c>
      <c r="AE715" s="2">
        <f t="shared" si="101"/>
        <v>20</v>
      </c>
      <c r="AF715" s="2" t="str">
        <f t="shared" si="102"/>
        <v/>
      </c>
      <c r="AG715" s="2" t="str">
        <f t="shared" si="103"/>
        <v/>
      </c>
      <c r="AH715" s="4" t="str">
        <f t="shared" si="104"/>
        <v/>
      </c>
      <c r="AI715" s="2" t="str">
        <f t="shared" si="105"/>
        <v/>
      </c>
      <c r="AJ715" s="2" t="str">
        <f t="shared" si="106"/>
        <v/>
      </c>
      <c r="AK715" s="2" t="str">
        <f t="shared" si="107"/>
        <v/>
      </c>
    </row>
    <row r="716" spans="1:37" x14ac:dyDescent="0.25">
      <c r="A716">
        <v>2902</v>
      </c>
      <c r="B716" t="s">
        <v>810</v>
      </c>
      <c r="C716" t="s">
        <v>806</v>
      </c>
      <c r="D716" t="s">
        <v>807</v>
      </c>
      <c r="E716" t="s">
        <v>716</v>
      </c>
      <c r="F716" t="s">
        <v>808</v>
      </c>
      <c r="G716" t="s">
        <v>98</v>
      </c>
      <c r="H716" s="1">
        <v>44619.299814814818</v>
      </c>
      <c r="I716" s="1">
        <v>44620.299814814818</v>
      </c>
      <c r="J716" t="s">
        <v>32</v>
      </c>
      <c r="K716" s="1">
        <v>44629.299814814818</v>
      </c>
      <c r="L716" t="s">
        <v>33</v>
      </c>
      <c r="M716" t="s">
        <v>67</v>
      </c>
      <c r="T716">
        <v>0</v>
      </c>
      <c r="Y716" t="s">
        <v>35</v>
      </c>
      <c r="AC716" s="2">
        <f t="shared" si="99"/>
        <v>1</v>
      </c>
      <c r="AD716" s="2">
        <f t="shared" si="100"/>
        <v>10</v>
      </c>
      <c r="AE716" s="2">
        <f t="shared" si="101"/>
        <v>9</v>
      </c>
      <c r="AF716" s="2" t="str">
        <f t="shared" si="102"/>
        <v/>
      </c>
      <c r="AG716" s="2" t="str">
        <f t="shared" si="103"/>
        <v/>
      </c>
      <c r="AH716" s="4" t="str">
        <f t="shared" si="104"/>
        <v/>
      </c>
      <c r="AI716" s="2" t="str">
        <f t="shared" si="105"/>
        <v/>
      </c>
      <c r="AJ716" s="2" t="str">
        <f t="shared" si="106"/>
        <v/>
      </c>
      <c r="AK716" s="2" t="str">
        <f t="shared" si="107"/>
        <v/>
      </c>
    </row>
    <row r="717" spans="1:37" x14ac:dyDescent="0.25">
      <c r="A717">
        <v>2901</v>
      </c>
      <c r="B717" t="s">
        <v>811</v>
      </c>
      <c r="C717" t="s">
        <v>806</v>
      </c>
      <c r="D717" t="s">
        <v>807</v>
      </c>
      <c r="E717" t="s">
        <v>716</v>
      </c>
      <c r="F717" t="s">
        <v>808</v>
      </c>
      <c r="G717" t="s">
        <v>98</v>
      </c>
      <c r="H717" s="1">
        <v>44620.299814814818</v>
      </c>
      <c r="I717" s="1">
        <v>44621.299814814818</v>
      </c>
      <c r="J717" t="s">
        <v>32</v>
      </c>
      <c r="K717" s="1">
        <v>44637.299814814818</v>
      </c>
      <c r="L717" t="s">
        <v>33</v>
      </c>
      <c r="M717" t="s">
        <v>34</v>
      </c>
      <c r="T717">
        <v>0</v>
      </c>
      <c r="Y717" t="s">
        <v>35</v>
      </c>
      <c r="AC717" s="2">
        <f t="shared" si="99"/>
        <v>1</v>
      </c>
      <c r="AD717" s="2">
        <f t="shared" si="100"/>
        <v>17</v>
      </c>
      <c r="AE717" s="2">
        <f t="shared" si="101"/>
        <v>16</v>
      </c>
      <c r="AF717" s="2" t="str">
        <f t="shared" si="102"/>
        <v/>
      </c>
      <c r="AG717" s="2" t="str">
        <f t="shared" si="103"/>
        <v/>
      </c>
      <c r="AH717" s="4" t="str">
        <f t="shared" si="104"/>
        <v/>
      </c>
      <c r="AI717" s="2" t="str">
        <f t="shared" si="105"/>
        <v/>
      </c>
      <c r="AJ717" s="2" t="str">
        <f t="shared" si="106"/>
        <v/>
      </c>
      <c r="AK717" s="2" t="str">
        <f t="shared" si="107"/>
        <v/>
      </c>
    </row>
    <row r="718" spans="1:37" x14ac:dyDescent="0.25">
      <c r="A718">
        <v>2817</v>
      </c>
      <c r="B718" t="s">
        <v>812</v>
      </c>
      <c r="C718" t="s">
        <v>806</v>
      </c>
      <c r="D718" t="s">
        <v>807</v>
      </c>
      <c r="E718" t="s">
        <v>716</v>
      </c>
      <c r="F718" t="s">
        <v>808</v>
      </c>
      <c r="G718" t="s">
        <v>98</v>
      </c>
      <c r="H718" s="1">
        <v>44895.862592592595</v>
      </c>
      <c r="I718" s="1">
        <v>44896.862592592595</v>
      </c>
      <c r="J718" t="s">
        <v>32</v>
      </c>
      <c r="K718" s="1">
        <v>44907.862592592595</v>
      </c>
      <c r="L718" t="s">
        <v>33</v>
      </c>
      <c r="M718" t="s">
        <v>108</v>
      </c>
      <c r="R718" s="4">
        <v>44911.862592592595</v>
      </c>
      <c r="T718">
        <v>0</v>
      </c>
      <c r="Y718" t="s">
        <v>55</v>
      </c>
      <c r="AC718" s="2">
        <f t="shared" si="99"/>
        <v>1</v>
      </c>
      <c r="AD718" s="2">
        <f t="shared" si="100"/>
        <v>12</v>
      </c>
      <c r="AE718" s="2">
        <f t="shared" si="101"/>
        <v>11</v>
      </c>
      <c r="AF718" s="2">
        <f t="shared" si="102"/>
        <v>16</v>
      </c>
      <c r="AG718" s="2">
        <f t="shared" si="103"/>
        <v>4</v>
      </c>
      <c r="AH718" s="4">
        <f t="shared" si="104"/>
        <v>45001.862592592595</v>
      </c>
      <c r="AI718" s="2" t="str">
        <f t="shared" si="105"/>
        <v/>
      </c>
      <c r="AJ718" s="2" t="str">
        <f t="shared" si="106"/>
        <v/>
      </c>
      <c r="AK718" s="2" t="str">
        <f t="shared" si="107"/>
        <v/>
      </c>
    </row>
    <row r="719" spans="1:37" x14ac:dyDescent="0.25">
      <c r="A719">
        <v>2696</v>
      </c>
      <c r="B719" t="s">
        <v>813</v>
      </c>
      <c r="C719" t="s">
        <v>806</v>
      </c>
      <c r="D719" t="s">
        <v>807</v>
      </c>
      <c r="E719" t="s">
        <v>716</v>
      </c>
      <c r="F719" t="s">
        <v>808</v>
      </c>
      <c r="G719" t="s">
        <v>98</v>
      </c>
      <c r="H719" s="1">
        <v>45017.99291666667</v>
      </c>
      <c r="I719" s="1">
        <v>45021.99291666667</v>
      </c>
      <c r="J719" t="s">
        <v>32</v>
      </c>
      <c r="K719" s="1">
        <v>45034.99291666667</v>
      </c>
      <c r="L719" t="s">
        <v>33</v>
      </c>
      <c r="M719" t="s">
        <v>51</v>
      </c>
      <c r="T719">
        <v>0</v>
      </c>
      <c r="Y719" t="s">
        <v>35</v>
      </c>
      <c r="AC719" s="2">
        <f t="shared" si="99"/>
        <v>4</v>
      </c>
      <c r="AD719" s="2">
        <f t="shared" si="100"/>
        <v>17</v>
      </c>
      <c r="AE719" s="2">
        <f t="shared" si="101"/>
        <v>13</v>
      </c>
      <c r="AF719" s="2" t="str">
        <f t="shared" si="102"/>
        <v/>
      </c>
      <c r="AG719" s="2" t="str">
        <f t="shared" si="103"/>
        <v/>
      </c>
      <c r="AH719" s="4" t="str">
        <f t="shared" si="104"/>
        <v/>
      </c>
      <c r="AI719" s="2" t="str">
        <f t="shared" si="105"/>
        <v/>
      </c>
      <c r="AJ719" s="2" t="str">
        <f t="shared" si="106"/>
        <v/>
      </c>
      <c r="AK719" s="2" t="str">
        <f t="shared" si="107"/>
        <v/>
      </c>
    </row>
    <row r="720" spans="1:37" x14ac:dyDescent="0.25">
      <c r="A720">
        <v>2347</v>
      </c>
      <c r="B720" t="s">
        <v>814</v>
      </c>
      <c r="C720" t="s">
        <v>806</v>
      </c>
      <c r="D720" t="s">
        <v>807</v>
      </c>
      <c r="E720" t="s">
        <v>716</v>
      </c>
      <c r="F720" t="s">
        <v>808</v>
      </c>
      <c r="G720" t="s">
        <v>98</v>
      </c>
      <c r="H720" s="1">
        <v>45055.364525462966</v>
      </c>
      <c r="I720" s="1">
        <v>45057.364525462966</v>
      </c>
      <c r="J720" t="s">
        <v>32</v>
      </c>
      <c r="K720" s="1">
        <v>45068.364525462966</v>
      </c>
      <c r="L720" t="s">
        <v>33</v>
      </c>
      <c r="M720" t="s">
        <v>108</v>
      </c>
      <c r="T720">
        <v>0</v>
      </c>
      <c r="Y720" t="s">
        <v>55</v>
      </c>
      <c r="AC720" s="2">
        <f t="shared" si="99"/>
        <v>2</v>
      </c>
      <c r="AD720" s="2">
        <f t="shared" si="100"/>
        <v>13</v>
      </c>
      <c r="AE720" s="2">
        <f t="shared" si="101"/>
        <v>11</v>
      </c>
      <c r="AF720" s="2" t="str">
        <f t="shared" si="102"/>
        <v/>
      </c>
      <c r="AG720" s="2" t="str">
        <f t="shared" si="103"/>
        <v/>
      </c>
      <c r="AH720" s="4" t="str">
        <f t="shared" si="104"/>
        <v/>
      </c>
      <c r="AI720" s="2" t="str">
        <f t="shared" si="105"/>
        <v/>
      </c>
      <c r="AJ720" s="2" t="str">
        <f t="shared" si="106"/>
        <v/>
      </c>
      <c r="AK720" s="2" t="str">
        <f t="shared" si="107"/>
        <v/>
      </c>
    </row>
    <row r="721" spans="1:37" x14ac:dyDescent="0.25">
      <c r="A721">
        <v>2298</v>
      </c>
      <c r="B721" t="s">
        <v>815</v>
      </c>
      <c r="C721" t="s">
        <v>806</v>
      </c>
      <c r="D721" t="s">
        <v>807</v>
      </c>
      <c r="E721" t="s">
        <v>716</v>
      </c>
      <c r="F721" t="s">
        <v>808</v>
      </c>
      <c r="G721" t="s">
        <v>98</v>
      </c>
      <c r="H721" s="1">
        <v>45109.656666666669</v>
      </c>
      <c r="I721" s="1">
        <v>45112.656666666669</v>
      </c>
      <c r="J721" t="s">
        <v>32</v>
      </c>
      <c r="K721" s="1">
        <v>45127.656666666669</v>
      </c>
      <c r="L721" t="s">
        <v>33</v>
      </c>
      <c r="M721" t="s">
        <v>51</v>
      </c>
      <c r="R721" s="4">
        <v>45129.656666666669</v>
      </c>
      <c r="T721">
        <v>0</v>
      </c>
      <c r="Y721" t="s">
        <v>35</v>
      </c>
      <c r="AC721" s="2">
        <f t="shared" si="99"/>
        <v>3</v>
      </c>
      <c r="AD721" s="2">
        <f t="shared" si="100"/>
        <v>18</v>
      </c>
      <c r="AE721" s="2">
        <f t="shared" si="101"/>
        <v>15</v>
      </c>
      <c r="AF721" s="2">
        <f t="shared" si="102"/>
        <v>20</v>
      </c>
      <c r="AG721" s="2">
        <f t="shared" si="103"/>
        <v>2</v>
      </c>
      <c r="AH721" s="4">
        <f t="shared" si="104"/>
        <v>45219.656666666669</v>
      </c>
      <c r="AI721" s="2" t="str">
        <f t="shared" si="105"/>
        <v/>
      </c>
      <c r="AJ721" s="2" t="str">
        <f t="shared" si="106"/>
        <v/>
      </c>
      <c r="AK721" s="2" t="str">
        <f t="shared" si="107"/>
        <v/>
      </c>
    </row>
    <row r="722" spans="1:37" x14ac:dyDescent="0.25">
      <c r="A722">
        <v>2048</v>
      </c>
      <c r="B722" t="s">
        <v>816</v>
      </c>
      <c r="C722" t="s">
        <v>806</v>
      </c>
      <c r="D722" t="s">
        <v>807</v>
      </c>
      <c r="E722" t="s">
        <v>716</v>
      </c>
      <c r="F722" t="s">
        <v>808</v>
      </c>
      <c r="G722" t="s">
        <v>98</v>
      </c>
      <c r="H722" s="1">
        <v>44755.200532407405</v>
      </c>
      <c r="I722" s="1">
        <v>44759.200532407405</v>
      </c>
      <c r="J722" t="s">
        <v>32</v>
      </c>
      <c r="K722" s="1">
        <v>44775.200532407405</v>
      </c>
      <c r="L722" t="s">
        <v>33</v>
      </c>
      <c r="M722" t="s">
        <v>67</v>
      </c>
      <c r="T722">
        <v>0</v>
      </c>
      <c r="Y722" t="s">
        <v>35</v>
      </c>
      <c r="AC722" s="2">
        <f t="shared" si="99"/>
        <v>4</v>
      </c>
      <c r="AD722" s="2">
        <f t="shared" si="100"/>
        <v>20</v>
      </c>
      <c r="AE722" s="2">
        <f t="shared" si="101"/>
        <v>16</v>
      </c>
      <c r="AF722" s="2" t="str">
        <f t="shared" si="102"/>
        <v/>
      </c>
      <c r="AG722" s="2" t="str">
        <f t="shared" si="103"/>
        <v/>
      </c>
      <c r="AH722" s="4" t="str">
        <f t="shared" si="104"/>
        <v/>
      </c>
      <c r="AI722" s="2" t="str">
        <f t="shared" si="105"/>
        <v/>
      </c>
      <c r="AJ722" s="2" t="str">
        <f t="shared" si="106"/>
        <v/>
      </c>
      <c r="AK722" s="2" t="str">
        <f t="shared" si="107"/>
        <v/>
      </c>
    </row>
    <row r="723" spans="1:37" x14ac:dyDescent="0.25">
      <c r="A723">
        <v>2019</v>
      </c>
      <c r="B723" t="s">
        <v>817</v>
      </c>
      <c r="C723" t="s">
        <v>806</v>
      </c>
      <c r="D723" t="s">
        <v>807</v>
      </c>
      <c r="E723" t="s">
        <v>716</v>
      </c>
      <c r="F723" t="s">
        <v>808</v>
      </c>
      <c r="G723" t="s">
        <v>98</v>
      </c>
      <c r="H723" s="1">
        <v>45082.58390046296</v>
      </c>
      <c r="I723" s="1">
        <v>45085.58390046296</v>
      </c>
      <c r="J723" t="s">
        <v>32</v>
      </c>
      <c r="K723" s="1">
        <v>45091.58390046296</v>
      </c>
      <c r="L723" t="s">
        <v>33</v>
      </c>
      <c r="M723" t="s">
        <v>51</v>
      </c>
      <c r="R723" s="4">
        <v>45094.58390046296</v>
      </c>
      <c r="T723">
        <v>0</v>
      </c>
      <c r="Y723" t="s">
        <v>35</v>
      </c>
      <c r="AC723" s="2">
        <f t="shared" si="99"/>
        <v>3</v>
      </c>
      <c r="AD723" s="2">
        <f t="shared" si="100"/>
        <v>9</v>
      </c>
      <c r="AE723" s="2">
        <f t="shared" si="101"/>
        <v>6</v>
      </c>
      <c r="AF723" s="2">
        <f t="shared" si="102"/>
        <v>12</v>
      </c>
      <c r="AG723" s="2">
        <f t="shared" si="103"/>
        <v>3</v>
      </c>
      <c r="AH723" s="4">
        <f t="shared" si="104"/>
        <v>45184.58390046296</v>
      </c>
      <c r="AI723" s="2" t="str">
        <f t="shared" si="105"/>
        <v/>
      </c>
      <c r="AJ723" s="2" t="str">
        <f t="shared" si="106"/>
        <v/>
      </c>
      <c r="AK723" s="2" t="str">
        <f t="shared" si="107"/>
        <v/>
      </c>
    </row>
    <row r="724" spans="1:37" x14ac:dyDescent="0.25">
      <c r="A724">
        <v>1948</v>
      </c>
      <c r="B724" t="s">
        <v>818</v>
      </c>
      <c r="C724" t="s">
        <v>806</v>
      </c>
      <c r="D724" t="s">
        <v>807</v>
      </c>
      <c r="E724" t="s">
        <v>96</v>
      </c>
      <c r="F724" t="s">
        <v>819</v>
      </c>
      <c r="G724" t="s">
        <v>98</v>
      </c>
      <c r="H724" s="1">
        <v>44981.264120370368</v>
      </c>
      <c r="I724" s="1">
        <v>44984.264120370368</v>
      </c>
      <c r="J724" t="s">
        <v>32</v>
      </c>
      <c r="K724" s="1">
        <v>45005.264120370368</v>
      </c>
      <c r="L724" t="s">
        <v>33</v>
      </c>
      <c r="M724" t="s">
        <v>51</v>
      </c>
      <c r="T724">
        <v>0</v>
      </c>
      <c r="Y724" t="s">
        <v>35</v>
      </c>
      <c r="AC724" s="2">
        <f t="shared" si="99"/>
        <v>3</v>
      </c>
      <c r="AD724" s="2">
        <f t="shared" si="100"/>
        <v>24</v>
      </c>
      <c r="AE724" s="2">
        <f t="shared" si="101"/>
        <v>21</v>
      </c>
      <c r="AF724" s="2" t="str">
        <f t="shared" si="102"/>
        <v/>
      </c>
      <c r="AG724" s="2" t="str">
        <f t="shared" si="103"/>
        <v/>
      </c>
      <c r="AH724" s="4" t="str">
        <f t="shared" si="104"/>
        <v/>
      </c>
      <c r="AI724" s="2" t="str">
        <f t="shared" si="105"/>
        <v/>
      </c>
      <c r="AJ724" s="2" t="str">
        <f t="shared" si="106"/>
        <v/>
      </c>
      <c r="AK724" s="2" t="str">
        <f t="shared" si="107"/>
        <v/>
      </c>
    </row>
    <row r="725" spans="1:37" x14ac:dyDescent="0.25">
      <c r="A725">
        <v>1840</v>
      </c>
      <c r="B725" t="s">
        <v>820</v>
      </c>
      <c r="C725" t="s">
        <v>806</v>
      </c>
      <c r="D725" t="s">
        <v>807</v>
      </c>
      <c r="E725" t="s">
        <v>96</v>
      </c>
      <c r="F725" t="s">
        <v>819</v>
      </c>
      <c r="G725" t="s">
        <v>98</v>
      </c>
      <c r="H725" s="1">
        <v>45037.367280092592</v>
      </c>
      <c r="I725" s="1">
        <v>45039.367280092592</v>
      </c>
      <c r="J725" t="s">
        <v>32</v>
      </c>
      <c r="K725" s="1">
        <v>45047.367280092592</v>
      </c>
      <c r="L725" t="s">
        <v>33</v>
      </c>
      <c r="M725" t="s">
        <v>67</v>
      </c>
      <c r="T725">
        <v>0</v>
      </c>
      <c r="Y725" t="s">
        <v>35</v>
      </c>
      <c r="AC725" s="2">
        <f t="shared" si="99"/>
        <v>2</v>
      </c>
      <c r="AD725" s="2">
        <f t="shared" si="100"/>
        <v>10</v>
      </c>
      <c r="AE725" s="2">
        <f t="shared" si="101"/>
        <v>8</v>
      </c>
      <c r="AF725" s="2" t="str">
        <f t="shared" si="102"/>
        <v/>
      </c>
      <c r="AG725" s="2" t="str">
        <f t="shared" si="103"/>
        <v/>
      </c>
      <c r="AH725" s="4" t="str">
        <f t="shared" si="104"/>
        <v/>
      </c>
      <c r="AI725" s="2" t="str">
        <f t="shared" si="105"/>
        <v/>
      </c>
      <c r="AJ725" s="2" t="str">
        <f t="shared" si="106"/>
        <v/>
      </c>
      <c r="AK725" s="2" t="str">
        <f t="shared" si="107"/>
        <v/>
      </c>
    </row>
    <row r="726" spans="1:37" x14ac:dyDescent="0.25">
      <c r="A726">
        <v>1781</v>
      </c>
      <c r="B726" t="s">
        <v>821</v>
      </c>
      <c r="C726" t="s">
        <v>806</v>
      </c>
      <c r="D726" t="s">
        <v>807</v>
      </c>
      <c r="E726" t="s">
        <v>96</v>
      </c>
      <c r="F726" t="s">
        <v>819</v>
      </c>
      <c r="G726" t="s">
        <v>98</v>
      </c>
      <c r="H726" s="1">
        <v>44658.356493055559</v>
      </c>
      <c r="I726" s="1">
        <v>44659.356493055559</v>
      </c>
      <c r="J726" t="s">
        <v>32</v>
      </c>
      <c r="K726" s="1">
        <v>44673.356493055559</v>
      </c>
      <c r="L726" t="s">
        <v>33</v>
      </c>
      <c r="M726" t="s">
        <v>108</v>
      </c>
      <c r="T726">
        <v>0</v>
      </c>
      <c r="Y726" t="s">
        <v>35</v>
      </c>
      <c r="AC726" s="2">
        <f t="shared" si="99"/>
        <v>1</v>
      </c>
      <c r="AD726" s="2">
        <f t="shared" si="100"/>
        <v>15</v>
      </c>
      <c r="AE726" s="2">
        <f t="shared" si="101"/>
        <v>14</v>
      </c>
      <c r="AF726" s="2" t="str">
        <f t="shared" si="102"/>
        <v/>
      </c>
      <c r="AG726" s="2" t="str">
        <f t="shared" si="103"/>
        <v/>
      </c>
      <c r="AH726" s="4" t="str">
        <f t="shared" si="104"/>
        <v/>
      </c>
      <c r="AI726" s="2" t="str">
        <f t="shared" si="105"/>
        <v/>
      </c>
      <c r="AJ726" s="2" t="str">
        <f t="shared" si="106"/>
        <v/>
      </c>
      <c r="AK726" s="2" t="str">
        <f t="shared" si="107"/>
        <v/>
      </c>
    </row>
    <row r="727" spans="1:37" x14ac:dyDescent="0.25">
      <c r="A727">
        <v>1728</v>
      </c>
      <c r="B727" t="s">
        <v>822</v>
      </c>
      <c r="C727" t="s">
        <v>806</v>
      </c>
      <c r="D727" t="s">
        <v>807</v>
      </c>
      <c r="E727" t="s">
        <v>96</v>
      </c>
      <c r="F727" t="s">
        <v>819</v>
      </c>
      <c r="G727" t="s">
        <v>98</v>
      </c>
      <c r="H727" s="1">
        <v>44860.500428240739</v>
      </c>
      <c r="I727" s="1">
        <v>44864.500428240739</v>
      </c>
      <c r="J727" t="s">
        <v>32</v>
      </c>
      <c r="K727" s="1">
        <v>44876.500428240739</v>
      </c>
      <c r="L727" t="s">
        <v>33</v>
      </c>
      <c r="M727" t="s">
        <v>108</v>
      </c>
      <c r="R727" s="4">
        <v>44878.500428240739</v>
      </c>
      <c r="T727">
        <v>0</v>
      </c>
      <c r="Y727" t="s">
        <v>35</v>
      </c>
      <c r="AC727" s="2">
        <f t="shared" si="99"/>
        <v>4</v>
      </c>
      <c r="AD727" s="2">
        <f t="shared" si="100"/>
        <v>16</v>
      </c>
      <c r="AE727" s="2">
        <f t="shared" si="101"/>
        <v>12</v>
      </c>
      <c r="AF727" s="2">
        <f t="shared" si="102"/>
        <v>18</v>
      </c>
      <c r="AG727" s="2">
        <f t="shared" si="103"/>
        <v>2</v>
      </c>
      <c r="AH727" s="4">
        <f t="shared" si="104"/>
        <v>44968.500428240739</v>
      </c>
      <c r="AI727" s="2" t="str">
        <f t="shared" si="105"/>
        <v/>
      </c>
      <c r="AJ727" s="2" t="str">
        <f t="shared" si="106"/>
        <v/>
      </c>
      <c r="AK727" s="2" t="str">
        <f t="shared" si="107"/>
        <v/>
      </c>
    </row>
    <row r="728" spans="1:37" x14ac:dyDescent="0.25">
      <c r="A728">
        <v>1371</v>
      </c>
      <c r="B728" t="s">
        <v>823</v>
      </c>
      <c r="C728" t="s">
        <v>806</v>
      </c>
      <c r="D728" t="s">
        <v>807</v>
      </c>
      <c r="E728" t="s">
        <v>96</v>
      </c>
      <c r="F728" t="s">
        <v>819</v>
      </c>
      <c r="G728" t="s">
        <v>98</v>
      </c>
      <c r="H728" s="1">
        <v>44865.130648148152</v>
      </c>
      <c r="I728" s="1">
        <v>44868.130648148152</v>
      </c>
      <c r="J728" t="s">
        <v>32</v>
      </c>
      <c r="K728" s="1">
        <v>44886.130648148152</v>
      </c>
      <c r="L728" t="s">
        <v>33</v>
      </c>
      <c r="M728" t="s">
        <v>51</v>
      </c>
      <c r="R728" s="4">
        <v>44890.130648148152</v>
      </c>
      <c r="T728">
        <v>0</v>
      </c>
      <c r="Y728" t="s">
        <v>35</v>
      </c>
      <c r="AC728" s="2">
        <f t="shared" si="99"/>
        <v>3</v>
      </c>
      <c r="AD728" s="2">
        <f t="shared" si="100"/>
        <v>21</v>
      </c>
      <c r="AE728" s="2">
        <f t="shared" si="101"/>
        <v>18</v>
      </c>
      <c r="AF728" s="2">
        <f t="shared" si="102"/>
        <v>25</v>
      </c>
      <c r="AG728" s="2">
        <f t="shared" si="103"/>
        <v>4</v>
      </c>
      <c r="AH728" s="4">
        <f t="shared" si="104"/>
        <v>44980.130648148152</v>
      </c>
      <c r="AI728" s="2" t="str">
        <f t="shared" si="105"/>
        <v/>
      </c>
      <c r="AJ728" s="2" t="str">
        <f t="shared" si="106"/>
        <v/>
      </c>
      <c r="AK728" s="2" t="str">
        <f t="shared" si="107"/>
        <v/>
      </c>
    </row>
    <row r="729" spans="1:37" x14ac:dyDescent="0.25">
      <c r="A729">
        <v>1058</v>
      </c>
      <c r="B729" t="s">
        <v>824</v>
      </c>
      <c r="C729" t="s">
        <v>806</v>
      </c>
      <c r="D729" t="s">
        <v>807</v>
      </c>
      <c r="E729" t="s">
        <v>96</v>
      </c>
      <c r="F729" t="s">
        <v>819</v>
      </c>
      <c r="G729" t="s">
        <v>98</v>
      </c>
      <c r="H729" s="1">
        <v>45153.180486111109</v>
      </c>
      <c r="I729" s="1">
        <v>45157.180486111109</v>
      </c>
      <c r="J729" t="s">
        <v>32</v>
      </c>
      <c r="K729" s="1">
        <v>45174.180486111109</v>
      </c>
      <c r="L729" t="s">
        <v>33</v>
      </c>
      <c r="M729" t="s">
        <v>67</v>
      </c>
      <c r="T729">
        <v>0</v>
      </c>
      <c r="Y729" t="s">
        <v>55</v>
      </c>
      <c r="AC729" s="2">
        <f t="shared" si="99"/>
        <v>4</v>
      </c>
      <c r="AD729" s="2">
        <f t="shared" si="100"/>
        <v>21</v>
      </c>
      <c r="AE729" s="2">
        <f t="shared" si="101"/>
        <v>17</v>
      </c>
      <c r="AF729" s="2" t="str">
        <f t="shared" si="102"/>
        <v/>
      </c>
      <c r="AG729" s="2" t="str">
        <f t="shared" si="103"/>
        <v/>
      </c>
      <c r="AH729" s="4" t="str">
        <f t="shared" si="104"/>
        <v/>
      </c>
      <c r="AI729" s="2" t="str">
        <f t="shared" si="105"/>
        <v/>
      </c>
      <c r="AJ729" s="2" t="str">
        <f t="shared" si="106"/>
        <v/>
      </c>
      <c r="AK729" s="2" t="str">
        <f t="shared" si="107"/>
        <v/>
      </c>
    </row>
    <row r="730" spans="1:37" x14ac:dyDescent="0.25">
      <c r="A730">
        <v>2986</v>
      </c>
      <c r="B730" t="s">
        <v>825</v>
      </c>
      <c r="C730" t="s">
        <v>806</v>
      </c>
      <c r="D730" t="s">
        <v>826</v>
      </c>
      <c r="E730" t="s">
        <v>827</v>
      </c>
      <c r="F730" t="s">
        <v>828</v>
      </c>
      <c r="G730" t="s">
        <v>144</v>
      </c>
      <c r="H730" s="1">
        <v>44926.987974537034</v>
      </c>
      <c r="I730" s="1">
        <v>44929.987974537034</v>
      </c>
      <c r="J730" t="s">
        <v>32</v>
      </c>
      <c r="K730" s="1">
        <v>44935.987974537034</v>
      </c>
      <c r="L730" t="s">
        <v>57</v>
      </c>
      <c r="N730" s="4">
        <v>44940.987974537034</v>
      </c>
      <c r="O730" t="s">
        <v>57</v>
      </c>
      <c r="P730" s="4">
        <v>44936.987974537034</v>
      </c>
      <c r="Q730" s="4">
        <v>44940.987974537034</v>
      </c>
      <c r="R730" s="4">
        <v>44937.987974537034</v>
      </c>
      <c r="S730" s="4">
        <v>44942.987974537034</v>
      </c>
      <c r="T730">
        <v>1</v>
      </c>
      <c r="U730" s="4">
        <v>44944.987974537034</v>
      </c>
      <c r="V730" s="4">
        <v>44947.987974537034</v>
      </c>
      <c r="W730" s="4">
        <v>44949.987974537034</v>
      </c>
      <c r="Z730" s="4">
        <v>44959.987974537034</v>
      </c>
      <c r="AC730" s="2">
        <f t="shared" si="99"/>
        <v>3</v>
      </c>
      <c r="AD730" s="2">
        <f t="shared" si="100"/>
        <v>9</v>
      </c>
      <c r="AE730" s="2">
        <f t="shared" si="101"/>
        <v>6</v>
      </c>
      <c r="AF730" s="2">
        <f t="shared" si="102"/>
        <v>11</v>
      </c>
      <c r="AG730" s="2">
        <f t="shared" si="103"/>
        <v>2</v>
      </c>
      <c r="AH730" s="4">
        <f t="shared" si="104"/>
        <v>45027.987974537034</v>
      </c>
      <c r="AI730" s="2">
        <f t="shared" si="105"/>
        <v>2</v>
      </c>
      <c r="AJ730" s="2">
        <f t="shared" si="106"/>
        <v>22</v>
      </c>
      <c r="AK730" s="2">
        <f t="shared" si="107"/>
        <v>12</v>
      </c>
    </row>
    <row r="731" spans="1:37" x14ac:dyDescent="0.25">
      <c r="A731">
        <v>2903</v>
      </c>
      <c r="B731" t="s">
        <v>829</v>
      </c>
      <c r="C731" t="s">
        <v>806</v>
      </c>
      <c r="D731" t="s">
        <v>826</v>
      </c>
      <c r="E731" t="s">
        <v>827</v>
      </c>
      <c r="F731" t="s">
        <v>828</v>
      </c>
      <c r="G731" t="s">
        <v>144</v>
      </c>
      <c r="H731" s="1">
        <v>44615.299814814818</v>
      </c>
      <c r="I731" s="1">
        <v>44618.299814814818</v>
      </c>
      <c r="J731" t="s">
        <v>32</v>
      </c>
      <c r="K731" s="1">
        <v>44635.299814814818</v>
      </c>
      <c r="L731" t="s">
        <v>33</v>
      </c>
      <c r="M731" t="s">
        <v>67</v>
      </c>
      <c r="R731" s="4">
        <v>44638.299814814818</v>
      </c>
      <c r="T731">
        <v>0</v>
      </c>
      <c r="Y731" t="s">
        <v>35</v>
      </c>
      <c r="AC731" s="2">
        <f t="shared" si="99"/>
        <v>3</v>
      </c>
      <c r="AD731" s="2">
        <f t="shared" si="100"/>
        <v>20</v>
      </c>
      <c r="AE731" s="2">
        <f t="shared" si="101"/>
        <v>17</v>
      </c>
      <c r="AF731" s="2">
        <f t="shared" si="102"/>
        <v>23</v>
      </c>
      <c r="AG731" s="2">
        <f t="shared" si="103"/>
        <v>3</v>
      </c>
      <c r="AH731" s="4">
        <f t="shared" si="104"/>
        <v>44728.299814814818</v>
      </c>
      <c r="AI731" s="2" t="str">
        <f t="shared" si="105"/>
        <v/>
      </c>
      <c r="AJ731" s="2" t="str">
        <f t="shared" si="106"/>
        <v/>
      </c>
      <c r="AK731" s="2" t="str">
        <f t="shared" si="107"/>
        <v/>
      </c>
    </row>
    <row r="732" spans="1:37" x14ac:dyDescent="0.25">
      <c r="A732">
        <v>2873</v>
      </c>
      <c r="B732" t="s">
        <v>830</v>
      </c>
      <c r="C732" t="s">
        <v>806</v>
      </c>
      <c r="D732" t="s">
        <v>826</v>
      </c>
      <c r="E732" t="s">
        <v>827</v>
      </c>
      <c r="F732" t="s">
        <v>828</v>
      </c>
      <c r="G732" t="s">
        <v>144</v>
      </c>
      <c r="H732" s="1">
        <v>45111.164652777778</v>
      </c>
      <c r="I732" s="1">
        <v>45115.164652777778</v>
      </c>
      <c r="J732" t="s">
        <v>32</v>
      </c>
      <c r="K732" s="1">
        <v>45123.164652777778</v>
      </c>
      <c r="L732" t="s">
        <v>33</v>
      </c>
      <c r="M732" t="s">
        <v>92</v>
      </c>
      <c r="R732" s="4">
        <v>45127.164652777778</v>
      </c>
      <c r="T732">
        <v>0</v>
      </c>
      <c r="Y732" t="s">
        <v>35</v>
      </c>
      <c r="AC732" s="2">
        <f t="shared" si="99"/>
        <v>4</v>
      </c>
      <c r="AD732" s="2">
        <f t="shared" si="100"/>
        <v>12</v>
      </c>
      <c r="AE732" s="2">
        <f t="shared" si="101"/>
        <v>8</v>
      </c>
      <c r="AF732" s="2">
        <f t="shared" si="102"/>
        <v>16</v>
      </c>
      <c r="AG732" s="2">
        <f t="shared" si="103"/>
        <v>4</v>
      </c>
      <c r="AH732" s="4">
        <f t="shared" si="104"/>
        <v>45217.164652777778</v>
      </c>
      <c r="AI732" s="2" t="str">
        <f t="shared" si="105"/>
        <v/>
      </c>
      <c r="AJ732" s="2" t="str">
        <f t="shared" si="106"/>
        <v/>
      </c>
      <c r="AK732" s="2" t="str">
        <f t="shared" si="107"/>
        <v/>
      </c>
    </row>
    <row r="733" spans="1:37" x14ac:dyDescent="0.25">
      <c r="A733">
        <v>2872</v>
      </c>
      <c r="B733" t="s">
        <v>831</v>
      </c>
      <c r="C733" t="s">
        <v>806</v>
      </c>
      <c r="D733" t="s">
        <v>826</v>
      </c>
      <c r="E733" t="s">
        <v>827</v>
      </c>
      <c r="F733" t="s">
        <v>828</v>
      </c>
      <c r="G733" t="s">
        <v>144</v>
      </c>
      <c r="H733" s="1">
        <v>45117.164652777778</v>
      </c>
      <c r="I733" s="1">
        <v>45118.164652777778</v>
      </c>
      <c r="J733" t="s">
        <v>32</v>
      </c>
      <c r="K733" s="1">
        <v>45129.164652777778</v>
      </c>
      <c r="L733" t="s">
        <v>33</v>
      </c>
      <c r="M733" t="s">
        <v>34</v>
      </c>
      <c r="T733">
        <v>0</v>
      </c>
      <c r="Y733" t="s">
        <v>55</v>
      </c>
      <c r="AC733" s="2">
        <f t="shared" si="99"/>
        <v>1</v>
      </c>
      <c r="AD733" s="2">
        <f t="shared" si="100"/>
        <v>12</v>
      </c>
      <c r="AE733" s="2">
        <f t="shared" si="101"/>
        <v>11</v>
      </c>
      <c r="AF733" s="2" t="str">
        <f t="shared" si="102"/>
        <v/>
      </c>
      <c r="AG733" s="2" t="str">
        <f t="shared" si="103"/>
        <v/>
      </c>
      <c r="AH733" s="4" t="str">
        <f t="shared" si="104"/>
        <v/>
      </c>
      <c r="AI733" s="2" t="str">
        <f t="shared" si="105"/>
        <v/>
      </c>
      <c r="AJ733" s="2" t="str">
        <f t="shared" si="106"/>
        <v/>
      </c>
      <c r="AK733" s="2" t="str">
        <f t="shared" si="107"/>
        <v/>
      </c>
    </row>
    <row r="734" spans="1:37" x14ac:dyDescent="0.25">
      <c r="A734">
        <v>2820</v>
      </c>
      <c r="B734" t="s">
        <v>832</v>
      </c>
      <c r="C734" t="s">
        <v>806</v>
      </c>
      <c r="D734" t="s">
        <v>826</v>
      </c>
      <c r="E734" t="s">
        <v>827</v>
      </c>
      <c r="F734" t="s">
        <v>828</v>
      </c>
      <c r="G734" t="s">
        <v>144</v>
      </c>
      <c r="H734" s="1">
        <v>44895.862592592595</v>
      </c>
      <c r="I734" s="1">
        <v>44896.862592592595</v>
      </c>
      <c r="J734" t="s">
        <v>32</v>
      </c>
      <c r="K734" s="1">
        <v>44913.862592592595</v>
      </c>
      <c r="L734" t="s">
        <v>33</v>
      </c>
      <c r="M734" t="s">
        <v>51</v>
      </c>
      <c r="T734">
        <v>0</v>
      </c>
      <c r="Y734" t="s">
        <v>35</v>
      </c>
      <c r="AC734" s="2">
        <f t="shared" si="99"/>
        <v>1</v>
      </c>
      <c r="AD734" s="2">
        <f t="shared" si="100"/>
        <v>18</v>
      </c>
      <c r="AE734" s="2">
        <f t="shared" si="101"/>
        <v>17</v>
      </c>
      <c r="AF734" s="2" t="str">
        <f t="shared" si="102"/>
        <v/>
      </c>
      <c r="AG734" s="2" t="str">
        <f t="shared" si="103"/>
        <v/>
      </c>
      <c r="AH734" s="4" t="str">
        <f t="shared" si="104"/>
        <v/>
      </c>
      <c r="AI734" s="2" t="str">
        <f t="shared" si="105"/>
        <v/>
      </c>
      <c r="AJ734" s="2" t="str">
        <f t="shared" si="106"/>
        <v/>
      </c>
      <c r="AK734" s="2" t="str">
        <f t="shared" si="107"/>
        <v/>
      </c>
    </row>
    <row r="735" spans="1:37" x14ac:dyDescent="0.25">
      <c r="A735">
        <v>2813</v>
      </c>
      <c r="B735" t="s">
        <v>833</v>
      </c>
      <c r="C735" t="s">
        <v>806</v>
      </c>
      <c r="D735" t="s">
        <v>826</v>
      </c>
      <c r="E735" t="s">
        <v>827</v>
      </c>
      <c r="F735" t="s">
        <v>828</v>
      </c>
      <c r="G735" t="s">
        <v>144</v>
      </c>
      <c r="H735" s="1">
        <v>44894.862592592595</v>
      </c>
      <c r="I735" s="1">
        <v>44896.862592592595</v>
      </c>
      <c r="J735" t="s">
        <v>44</v>
      </c>
      <c r="K735" s="1"/>
      <c r="T735">
        <v>0</v>
      </c>
      <c r="AC735" s="2">
        <f t="shared" si="99"/>
        <v>2</v>
      </c>
      <c r="AD735" s="2" t="str">
        <f t="shared" si="100"/>
        <v/>
      </c>
      <c r="AE735" s="2" t="str">
        <f t="shared" si="101"/>
        <v/>
      </c>
      <c r="AF735" s="2" t="str">
        <f t="shared" si="102"/>
        <v/>
      </c>
      <c r="AG735" s="2" t="str">
        <f t="shared" si="103"/>
        <v/>
      </c>
      <c r="AH735" s="4" t="str">
        <f t="shared" si="104"/>
        <v/>
      </c>
      <c r="AI735" s="2" t="str">
        <f t="shared" si="105"/>
        <v/>
      </c>
      <c r="AJ735" s="2" t="str">
        <f t="shared" si="106"/>
        <v/>
      </c>
      <c r="AK735" s="2" t="str">
        <f t="shared" si="107"/>
        <v/>
      </c>
    </row>
    <row r="736" spans="1:37" x14ac:dyDescent="0.25">
      <c r="A736">
        <v>2715</v>
      </c>
      <c r="B736" t="s">
        <v>834</v>
      </c>
      <c r="C736" t="s">
        <v>806</v>
      </c>
      <c r="D736" t="s">
        <v>826</v>
      </c>
      <c r="E736" t="s">
        <v>827</v>
      </c>
      <c r="F736" t="s">
        <v>828</v>
      </c>
      <c r="G736" t="s">
        <v>144</v>
      </c>
      <c r="H736" s="1">
        <v>44954.0546412037</v>
      </c>
      <c r="I736" s="1">
        <v>44957.0546412037</v>
      </c>
      <c r="J736" t="s">
        <v>32</v>
      </c>
      <c r="K736" s="1">
        <v>44963.0546412037</v>
      </c>
      <c r="L736" t="s">
        <v>39</v>
      </c>
      <c r="N736" s="4">
        <v>44967.0546412037</v>
      </c>
      <c r="O736" t="s">
        <v>39</v>
      </c>
      <c r="R736" s="4">
        <v>44964.0546412037</v>
      </c>
      <c r="T736">
        <v>0</v>
      </c>
      <c r="AC736" s="2">
        <f t="shared" si="99"/>
        <v>3</v>
      </c>
      <c r="AD736" s="2">
        <f t="shared" si="100"/>
        <v>9</v>
      </c>
      <c r="AE736" s="2">
        <f t="shared" si="101"/>
        <v>6</v>
      </c>
      <c r="AF736" s="2">
        <f t="shared" si="102"/>
        <v>10</v>
      </c>
      <c r="AG736" s="2">
        <f t="shared" si="103"/>
        <v>1</v>
      </c>
      <c r="AH736" s="4">
        <f t="shared" si="104"/>
        <v>45054.0546412037</v>
      </c>
      <c r="AI736" s="2" t="str">
        <f t="shared" si="105"/>
        <v/>
      </c>
      <c r="AJ736" s="2" t="str">
        <f t="shared" si="106"/>
        <v/>
      </c>
      <c r="AK736" s="2" t="str">
        <f t="shared" si="107"/>
        <v/>
      </c>
    </row>
    <row r="737" spans="1:37" x14ac:dyDescent="0.25">
      <c r="A737">
        <v>2712</v>
      </c>
      <c r="B737" t="s">
        <v>835</v>
      </c>
      <c r="C737" t="s">
        <v>806</v>
      </c>
      <c r="D737" t="s">
        <v>826</v>
      </c>
      <c r="E737" t="s">
        <v>827</v>
      </c>
      <c r="F737" t="s">
        <v>828</v>
      </c>
      <c r="G737" t="s">
        <v>144</v>
      </c>
      <c r="H737" s="1">
        <v>44952.0546412037</v>
      </c>
      <c r="I737" s="1">
        <v>44953.0546412037</v>
      </c>
      <c r="J737" t="s">
        <v>32</v>
      </c>
      <c r="K737" s="1">
        <v>44971.0546412037</v>
      </c>
      <c r="L737" t="s">
        <v>33</v>
      </c>
      <c r="M737" t="s">
        <v>92</v>
      </c>
      <c r="R737" s="4">
        <v>44975.0546412037</v>
      </c>
      <c r="T737">
        <v>0</v>
      </c>
      <c r="Y737" t="s">
        <v>55</v>
      </c>
      <c r="AC737" s="2">
        <f t="shared" si="99"/>
        <v>1</v>
      </c>
      <c r="AD737" s="2">
        <f t="shared" si="100"/>
        <v>19</v>
      </c>
      <c r="AE737" s="2">
        <f t="shared" si="101"/>
        <v>18</v>
      </c>
      <c r="AF737" s="2">
        <f t="shared" si="102"/>
        <v>23</v>
      </c>
      <c r="AG737" s="2">
        <f t="shared" si="103"/>
        <v>4</v>
      </c>
      <c r="AH737" s="4">
        <f t="shared" si="104"/>
        <v>45065.0546412037</v>
      </c>
      <c r="AI737" s="2" t="str">
        <f t="shared" si="105"/>
        <v/>
      </c>
      <c r="AJ737" s="2" t="str">
        <f t="shared" si="106"/>
        <v/>
      </c>
      <c r="AK737" s="2" t="str">
        <f t="shared" si="107"/>
        <v/>
      </c>
    </row>
    <row r="738" spans="1:37" x14ac:dyDescent="0.25">
      <c r="A738">
        <v>2711</v>
      </c>
      <c r="B738" t="s">
        <v>836</v>
      </c>
      <c r="C738" t="s">
        <v>806</v>
      </c>
      <c r="D738" t="s">
        <v>826</v>
      </c>
      <c r="E738" t="s">
        <v>827</v>
      </c>
      <c r="F738" t="s">
        <v>828</v>
      </c>
      <c r="G738" t="s">
        <v>144</v>
      </c>
      <c r="H738" s="1">
        <v>44953.0546412037</v>
      </c>
      <c r="I738" s="1">
        <v>44955.0546412037</v>
      </c>
      <c r="J738" t="s">
        <v>32</v>
      </c>
      <c r="K738" s="1">
        <v>44965.0546412037</v>
      </c>
      <c r="L738" t="s">
        <v>33</v>
      </c>
      <c r="M738" t="s">
        <v>34</v>
      </c>
      <c r="T738">
        <v>0</v>
      </c>
      <c r="Y738" t="s">
        <v>55</v>
      </c>
      <c r="AC738" s="2">
        <f t="shared" si="99"/>
        <v>2</v>
      </c>
      <c r="AD738" s="2">
        <f t="shared" si="100"/>
        <v>12</v>
      </c>
      <c r="AE738" s="2">
        <f t="shared" si="101"/>
        <v>10</v>
      </c>
      <c r="AF738" s="2" t="str">
        <f t="shared" si="102"/>
        <v/>
      </c>
      <c r="AG738" s="2" t="str">
        <f t="shared" si="103"/>
        <v/>
      </c>
      <c r="AH738" s="4" t="str">
        <f t="shared" si="104"/>
        <v/>
      </c>
      <c r="AI738" s="2" t="str">
        <f t="shared" si="105"/>
        <v/>
      </c>
      <c r="AJ738" s="2" t="str">
        <f t="shared" si="106"/>
        <v/>
      </c>
      <c r="AK738" s="2" t="str">
        <f t="shared" si="107"/>
        <v/>
      </c>
    </row>
    <row r="739" spans="1:37" x14ac:dyDescent="0.25">
      <c r="A739">
        <v>2700</v>
      </c>
      <c r="B739" t="s">
        <v>837</v>
      </c>
      <c r="C739" t="s">
        <v>806</v>
      </c>
      <c r="D739" t="s">
        <v>826</v>
      </c>
      <c r="E739" t="s">
        <v>827</v>
      </c>
      <c r="F739" t="s">
        <v>828</v>
      </c>
      <c r="G739" t="s">
        <v>144</v>
      </c>
      <c r="H739" s="1">
        <v>45016.99291666667</v>
      </c>
      <c r="I739" s="1">
        <v>45019.99291666667</v>
      </c>
      <c r="J739" t="s">
        <v>32</v>
      </c>
      <c r="K739" s="1">
        <v>45028.99291666667</v>
      </c>
      <c r="L739" t="s">
        <v>57</v>
      </c>
      <c r="N739" s="4">
        <v>45035.99291666667</v>
      </c>
      <c r="O739" t="s">
        <v>57</v>
      </c>
      <c r="P739" s="4">
        <v>45029.99291666667</v>
      </c>
      <c r="Q739" s="4">
        <v>45031.99291666667</v>
      </c>
      <c r="R739" s="4">
        <v>45032.99291666667</v>
      </c>
      <c r="S739" s="4">
        <v>45036.99291666667</v>
      </c>
      <c r="T739">
        <v>1</v>
      </c>
      <c r="U739" s="4">
        <v>45038.99291666667</v>
      </c>
      <c r="V739" s="4">
        <v>45041.99291666667</v>
      </c>
      <c r="W739" s="4">
        <v>45042.99291666667</v>
      </c>
      <c r="Z739" s="4">
        <v>45052.99291666667</v>
      </c>
      <c r="AC739" s="2">
        <f t="shared" si="99"/>
        <v>3</v>
      </c>
      <c r="AD739" s="2">
        <f t="shared" si="100"/>
        <v>12</v>
      </c>
      <c r="AE739" s="2">
        <f t="shared" si="101"/>
        <v>9</v>
      </c>
      <c r="AF739" s="2">
        <f t="shared" si="102"/>
        <v>16</v>
      </c>
      <c r="AG739" s="2">
        <f t="shared" si="103"/>
        <v>4</v>
      </c>
      <c r="AH739" s="4">
        <f t="shared" si="104"/>
        <v>45122.99291666667</v>
      </c>
      <c r="AI739" s="2">
        <f t="shared" si="105"/>
        <v>2</v>
      </c>
      <c r="AJ739" s="2">
        <f t="shared" si="106"/>
        <v>20</v>
      </c>
      <c r="AK739" s="2">
        <f t="shared" si="107"/>
        <v>10</v>
      </c>
    </row>
    <row r="740" spans="1:37" x14ac:dyDescent="0.25">
      <c r="A740">
        <v>2698</v>
      </c>
      <c r="B740" t="s">
        <v>838</v>
      </c>
      <c r="C740" t="s">
        <v>806</v>
      </c>
      <c r="D740" t="s">
        <v>826</v>
      </c>
      <c r="E740" t="s">
        <v>827</v>
      </c>
      <c r="F740" t="s">
        <v>828</v>
      </c>
      <c r="G740" t="s">
        <v>144</v>
      </c>
      <c r="H740" s="1">
        <v>45016.99291666667</v>
      </c>
      <c r="I740" s="1">
        <v>45018.99291666667</v>
      </c>
      <c r="J740" t="s">
        <v>44</v>
      </c>
      <c r="K740" s="1"/>
      <c r="T740">
        <v>0</v>
      </c>
      <c r="AC740" s="2">
        <f t="shared" si="99"/>
        <v>2</v>
      </c>
      <c r="AD740" s="2" t="str">
        <f t="shared" si="100"/>
        <v/>
      </c>
      <c r="AE740" s="2" t="str">
        <f t="shared" si="101"/>
        <v/>
      </c>
      <c r="AF740" s="2" t="str">
        <f t="shared" si="102"/>
        <v/>
      </c>
      <c r="AG740" s="2" t="str">
        <f t="shared" si="103"/>
        <v/>
      </c>
      <c r="AH740" s="4" t="str">
        <f t="shared" si="104"/>
        <v/>
      </c>
      <c r="AI740" s="2" t="str">
        <f t="shared" si="105"/>
        <v/>
      </c>
      <c r="AJ740" s="2" t="str">
        <f t="shared" si="106"/>
        <v/>
      </c>
      <c r="AK740" s="2" t="str">
        <f t="shared" si="107"/>
        <v/>
      </c>
    </row>
    <row r="741" spans="1:37" x14ac:dyDescent="0.25">
      <c r="A741">
        <v>2697</v>
      </c>
      <c r="B741" t="s">
        <v>839</v>
      </c>
      <c r="C741" t="s">
        <v>806</v>
      </c>
      <c r="D741" t="s">
        <v>826</v>
      </c>
      <c r="E741" t="s">
        <v>827</v>
      </c>
      <c r="F741" t="s">
        <v>828</v>
      </c>
      <c r="G741" t="s">
        <v>144</v>
      </c>
      <c r="H741" s="1">
        <v>45020.99291666667</v>
      </c>
      <c r="I741" s="1">
        <v>45022.99291666667</v>
      </c>
      <c r="J741" t="s">
        <v>32</v>
      </c>
      <c r="K741" s="1">
        <v>45029.99291666667</v>
      </c>
      <c r="L741" t="s">
        <v>33</v>
      </c>
      <c r="M741" t="s">
        <v>92</v>
      </c>
      <c r="T741">
        <v>0</v>
      </c>
      <c r="Y741" t="s">
        <v>35</v>
      </c>
      <c r="AC741" s="2">
        <f t="shared" si="99"/>
        <v>2</v>
      </c>
      <c r="AD741" s="2">
        <f t="shared" si="100"/>
        <v>9</v>
      </c>
      <c r="AE741" s="2">
        <f t="shared" si="101"/>
        <v>7</v>
      </c>
      <c r="AF741" s="2" t="str">
        <f t="shared" si="102"/>
        <v/>
      </c>
      <c r="AG741" s="2" t="str">
        <f t="shared" si="103"/>
        <v/>
      </c>
      <c r="AH741" s="4" t="str">
        <f t="shared" si="104"/>
        <v/>
      </c>
      <c r="AI741" s="2" t="str">
        <f t="shared" si="105"/>
        <v/>
      </c>
      <c r="AJ741" s="2" t="str">
        <f t="shared" si="106"/>
        <v/>
      </c>
      <c r="AK741" s="2" t="str">
        <f t="shared" si="107"/>
        <v/>
      </c>
    </row>
    <row r="742" spans="1:37" x14ac:dyDescent="0.25">
      <c r="A742">
        <v>2654</v>
      </c>
      <c r="B742" t="s">
        <v>840</v>
      </c>
      <c r="C742" t="s">
        <v>806</v>
      </c>
      <c r="D742" t="s">
        <v>826</v>
      </c>
      <c r="E742" t="s">
        <v>827</v>
      </c>
      <c r="F742" t="s">
        <v>828</v>
      </c>
      <c r="G742" t="s">
        <v>144</v>
      </c>
      <c r="H742" s="1">
        <v>44597.417025462964</v>
      </c>
      <c r="I742" s="1">
        <v>44600.417025462964</v>
      </c>
      <c r="J742" t="s">
        <v>32</v>
      </c>
      <c r="K742" s="1">
        <v>44609.417025462964</v>
      </c>
      <c r="L742" t="s">
        <v>39</v>
      </c>
      <c r="N742" s="4">
        <v>44613.417025462964</v>
      </c>
      <c r="O742" t="s">
        <v>39</v>
      </c>
      <c r="R742" s="4">
        <v>44611.417025462964</v>
      </c>
      <c r="T742">
        <v>0</v>
      </c>
      <c r="AC742" s="2">
        <f t="shared" si="99"/>
        <v>3</v>
      </c>
      <c r="AD742" s="2">
        <f t="shared" si="100"/>
        <v>12</v>
      </c>
      <c r="AE742" s="2">
        <f t="shared" si="101"/>
        <v>9</v>
      </c>
      <c r="AF742" s="2">
        <f t="shared" si="102"/>
        <v>14</v>
      </c>
      <c r="AG742" s="2">
        <f t="shared" si="103"/>
        <v>2</v>
      </c>
      <c r="AH742" s="4">
        <f t="shared" si="104"/>
        <v>44701.417025462964</v>
      </c>
      <c r="AI742" s="2" t="str">
        <f t="shared" si="105"/>
        <v/>
      </c>
      <c r="AJ742" s="2" t="str">
        <f t="shared" si="106"/>
        <v/>
      </c>
      <c r="AK742" s="2" t="str">
        <f t="shared" si="107"/>
        <v/>
      </c>
    </row>
    <row r="743" spans="1:37" x14ac:dyDescent="0.25">
      <c r="A743">
        <v>2651</v>
      </c>
      <c r="B743" t="s">
        <v>841</v>
      </c>
      <c r="C743" t="s">
        <v>806</v>
      </c>
      <c r="D743" t="s">
        <v>826</v>
      </c>
      <c r="E743" t="s">
        <v>827</v>
      </c>
      <c r="F743" t="s">
        <v>828</v>
      </c>
      <c r="G743" t="s">
        <v>144</v>
      </c>
      <c r="H743" s="1">
        <v>44596.417025462964</v>
      </c>
      <c r="I743" s="1">
        <v>44599.417025462964</v>
      </c>
      <c r="J743" t="s">
        <v>32</v>
      </c>
      <c r="K743" s="1">
        <v>44619.417025462964</v>
      </c>
      <c r="L743" t="s">
        <v>33</v>
      </c>
      <c r="M743" t="s">
        <v>92</v>
      </c>
      <c r="R743" s="4">
        <v>44623.417025462964</v>
      </c>
      <c r="T743">
        <v>0</v>
      </c>
      <c r="Y743" t="s">
        <v>35</v>
      </c>
      <c r="AC743" s="2">
        <f t="shared" si="99"/>
        <v>3</v>
      </c>
      <c r="AD743" s="2">
        <f t="shared" si="100"/>
        <v>23</v>
      </c>
      <c r="AE743" s="2">
        <f t="shared" si="101"/>
        <v>20</v>
      </c>
      <c r="AF743" s="2">
        <f t="shared" si="102"/>
        <v>27</v>
      </c>
      <c r="AG743" s="2">
        <f t="shared" si="103"/>
        <v>4</v>
      </c>
      <c r="AH743" s="4">
        <f t="shared" si="104"/>
        <v>44713.417025462964</v>
      </c>
      <c r="AI743" s="2" t="str">
        <f t="shared" si="105"/>
        <v/>
      </c>
      <c r="AJ743" s="2" t="str">
        <f t="shared" si="106"/>
        <v/>
      </c>
      <c r="AK743" s="2" t="str">
        <f t="shared" si="107"/>
        <v/>
      </c>
    </row>
    <row r="744" spans="1:37" x14ac:dyDescent="0.25">
      <c r="A744">
        <v>2499</v>
      </c>
      <c r="B744" t="s">
        <v>842</v>
      </c>
      <c r="C744" t="s">
        <v>806</v>
      </c>
      <c r="D744" t="s">
        <v>826</v>
      </c>
      <c r="E744" t="s">
        <v>827</v>
      </c>
      <c r="F744" t="s">
        <v>828</v>
      </c>
      <c r="G744" t="s">
        <v>144</v>
      </c>
      <c r="H744" s="1">
        <v>44590.546469907407</v>
      </c>
      <c r="I744" s="1">
        <v>44593.546469907407</v>
      </c>
      <c r="J744" t="s">
        <v>32</v>
      </c>
      <c r="K744" s="1">
        <v>44609.546469907407</v>
      </c>
      <c r="L744" t="s">
        <v>57</v>
      </c>
      <c r="N744" s="4">
        <v>44613.546469907407</v>
      </c>
      <c r="O744" t="s">
        <v>57</v>
      </c>
      <c r="P744" s="4">
        <v>44611.546469907407</v>
      </c>
      <c r="Q744" s="4">
        <v>44613.546469907407</v>
      </c>
      <c r="R744" s="4">
        <v>44610.546469907407</v>
      </c>
      <c r="S744" s="4">
        <v>44611.546469907407</v>
      </c>
      <c r="T744">
        <v>1</v>
      </c>
      <c r="U744" s="4">
        <v>44612.546469907407</v>
      </c>
      <c r="V744" s="4">
        <v>44613.546469907407</v>
      </c>
      <c r="W744" s="4">
        <v>44614.546469907407</v>
      </c>
      <c r="Z744" s="4">
        <v>44634.546469907407</v>
      </c>
      <c r="AC744" s="2">
        <f t="shared" si="99"/>
        <v>3</v>
      </c>
      <c r="AD744" s="2">
        <f t="shared" si="100"/>
        <v>19</v>
      </c>
      <c r="AE744" s="2">
        <f t="shared" si="101"/>
        <v>16</v>
      </c>
      <c r="AF744" s="2">
        <f t="shared" si="102"/>
        <v>20</v>
      </c>
      <c r="AG744" s="2">
        <f t="shared" si="103"/>
        <v>1</v>
      </c>
      <c r="AH744" s="4">
        <f t="shared" si="104"/>
        <v>44700.546469907407</v>
      </c>
      <c r="AI744" s="2">
        <f t="shared" si="105"/>
        <v>1</v>
      </c>
      <c r="AJ744" s="2">
        <f t="shared" si="106"/>
        <v>24</v>
      </c>
      <c r="AK744" s="2">
        <f t="shared" si="107"/>
        <v>4</v>
      </c>
    </row>
    <row r="745" spans="1:37" x14ac:dyDescent="0.25">
      <c r="A745">
        <v>2498</v>
      </c>
      <c r="B745" t="s">
        <v>843</v>
      </c>
      <c r="C745" t="s">
        <v>806</v>
      </c>
      <c r="D745" t="s">
        <v>826</v>
      </c>
      <c r="E745" t="s">
        <v>827</v>
      </c>
      <c r="F745" t="s">
        <v>828</v>
      </c>
      <c r="G745" t="s">
        <v>144</v>
      </c>
      <c r="H745" s="1">
        <v>44592.546469907407</v>
      </c>
      <c r="I745" s="1">
        <v>44593.546469907407</v>
      </c>
      <c r="J745" t="s">
        <v>32</v>
      </c>
      <c r="K745" s="1">
        <v>44599.546469907407</v>
      </c>
      <c r="L745" t="s">
        <v>33</v>
      </c>
      <c r="M745" t="s">
        <v>92</v>
      </c>
      <c r="T745">
        <v>0</v>
      </c>
      <c r="Y745" t="s">
        <v>55</v>
      </c>
      <c r="AC745" s="2">
        <f t="shared" si="99"/>
        <v>1</v>
      </c>
      <c r="AD745" s="2">
        <f t="shared" si="100"/>
        <v>7</v>
      </c>
      <c r="AE745" s="2">
        <f t="shared" si="101"/>
        <v>6</v>
      </c>
      <c r="AF745" s="2" t="str">
        <f t="shared" si="102"/>
        <v/>
      </c>
      <c r="AG745" s="2" t="str">
        <f t="shared" si="103"/>
        <v/>
      </c>
      <c r="AH745" s="4" t="str">
        <f t="shared" si="104"/>
        <v/>
      </c>
      <c r="AI745" s="2" t="str">
        <f t="shared" si="105"/>
        <v/>
      </c>
      <c r="AJ745" s="2" t="str">
        <f t="shared" si="106"/>
        <v/>
      </c>
      <c r="AK745" s="2" t="str">
        <f t="shared" si="107"/>
        <v/>
      </c>
    </row>
    <row r="746" spans="1:37" x14ac:dyDescent="0.25">
      <c r="A746">
        <v>2494</v>
      </c>
      <c r="B746" t="s">
        <v>844</v>
      </c>
      <c r="C746" t="s">
        <v>806</v>
      </c>
      <c r="D746" t="s">
        <v>826</v>
      </c>
      <c r="E746" t="s">
        <v>827</v>
      </c>
      <c r="F746" t="s">
        <v>828</v>
      </c>
      <c r="G746" t="s">
        <v>144</v>
      </c>
      <c r="H746" s="1">
        <v>44593.546469907407</v>
      </c>
      <c r="I746" s="1">
        <v>44594.546469907407</v>
      </c>
      <c r="J746" t="s">
        <v>44</v>
      </c>
      <c r="K746" s="1"/>
      <c r="T746">
        <v>0</v>
      </c>
      <c r="AC746" s="2">
        <f t="shared" si="99"/>
        <v>1</v>
      </c>
      <c r="AD746" s="2" t="str">
        <f t="shared" si="100"/>
        <v/>
      </c>
      <c r="AE746" s="2" t="str">
        <f t="shared" si="101"/>
        <v/>
      </c>
      <c r="AF746" s="2" t="str">
        <f t="shared" si="102"/>
        <v/>
      </c>
      <c r="AG746" s="2" t="str">
        <f t="shared" si="103"/>
        <v/>
      </c>
      <c r="AH746" s="4" t="str">
        <f t="shared" si="104"/>
        <v/>
      </c>
      <c r="AI746" s="2" t="str">
        <f t="shared" si="105"/>
        <v/>
      </c>
      <c r="AJ746" s="2" t="str">
        <f t="shared" si="106"/>
        <v/>
      </c>
      <c r="AK746" s="2" t="str">
        <f t="shared" si="107"/>
        <v/>
      </c>
    </row>
    <row r="747" spans="1:37" x14ac:dyDescent="0.25">
      <c r="A747">
        <v>2346</v>
      </c>
      <c r="B747" t="s">
        <v>845</v>
      </c>
      <c r="C747" t="s">
        <v>806</v>
      </c>
      <c r="D747" t="s">
        <v>826</v>
      </c>
      <c r="E747" t="s">
        <v>827</v>
      </c>
      <c r="F747" t="s">
        <v>828</v>
      </c>
      <c r="G747" t="s">
        <v>144</v>
      </c>
      <c r="H747" s="1">
        <v>45058.364525462966</v>
      </c>
      <c r="I747" s="1">
        <v>45059.364525462966</v>
      </c>
      <c r="J747" t="s">
        <v>44</v>
      </c>
      <c r="K747" s="1"/>
      <c r="T747">
        <v>0</v>
      </c>
      <c r="AC747" s="2">
        <f t="shared" si="99"/>
        <v>1</v>
      </c>
      <c r="AD747" s="2" t="str">
        <f t="shared" si="100"/>
        <v/>
      </c>
      <c r="AE747" s="2" t="str">
        <f t="shared" si="101"/>
        <v/>
      </c>
      <c r="AF747" s="2" t="str">
        <f t="shared" si="102"/>
        <v/>
      </c>
      <c r="AG747" s="2" t="str">
        <f t="shared" si="103"/>
        <v/>
      </c>
      <c r="AH747" s="4" t="str">
        <f t="shared" si="104"/>
        <v/>
      </c>
      <c r="AI747" s="2" t="str">
        <f t="shared" si="105"/>
        <v/>
      </c>
      <c r="AJ747" s="2" t="str">
        <f t="shared" si="106"/>
        <v/>
      </c>
      <c r="AK747" s="2" t="str">
        <f t="shared" si="107"/>
        <v/>
      </c>
    </row>
    <row r="748" spans="1:37" x14ac:dyDescent="0.25">
      <c r="A748">
        <v>2208</v>
      </c>
      <c r="B748" t="s">
        <v>846</v>
      </c>
      <c r="C748" t="s">
        <v>806</v>
      </c>
      <c r="D748" t="s">
        <v>826</v>
      </c>
      <c r="E748" t="s">
        <v>827</v>
      </c>
      <c r="F748" t="s">
        <v>828</v>
      </c>
      <c r="G748" t="s">
        <v>144</v>
      </c>
      <c r="H748" s="1">
        <v>45092.202615740738</v>
      </c>
      <c r="I748" s="1">
        <v>45094.202615740738</v>
      </c>
      <c r="J748" t="s">
        <v>44</v>
      </c>
      <c r="K748" s="1"/>
      <c r="T748">
        <v>0</v>
      </c>
      <c r="AC748" s="2">
        <f t="shared" si="99"/>
        <v>2</v>
      </c>
      <c r="AD748" s="2" t="str">
        <f t="shared" si="100"/>
        <v/>
      </c>
      <c r="AE748" s="2" t="str">
        <f t="shared" si="101"/>
        <v/>
      </c>
      <c r="AF748" s="2" t="str">
        <f t="shared" si="102"/>
        <v/>
      </c>
      <c r="AG748" s="2" t="str">
        <f t="shared" si="103"/>
        <v/>
      </c>
      <c r="AH748" s="4" t="str">
        <f t="shared" si="104"/>
        <v/>
      </c>
      <c r="AI748" s="2" t="str">
        <f t="shared" si="105"/>
        <v/>
      </c>
      <c r="AJ748" s="2" t="str">
        <f t="shared" si="106"/>
        <v/>
      </c>
      <c r="AK748" s="2" t="str">
        <f t="shared" si="107"/>
        <v/>
      </c>
    </row>
    <row r="749" spans="1:37" x14ac:dyDescent="0.25">
      <c r="A749">
        <v>2207</v>
      </c>
      <c r="B749" t="s">
        <v>847</v>
      </c>
      <c r="C749" t="s">
        <v>806</v>
      </c>
      <c r="D749" t="s">
        <v>826</v>
      </c>
      <c r="E749" t="s">
        <v>827</v>
      </c>
      <c r="F749" t="s">
        <v>828</v>
      </c>
      <c r="G749" t="s">
        <v>144</v>
      </c>
      <c r="H749" s="1">
        <v>45091.202615740738</v>
      </c>
      <c r="I749" s="1">
        <v>45094.202615740738</v>
      </c>
      <c r="J749" t="s">
        <v>32</v>
      </c>
      <c r="K749" s="1">
        <v>45104.202615740738</v>
      </c>
      <c r="L749" t="s">
        <v>33</v>
      </c>
      <c r="M749" t="s">
        <v>67</v>
      </c>
      <c r="R749" s="4">
        <v>45106.202615740738</v>
      </c>
      <c r="T749">
        <v>0</v>
      </c>
      <c r="Y749" t="s">
        <v>35</v>
      </c>
      <c r="AC749" s="2">
        <f t="shared" si="99"/>
        <v>3</v>
      </c>
      <c r="AD749" s="2">
        <f t="shared" si="100"/>
        <v>13</v>
      </c>
      <c r="AE749" s="2">
        <f t="shared" si="101"/>
        <v>10</v>
      </c>
      <c r="AF749" s="2">
        <f t="shared" si="102"/>
        <v>15</v>
      </c>
      <c r="AG749" s="2">
        <f t="shared" si="103"/>
        <v>2</v>
      </c>
      <c r="AH749" s="4">
        <f t="shared" si="104"/>
        <v>45196.202615740738</v>
      </c>
      <c r="AI749" s="2" t="str">
        <f t="shared" si="105"/>
        <v/>
      </c>
      <c r="AJ749" s="2" t="str">
        <f t="shared" si="106"/>
        <v/>
      </c>
      <c r="AK749" s="2" t="str">
        <f t="shared" si="107"/>
        <v/>
      </c>
    </row>
    <row r="750" spans="1:37" x14ac:dyDescent="0.25">
      <c r="A750">
        <v>2205</v>
      </c>
      <c r="B750" t="s">
        <v>848</v>
      </c>
      <c r="C750" t="s">
        <v>806</v>
      </c>
      <c r="D750" t="s">
        <v>826</v>
      </c>
      <c r="E750" t="s">
        <v>827</v>
      </c>
      <c r="F750" t="s">
        <v>828</v>
      </c>
      <c r="G750" t="s">
        <v>144</v>
      </c>
      <c r="H750" s="1">
        <v>45094.202615740738</v>
      </c>
      <c r="I750" s="1">
        <v>45095.202615740738</v>
      </c>
      <c r="J750" t="s">
        <v>32</v>
      </c>
      <c r="K750" s="1">
        <v>45105.202615740738</v>
      </c>
      <c r="L750" t="s">
        <v>57</v>
      </c>
      <c r="N750" s="4">
        <v>45108.202615740738</v>
      </c>
      <c r="O750" t="s">
        <v>57</v>
      </c>
      <c r="P750" s="4">
        <v>45107.202615740738</v>
      </c>
      <c r="Q750" s="4">
        <v>45111.202615740738</v>
      </c>
      <c r="R750" s="4">
        <v>45107.202615740738</v>
      </c>
      <c r="S750" s="4">
        <v>45109.202615740738</v>
      </c>
      <c r="T750">
        <v>1</v>
      </c>
      <c r="U750" s="4">
        <v>45113.202615740738</v>
      </c>
      <c r="V750" s="4">
        <v>45116.202615740738</v>
      </c>
      <c r="W750" s="4">
        <v>45119.202615740738</v>
      </c>
      <c r="Z750" s="4">
        <v>45134.202615740738</v>
      </c>
      <c r="AC750" s="2">
        <f t="shared" si="99"/>
        <v>1</v>
      </c>
      <c r="AD750" s="2">
        <f t="shared" si="100"/>
        <v>11</v>
      </c>
      <c r="AE750" s="2">
        <f t="shared" si="101"/>
        <v>10</v>
      </c>
      <c r="AF750" s="2">
        <f t="shared" si="102"/>
        <v>13</v>
      </c>
      <c r="AG750" s="2">
        <f t="shared" si="103"/>
        <v>2</v>
      </c>
      <c r="AH750" s="4">
        <f t="shared" si="104"/>
        <v>45197.202615740738</v>
      </c>
      <c r="AI750" s="2">
        <f t="shared" si="105"/>
        <v>4</v>
      </c>
      <c r="AJ750" s="2">
        <f t="shared" si="106"/>
        <v>27</v>
      </c>
      <c r="AK750" s="2">
        <f t="shared" si="107"/>
        <v>12</v>
      </c>
    </row>
    <row r="751" spans="1:37" x14ac:dyDescent="0.25">
      <c r="A751">
        <v>2184</v>
      </c>
      <c r="B751" t="s">
        <v>849</v>
      </c>
      <c r="C751" t="s">
        <v>806</v>
      </c>
      <c r="D751" t="s">
        <v>826</v>
      </c>
      <c r="E751" t="s">
        <v>827</v>
      </c>
      <c r="F751" t="s">
        <v>828</v>
      </c>
      <c r="G751" t="s">
        <v>144</v>
      </c>
      <c r="H751" s="1">
        <v>44992.531736111108</v>
      </c>
      <c r="I751" s="1">
        <v>44994.531736111108</v>
      </c>
      <c r="J751" t="s">
        <v>32</v>
      </c>
      <c r="K751" s="1">
        <v>45015.531736111108</v>
      </c>
      <c r="L751" t="s">
        <v>39</v>
      </c>
      <c r="N751" s="4">
        <v>45020.531736111108</v>
      </c>
      <c r="O751" t="s">
        <v>39</v>
      </c>
      <c r="R751" s="4">
        <v>45018.531736111108</v>
      </c>
      <c r="T751">
        <v>0</v>
      </c>
      <c r="AC751" s="2">
        <f t="shared" si="99"/>
        <v>2</v>
      </c>
      <c r="AD751" s="2">
        <f t="shared" si="100"/>
        <v>23</v>
      </c>
      <c r="AE751" s="2">
        <f t="shared" si="101"/>
        <v>21</v>
      </c>
      <c r="AF751" s="2">
        <f t="shared" si="102"/>
        <v>26</v>
      </c>
      <c r="AG751" s="2">
        <f t="shared" si="103"/>
        <v>3</v>
      </c>
      <c r="AH751" s="4">
        <f t="shared" si="104"/>
        <v>45108.531736111108</v>
      </c>
      <c r="AI751" s="2" t="str">
        <f t="shared" si="105"/>
        <v/>
      </c>
      <c r="AJ751" s="2" t="str">
        <f t="shared" si="106"/>
        <v/>
      </c>
      <c r="AK751" s="2" t="str">
        <f t="shared" si="107"/>
        <v/>
      </c>
    </row>
    <row r="752" spans="1:37" x14ac:dyDescent="0.25">
      <c r="A752">
        <v>2183</v>
      </c>
      <c r="B752" t="s">
        <v>850</v>
      </c>
      <c r="C752" t="s">
        <v>806</v>
      </c>
      <c r="D752" t="s">
        <v>826</v>
      </c>
      <c r="E752" t="s">
        <v>827</v>
      </c>
      <c r="F752" t="s">
        <v>828</v>
      </c>
      <c r="G752" t="s">
        <v>144</v>
      </c>
      <c r="H752" s="1">
        <v>44996.531736111108</v>
      </c>
      <c r="I752" s="1">
        <v>44999.531736111108</v>
      </c>
      <c r="J752" t="s">
        <v>32</v>
      </c>
      <c r="K752" s="1">
        <v>45008.531736111108</v>
      </c>
      <c r="L752" t="s">
        <v>33</v>
      </c>
      <c r="M752" t="s">
        <v>108</v>
      </c>
      <c r="R752" s="4">
        <v>45009.531736111108</v>
      </c>
      <c r="T752">
        <v>0</v>
      </c>
      <c r="Y752" t="s">
        <v>55</v>
      </c>
      <c r="AC752" s="2">
        <f t="shared" si="99"/>
        <v>3</v>
      </c>
      <c r="AD752" s="2">
        <f t="shared" si="100"/>
        <v>12</v>
      </c>
      <c r="AE752" s="2">
        <f t="shared" si="101"/>
        <v>9</v>
      </c>
      <c r="AF752" s="2">
        <f t="shared" si="102"/>
        <v>13</v>
      </c>
      <c r="AG752" s="2">
        <f t="shared" si="103"/>
        <v>1</v>
      </c>
      <c r="AH752" s="4">
        <f t="shared" si="104"/>
        <v>45099.531736111108</v>
      </c>
      <c r="AI752" s="2" t="str">
        <f t="shared" si="105"/>
        <v/>
      </c>
      <c r="AJ752" s="2" t="str">
        <f t="shared" si="106"/>
        <v/>
      </c>
      <c r="AK752" s="2" t="str">
        <f t="shared" si="107"/>
        <v/>
      </c>
    </row>
    <row r="753" spans="1:37" x14ac:dyDescent="0.25">
      <c r="A753">
        <v>2181</v>
      </c>
      <c r="B753" t="s">
        <v>851</v>
      </c>
      <c r="C753" t="s">
        <v>806</v>
      </c>
      <c r="D753" t="s">
        <v>826</v>
      </c>
      <c r="E753" t="s">
        <v>827</v>
      </c>
      <c r="F753" t="s">
        <v>828</v>
      </c>
      <c r="G753" t="s">
        <v>144</v>
      </c>
      <c r="H753" s="1">
        <v>44996.531736111108</v>
      </c>
      <c r="I753" s="1">
        <v>44999.531736111108</v>
      </c>
      <c r="J753" t="s">
        <v>44</v>
      </c>
      <c r="K753" s="1"/>
      <c r="T753">
        <v>0</v>
      </c>
      <c r="AC753" s="2">
        <f t="shared" si="99"/>
        <v>3</v>
      </c>
      <c r="AD753" s="2" t="str">
        <f t="shared" si="100"/>
        <v/>
      </c>
      <c r="AE753" s="2" t="str">
        <f t="shared" si="101"/>
        <v/>
      </c>
      <c r="AF753" s="2" t="str">
        <f t="shared" si="102"/>
        <v/>
      </c>
      <c r="AG753" s="2" t="str">
        <f t="shared" si="103"/>
        <v/>
      </c>
      <c r="AH753" s="4" t="str">
        <f t="shared" si="104"/>
        <v/>
      </c>
      <c r="AI753" s="2" t="str">
        <f t="shared" si="105"/>
        <v/>
      </c>
      <c r="AJ753" s="2" t="str">
        <f t="shared" si="106"/>
        <v/>
      </c>
      <c r="AK753" s="2" t="str">
        <f t="shared" si="107"/>
        <v/>
      </c>
    </row>
    <row r="754" spans="1:37" x14ac:dyDescent="0.25">
      <c r="A754">
        <v>2080</v>
      </c>
      <c r="B754" t="s">
        <v>852</v>
      </c>
      <c r="C754" t="s">
        <v>806</v>
      </c>
      <c r="D754" t="s">
        <v>826</v>
      </c>
      <c r="E754" t="s">
        <v>827</v>
      </c>
      <c r="F754" t="s">
        <v>828</v>
      </c>
      <c r="G754" t="s">
        <v>144</v>
      </c>
      <c r="H754" s="1">
        <v>44916.441053240742</v>
      </c>
      <c r="I754" s="1">
        <v>44919.441053240742</v>
      </c>
      <c r="J754" t="s">
        <v>32</v>
      </c>
      <c r="K754" s="1">
        <v>44937.441053240742</v>
      </c>
      <c r="L754" t="s">
        <v>57</v>
      </c>
      <c r="N754" s="4">
        <v>44943.441053240742</v>
      </c>
      <c r="O754" t="s">
        <v>57</v>
      </c>
      <c r="P754" s="4">
        <v>44938.441053240742</v>
      </c>
      <c r="Q754" s="4">
        <v>44939.441053240742</v>
      </c>
      <c r="R754" s="4">
        <v>44940.441053240742</v>
      </c>
      <c r="S754" s="4">
        <v>44944.441053240742</v>
      </c>
      <c r="T754">
        <v>1</v>
      </c>
      <c r="U754" s="4">
        <v>44948.441053240742</v>
      </c>
      <c r="V754" s="4">
        <v>44949.441053240742</v>
      </c>
      <c r="W754" s="4">
        <v>44952.441053240742</v>
      </c>
      <c r="Z754" s="4">
        <v>44964.441053240742</v>
      </c>
      <c r="AC754" s="2">
        <f t="shared" si="99"/>
        <v>3</v>
      </c>
      <c r="AD754" s="2">
        <f t="shared" si="100"/>
        <v>21</v>
      </c>
      <c r="AE754" s="2">
        <f t="shared" si="101"/>
        <v>18</v>
      </c>
      <c r="AF754" s="2">
        <f t="shared" si="102"/>
        <v>24</v>
      </c>
      <c r="AG754" s="2">
        <f t="shared" si="103"/>
        <v>3</v>
      </c>
      <c r="AH754" s="4">
        <f t="shared" si="104"/>
        <v>45030.441053240742</v>
      </c>
      <c r="AI754" s="2">
        <f t="shared" si="105"/>
        <v>4</v>
      </c>
      <c r="AJ754" s="2">
        <f t="shared" si="106"/>
        <v>24</v>
      </c>
      <c r="AK754" s="2">
        <f t="shared" si="107"/>
        <v>12</v>
      </c>
    </row>
    <row r="755" spans="1:37" x14ac:dyDescent="0.25">
      <c r="A755">
        <v>2075</v>
      </c>
      <c r="B755" t="s">
        <v>853</v>
      </c>
      <c r="C755" t="s">
        <v>806</v>
      </c>
      <c r="D755" t="s">
        <v>826</v>
      </c>
      <c r="E755" t="s">
        <v>827</v>
      </c>
      <c r="F755" t="s">
        <v>828</v>
      </c>
      <c r="G755" t="s">
        <v>144</v>
      </c>
      <c r="H755" s="1">
        <v>44921.441053240742</v>
      </c>
      <c r="I755" s="1">
        <v>44922.441053240742</v>
      </c>
      <c r="J755" t="s">
        <v>32</v>
      </c>
      <c r="K755" s="1">
        <v>44931.441053240742</v>
      </c>
      <c r="L755" t="s">
        <v>33</v>
      </c>
      <c r="M755" t="s">
        <v>67</v>
      </c>
      <c r="T755">
        <v>0</v>
      </c>
      <c r="Y755" t="s">
        <v>55</v>
      </c>
      <c r="AC755" s="2">
        <f t="shared" si="99"/>
        <v>1</v>
      </c>
      <c r="AD755" s="2">
        <f t="shared" si="100"/>
        <v>10</v>
      </c>
      <c r="AE755" s="2">
        <f t="shared" si="101"/>
        <v>9</v>
      </c>
      <c r="AF755" s="2" t="str">
        <f t="shared" si="102"/>
        <v/>
      </c>
      <c r="AG755" s="2" t="str">
        <f t="shared" si="103"/>
        <v/>
      </c>
      <c r="AH755" s="4" t="str">
        <f t="shared" si="104"/>
        <v/>
      </c>
      <c r="AI755" s="2" t="str">
        <f t="shared" si="105"/>
        <v/>
      </c>
      <c r="AJ755" s="2" t="str">
        <f t="shared" si="106"/>
        <v/>
      </c>
      <c r="AK755" s="2" t="str">
        <f t="shared" si="107"/>
        <v/>
      </c>
    </row>
    <row r="756" spans="1:37" x14ac:dyDescent="0.25">
      <c r="A756">
        <v>2074</v>
      </c>
      <c r="B756" t="s">
        <v>854</v>
      </c>
      <c r="C756" t="s">
        <v>806</v>
      </c>
      <c r="D756" t="s">
        <v>826</v>
      </c>
      <c r="E756" t="s">
        <v>827</v>
      </c>
      <c r="F756" t="s">
        <v>828</v>
      </c>
      <c r="G756" t="s">
        <v>144</v>
      </c>
      <c r="H756" s="1">
        <v>44916.441053240742</v>
      </c>
      <c r="I756" s="1">
        <v>44919.441053240742</v>
      </c>
      <c r="J756" t="s">
        <v>32</v>
      </c>
      <c r="K756" s="1">
        <v>44941.441053240742</v>
      </c>
      <c r="L756" t="s">
        <v>33</v>
      </c>
      <c r="M756" t="s">
        <v>108</v>
      </c>
      <c r="T756">
        <v>0</v>
      </c>
      <c r="Y756" t="s">
        <v>55</v>
      </c>
      <c r="AC756" s="2">
        <f t="shared" si="99"/>
        <v>3</v>
      </c>
      <c r="AD756" s="2">
        <f t="shared" si="100"/>
        <v>25</v>
      </c>
      <c r="AE756" s="2">
        <f t="shared" si="101"/>
        <v>22</v>
      </c>
      <c r="AF756" s="2" t="str">
        <f t="shared" si="102"/>
        <v/>
      </c>
      <c r="AG756" s="2" t="str">
        <f t="shared" si="103"/>
        <v/>
      </c>
      <c r="AH756" s="4" t="str">
        <f t="shared" si="104"/>
        <v/>
      </c>
      <c r="AI756" s="2" t="str">
        <f t="shared" si="105"/>
        <v/>
      </c>
      <c r="AJ756" s="2" t="str">
        <f t="shared" si="106"/>
        <v/>
      </c>
      <c r="AK756" s="2" t="str">
        <f t="shared" si="107"/>
        <v/>
      </c>
    </row>
    <row r="757" spans="1:37" x14ac:dyDescent="0.25">
      <c r="A757">
        <v>2049</v>
      </c>
      <c r="B757" t="s">
        <v>855</v>
      </c>
      <c r="C757" t="s">
        <v>806</v>
      </c>
      <c r="D757" t="s">
        <v>826</v>
      </c>
      <c r="E757" t="s">
        <v>827</v>
      </c>
      <c r="F757" t="s">
        <v>828</v>
      </c>
      <c r="G757" t="s">
        <v>144</v>
      </c>
      <c r="H757" s="1">
        <v>44762.200532407405</v>
      </c>
      <c r="I757" s="1">
        <v>44763.200532407405</v>
      </c>
      <c r="J757" t="s">
        <v>44</v>
      </c>
      <c r="K757" s="1"/>
      <c r="T757">
        <v>0</v>
      </c>
      <c r="AC757" s="2">
        <f t="shared" si="99"/>
        <v>1</v>
      </c>
      <c r="AD757" s="2" t="str">
        <f t="shared" si="100"/>
        <v/>
      </c>
      <c r="AE757" s="2" t="str">
        <f t="shared" si="101"/>
        <v/>
      </c>
      <c r="AF757" s="2" t="str">
        <f t="shared" si="102"/>
        <v/>
      </c>
      <c r="AG757" s="2" t="str">
        <f t="shared" si="103"/>
        <v/>
      </c>
      <c r="AH757" s="4" t="str">
        <f t="shared" si="104"/>
        <v/>
      </c>
      <c r="AI757" s="2" t="str">
        <f t="shared" si="105"/>
        <v/>
      </c>
      <c r="AJ757" s="2" t="str">
        <f t="shared" si="106"/>
        <v/>
      </c>
      <c r="AK757" s="2" t="str">
        <f t="shared" si="107"/>
        <v/>
      </c>
    </row>
    <row r="758" spans="1:37" x14ac:dyDescent="0.25">
      <c r="A758">
        <v>2046</v>
      </c>
      <c r="B758" t="s">
        <v>856</v>
      </c>
      <c r="C758" t="s">
        <v>806</v>
      </c>
      <c r="D758" t="s">
        <v>826</v>
      </c>
      <c r="E758" t="s">
        <v>827</v>
      </c>
      <c r="F758" t="s">
        <v>828</v>
      </c>
      <c r="G758" t="s">
        <v>144</v>
      </c>
      <c r="H758" s="1">
        <v>44755.200532407405</v>
      </c>
      <c r="I758" s="1">
        <v>44759.200532407405</v>
      </c>
      <c r="J758" t="s">
        <v>44</v>
      </c>
      <c r="K758" s="1"/>
      <c r="T758">
        <v>0</v>
      </c>
      <c r="AC758" s="2">
        <f t="shared" si="99"/>
        <v>4</v>
      </c>
      <c r="AD758" s="2" t="str">
        <f t="shared" si="100"/>
        <v/>
      </c>
      <c r="AE758" s="2" t="str">
        <f t="shared" si="101"/>
        <v/>
      </c>
      <c r="AF758" s="2" t="str">
        <f t="shared" si="102"/>
        <v/>
      </c>
      <c r="AG758" s="2" t="str">
        <f t="shared" si="103"/>
        <v/>
      </c>
      <c r="AH758" s="4" t="str">
        <f t="shared" si="104"/>
        <v/>
      </c>
      <c r="AI758" s="2" t="str">
        <f t="shared" si="105"/>
        <v/>
      </c>
      <c r="AJ758" s="2" t="str">
        <f t="shared" si="106"/>
        <v/>
      </c>
      <c r="AK758" s="2" t="str">
        <f t="shared" si="107"/>
        <v/>
      </c>
    </row>
    <row r="759" spans="1:37" x14ac:dyDescent="0.25">
      <c r="A759">
        <v>2041</v>
      </c>
      <c r="B759" t="s">
        <v>857</v>
      </c>
      <c r="C759" t="s">
        <v>806</v>
      </c>
      <c r="D759" t="s">
        <v>826</v>
      </c>
      <c r="E759" t="s">
        <v>827</v>
      </c>
      <c r="F759" t="s">
        <v>828</v>
      </c>
      <c r="G759" t="s">
        <v>144</v>
      </c>
      <c r="H759" s="1">
        <v>44762.200532407405</v>
      </c>
      <c r="I759" s="1">
        <v>44763.200532407405</v>
      </c>
      <c r="J759" t="s">
        <v>32</v>
      </c>
      <c r="K759" s="1">
        <v>44777.200532407405</v>
      </c>
      <c r="L759" t="s">
        <v>33</v>
      </c>
      <c r="M759" t="s">
        <v>92</v>
      </c>
      <c r="T759">
        <v>0</v>
      </c>
      <c r="Y759" t="s">
        <v>35</v>
      </c>
      <c r="AC759" s="2">
        <f t="shared" si="99"/>
        <v>1</v>
      </c>
      <c r="AD759" s="2">
        <f t="shared" si="100"/>
        <v>15</v>
      </c>
      <c r="AE759" s="2">
        <f t="shared" si="101"/>
        <v>14</v>
      </c>
      <c r="AF759" s="2" t="str">
        <f t="shared" si="102"/>
        <v/>
      </c>
      <c r="AG759" s="2" t="str">
        <f t="shared" si="103"/>
        <v/>
      </c>
      <c r="AH759" s="4" t="str">
        <f t="shared" si="104"/>
        <v/>
      </c>
      <c r="AI759" s="2" t="str">
        <f t="shared" si="105"/>
        <v/>
      </c>
      <c r="AJ759" s="2" t="str">
        <f t="shared" si="106"/>
        <v/>
      </c>
      <c r="AK759" s="2" t="str">
        <f t="shared" si="107"/>
        <v/>
      </c>
    </row>
    <row r="760" spans="1:37" x14ac:dyDescent="0.25">
      <c r="A760">
        <v>2017</v>
      </c>
      <c r="B760" t="s">
        <v>858</v>
      </c>
      <c r="C760" t="s">
        <v>806</v>
      </c>
      <c r="D760" t="s">
        <v>826</v>
      </c>
      <c r="E760" t="s">
        <v>601</v>
      </c>
      <c r="F760" t="s">
        <v>859</v>
      </c>
      <c r="G760" t="s">
        <v>144</v>
      </c>
      <c r="H760" s="1">
        <v>45080.58390046296</v>
      </c>
      <c r="I760" s="1">
        <v>45083.58390046296</v>
      </c>
      <c r="J760" t="s">
        <v>32</v>
      </c>
      <c r="K760" s="1">
        <v>45097.58390046296</v>
      </c>
      <c r="L760" t="s">
        <v>33</v>
      </c>
      <c r="M760" t="s">
        <v>92</v>
      </c>
      <c r="T760">
        <v>0</v>
      </c>
      <c r="Y760" t="s">
        <v>35</v>
      </c>
      <c r="AC760" s="2">
        <f t="shared" si="99"/>
        <v>3</v>
      </c>
      <c r="AD760" s="2">
        <f t="shared" si="100"/>
        <v>17</v>
      </c>
      <c r="AE760" s="2">
        <f t="shared" si="101"/>
        <v>14</v>
      </c>
      <c r="AF760" s="2" t="str">
        <f t="shared" si="102"/>
        <v/>
      </c>
      <c r="AG760" s="2" t="str">
        <f t="shared" si="103"/>
        <v/>
      </c>
      <c r="AH760" s="4" t="str">
        <f t="shared" si="104"/>
        <v/>
      </c>
      <c r="AI760" s="2" t="str">
        <f t="shared" si="105"/>
        <v/>
      </c>
      <c r="AJ760" s="2" t="str">
        <f t="shared" si="106"/>
        <v/>
      </c>
      <c r="AK760" s="2" t="str">
        <f t="shared" si="107"/>
        <v/>
      </c>
    </row>
    <row r="761" spans="1:37" x14ac:dyDescent="0.25">
      <c r="A761">
        <v>2014</v>
      </c>
      <c r="B761" t="s">
        <v>860</v>
      </c>
      <c r="C761" t="s">
        <v>806</v>
      </c>
      <c r="D761" t="s">
        <v>826</v>
      </c>
      <c r="E761" t="s">
        <v>601</v>
      </c>
      <c r="F761" t="s">
        <v>859</v>
      </c>
      <c r="G761" t="s">
        <v>144</v>
      </c>
      <c r="H761" s="1">
        <v>45080.58390046296</v>
      </c>
      <c r="I761" s="1">
        <v>45081.58390046296</v>
      </c>
      <c r="J761" t="s">
        <v>32</v>
      </c>
      <c r="K761" s="1">
        <v>45100.58390046296</v>
      </c>
      <c r="L761" t="s">
        <v>33</v>
      </c>
      <c r="M761" t="s">
        <v>34</v>
      </c>
      <c r="T761">
        <v>0</v>
      </c>
      <c r="Y761" t="s">
        <v>35</v>
      </c>
      <c r="AC761" s="2">
        <f t="shared" si="99"/>
        <v>1</v>
      </c>
      <c r="AD761" s="2">
        <f t="shared" si="100"/>
        <v>20</v>
      </c>
      <c r="AE761" s="2">
        <f t="shared" si="101"/>
        <v>19</v>
      </c>
      <c r="AF761" s="2" t="str">
        <f t="shared" si="102"/>
        <v/>
      </c>
      <c r="AG761" s="2" t="str">
        <f t="shared" si="103"/>
        <v/>
      </c>
      <c r="AH761" s="4" t="str">
        <f t="shared" si="104"/>
        <v/>
      </c>
      <c r="AI761" s="2" t="str">
        <f t="shared" si="105"/>
        <v/>
      </c>
      <c r="AJ761" s="2" t="str">
        <f t="shared" si="106"/>
        <v/>
      </c>
      <c r="AK761" s="2" t="str">
        <f t="shared" si="107"/>
        <v/>
      </c>
    </row>
    <row r="762" spans="1:37" x14ac:dyDescent="0.25">
      <c r="A762">
        <v>2011</v>
      </c>
      <c r="B762" t="s">
        <v>861</v>
      </c>
      <c r="C762" t="s">
        <v>806</v>
      </c>
      <c r="D762" t="s">
        <v>826</v>
      </c>
      <c r="E762" t="s">
        <v>601</v>
      </c>
      <c r="F762" t="s">
        <v>859</v>
      </c>
      <c r="G762" t="s">
        <v>144</v>
      </c>
      <c r="H762" s="1">
        <v>45081.58390046296</v>
      </c>
      <c r="I762" s="1">
        <v>45085.58390046296</v>
      </c>
      <c r="J762" t="s">
        <v>32</v>
      </c>
      <c r="K762" s="1">
        <v>45102.58390046296</v>
      </c>
      <c r="L762" t="s">
        <v>164</v>
      </c>
      <c r="N762" s="4">
        <v>45107.58390046296</v>
      </c>
      <c r="O762" t="s">
        <v>164</v>
      </c>
      <c r="R762" s="4">
        <v>45104.58390046296</v>
      </c>
      <c r="T762">
        <v>0</v>
      </c>
      <c r="AC762" s="2">
        <f t="shared" si="99"/>
        <v>4</v>
      </c>
      <c r="AD762" s="2">
        <f t="shared" si="100"/>
        <v>21</v>
      </c>
      <c r="AE762" s="2">
        <f t="shared" si="101"/>
        <v>17</v>
      </c>
      <c r="AF762" s="2">
        <f t="shared" si="102"/>
        <v>23</v>
      </c>
      <c r="AG762" s="2">
        <f t="shared" si="103"/>
        <v>2</v>
      </c>
      <c r="AH762" s="4">
        <f t="shared" si="104"/>
        <v>45194.58390046296</v>
      </c>
      <c r="AI762" s="2" t="str">
        <f t="shared" si="105"/>
        <v/>
      </c>
      <c r="AJ762" s="2" t="str">
        <f t="shared" si="106"/>
        <v/>
      </c>
      <c r="AK762" s="2" t="str">
        <f t="shared" si="107"/>
        <v/>
      </c>
    </row>
    <row r="763" spans="1:37" x14ac:dyDescent="0.25">
      <c r="A763">
        <v>1949</v>
      </c>
      <c r="B763" t="s">
        <v>862</v>
      </c>
      <c r="C763" t="s">
        <v>806</v>
      </c>
      <c r="D763" t="s">
        <v>826</v>
      </c>
      <c r="E763" t="s">
        <v>601</v>
      </c>
      <c r="F763" t="s">
        <v>859</v>
      </c>
      <c r="G763" t="s">
        <v>144</v>
      </c>
      <c r="H763" s="1">
        <v>44984.264120370368</v>
      </c>
      <c r="I763" s="1">
        <v>44987.264120370368</v>
      </c>
      <c r="J763" t="s">
        <v>32</v>
      </c>
      <c r="K763" s="1">
        <v>44993.264120370368</v>
      </c>
      <c r="L763" t="s">
        <v>164</v>
      </c>
      <c r="N763" s="4">
        <v>44997.264120370368</v>
      </c>
      <c r="O763" t="s">
        <v>164</v>
      </c>
      <c r="R763" s="4">
        <v>44995.264120370368</v>
      </c>
      <c r="T763">
        <v>0</v>
      </c>
      <c r="AC763" s="2">
        <f t="shared" si="99"/>
        <v>3</v>
      </c>
      <c r="AD763" s="2">
        <f t="shared" si="100"/>
        <v>9</v>
      </c>
      <c r="AE763" s="2">
        <f t="shared" si="101"/>
        <v>6</v>
      </c>
      <c r="AF763" s="2">
        <f t="shared" si="102"/>
        <v>11</v>
      </c>
      <c r="AG763" s="2">
        <f t="shared" si="103"/>
        <v>2</v>
      </c>
      <c r="AH763" s="4">
        <f t="shared" si="104"/>
        <v>45085.264120370368</v>
      </c>
      <c r="AI763" s="2" t="str">
        <f t="shared" si="105"/>
        <v/>
      </c>
      <c r="AJ763" s="2" t="str">
        <f t="shared" si="106"/>
        <v/>
      </c>
      <c r="AK763" s="2" t="str">
        <f t="shared" si="107"/>
        <v/>
      </c>
    </row>
    <row r="764" spans="1:37" x14ac:dyDescent="0.25">
      <c r="A764">
        <v>1946</v>
      </c>
      <c r="B764" t="s">
        <v>863</v>
      </c>
      <c r="C764" t="s">
        <v>806</v>
      </c>
      <c r="D764" t="s">
        <v>826</v>
      </c>
      <c r="E764" t="s">
        <v>601</v>
      </c>
      <c r="F764" t="s">
        <v>859</v>
      </c>
      <c r="G764" t="s">
        <v>144</v>
      </c>
      <c r="H764" s="1">
        <v>44985.264120370368</v>
      </c>
      <c r="I764" s="1">
        <v>44987.264120370368</v>
      </c>
      <c r="J764" t="s">
        <v>32</v>
      </c>
      <c r="K764" s="1">
        <v>44996.264120370368</v>
      </c>
      <c r="L764" t="s">
        <v>57</v>
      </c>
      <c r="N764" s="4">
        <v>44998.264120370368</v>
      </c>
      <c r="O764" t="s">
        <v>57</v>
      </c>
      <c r="P764" s="4">
        <v>44998.264120370368</v>
      </c>
      <c r="Q764" s="4">
        <v>45000.264120370368</v>
      </c>
      <c r="R764" s="4">
        <v>44997.264120370368</v>
      </c>
      <c r="S764" s="4">
        <v>45002.264120370368</v>
      </c>
      <c r="T764">
        <v>1</v>
      </c>
      <c r="U764" s="4">
        <v>45005.264120370368</v>
      </c>
      <c r="V764" s="4">
        <v>45006.264120370368</v>
      </c>
      <c r="W764" s="4">
        <v>45007.264120370368</v>
      </c>
      <c r="Z764" s="4">
        <v>45021.264120370368</v>
      </c>
      <c r="AC764" s="2">
        <f t="shared" si="99"/>
        <v>2</v>
      </c>
      <c r="AD764" s="2">
        <f t="shared" si="100"/>
        <v>11</v>
      </c>
      <c r="AE764" s="2">
        <f t="shared" si="101"/>
        <v>9</v>
      </c>
      <c r="AF764" s="2">
        <f t="shared" si="102"/>
        <v>12</v>
      </c>
      <c r="AG764" s="2">
        <f t="shared" si="103"/>
        <v>1</v>
      </c>
      <c r="AH764" s="4">
        <f t="shared" si="104"/>
        <v>45087.264120370368</v>
      </c>
      <c r="AI764" s="2">
        <f t="shared" si="105"/>
        <v>3</v>
      </c>
      <c r="AJ764" s="2">
        <f t="shared" si="106"/>
        <v>24</v>
      </c>
      <c r="AK764" s="2">
        <f t="shared" si="107"/>
        <v>10</v>
      </c>
    </row>
    <row r="765" spans="1:37" x14ac:dyDescent="0.25">
      <c r="A765">
        <v>1941</v>
      </c>
      <c r="B765" t="s">
        <v>864</v>
      </c>
      <c r="C765" t="s">
        <v>806</v>
      </c>
      <c r="D765" t="s">
        <v>826</v>
      </c>
      <c r="E765" t="s">
        <v>601</v>
      </c>
      <c r="F765" t="s">
        <v>859</v>
      </c>
      <c r="G765" t="s">
        <v>144</v>
      </c>
      <c r="H765" s="1">
        <v>44982.264120370368</v>
      </c>
      <c r="I765" s="1">
        <v>44984.264120370368</v>
      </c>
      <c r="J765" t="s">
        <v>44</v>
      </c>
      <c r="K765" s="1"/>
      <c r="T765">
        <v>0</v>
      </c>
      <c r="AC765" s="2">
        <f t="shared" si="99"/>
        <v>2</v>
      </c>
      <c r="AD765" s="2" t="str">
        <f t="shared" si="100"/>
        <v/>
      </c>
      <c r="AE765" s="2" t="str">
        <f t="shared" si="101"/>
        <v/>
      </c>
      <c r="AF765" s="2" t="str">
        <f t="shared" si="102"/>
        <v/>
      </c>
      <c r="AG765" s="2" t="str">
        <f t="shared" si="103"/>
        <v/>
      </c>
      <c r="AH765" s="4" t="str">
        <f t="shared" si="104"/>
        <v/>
      </c>
      <c r="AI765" s="2" t="str">
        <f t="shared" si="105"/>
        <v/>
      </c>
      <c r="AJ765" s="2" t="str">
        <f t="shared" si="106"/>
        <v/>
      </c>
      <c r="AK765" s="2" t="str">
        <f t="shared" si="107"/>
        <v/>
      </c>
    </row>
    <row r="766" spans="1:37" x14ac:dyDescent="0.25">
      <c r="A766">
        <v>1836</v>
      </c>
      <c r="B766" t="s">
        <v>865</v>
      </c>
      <c r="C766" t="s">
        <v>806</v>
      </c>
      <c r="D766" t="s">
        <v>826</v>
      </c>
      <c r="E766" t="s">
        <v>601</v>
      </c>
      <c r="F766" t="s">
        <v>859</v>
      </c>
      <c r="G766" t="s">
        <v>144</v>
      </c>
      <c r="H766" s="1">
        <v>45034.367280092592</v>
      </c>
      <c r="I766" s="1">
        <v>45038.367280092592</v>
      </c>
      <c r="J766" t="s">
        <v>32</v>
      </c>
      <c r="K766" s="1">
        <v>45054.367280092592</v>
      </c>
      <c r="L766" t="s">
        <v>33</v>
      </c>
      <c r="M766" t="s">
        <v>34</v>
      </c>
      <c r="T766">
        <v>0</v>
      </c>
      <c r="Y766" t="s">
        <v>55</v>
      </c>
      <c r="AC766" s="2">
        <f t="shared" si="99"/>
        <v>4</v>
      </c>
      <c r="AD766" s="2">
        <f t="shared" si="100"/>
        <v>20</v>
      </c>
      <c r="AE766" s="2">
        <f t="shared" si="101"/>
        <v>16</v>
      </c>
      <c r="AF766" s="2" t="str">
        <f t="shared" si="102"/>
        <v/>
      </c>
      <c r="AG766" s="2" t="str">
        <f t="shared" si="103"/>
        <v/>
      </c>
      <c r="AH766" s="4" t="str">
        <f t="shared" si="104"/>
        <v/>
      </c>
      <c r="AI766" s="2" t="str">
        <f t="shared" si="105"/>
        <v/>
      </c>
      <c r="AJ766" s="2" t="str">
        <f t="shared" si="106"/>
        <v/>
      </c>
      <c r="AK766" s="2" t="str">
        <f t="shared" si="107"/>
        <v/>
      </c>
    </row>
    <row r="767" spans="1:37" x14ac:dyDescent="0.25">
      <c r="A767">
        <v>1788</v>
      </c>
      <c r="B767" t="s">
        <v>866</v>
      </c>
      <c r="C767" t="s">
        <v>806</v>
      </c>
      <c r="D767" t="s">
        <v>826</v>
      </c>
      <c r="E767" t="s">
        <v>601</v>
      </c>
      <c r="F767" t="s">
        <v>859</v>
      </c>
      <c r="G767" t="s">
        <v>144</v>
      </c>
      <c r="H767" s="1">
        <v>44659.356493055559</v>
      </c>
      <c r="I767" s="1">
        <v>44660.356493055559</v>
      </c>
      <c r="J767" t="s">
        <v>32</v>
      </c>
      <c r="K767" s="1">
        <v>44668.356493055559</v>
      </c>
      <c r="L767" t="s">
        <v>57</v>
      </c>
      <c r="N767" s="4">
        <v>44676.356493055559</v>
      </c>
      <c r="O767" t="s">
        <v>57</v>
      </c>
      <c r="P767" s="4">
        <v>44670.356493055559</v>
      </c>
      <c r="Q767" s="4">
        <v>44672.356493055559</v>
      </c>
      <c r="R767" s="4">
        <v>44672.356493055559</v>
      </c>
      <c r="S767" s="4">
        <v>44679.356493055559</v>
      </c>
      <c r="T767">
        <v>1</v>
      </c>
      <c r="U767" s="4">
        <v>44683.356493055559</v>
      </c>
      <c r="V767" s="4">
        <v>44686.356493055559</v>
      </c>
      <c r="W767" s="4">
        <v>44689.356493055559</v>
      </c>
      <c r="Z767" s="4">
        <v>44698.356493055559</v>
      </c>
      <c r="AC767" s="2">
        <f t="shared" si="99"/>
        <v>1</v>
      </c>
      <c r="AD767" s="2">
        <f t="shared" si="100"/>
        <v>9</v>
      </c>
      <c r="AE767" s="2">
        <f t="shared" si="101"/>
        <v>8</v>
      </c>
      <c r="AF767" s="2">
        <f t="shared" si="102"/>
        <v>13</v>
      </c>
      <c r="AG767" s="2">
        <f t="shared" si="103"/>
        <v>4</v>
      </c>
      <c r="AH767" s="4">
        <f t="shared" si="104"/>
        <v>44762.356493055559</v>
      </c>
      <c r="AI767" s="2">
        <f t="shared" si="105"/>
        <v>4</v>
      </c>
      <c r="AJ767" s="2">
        <f t="shared" si="106"/>
        <v>26</v>
      </c>
      <c r="AK767" s="2">
        <f t="shared" si="107"/>
        <v>17</v>
      </c>
    </row>
    <row r="768" spans="1:37" x14ac:dyDescent="0.25">
      <c r="A768">
        <v>1784</v>
      </c>
      <c r="B768" t="s">
        <v>867</v>
      </c>
      <c r="C768" t="s">
        <v>806</v>
      </c>
      <c r="D768" t="s">
        <v>826</v>
      </c>
      <c r="E768" t="s">
        <v>601</v>
      </c>
      <c r="F768" t="s">
        <v>859</v>
      </c>
      <c r="G768" t="s">
        <v>144</v>
      </c>
      <c r="H768" s="1">
        <v>44657.356493055559</v>
      </c>
      <c r="I768" s="1">
        <v>44661.356493055559</v>
      </c>
      <c r="J768" t="s">
        <v>32</v>
      </c>
      <c r="K768" s="1">
        <v>44671.356493055559</v>
      </c>
      <c r="L768" t="s">
        <v>57</v>
      </c>
      <c r="N768" s="4">
        <v>44679.356493055559</v>
      </c>
      <c r="O768" t="s">
        <v>57</v>
      </c>
      <c r="P768" s="4">
        <v>44672.356493055559</v>
      </c>
      <c r="Q768" s="4">
        <v>44673.356493055559</v>
      </c>
      <c r="R768" s="4">
        <v>44675.356493055559</v>
      </c>
      <c r="S768" s="4">
        <v>44682.356493055559</v>
      </c>
      <c r="T768">
        <v>1</v>
      </c>
      <c r="U768" s="4">
        <v>44685.356493055559</v>
      </c>
      <c r="V768" s="4">
        <v>44687.356493055559</v>
      </c>
      <c r="W768" s="4">
        <v>44689.356493055559</v>
      </c>
      <c r="Z768" s="4">
        <v>44704.356493055559</v>
      </c>
      <c r="AC768" s="2">
        <f t="shared" si="99"/>
        <v>4</v>
      </c>
      <c r="AD768" s="2">
        <f t="shared" si="100"/>
        <v>14</v>
      </c>
      <c r="AE768" s="2">
        <f t="shared" si="101"/>
        <v>10</v>
      </c>
      <c r="AF768" s="2">
        <f t="shared" si="102"/>
        <v>18</v>
      </c>
      <c r="AG768" s="2">
        <f t="shared" si="103"/>
        <v>4</v>
      </c>
      <c r="AH768" s="4">
        <f t="shared" si="104"/>
        <v>44765.356493055559</v>
      </c>
      <c r="AI768" s="2">
        <f t="shared" si="105"/>
        <v>3</v>
      </c>
      <c r="AJ768" s="2">
        <f t="shared" si="106"/>
        <v>29</v>
      </c>
      <c r="AK768" s="2">
        <f t="shared" si="107"/>
        <v>14</v>
      </c>
    </row>
    <row r="769" spans="1:37" x14ac:dyDescent="0.25">
      <c r="A769">
        <v>1767</v>
      </c>
      <c r="B769" t="s">
        <v>868</v>
      </c>
      <c r="C769" t="s">
        <v>806</v>
      </c>
      <c r="D769" t="s">
        <v>826</v>
      </c>
      <c r="E769" t="s">
        <v>601</v>
      </c>
      <c r="F769" t="s">
        <v>859</v>
      </c>
      <c r="G769" t="s">
        <v>144</v>
      </c>
      <c r="H769" s="1">
        <v>45096.652581018519</v>
      </c>
      <c r="I769" s="1">
        <v>45100.652581018519</v>
      </c>
      <c r="J769" t="s">
        <v>32</v>
      </c>
      <c r="K769" s="1">
        <v>45112.652581018519</v>
      </c>
      <c r="L769" t="s">
        <v>39</v>
      </c>
      <c r="N769" s="4">
        <v>45118.652581018519</v>
      </c>
      <c r="O769" t="s">
        <v>39</v>
      </c>
      <c r="R769" s="4">
        <v>45116.652581018519</v>
      </c>
      <c r="T769">
        <v>0</v>
      </c>
      <c r="AC769" s="2">
        <f t="shared" si="99"/>
        <v>4</v>
      </c>
      <c r="AD769" s="2">
        <f t="shared" si="100"/>
        <v>16</v>
      </c>
      <c r="AE769" s="2">
        <f t="shared" si="101"/>
        <v>12</v>
      </c>
      <c r="AF769" s="2">
        <f t="shared" si="102"/>
        <v>20</v>
      </c>
      <c r="AG769" s="2">
        <f t="shared" si="103"/>
        <v>4</v>
      </c>
      <c r="AH769" s="4">
        <f t="shared" si="104"/>
        <v>45206.652581018519</v>
      </c>
      <c r="AI769" s="2" t="str">
        <f t="shared" si="105"/>
        <v/>
      </c>
      <c r="AJ769" s="2" t="str">
        <f t="shared" si="106"/>
        <v/>
      </c>
      <c r="AK769" s="2" t="str">
        <f t="shared" si="107"/>
        <v/>
      </c>
    </row>
    <row r="770" spans="1:37" x14ac:dyDescent="0.25">
      <c r="A770">
        <v>1766</v>
      </c>
      <c r="B770" t="s">
        <v>869</v>
      </c>
      <c r="C770" t="s">
        <v>806</v>
      </c>
      <c r="D770" t="s">
        <v>826</v>
      </c>
      <c r="E770" t="s">
        <v>601</v>
      </c>
      <c r="F770" t="s">
        <v>859</v>
      </c>
      <c r="G770" t="s">
        <v>144</v>
      </c>
      <c r="H770" s="1">
        <v>45099.652581018519</v>
      </c>
      <c r="I770" s="1">
        <v>45101.652581018519</v>
      </c>
      <c r="J770" t="s">
        <v>32</v>
      </c>
      <c r="K770" s="1">
        <v>45121.652581018519</v>
      </c>
      <c r="L770" t="s">
        <v>33</v>
      </c>
      <c r="M770" t="s">
        <v>34</v>
      </c>
      <c r="R770" s="4">
        <v>45125.652581018519</v>
      </c>
      <c r="T770">
        <v>0</v>
      </c>
      <c r="Y770" t="s">
        <v>55</v>
      </c>
      <c r="AC770" s="2">
        <f t="shared" si="99"/>
        <v>2</v>
      </c>
      <c r="AD770" s="2">
        <f t="shared" si="100"/>
        <v>22</v>
      </c>
      <c r="AE770" s="2">
        <f t="shared" si="101"/>
        <v>20</v>
      </c>
      <c r="AF770" s="2">
        <f t="shared" si="102"/>
        <v>26</v>
      </c>
      <c r="AG770" s="2">
        <f t="shared" si="103"/>
        <v>4</v>
      </c>
      <c r="AH770" s="4">
        <f t="shared" si="104"/>
        <v>45215.652581018519</v>
      </c>
      <c r="AI770" s="2" t="str">
        <f t="shared" si="105"/>
        <v/>
      </c>
      <c r="AJ770" s="2" t="str">
        <f t="shared" si="106"/>
        <v/>
      </c>
      <c r="AK770" s="2" t="str">
        <f t="shared" si="107"/>
        <v/>
      </c>
    </row>
    <row r="771" spans="1:37" x14ac:dyDescent="0.25">
      <c r="A771">
        <v>1763</v>
      </c>
      <c r="B771" t="s">
        <v>870</v>
      </c>
      <c r="C771" t="s">
        <v>806</v>
      </c>
      <c r="D771" t="s">
        <v>826</v>
      </c>
      <c r="E771" t="s">
        <v>601</v>
      </c>
      <c r="F771" t="s">
        <v>859</v>
      </c>
      <c r="G771" t="s">
        <v>144</v>
      </c>
      <c r="H771" s="1">
        <v>45098.652581018519</v>
      </c>
      <c r="I771" s="1">
        <v>45099.652581018519</v>
      </c>
      <c r="J771" t="s">
        <v>32</v>
      </c>
      <c r="K771" s="1">
        <v>45109.652581018519</v>
      </c>
      <c r="L771" t="s">
        <v>33</v>
      </c>
      <c r="M771" t="s">
        <v>67</v>
      </c>
      <c r="T771">
        <v>0</v>
      </c>
      <c r="Y771" t="s">
        <v>55</v>
      </c>
      <c r="AC771" s="2">
        <f t="shared" ref="AC771:AC834" si="108">IF(AND(I771&lt;&gt;"",H771&lt;&gt;""), I771-H771, "")</f>
        <v>1</v>
      </c>
      <c r="AD771" s="2">
        <f t="shared" ref="AD771:AD834" si="109">IF(AND(K771&lt;&gt;"",H771&lt;&gt;""), K771-H771, "")</f>
        <v>11</v>
      </c>
      <c r="AE771" s="2">
        <f t="shared" ref="AE771:AE834" si="110">IF(AND(K771&lt;&gt;"",I771&lt;&gt;""), K771-I771, "")</f>
        <v>10</v>
      </c>
      <c r="AF771" s="2" t="str">
        <f t="shared" ref="AF771:AF834" si="111">IF(AND(R771&lt;&gt;"",H771&lt;&gt;""), R771-H771, "")</f>
        <v/>
      </c>
      <c r="AG771" s="2" t="str">
        <f t="shared" ref="AG771:AG834" si="112">IF(AND(R771&lt;&gt;"",K771&lt;&gt;""), R771-K771, "")</f>
        <v/>
      </c>
      <c r="AH771" s="4" t="str">
        <f t="shared" ref="AH771:AH834" si="113">IF(R771&lt;&gt;"", R771+90, "")</f>
        <v/>
      </c>
      <c r="AI771" s="2" t="str">
        <f t="shared" ref="AI771:AI834" si="114">IF(AND(U771&lt;&gt;"",S771&lt;&gt;""), U771-S771, "")</f>
        <v/>
      </c>
      <c r="AJ771" s="2" t="str">
        <f t="shared" ref="AJ771:AJ834" si="115">IF(AND(Z771&lt;&gt;"",R771&lt;&gt;""), Z771-R771, "")</f>
        <v/>
      </c>
      <c r="AK771" s="2" t="str">
        <f t="shared" ref="AK771:AK834" si="116">IF(AND(W771&lt;&gt;"",R771&lt;&gt;""), W771-R771, "")</f>
        <v/>
      </c>
    </row>
    <row r="772" spans="1:37" x14ac:dyDescent="0.25">
      <c r="A772">
        <v>1761</v>
      </c>
      <c r="B772" t="s">
        <v>871</v>
      </c>
      <c r="C772" t="s">
        <v>806</v>
      </c>
      <c r="D772" t="s">
        <v>826</v>
      </c>
      <c r="E772" t="s">
        <v>601</v>
      </c>
      <c r="F772" t="s">
        <v>859</v>
      </c>
      <c r="G772" t="s">
        <v>144</v>
      </c>
      <c r="H772" s="1">
        <v>45101.652581018519</v>
      </c>
      <c r="I772" s="1">
        <v>45104.652581018519</v>
      </c>
      <c r="J772" t="s">
        <v>44</v>
      </c>
      <c r="K772" s="1"/>
      <c r="T772">
        <v>0</v>
      </c>
      <c r="AC772" s="2">
        <f t="shared" si="108"/>
        <v>3</v>
      </c>
      <c r="AD772" s="2" t="str">
        <f t="shared" si="109"/>
        <v/>
      </c>
      <c r="AE772" s="2" t="str">
        <f t="shared" si="110"/>
        <v/>
      </c>
      <c r="AF772" s="2" t="str">
        <f t="shared" si="111"/>
        <v/>
      </c>
      <c r="AG772" s="2" t="str">
        <f t="shared" si="112"/>
        <v/>
      </c>
      <c r="AH772" s="4" t="str">
        <f t="shared" si="113"/>
        <v/>
      </c>
      <c r="AI772" s="2" t="str">
        <f t="shared" si="114"/>
        <v/>
      </c>
      <c r="AJ772" s="2" t="str">
        <f t="shared" si="115"/>
        <v/>
      </c>
      <c r="AK772" s="2" t="str">
        <f t="shared" si="116"/>
        <v/>
      </c>
    </row>
    <row r="773" spans="1:37" x14ac:dyDescent="0.25">
      <c r="A773">
        <v>1660</v>
      </c>
      <c r="B773" t="s">
        <v>872</v>
      </c>
      <c r="C773" t="s">
        <v>806</v>
      </c>
      <c r="D773" t="s">
        <v>826</v>
      </c>
      <c r="E773" t="s">
        <v>601</v>
      </c>
      <c r="F773" t="s">
        <v>859</v>
      </c>
      <c r="G773" t="s">
        <v>144</v>
      </c>
      <c r="H773" s="1">
        <v>44874.194988425923</v>
      </c>
      <c r="I773" s="1">
        <v>44877.194988425923</v>
      </c>
      <c r="J773" t="s">
        <v>44</v>
      </c>
      <c r="K773" s="1"/>
      <c r="T773">
        <v>0</v>
      </c>
      <c r="AC773" s="2">
        <f t="shared" si="108"/>
        <v>3</v>
      </c>
      <c r="AD773" s="2" t="str">
        <f t="shared" si="109"/>
        <v/>
      </c>
      <c r="AE773" s="2" t="str">
        <f t="shared" si="110"/>
        <v/>
      </c>
      <c r="AF773" s="2" t="str">
        <f t="shared" si="111"/>
        <v/>
      </c>
      <c r="AG773" s="2" t="str">
        <f t="shared" si="112"/>
        <v/>
      </c>
      <c r="AH773" s="4" t="str">
        <f t="shared" si="113"/>
        <v/>
      </c>
      <c r="AI773" s="2" t="str">
        <f t="shared" si="114"/>
        <v/>
      </c>
      <c r="AJ773" s="2" t="str">
        <f t="shared" si="115"/>
        <v/>
      </c>
      <c r="AK773" s="2" t="str">
        <f t="shared" si="116"/>
        <v/>
      </c>
    </row>
    <row r="774" spans="1:37" x14ac:dyDescent="0.25">
      <c r="A774">
        <v>1655</v>
      </c>
      <c r="B774" t="s">
        <v>873</v>
      </c>
      <c r="C774" t="s">
        <v>806</v>
      </c>
      <c r="D774" t="s">
        <v>826</v>
      </c>
      <c r="E774" t="s">
        <v>601</v>
      </c>
      <c r="F774" t="s">
        <v>859</v>
      </c>
      <c r="G774" t="s">
        <v>144</v>
      </c>
      <c r="H774" s="1">
        <v>44880.194988425923</v>
      </c>
      <c r="I774" s="1">
        <v>44881.194988425923</v>
      </c>
      <c r="J774" t="s">
        <v>32</v>
      </c>
      <c r="K774" s="1">
        <v>44895.194988425923</v>
      </c>
      <c r="L774" t="s">
        <v>57</v>
      </c>
      <c r="N774" s="4">
        <v>44900.194988425923</v>
      </c>
      <c r="O774" t="s">
        <v>57</v>
      </c>
      <c r="P774" s="4">
        <v>44896.194988425923</v>
      </c>
      <c r="Q774" s="4">
        <v>44900.194988425923</v>
      </c>
      <c r="R774" s="4">
        <v>44897.194988425923</v>
      </c>
      <c r="S774" s="4">
        <v>44904.194988425923</v>
      </c>
      <c r="T774">
        <v>1</v>
      </c>
      <c r="U774" s="4">
        <v>44906.194988425923</v>
      </c>
      <c r="V774" s="4">
        <v>44909.194988425923</v>
      </c>
      <c r="W774" s="4">
        <v>44911.194988425923</v>
      </c>
      <c r="Z774" s="4">
        <v>44927.194988425923</v>
      </c>
      <c r="AC774" s="2">
        <f t="shared" si="108"/>
        <v>1</v>
      </c>
      <c r="AD774" s="2">
        <f t="shared" si="109"/>
        <v>15</v>
      </c>
      <c r="AE774" s="2">
        <f t="shared" si="110"/>
        <v>14</v>
      </c>
      <c r="AF774" s="2">
        <f t="shared" si="111"/>
        <v>17</v>
      </c>
      <c r="AG774" s="2">
        <f t="shared" si="112"/>
        <v>2</v>
      </c>
      <c r="AH774" s="4">
        <f t="shared" si="113"/>
        <v>44987.194988425923</v>
      </c>
      <c r="AI774" s="2">
        <f t="shared" si="114"/>
        <v>2</v>
      </c>
      <c r="AJ774" s="2">
        <f t="shared" si="115"/>
        <v>30</v>
      </c>
      <c r="AK774" s="2">
        <f t="shared" si="116"/>
        <v>14</v>
      </c>
    </row>
    <row r="775" spans="1:37" x14ac:dyDescent="0.25">
      <c r="A775">
        <v>1653</v>
      </c>
      <c r="B775" t="s">
        <v>874</v>
      </c>
      <c r="C775" t="s">
        <v>806</v>
      </c>
      <c r="D775" t="s">
        <v>826</v>
      </c>
      <c r="E775" t="s">
        <v>601</v>
      </c>
      <c r="F775" t="s">
        <v>859</v>
      </c>
      <c r="G775" t="s">
        <v>144</v>
      </c>
      <c r="H775" s="1">
        <v>44876.194988425923</v>
      </c>
      <c r="I775" s="1">
        <v>44877.194988425923</v>
      </c>
      <c r="J775" t="s">
        <v>44</v>
      </c>
      <c r="K775" s="1"/>
      <c r="T775">
        <v>0</v>
      </c>
      <c r="AC775" s="2">
        <f t="shared" si="108"/>
        <v>1</v>
      </c>
      <c r="AD775" s="2" t="str">
        <f t="shared" si="109"/>
        <v/>
      </c>
      <c r="AE775" s="2" t="str">
        <f t="shared" si="110"/>
        <v/>
      </c>
      <c r="AF775" s="2" t="str">
        <f t="shared" si="111"/>
        <v/>
      </c>
      <c r="AG775" s="2" t="str">
        <f t="shared" si="112"/>
        <v/>
      </c>
      <c r="AH775" s="4" t="str">
        <f t="shared" si="113"/>
        <v/>
      </c>
      <c r="AI775" s="2" t="str">
        <f t="shared" si="114"/>
        <v/>
      </c>
      <c r="AJ775" s="2" t="str">
        <f t="shared" si="115"/>
        <v/>
      </c>
      <c r="AK775" s="2" t="str">
        <f t="shared" si="116"/>
        <v/>
      </c>
    </row>
    <row r="776" spans="1:37" x14ac:dyDescent="0.25">
      <c r="A776">
        <v>1630</v>
      </c>
      <c r="B776" t="s">
        <v>875</v>
      </c>
      <c r="C776" t="s">
        <v>806</v>
      </c>
      <c r="D776" t="s">
        <v>826</v>
      </c>
      <c r="E776" t="s">
        <v>601</v>
      </c>
      <c r="F776" t="s">
        <v>859</v>
      </c>
      <c r="G776" t="s">
        <v>144</v>
      </c>
      <c r="H776" s="1">
        <v>44637.297905092593</v>
      </c>
      <c r="I776" s="1">
        <v>44640.297905092593</v>
      </c>
      <c r="J776" t="s">
        <v>32</v>
      </c>
      <c r="K776" s="1">
        <v>44655.297905092593</v>
      </c>
      <c r="L776" t="s">
        <v>33</v>
      </c>
      <c r="M776" t="s">
        <v>34</v>
      </c>
      <c r="T776">
        <v>0</v>
      </c>
      <c r="Y776" t="s">
        <v>55</v>
      </c>
      <c r="AC776" s="2">
        <f t="shared" si="108"/>
        <v>3</v>
      </c>
      <c r="AD776" s="2">
        <f t="shared" si="109"/>
        <v>18</v>
      </c>
      <c r="AE776" s="2">
        <f t="shared" si="110"/>
        <v>15</v>
      </c>
      <c r="AF776" s="2" t="str">
        <f t="shared" si="111"/>
        <v/>
      </c>
      <c r="AG776" s="2" t="str">
        <f t="shared" si="112"/>
        <v/>
      </c>
      <c r="AH776" s="4" t="str">
        <f t="shared" si="113"/>
        <v/>
      </c>
      <c r="AI776" s="2" t="str">
        <f t="shared" si="114"/>
        <v/>
      </c>
      <c r="AJ776" s="2" t="str">
        <f t="shared" si="115"/>
        <v/>
      </c>
      <c r="AK776" s="2" t="str">
        <f t="shared" si="116"/>
        <v/>
      </c>
    </row>
    <row r="777" spans="1:37" x14ac:dyDescent="0.25">
      <c r="A777">
        <v>1627</v>
      </c>
      <c r="B777" t="s">
        <v>876</v>
      </c>
      <c r="C777" t="s">
        <v>806</v>
      </c>
      <c r="D777" t="s">
        <v>826</v>
      </c>
      <c r="E777" t="s">
        <v>601</v>
      </c>
      <c r="F777" t="s">
        <v>859</v>
      </c>
      <c r="G777" t="s">
        <v>144</v>
      </c>
      <c r="H777" s="1">
        <v>44638.297905092593</v>
      </c>
      <c r="I777" s="1">
        <v>44640.297905092593</v>
      </c>
      <c r="J777" t="s">
        <v>32</v>
      </c>
      <c r="K777" s="1">
        <v>44661.297905092593</v>
      </c>
      <c r="L777" t="s">
        <v>33</v>
      </c>
      <c r="M777" t="s">
        <v>67</v>
      </c>
      <c r="R777" s="4">
        <v>44664.297905092593</v>
      </c>
      <c r="T777">
        <v>0</v>
      </c>
      <c r="Y777" t="s">
        <v>55</v>
      </c>
      <c r="AC777" s="2">
        <f t="shared" si="108"/>
        <v>2</v>
      </c>
      <c r="AD777" s="2">
        <f t="shared" si="109"/>
        <v>23</v>
      </c>
      <c r="AE777" s="2">
        <f t="shared" si="110"/>
        <v>21</v>
      </c>
      <c r="AF777" s="2">
        <f t="shared" si="111"/>
        <v>26</v>
      </c>
      <c r="AG777" s="2">
        <f t="shared" si="112"/>
        <v>3</v>
      </c>
      <c r="AH777" s="4">
        <f t="shared" si="113"/>
        <v>44754.297905092593</v>
      </c>
      <c r="AI777" s="2" t="str">
        <f t="shared" si="114"/>
        <v/>
      </c>
      <c r="AJ777" s="2" t="str">
        <f t="shared" si="115"/>
        <v/>
      </c>
      <c r="AK777" s="2" t="str">
        <f t="shared" si="116"/>
        <v/>
      </c>
    </row>
    <row r="778" spans="1:37" x14ac:dyDescent="0.25">
      <c r="A778">
        <v>1480</v>
      </c>
      <c r="B778" t="s">
        <v>877</v>
      </c>
      <c r="C778" t="s">
        <v>806</v>
      </c>
      <c r="D778" t="s">
        <v>826</v>
      </c>
      <c r="E778" t="s">
        <v>601</v>
      </c>
      <c r="F778" t="s">
        <v>859</v>
      </c>
      <c r="G778" t="s">
        <v>144</v>
      </c>
      <c r="H778" s="1">
        <v>44945.278946759259</v>
      </c>
      <c r="I778" s="1">
        <v>44948.278946759259</v>
      </c>
      <c r="J778" t="s">
        <v>32</v>
      </c>
      <c r="K778" s="1">
        <v>44959.278946759259</v>
      </c>
      <c r="L778" t="s">
        <v>33</v>
      </c>
      <c r="M778" t="s">
        <v>92</v>
      </c>
      <c r="R778" s="4">
        <v>44960.278946759259</v>
      </c>
      <c r="T778">
        <v>0</v>
      </c>
      <c r="Y778" t="s">
        <v>55</v>
      </c>
      <c r="AC778" s="2">
        <f t="shared" si="108"/>
        <v>3</v>
      </c>
      <c r="AD778" s="2">
        <f t="shared" si="109"/>
        <v>14</v>
      </c>
      <c r="AE778" s="2">
        <f t="shared" si="110"/>
        <v>11</v>
      </c>
      <c r="AF778" s="2">
        <f t="shared" si="111"/>
        <v>15</v>
      </c>
      <c r="AG778" s="2">
        <f t="shared" si="112"/>
        <v>1</v>
      </c>
      <c r="AH778" s="4">
        <f t="shared" si="113"/>
        <v>45050.278946759259</v>
      </c>
      <c r="AI778" s="2" t="str">
        <f t="shared" si="114"/>
        <v/>
      </c>
      <c r="AJ778" s="2" t="str">
        <f t="shared" si="115"/>
        <v/>
      </c>
      <c r="AK778" s="2" t="str">
        <f t="shared" si="116"/>
        <v/>
      </c>
    </row>
    <row r="779" spans="1:37" x14ac:dyDescent="0.25">
      <c r="A779">
        <v>1476</v>
      </c>
      <c r="B779" t="s">
        <v>878</v>
      </c>
      <c r="C779" t="s">
        <v>806</v>
      </c>
      <c r="D779" t="s">
        <v>826</v>
      </c>
      <c r="E779" t="s">
        <v>601</v>
      </c>
      <c r="F779" t="s">
        <v>859</v>
      </c>
      <c r="G779" t="s">
        <v>144</v>
      </c>
      <c r="H779" s="1">
        <v>44948.278946759259</v>
      </c>
      <c r="I779" s="1">
        <v>44952.278946759259</v>
      </c>
      <c r="J779" t="s">
        <v>32</v>
      </c>
      <c r="K779" s="1">
        <v>44956.278946759259</v>
      </c>
      <c r="L779" t="s">
        <v>39</v>
      </c>
      <c r="N779" s="4">
        <v>44961.278946759259</v>
      </c>
      <c r="O779" t="s">
        <v>39</v>
      </c>
      <c r="R779" s="4">
        <v>44960.278946759259</v>
      </c>
      <c r="T779">
        <v>0</v>
      </c>
      <c r="AC779" s="2">
        <f t="shared" si="108"/>
        <v>4</v>
      </c>
      <c r="AD779" s="2">
        <f t="shared" si="109"/>
        <v>8</v>
      </c>
      <c r="AE779" s="2">
        <f t="shared" si="110"/>
        <v>4</v>
      </c>
      <c r="AF779" s="2">
        <f t="shared" si="111"/>
        <v>12</v>
      </c>
      <c r="AG779" s="2">
        <f t="shared" si="112"/>
        <v>4</v>
      </c>
      <c r="AH779" s="4">
        <f t="shared" si="113"/>
        <v>45050.278946759259</v>
      </c>
      <c r="AI779" s="2" t="str">
        <f t="shared" si="114"/>
        <v/>
      </c>
      <c r="AJ779" s="2" t="str">
        <f t="shared" si="115"/>
        <v/>
      </c>
      <c r="AK779" s="2" t="str">
        <f t="shared" si="116"/>
        <v/>
      </c>
    </row>
    <row r="780" spans="1:37" x14ac:dyDescent="0.25">
      <c r="A780">
        <v>1474</v>
      </c>
      <c r="B780" t="s">
        <v>879</v>
      </c>
      <c r="C780" t="s">
        <v>806</v>
      </c>
      <c r="D780" t="s">
        <v>826</v>
      </c>
      <c r="E780" t="s">
        <v>601</v>
      </c>
      <c r="F780" t="s">
        <v>859</v>
      </c>
      <c r="G780" t="s">
        <v>144</v>
      </c>
      <c r="H780" s="1">
        <v>44949.278946759259</v>
      </c>
      <c r="I780" s="1">
        <v>44952.278946759259</v>
      </c>
      <c r="J780" t="s">
        <v>32</v>
      </c>
      <c r="K780" s="1">
        <v>44967.278946759259</v>
      </c>
      <c r="L780" t="s">
        <v>33</v>
      </c>
      <c r="M780" t="s">
        <v>34</v>
      </c>
      <c r="R780" s="4">
        <v>44971.278946759259</v>
      </c>
      <c r="T780">
        <v>0</v>
      </c>
      <c r="Y780" t="s">
        <v>35</v>
      </c>
      <c r="AC780" s="2">
        <f t="shared" si="108"/>
        <v>3</v>
      </c>
      <c r="AD780" s="2">
        <f t="shared" si="109"/>
        <v>18</v>
      </c>
      <c r="AE780" s="2">
        <f t="shared" si="110"/>
        <v>15</v>
      </c>
      <c r="AF780" s="2">
        <f t="shared" si="111"/>
        <v>22</v>
      </c>
      <c r="AG780" s="2">
        <f t="shared" si="112"/>
        <v>4</v>
      </c>
      <c r="AH780" s="4">
        <f t="shared" si="113"/>
        <v>45061.278946759259</v>
      </c>
      <c r="AI780" s="2" t="str">
        <f t="shared" si="114"/>
        <v/>
      </c>
      <c r="AJ780" s="2" t="str">
        <f t="shared" si="115"/>
        <v/>
      </c>
      <c r="AK780" s="2" t="str">
        <f t="shared" si="116"/>
        <v/>
      </c>
    </row>
    <row r="781" spans="1:37" x14ac:dyDescent="0.25">
      <c r="A781">
        <v>1472</v>
      </c>
      <c r="B781" t="s">
        <v>880</v>
      </c>
      <c r="C781" t="s">
        <v>806</v>
      </c>
      <c r="D781" t="s">
        <v>826</v>
      </c>
      <c r="E781" t="s">
        <v>601</v>
      </c>
      <c r="F781" t="s">
        <v>859</v>
      </c>
      <c r="G781" t="s">
        <v>144</v>
      </c>
      <c r="H781" s="1">
        <v>44948.278946759259</v>
      </c>
      <c r="I781" s="1">
        <v>44950.278946759259</v>
      </c>
      <c r="J781" t="s">
        <v>32</v>
      </c>
      <c r="K781" s="1">
        <v>44967.278946759259</v>
      </c>
      <c r="L781" t="s">
        <v>164</v>
      </c>
      <c r="N781" s="4">
        <v>44975.278946759259</v>
      </c>
      <c r="O781" t="s">
        <v>164</v>
      </c>
      <c r="R781" s="4">
        <v>44971.278946759259</v>
      </c>
      <c r="T781">
        <v>0</v>
      </c>
      <c r="AC781" s="2">
        <f t="shared" si="108"/>
        <v>2</v>
      </c>
      <c r="AD781" s="2">
        <f t="shared" si="109"/>
        <v>19</v>
      </c>
      <c r="AE781" s="2">
        <f t="shared" si="110"/>
        <v>17</v>
      </c>
      <c r="AF781" s="2">
        <f t="shared" si="111"/>
        <v>23</v>
      </c>
      <c r="AG781" s="2">
        <f t="shared" si="112"/>
        <v>4</v>
      </c>
      <c r="AH781" s="4">
        <f t="shared" si="113"/>
        <v>45061.278946759259</v>
      </c>
      <c r="AI781" s="2" t="str">
        <f t="shared" si="114"/>
        <v/>
      </c>
      <c r="AJ781" s="2" t="str">
        <f t="shared" si="115"/>
        <v/>
      </c>
      <c r="AK781" s="2" t="str">
        <f t="shared" si="116"/>
        <v/>
      </c>
    </row>
    <row r="782" spans="1:37" x14ac:dyDescent="0.25">
      <c r="A782">
        <v>1471</v>
      </c>
      <c r="B782" t="s">
        <v>881</v>
      </c>
      <c r="C782" t="s">
        <v>806</v>
      </c>
      <c r="D782" t="s">
        <v>826</v>
      </c>
      <c r="E782" t="s">
        <v>601</v>
      </c>
      <c r="F782" t="s">
        <v>859</v>
      </c>
      <c r="G782" t="s">
        <v>144</v>
      </c>
      <c r="H782" s="1">
        <v>44944.278946759259</v>
      </c>
      <c r="I782" s="1">
        <v>44948.278946759259</v>
      </c>
      <c r="J782" t="s">
        <v>32</v>
      </c>
      <c r="K782" s="1">
        <v>44969.278946759259</v>
      </c>
      <c r="L782" t="s">
        <v>39</v>
      </c>
      <c r="N782" s="4">
        <v>44973.278946759259</v>
      </c>
      <c r="O782" t="s">
        <v>39</v>
      </c>
      <c r="R782" s="4">
        <v>44971.278946759259</v>
      </c>
      <c r="T782">
        <v>0</v>
      </c>
      <c r="AC782" s="2">
        <f t="shared" si="108"/>
        <v>4</v>
      </c>
      <c r="AD782" s="2">
        <f t="shared" si="109"/>
        <v>25</v>
      </c>
      <c r="AE782" s="2">
        <f t="shared" si="110"/>
        <v>21</v>
      </c>
      <c r="AF782" s="2">
        <f t="shared" si="111"/>
        <v>27</v>
      </c>
      <c r="AG782" s="2">
        <f t="shared" si="112"/>
        <v>2</v>
      </c>
      <c r="AH782" s="4">
        <f t="shared" si="113"/>
        <v>45061.278946759259</v>
      </c>
      <c r="AI782" s="2" t="str">
        <f t="shared" si="114"/>
        <v/>
      </c>
      <c r="AJ782" s="2" t="str">
        <f t="shared" si="115"/>
        <v/>
      </c>
      <c r="AK782" s="2" t="str">
        <f t="shared" si="116"/>
        <v/>
      </c>
    </row>
    <row r="783" spans="1:37" x14ac:dyDescent="0.25">
      <c r="A783">
        <v>1380</v>
      </c>
      <c r="B783" t="s">
        <v>882</v>
      </c>
      <c r="C783" t="s">
        <v>806</v>
      </c>
      <c r="D783" t="s">
        <v>826</v>
      </c>
      <c r="E783" t="s">
        <v>29</v>
      </c>
      <c r="F783" t="s">
        <v>883</v>
      </c>
      <c r="G783" t="s">
        <v>144</v>
      </c>
      <c r="H783" s="1">
        <v>44861.130648148152</v>
      </c>
      <c r="I783" s="1">
        <v>44865.130648148152</v>
      </c>
      <c r="J783" t="s">
        <v>32</v>
      </c>
      <c r="K783" s="1">
        <v>44870.130648148152</v>
      </c>
      <c r="L783" t="s">
        <v>33</v>
      </c>
      <c r="M783" t="s">
        <v>92</v>
      </c>
      <c r="T783">
        <v>0</v>
      </c>
      <c r="Y783" t="s">
        <v>35</v>
      </c>
      <c r="AC783" s="2">
        <f t="shared" si="108"/>
        <v>4</v>
      </c>
      <c r="AD783" s="2">
        <f t="shared" si="109"/>
        <v>9</v>
      </c>
      <c r="AE783" s="2">
        <f t="shared" si="110"/>
        <v>5</v>
      </c>
      <c r="AF783" s="2" t="str">
        <f t="shared" si="111"/>
        <v/>
      </c>
      <c r="AG783" s="2" t="str">
        <f t="shared" si="112"/>
        <v/>
      </c>
      <c r="AH783" s="4" t="str">
        <f t="shared" si="113"/>
        <v/>
      </c>
      <c r="AI783" s="2" t="str">
        <f t="shared" si="114"/>
        <v/>
      </c>
      <c r="AJ783" s="2" t="str">
        <f t="shared" si="115"/>
        <v/>
      </c>
      <c r="AK783" s="2" t="str">
        <f t="shared" si="116"/>
        <v/>
      </c>
    </row>
    <row r="784" spans="1:37" x14ac:dyDescent="0.25">
      <c r="A784">
        <v>1375</v>
      </c>
      <c r="B784" t="s">
        <v>884</v>
      </c>
      <c r="C784" t="s">
        <v>806</v>
      </c>
      <c r="D784" t="s">
        <v>826</v>
      </c>
      <c r="E784" t="s">
        <v>29</v>
      </c>
      <c r="F784" t="s">
        <v>883</v>
      </c>
      <c r="G784" t="s">
        <v>144</v>
      </c>
      <c r="H784" s="1">
        <v>44859.130648148152</v>
      </c>
      <c r="I784" s="1">
        <v>44863.130648148152</v>
      </c>
      <c r="J784" t="s">
        <v>32</v>
      </c>
      <c r="K784" s="1">
        <v>44881.130648148152</v>
      </c>
      <c r="L784" t="s">
        <v>33</v>
      </c>
      <c r="M784" t="s">
        <v>34</v>
      </c>
      <c r="R784" s="4">
        <v>44882.130648148152</v>
      </c>
      <c r="T784">
        <v>0</v>
      </c>
      <c r="Y784" t="s">
        <v>55</v>
      </c>
      <c r="AC784" s="2">
        <f t="shared" si="108"/>
        <v>4</v>
      </c>
      <c r="AD784" s="2">
        <f t="shared" si="109"/>
        <v>22</v>
      </c>
      <c r="AE784" s="2">
        <f t="shared" si="110"/>
        <v>18</v>
      </c>
      <c r="AF784" s="2">
        <f t="shared" si="111"/>
        <v>23</v>
      </c>
      <c r="AG784" s="2">
        <f t="shared" si="112"/>
        <v>1</v>
      </c>
      <c r="AH784" s="4">
        <f t="shared" si="113"/>
        <v>44972.130648148152</v>
      </c>
      <c r="AI784" s="2" t="str">
        <f t="shared" si="114"/>
        <v/>
      </c>
      <c r="AJ784" s="2" t="str">
        <f t="shared" si="115"/>
        <v/>
      </c>
      <c r="AK784" s="2" t="str">
        <f t="shared" si="116"/>
        <v/>
      </c>
    </row>
    <row r="785" spans="1:37" x14ac:dyDescent="0.25">
      <c r="A785">
        <v>1349</v>
      </c>
      <c r="B785" t="s">
        <v>885</v>
      </c>
      <c r="C785" t="s">
        <v>806</v>
      </c>
      <c r="D785" t="s">
        <v>826</v>
      </c>
      <c r="E785" t="s">
        <v>29</v>
      </c>
      <c r="F785" t="s">
        <v>883</v>
      </c>
      <c r="G785" t="s">
        <v>144</v>
      </c>
      <c r="H785" s="1">
        <v>45092.039097222223</v>
      </c>
      <c r="I785" s="1">
        <v>45095.039097222223</v>
      </c>
      <c r="J785" t="s">
        <v>32</v>
      </c>
      <c r="K785" s="1">
        <v>45107.039097222223</v>
      </c>
      <c r="L785" t="s">
        <v>33</v>
      </c>
      <c r="M785" t="s">
        <v>51</v>
      </c>
      <c r="T785">
        <v>0</v>
      </c>
      <c r="Y785" t="s">
        <v>55</v>
      </c>
      <c r="AC785" s="2">
        <f t="shared" si="108"/>
        <v>3</v>
      </c>
      <c r="AD785" s="2">
        <f t="shared" si="109"/>
        <v>15</v>
      </c>
      <c r="AE785" s="2">
        <f t="shared" si="110"/>
        <v>12</v>
      </c>
      <c r="AF785" s="2" t="str">
        <f t="shared" si="111"/>
        <v/>
      </c>
      <c r="AG785" s="2" t="str">
        <f t="shared" si="112"/>
        <v/>
      </c>
      <c r="AH785" s="4" t="str">
        <f t="shared" si="113"/>
        <v/>
      </c>
      <c r="AI785" s="2" t="str">
        <f t="shared" si="114"/>
        <v/>
      </c>
      <c r="AJ785" s="2" t="str">
        <f t="shared" si="115"/>
        <v/>
      </c>
      <c r="AK785" s="2" t="str">
        <f t="shared" si="116"/>
        <v/>
      </c>
    </row>
    <row r="786" spans="1:37" x14ac:dyDescent="0.25">
      <c r="A786">
        <v>1344</v>
      </c>
      <c r="B786" t="s">
        <v>886</v>
      </c>
      <c r="C786" t="s">
        <v>806</v>
      </c>
      <c r="D786" t="s">
        <v>826</v>
      </c>
      <c r="E786" t="s">
        <v>29</v>
      </c>
      <c r="F786" t="s">
        <v>883</v>
      </c>
      <c r="G786" t="s">
        <v>144</v>
      </c>
      <c r="H786" s="1">
        <v>45091.039097222223</v>
      </c>
      <c r="I786" s="1">
        <v>45095.039097222223</v>
      </c>
      <c r="J786" t="s">
        <v>32</v>
      </c>
      <c r="K786" s="1">
        <v>45105.039097222223</v>
      </c>
      <c r="L786" t="s">
        <v>39</v>
      </c>
      <c r="N786" s="4">
        <v>45108.039097222223</v>
      </c>
      <c r="O786" t="s">
        <v>39</v>
      </c>
      <c r="R786" s="4">
        <v>45107.039097222223</v>
      </c>
      <c r="T786">
        <v>0</v>
      </c>
      <c r="AC786" s="2">
        <f t="shared" si="108"/>
        <v>4</v>
      </c>
      <c r="AD786" s="2">
        <f t="shared" si="109"/>
        <v>14</v>
      </c>
      <c r="AE786" s="2">
        <f t="shared" si="110"/>
        <v>10</v>
      </c>
      <c r="AF786" s="2">
        <f t="shared" si="111"/>
        <v>16</v>
      </c>
      <c r="AG786" s="2">
        <f t="shared" si="112"/>
        <v>2</v>
      </c>
      <c r="AH786" s="4">
        <f t="shared" si="113"/>
        <v>45197.039097222223</v>
      </c>
      <c r="AI786" s="2" t="str">
        <f t="shared" si="114"/>
        <v/>
      </c>
      <c r="AJ786" s="2" t="str">
        <f t="shared" si="115"/>
        <v/>
      </c>
      <c r="AK786" s="2" t="str">
        <f t="shared" si="116"/>
        <v/>
      </c>
    </row>
    <row r="787" spans="1:37" x14ac:dyDescent="0.25">
      <c r="A787">
        <v>1092</v>
      </c>
      <c r="B787" t="s">
        <v>887</v>
      </c>
      <c r="C787" t="s">
        <v>806</v>
      </c>
      <c r="D787" t="s">
        <v>826</v>
      </c>
      <c r="E787" t="s">
        <v>29</v>
      </c>
      <c r="F787" t="s">
        <v>883</v>
      </c>
      <c r="G787" t="s">
        <v>144</v>
      </c>
      <c r="H787" s="1">
        <v>45041.26462962963</v>
      </c>
      <c r="I787" s="1">
        <v>45045.26462962963</v>
      </c>
      <c r="J787" t="s">
        <v>32</v>
      </c>
      <c r="K787" s="1">
        <v>45050.26462962963</v>
      </c>
      <c r="L787" t="s">
        <v>57</v>
      </c>
      <c r="N787" s="4">
        <v>45055.26462962963</v>
      </c>
      <c r="O787" t="s">
        <v>57</v>
      </c>
      <c r="P787" s="4">
        <v>45052.26462962963</v>
      </c>
      <c r="Q787" s="4">
        <v>45055.26462962963</v>
      </c>
      <c r="R787" s="4">
        <v>45052.26462962963</v>
      </c>
      <c r="S787" s="4">
        <v>45062.26462962963</v>
      </c>
      <c r="T787">
        <v>1</v>
      </c>
      <c r="U787" s="4">
        <v>45063.26462962963</v>
      </c>
      <c r="V787" s="4">
        <v>45064.26462962963</v>
      </c>
      <c r="W787" s="4">
        <v>45065.26462962963</v>
      </c>
      <c r="Z787" s="4">
        <v>45083.26462962963</v>
      </c>
      <c r="AC787" s="2">
        <f t="shared" si="108"/>
        <v>4</v>
      </c>
      <c r="AD787" s="2">
        <f t="shared" si="109"/>
        <v>9</v>
      </c>
      <c r="AE787" s="2">
        <f t="shared" si="110"/>
        <v>5</v>
      </c>
      <c r="AF787" s="2">
        <f t="shared" si="111"/>
        <v>11</v>
      </c>
      <c r="AG787" s="2">
        <f t="shared" si="112"/>
        <v>2</v>
      </c>
      <c r="AH787" s="4">
        <f t="shared" si="113"/>
        <v>45142.26462962963</v>
      </c>
      <c r="AI787" s="2">
        <f t="shared" si="114"/>
        <v>1</v>
      </c>
      <c r="AJ787" s="2">
        <f t="shared" si="115"/>
        <v>31</v>
      </c>
      <c r="AK787" s="2">
        <f t="shared" si="116"/>
        <v>13</v>
      </c>
    </row>
    <row r="788" spans="1:37" x14ac:dyDescent="0.25">
      <c r="A788">
        <v>1052</v>
      </c>
      <c r="B788" t="s">
        <v>888</v>
      </c>
      <c r="C788" t="s">
        <v>806</v>
      </c>
      <c r="D788" t="s">
        <v>826</v>
      </c>
      <c r="E788" t="s">
        <v>29</v>
      </c>
      <c r="F788" t="s">
        <v>883</v>
      </c>
      <c r="G788" t="s">
        <v>144</v>
      </c>
      <c r="H788" s="1">
        <v>45158.180486111109</v>
      </c>
      <c r="I788" s="1">
        <v>45162.180486111109</v>
      </c>
      <c r="J788" t="s">
        <v>32</v>
      </c>
      <c r="K788" s="1">
        <v>45169.180486111109</v>
      </c>
      <c r="L788" t="s">
        <v>33</v>
      </c>
      <c r="M788" t="s">
        <v>34</v>
      </c>
      <c r="R788" s="4">
        <v>45170.180486111109</v>
      </c>
      <c r="T788">
        <v>0</v>
      </c>
      <c r="Y788" t="s">
        <v>55</v>
      </c>
      <c r="AC788" s="2">
        <f t="shared" si="108"/>
        <v>4</v>
      </c>
      <c r="AD788" s="2">
        <f t="shared" si="109"/>
        <v>11</v>
      </c>
      <c r="AE788" s="2">
        <f t="shared" si="110"/>
        <v>7</v>
      </c>
      <c r="AF788" s="2">
        <f t="shared" si="111"/>
        <v>12</v>
      </c>
      <c r="AG788" s="2">
        <f t="shared" si="112"/>
        <v>1</v>
      </c>
      <c r="AH788" s="4">
        <f t="shared" si="113"/>
        <v>45260.180486111109</v>
      </c>
      <c r="AI788" s="2" t="str">
        <f t="shared" si="114"/>
        <v/>
      </c>
      <c r="AJ788" s="2" t="str">
        <f t="shared" si="115"/>
        <v/>
      </c>
      <c r="AK788" s="2" t="str">
        <f t="shared" si="116"/>
        <v/>
      </c>
    </row>
    <row r="789" spans="1:37" x14ac:dyDescent="0.25">
      <c r="A789">
        <v>1051</v>
      </c>
      <c r="B789" t="s">
        <v>889</v>
      </c>
      <c r="C789" t="s">
        <v>806</v>
      </c>
      <c r="D789" t="s">
        <v>826</v>
      </c>
      <c r="E789" t="s">
        <v>29</v>
      </c>
      <c r="F789" t="s">
        <v>883</v>
      </c>
      <c r="G789" t="s">
        <v>144</v>
      </c>
      <c r="H789" s="1">
        <v>45159.180486111109</v>
      </c>
      <c r="I789" s="1">
        <v>45161.180486111109</v>
      </c>
      <c r="J789" t="s">
        <v>44</v>
      </c>
      <c r="K789" s="1"/>
      <c r="T789">
        <v>0</v>
      </c>
      <c r="AC789" s="2">
        <f t="shared" si="108"/>
        <v>2</v>
      </c>
      <c r="AD789" s="2" t="str">
        <f t="shared" si="109"/>
        <v/>
      </c>
      <c r="AE789" s="2" t="str">
        <f t="shared" si="110"/>
        <v/>
      </c>
      <c r="AF789" s="2" t="str">
        <f t="shared" si="111"/>
        <v/>
      </c>
      <c r="AG789" s="2" t="str">
        <f t="shared" si="112"/>
        <v/>
      </c>
      <c r="AH789" s="4" t="str">
        <f t="shared" si="113"/>
        <v/>
      </c>
      <c r="AI789" s="2" t="str">
        <f t="shared" si="114"/>
        <v/>
      </c>
      <c r="AJ789" s="2" t="str">
        <f t="shared" si="115"/>
        <v/>
      </c>
      <c r="AK789" s="2" t="str">
        <f t="shared" si="116"/>
        <v/>
      </c>
    </row>
    <row r="790" spans="1:37" x14ac:dyDescent="0.25">
      <c r="A790">
        <v>1006</v>
      </c>
      <c r="B790" t="s">
        <v>890</v>
      </c>
      <c r="C790" t="s">
        <v>806</v>
      </c>
      <c r="D790" t="s">
        <v>826</v>
      </c>
      <c r="E790" t="s">
        <v>29</v>
      </c>
      <c r="F790" t="s">
        <v>883</v>
      </c>
      <c r="G790" t="s">
        <v>144</v>
      </c>
      <c r="H790" s="1">
        <v>44918.68855324074</v>
      </c>
      <c r="I790" s="1">
        <v>44922.68855324074</v>
      </c>
      <c r="J790" t="s">
        <v>32</v>
      </c>
      <c r="K790" s="1">
        <v>44936.68855324074</v>
      </c>
      <c r="L790" t="s">
        <v>33</v>
      </c>
      <c r="M790" t="s">
        <v>34</v>
      </c>
      <c r="R790" s="4">
        <v>44940.68855324074</v>
      </c>
      <c r="T790">
        <v>0</v>
      </c>
      <c r="Y790" t="s">
        <v>35</v>
      </c>
      <c r="AC790" s="2">
        <f t="shared" si="108"/>
        <v>4</v>
      </c>
      <c r="AD790" s="2">
        <f t="shared" si="109"/>
        <v>18</v>
      </c>
      <c r="AE790" s="2">
        <f t="shared" si="110"/>
        <v>14</v>
      </c>
      <c r="AF790" s="2">
        <f t="shared" si="111"/>
        <v>22</v>
      </c>
      <c r="AG790" s="2">
        <f t="shared" si="112"/>
        <v>4</v>
      </c>
      <c r="AH790" s="4">
        <f t="shared" si="113"/>
        <v>45030.68855324074</v>
      </c>
      <c r="AI790" s="2" t="str">
        <f t="shared" si="114"/>
        <v/>
      </c>
      <c r="AJ790" s="2" t="str">
        <f t="shared" si="115"/>
        <v/>
      </c>
      <c r="AK790" s="2" t="str">
        <f t="shared" si="116"/>
        <v/>
      </c>
    </row>
    <row r="791" spans="1:37" x14ac:dyDescent="0.25">
      <c r="A791">
        <v>1004</v>
      </c>
      <c r="B791" t="s">
        <v>891</v>
      </c>
      <c r="C791" t="s">
        <v>806</v>
      </c>
      <c r="D791" t="s">
        <v>826</v>
      </c>
      <c r="E791" t="s">
        <v>29</v>
      </c>
      <c r="F791" t="s">
        <v>883</v>
      </c>
      <c r="G791" t="s">
        <v>144</v>
      </c>
      <c r="H791" s="1">
        <v>44918.68855324074</v>
      </c>
      <c r="I791" s="1">
        <v>44921.68855324074</v>
      </c>
      <c r="J791" t="s">
        <v>44</v>
      </c>
      <c r="K791" s="1"/>
      <c r="T791">
        <v>0</v>
      </c>
      <c r="AC791" s="2">
        <f t="shared" si="108"/>
        <v>3</v>
      </c>
      <c r="AD791" s="2" t="str">
        <f t="shared" si="109"/>
        <v/>
      </c>
      <c r="AE791" s="2" t="str">
        <f t="shared" si="110"/>
        <v/>
      </c>
      <c r="AF791" s="2" t="str">
        <f t="shared" si="111"/>
        <v/>
      </c>
      <c r="AG791" s="2" t="str">
        <f t="shared" si="112"/>
        <v/>
      </c>
      <c r="AH791" s="4" t="str">
        <f t="shared" si="113"/>
        <v/>
      </c>
      <c r="AI791" s="2" t="str">
        <f t="shared" si="114"/>
        <v/>
      </c>
      <c r="AJ791" s="2" t="str">
        <f t="shared" si="115"/>
        <v/>
      </c>
      <c r="AK791" s="2" t="str">
        <f t="shared" si="116"/>
        <v/>
      </c>
    </row>
    <row r="792" spans="1:37" x14ac:dyDescent="0.25">
      <c r="A792">
        <v>1003</v>
      </c>
      <c r="B792" t="s">
        <v>892</v>
      </c>
      <c r="C792" t="s">
        <v>806</v>
      </c>
      <c r="D792" t="s">
        <v>826</v>
      </c>
      <c r="E792" t="s">
        <v>29</v>
      </c>
      <c r="F792" t="s">
        <v>883</v>
      </c>
      <c r="G792" t="s">
        <v>144</v>
      </c>
      <c r="H792" s="1">
        <v>44913.68855324074</v>
      </c>
      <c r="I792" s="1">
        <v>44917.68855324074</v>
      </c>
      <c r="J792" t="s">
        <v>32</v>
      </c>
      <c r="K792" s="1">
        <v>44937.68855324074</v>
      </c>
      <c r="L792" t="s">
        <v>57</v>
      </c>
      <c r="N792" s="4">
        <v>44941.68855324074</v>
      </c>
      <c r="O792" t="s">
        <v>57</v>
      </c>
      <c r="P792" s="4">
        <v>44939.68855324074</v>
      </c>
      <c r="Q792" s="4">
        <v>44940.68855324074</v>
      </c>
      <c r="R792" s="4">
        <v>44938.68855324074</v>
      </c>
      <c r="S792" s="4">
        <v>44948.68855324074</v>
      </c>
      <c r="T792">
        <v>1</v>
      </c>
      <c r="U792" s="4">
        <v>44951.68855324074</v>
      </c>
      <c r="V792" s="4">
        <v>44954.68855324074</v>
      </c>
      <c r="W792" s="4">
        <v>44957.68855324074</v>
      </c>
      <c r="Z792" s="4">
        <v>44973.68855324074</v>
      </c>
      <c r="AC792" s="2">
        <f t="shared" si="108"/>
        <v>4</v>
      </c>
      <c r="AD792" s="2">
        <f t="shared" si="109"/>
        <v>24</v>
      </c>
      <c r="AE792" s="2">
        <f t="shared" si="110"/>
        <v>20</v>
      </c>
      <c r="AF792" s="2">
        <f t="shared" si="111"/>
        <v>25</v>
      </c>
      <c r="AG792" s="2">
        <f t="shared" si="112"/>
        <v>1</v>
      </c>
      <c r="AH792" s="4">
        <f t="shared" si="113"/>
        <v>45028.68855324074</v>
      </c>
      <c r="AI792" s="2">
        <f t="shared" si="114"/>
        <v>3</v>
      </c>
      <c r="AJ792" s="2">
        <f t="shared" si="115"/>
        <v>35</v>
      </c>
      <c r="AK792" s="2">
        <f t="shared" si="116"/>
        <v>19</v>
      </c>
    </row>
    <row r="793" spans="1:37" x14ac:dyDescent="0.25">
      <c r="A793">
        <v>990</v>
      </c>
      <c r="B793" t="s">
        <v>893</v>
      </c>
      <c r="C793" t="s">
        <v>806</v>
      </c>
      <c r="D793" t="s">
        <v>826</v>
      </c>
      <c r="E793" t="s">
        <v>29</v>
      </c>
      <c r="F793" t="s">
        <v>883</v>
      </c>
      <c r="G793" t="s">
        <v>144</v>
      </c>
      <c r="H793" s="1">
        <v>44796.241203703707</v>
      </c>
      <c r="I793" s="1">
        <v>44799.241203703707</v>
      </c>
      <c r="J793" t="s">
        <v>32</v>
      </c>
      <c r="K793" s="1">
        <v>44808.241203703707</v>
      </c>
      <c r="L793" t="s">
        <v>57</v>
      </c>
      <c r="N793" s="4">
        <v>44811.241203703707</v>
      </c>
      <c r="O793" t="s">
        <v>57</v>
      </c>
      <c r="P793" s="4">
        <v>44810.241203703707</v>
      </c>
      <c r="Q793" s="4">
        <v>44811.241203703707</v>
      </c>
      <c r="R793" s="4">
        <v>44809.241203703707</v>
      </c>
      <c r="S793" s="4">
        <v>44812.241203703707</v>
      </c>
      <c r="T793">
        <v>1</v>
      </c>
      <c r="U793" s="4">
        <v>44815.241203703707</v>
      </c>
      <c r="V793" s="4">
        <v>44818.241203703707</v>
      </c>
      <c r="W793" s="4">
        <v>44819.241203703707</v>
      </c>
      <c r="Z793" s="4">
        <v>44842.241203703707</v>
      </c>
      <c r="AC793" s="2">
        <f t="shared" si="108"/>
        <v>3</v>
      </c>
      <c r="AD793" s="2">
        <f t="shared" si="109"/>
        <v>12</v>
      </c>
      <c r="AE793" s="2">
        <f t="shared" si="110"/>
        <v>9</v>
      </c>
      <c r="AF793" s="2">
        <f t="shared" si="111"/>
        <v>13</v>
      </c>
      <c r="AG793" s="2">
        <f t="shared" si="112"/>
        <v>1</v>
      </c>
      <c r="AH793" s="4">
        <f t="shared" si="113"/>
        <v>44899.241203703707</v>
      </c>
      <c r="AI793" s="2">
        <f t="shared" si="114"/>
        <v>3</v>
      </c>
      <c r="AJ793" s="2">
        <f t="shared" si="115"/>
        <v>33</v>
      </c>
      <c r="AK793" s="2">
        <f t="shared" si="116"/>
        <v>10</v>
      </c>
    </row>
    <row r="794" spans="1:37" x14ac:dyDescent="0.25">
      <c r="A794">
        <v>989</v>
      </c>
      <c r="B794" t="s">
        <v>894</v>
      </c>
      <c r="C794" t="s">
        <v>806</v>
      </c>
      <c r="D794" t="s">
        <v>826</v>
      </c>
      <c r="E794" t="s">
        <v>29</v>
      </c>
      <c r="F794" t="s">
        <v>883</v>
      </c>
      <c r="G794" t="s">
        <v>144</v>
      </c>
      <c r="H794" s="1">
        <v>44801.241203703707</v>
      </c>
      <c r="I794" s="1">
        <v>44802.241203703707</v>
      </c>
      <c r="J794" t="s">
        <v>32</v>
      </c>
      <c r="K794" s="1">
        <v>44820.241203703707</v>
      </c>
      <c r="L794" t="s">
        <v>39</v>
      </c>
      <c r="N794" s="4">
        <v>44825.241203703707</v>
      </c>
      <c r="O794" t="s">
        <v>39</v>
      </c>
      <c r="R794" s="4">
        <v>44821.241203703707</v>
      </c>
      <c r="T794">
        <v>0</v>
      </c>
      <c r="AC794" s="2">
        <f t="shared" si="108"/>
        <v>1</v>
      </c>
      <c r="AD794" s="2">
        <f t="shared" si="109"/>
        <v>19</v>
      </c>
      <c r="AE794" s="2">
        <f t="shared" si="110"/>
        <v>18</v>
      </c>
      <c r="AF794" s="2">
        <f t="shared" si="111"/>
        <v>20</v>
      </c>
      <c r="AG794" s="2">
        <f t="shared" si="112"/>
        <v>1</v>
      </c>
      <c r="AH794" s="4">
        <f t="shared" si="113"/>
        <v>44911.241203703707</v>
      </c>
      <c r="AI794" s="2" t="str">
        <f t="shared" si="114"/>
        <v/>
      </c>
      <c r="AJ794" s="2" t="str">
        <f t="shared" si="115"/>
        <v/>
      </c>
      <c r="AK794" s="2" t="str">
        <f t="shared" si="116"/>
        <v/>
      </c>
    </row>
    <row r="795" spans="1:37" x14ac:dyDescent="0.25">
      <c r="A795">
        <v>988</v>
      </c>
      <c r="B795" t="s">
        <v>895</v>
      </c>
      <c r="C795" t="s">
        <v>806</v>
      </c>
      <c r="D795" t="s">
        <v>826</v>
      </c>
      <c r="E795" t="s">
        <v>29</v>
      </c>
      <c r="F795" t="s">
        <v>883</v>
      </c>
      <c r="G795" t="s">
        <v>144</v>
      </c>
      <c r="H795" s="1">
        <v>44795.241203703707</v>
      </c>
      <c r="I795" s="1">
        <v>44798.241203703707</v>
      </c>
      <c r="J795" t="s">
        <v>44</v>
      </c>
      <c r="K795" s="1"/>
      <c r="T795">
        <v>0</v>
      </c>
      <c r="AC795" s="2">
        <f t="shared" si="108"/>
        <v>3</v>
      </c>
      <c r="AD795" s="2" t="str">
        <f t="shared" si="109"/>
        <v/>
      </c>
      <c r="AE795" s="2" t="str">
        <f t="shared" si="110"/>
        <v/>
      </c>
      <c r="AF795" s="2" t="str">
        <f t="shared" si="111"/>
        <v/>
      </c>
      <c r="AG795" s="2" t="str">
        <f t="shared" si="112"/>
        <v/>
      </c>
      <c r="AH795" s="4" t="str">
        <f t="shared" si="113"/>
        <v/>
      </c>
      <c r="AI795" s="2" t="str">
        <f t="shared" si="114"/>
        <v/>
      </c>
      <c r="AJ795" s="2" t="str">
        <f t="shared" si="115"/>
        <v/>
      </c>
      <c r="AK795" s="2" t="str">
        <f t="shared" si="116"/>
        <v/>
      </c>
    </row>
    <row r="796" spans="1:37" x14ac:dyDescent="0.25">
      <c r="A796">
        <v>986</v>
      </c>
      <c r="B796" t="s">
        <v>896</v>
      </c>
      <c r="C796" t="s">
        <v>806</v>
      </c>
      <c r="D796" t="s">
        <v>826</v>
      </c>
      <c r="E796" t="s">
        <v>29</v>
      </c>
      <c r="F796" t="s">
        <v>883</v>
      </c>
      <c r="G796" t="s">
        <v>144</v>
      </c>
      <c r="H796" s="1">
        <v>44798.241203703707</v>
      </c>
      <c r="I796" s="1">
        <v>44799.241203703707</v>
      </c>
      <c r="J796" t="s">
        <v>32</v>
      </c>
      <c r="K796" s="1">
        <v>44816.241203703707</v>
      </c>
      <c r="L796" t="s">
        <v>39</v>
      </c>
      <c r="N796" s="4">
        <v>44819.241203703707</v>
      </c>
      <c r="O796" t="s">
        <v>39</v>
      </c>
      <c r="R796" s="4">
        <v>44817.241203703707</v>
      </c>
      <c r="T796">
        <v>0</v>
      </c>
      <c r="AC796" s="2">
        <f t="shared" si="108"/>
        <v>1</v>
      </c>
      <c r="AD796" s="2">
        <f t="shared" si="109"/>
        <v>18</v>
      </c>
      <c r="AE796" s="2">
        <f t="shared" si="110"/>
        <v>17</v>
      </c>
      <c r="AF796" s="2">
        <f t="shared" si="111"/>
        <v>19</v>
      </c>
      <c r="AG796" s="2">
        <f t="shared" si="112"/>
        <v>1</v>
      </c>
      <c r="AH796" s="4">
        <f t="shared" si="113"/>
        <v>44907.241203703707</v>
      </c>
      <c r="AI796" s="2" t="str">
        <f t="shared" si="114"/>
        <v/>
      </c>
      <c r="AJ796" s="2" t="str">
        <f t="shared" si="115"/>
        <v/>
      </c>
      <c r="AK796" s="2" t="str">
        <f t="shared" si="116"/>
        <v/>
      </c>
    </row>
    <row r="797" spans="1:37" x14ac:dyDescent="0.25">
      <c r="A797">
        <v>985</v>
      </c>
      <c r="B797" t="s">
        <v>897</v>
      </c>
      <c r="C797" t="s">
        <v>806</v>
      </c>
      <c r="D797" t="s">
        <v>826</v>
      </c>
      <c r="E797" t="s">
        <v>29</v>
      </c>
      <c r="F797" t="s">
        <v>883</v>
      </c>
      <c r="G797" t="s">
        <v>144</v>
      </c>
      <c r="H797" s="1">
        <v>44796.241203703707</v>
      </c>
      <c r="I797" s="1">
        <v>44798.241203703707</v>
      </c>
      <c r="J797" t="s">
        <v>32</v>
      </c>
      <c r="K797" s="1">
        <v>44807.241203703707</v>
      </c>
      <c r="L797" t="s">
        <v>33</v>
      </c>
      <c r="M797" t="s">
        <v>108</v>
      </c>
      <c r="T797">
        <v>0</v>
      </c>
      <c r="Y797" t="s">
        <v>55</v>
      </c>
      <c r="AC797" s="2">
        <f t="shared" si="108"/>
        <v>2</v>
      </c>
      <c r="AD797" s="2">
        <f t="shared" si="109"/>
        <v>11</v>
      </c>
      <c r="AE797" s="2">
        <f t="shared" si="110"/>
        <v>9</v>
      </c>
      <c r="AF797" s="2" t="str">
        <f t="shared" si="111"/>
        <v/>
      </c>
      <c r="AG797" s="2" t="str">
        <f t="shared" si="112"/>
        <v/>
      </c>
      <c r="AH797" s="4" t="str">
        <f t="shared" si="113"/>
        <v/>
      </c>
      <c r="AI797" s="2" t="str">
        <f t="shared" si="114"/>
        <v/>
      </c>
      <c r="AJ797" s="2" t="str">
        <f t="shared" si="115"/>
        <v/>
      </c>
      <c r="AK797" s="2" t="str">
        <f t="shared" si="116"/>
        <v/>
      </c>
    </row>
    <row r="798" spans="1:37" x14ac:dyDescent="0.25">
      <c r="A798">
        <v>983</v>
      </c>
      <c r="B798" t="s">
        <v>898</v>
      </c>
      <c r="C798" t="s">
        <v>806</v>
      </c>
      <c r="D798" t="s">
        <v>826</v>
      </c>
      <c r="E798" t="s">
        <v>29</v>
      </c>
      <c r="F798" t="s">
        <v>883</v>
      </c>
      <c r="G798" t="s">
        <v>144</v>
      </c>
      <c r="H798" s="1">
        <v>44801.241203703707</v>
      </c>
      <c r="I798" s="1">
        <v>44802.241203703707</v>
      </c>
      <c r="J798" t="s">
        <v>32</v>
      </c>
      <c r="K798" s="1">
        <v>44810.241203703707</v>
      </c>
      <c r="L798" t="s">
        <v>57</v>
      </c>
      <c r="N798" s="4">
        <v>44812.241203703707</v>
      </c>
      <c r="O798" t="s">
        <v>57</v>
      </c>
      <c r="P798" s="4">
        <v>44812.241203703707</v>
      </c>
      <c r="Q798" s="4">
        <v>44815.241203703707</v>
      </c>
      <c r="R798" s="4">
        <v>44811.241203703707</v>
      </c>
      <c r="S798" s="4">
        <v>44817.241203703707</v>
      </c>
      <c r="T798">
        <v>1</v>
      </c>
      <c r="U798" s="4">
        <v>44820.241203703707</v>
      </c>
      <c r="V798" s="4">
        <v>44822.241203703707</v>
      </c>
      <c r="W798" s="4">
        <v>44824.241203703707</v>
      </c>
      <c r="Z798" s="4">
        <v>44842.241203703707</v>
      </c>
      <c r="AC798" s="2">
        <f t="shared" si="108"/>
        <v>1</v>
      </c>
      <c r="AD798" s="2">
        <f t="shared" si="109"/>
        <v>9</v>
      </c>
      <c r="AE798" s="2">
        <f t="shared" si="110"/>
        <v>8</v>
      </c>
      <c r="AF798" s="2">
        <f t="shared" si="111"/>
        <v>10</v>
      </c>
      <c r="AG798" s="2">
        <f t="shared" si="112"/>
        <v>1</v>
      </c>
      <c r="AH798" s="4">
        <f t="shared" si="113"/>
        <v>44901.241203703707</v>
      </c>
      <c r="AI798" s="2">
        <f t="shared" si="114"/>
        <v>3</v>
      </c>
      <c r="AJ798" s="2">
        <f t="shared" si="115"/>
        <v>31</v>
      </c>
      <c r="AK798" s="2">
        <f t="shared" si="116"/>
        <v>13</v>
      </c>
    </row>
    <row r="799" spans="1:37" x14ac:dyDescent="0.25">
      <c r="A799">
        <v>878</v>
      </c>
      <c r="B799" t="s">
        <v>899</v>
      </c>
      <c r="C799" t="s">
        <v>806</v>
      </c>
      <c r="D799" t="s">
        <v>826</v>
      </c>
      <c r="E799" t="s">
        <v>29</v>
      </c>
      <c r="F799" t="s">
        <v>883</v>
      </c>
      <c r="G799" t="s">
        <v>144</v>
      </c>
      <c r="H799" s="1">
        <v>44760.80777777778</v>
      </c>
      <c r="I799" s="1">
        <v>44763.80777777778</v>
      </c>
      <c r="J799" t="s">
        <v>32</v>
      </c>
      <c r="K799" s="1">
        <v>44778.80777777778</v>
      </c>
      <c r="L799" t="s">
        <v>39</v>
      </c>
      <c r="N799" s="4">
        <v>44782.80777777778</v>
      </c>
      <c r="O799" t="s">
        <v>39</v>
      </c>
      <c r="R799" s="4">
        <v>44781.80777777778</v>
      </c>
      <c r="T799">
        <v>0</v>
      </c>
      <c r="AC799" s="2">
        <f t="shared" si="108"/>
        <v>3</v>
      </c>
      <c r="AD799" s="2">
        <f t="shared" si="109"/>
        <v>18</v>
      </c>
      <c r="AE799" s="2">
        <f t="shared" si="110"/>
        <v>15</v>
      </c>
      <c r="AF799" s="2">
        <f t="shared" si="111"/>
        <v>21</v>
      </c>
      <c r="AG799" s="2">
        <f t="shared" si="112"/>
        <v>3</v>
      </c>
      <c r="AH799" s="4">
        <f t="shared" si="113"/>
        <v>44871.80777777778</v>
      </c>
      <c r="AI799" s="2" t="str">
        <f t="shared" si="114"/>
        <v/>
      </c>
      <c r="AJ799" s="2" t="str">
        <f t="shared" si="115"/>
        <v/>
      </c>
      <c r="AK799" s="2" t="str">
        <f t="shared" si="116"/>
        <v/>
      </c>
    </row>
    <row r="800" spans="1:37" x14ac:dyDescent="0.25">
      <c r="A800">
        <v>874</v>
      </c>
      <c r="B800" t="s">
        <v>900</v>
      </c>
      <c r="C800" t="s">
        <v>806</v>
      </c>
      <c r="D800" t="s">
        <v>826</v>
      </c>
      <c r="E800" t="s">
        <v>29</v>
      </c>
      <c r="F800" t="s">
        <v>883</v>
      </c>
      <c r="G800" t="s">
        <v>144</v>
      </c>
      <c r="H800" s="1">
        <v>44759.80777777778</v>
      </c>
      <c r="I800" s="1">
        <v>44763.80777777778</v>
      </c>
      <c r="J800" t="s">
        <v>32</v>
      </c>
      <c r="K800" s="1">
        <v>44773.80777777778</v>
      </c>
      <c r="L800" t="s">
        <v>33</v>
      </c>
      <c r="M800" t="s">
        <v>67</v>
      </c>
      <c r="T800">
        <v>0</v>
      </c>
      <c r="Y800" t="s">
        <v>35</v>
      </c>
      <c r="AC800" s="2">
        <f t="shared" si="108"/>
        <v>4</v>
      </c>
      <c r="AD800" s="2">
        <f t="shared" si="109"/>
        <v>14</v>
      </c>
      <c r="AE800" s="2">
        <f t="shared" si="110"/>
        <v>10</v>
      </c>
      <c r="AF800" s="2" t="str">
        <f t="shared" si="111"/>
        <v/>
      </c>
      <c r="AG800" s="2" t="str">
        <f t="shared" si="112"/>
        <v/>
      </c>
      <c r="AH800" s="4" t="str">
        <f t="shared" si="113"/>
        <v/>
      </c>
      <c r="AI800" s="2" t="str">
        <f t="shared" si="114"/>
        <v/>
      </c>
      <c r="AJ800" s="2" t="str">
        <f t="shared" si="115"/>
        <v/>
      </c>
      <c r="AK800" s="2" t="str">
        <f t="shared" si="116"/>
        <v/>
      </c>
    </row>
    <row r="801" spans="1:37" x14ac:dyDescent="0.25">
      <c r="A801">
        <v>753</v>
      </c>
      <c r="B801" t="s">
        <v>901</v>
      </c>
      <c r="C801" t="s">
        <v>806</v>
      </c>
      <c r="D801" t="s">
        <v>826</v>
      </c>
      <c r="E801" t="s">
        <v>29</v>
      </c>
      <c r="F801" t="s">
        <v>883</v>
      </c>
      <c r="G801" t="s">
        <v>144</v>
      </c>
      <c r="H801" s="1">
        <v>44941.883877314816</v>
      </c>
      <c r="I801" s="1">
        <v>44942.883877314816</v>
      </c>
      <c r="J801" t="s">
        <v>32</v>
      </c>
      <c r="K801" s="1">
        <v>44963.883877314816</v>
      </c>
      <c r="L801" t="s">
        <v>33</v>
      </c>
      <c r="M801" t="s">
        <v>92</v>
      </c>
      <c r="T801">
        <v>0</v>
      </c>
      <c r="Y801" t="s">
        <v>55</v>
      </c>
      <c r="AC801" s="2">
        <f t="shared" si="108"/>
        <v>1</v>
      </c>
      <c r="AD801" s="2">
        <f t="shared" si="109"/>
        <v>22</v>
      </c>
      <c r="AE801" s="2">
        <f t="shared" si="110"/>
        <v>21</v>
      </c>
      <c r="AF801" s="2" t="str">
        <f t="shared" si="111"/>
        <v/>
      </c>
      <c r="AG801" s="2" t="str">
        <f t="shared" si="112"/>
        <v/>
      </c>
      <c r="AH801" s="4" t="str">
        <f t="shared" si="113"/>
        <v/>
      </c>
      <c r="AI801" s="2" t="str">
        <f t="shared" si="114"/>
        <v/>
      </c>
      <c r="AJ801" s="2" t="str">
        <f t="shared" si="115"/>
        <v/>
      </c>
      <c r="AK801" s="2" t="str">
        <f t="shared" si="116"/>
        <v/>
      </c>
    </row>
    <row r="802" spans="1:37" x14ac:dyDescent="0.25">
      <c r="A802">
        <v>700</v>
      </c>
      <c r="B802" t="s">
        <v>902</v>
      </c>
      <c r="C802" t="s">
        <v>806</v>
      </c>
      <c r="D802" t="s">
        <v>826</v>
      </c>
      <c r="E802" t="s">
        <v>29</v>
      </c>
      <c r="F802" t="s">
        <v>883</v>
      </c>
      <c r="G802" t="s">
        <v>144</v>
      </c>
      <c r="H802" s="1">
        <v>44870.289201388892</v>
      </c>
      <c r="I802" s="1">
        <v>44874.289201388892</v>
      </c>
      <c r="J802" t="s">
        <v>32</v>
      </c>
      <c r="K802" s="1">
        <v>44878.289201388892</v>
      </c>
      <c r="L802" t="s">
        <v>33</v>
      </c>
      <c r="M802" t="s">
        <v>51</v>
      </c>
      <c r="T802">
        <v>0</v>
      </c>
      <c r="Y802" t="s">
        <v>35</v>
      </c>
      <c r="AC802" s="2">
        <f t="shared" si="108"/>
        <v>4</v>
      </c>
      <c r="AD802" s="2">
        <f t="shared" si="109"/>
        <v>8</v>
      </c>
      <c r="AE802" s="2">
        <f t="shared" si="110"/>
        <v>4</v>
      </c>
      <c r="AF802" s="2" t="str">
        <f t="shared" si="111"/>
        <v/>
      </c>
      <c r="AG802" s="2" t="str">
        <f t="shared" si="112"/>
        <v/>
      </c>
      <c r="AH802" s="4" t="str">
        <f t="shared" si="113"/>
        <v/>
      </c>
      <c r="AI802" s="2" t="str">
        <f t="shared" si="114"/>
        <v/>
      </c>
      <c r="AJ802" s="2" t="str">
        <f t="shared" si="115"/>
        <v/>
      </c>
      <c r="AK802" s="2" t="str">
        <f t="shared" si="116"/>
        <v/>
      </c>
    </row>
    <row r="803" spans="1:37" x14ac:dyDescent="0.25">
      <c r="A803">
        <v>645</v>
      </c>
      <c r="B803" t="s">
        <v>903</v>
      </c>
      <c r="C803" t="s">
        <v>806</v>
      </c>
      <c r="D803" t="s">
        <v>826</v>
      </c>
      <c r="E803" t="s">
        <v>29</v>
      </c>
      <c r="F803" t="s">
        <v>883</v>
      </c>
      <c r="G803" t="s">
        <v>144</v>
      </c>
      <c r="H803" s="1">
        <v>44785.760729166665</v>
      </c>
      <c r="I803" s="1">
        <v>44786.760729166665</v>
      </c>
      <c r="J803" t="s">
        <v>32</v>
      </c>
      <c r="K803" s="1">
        <v>44792.760729166665</v>
      </c>
      <c r="L803" t="s">
        <v>57</v>
      </c>
      <c r="N803" s="4">
        <v>44797.760729166665</v>
      </c>
      <c r="O803" t="s">
        <v>57</v>
      </c>
      <c r="P803" s="4">
        <v>44793.760729166665</v>
      </c>
      <c r="Q803" s="4">
        <v>44795.760729166665</v>
      </c>
      <c r="R803" s="4">
        <v>44795.760729166665</v>
      </c>
      <c r="S803" s="4">
        <v>44801.760729166665</v>
      </c>
      <c r="T803">
        <v>1</v>
      </c>
      <c r="U803" s="4">
        <v>44803.760729166665</v>
      </c>
      <c r="V803" s="4">
        <v>44806.760729166665</v>
      </c>
      <c r="W803" s="4">
        <v>44809.760729166665</v>
      </c>
      <c r="Z803" s="4">
        <v>44817.760729166665</v>
      </c>
      <c r="AC803" s="2">
        <f t="shared" si="108"/>
        <v>1</v>
      </c>
      <c r="AD803" s="2">
        <f t="shared" si="109"/>
        <v>7</v>
      </c>
      <c r="AE803" s="2">
        <f t="shared" si="110"/>
        <v>6</v>
      </c>
      <c r="AF803" s="2">
        <f t="shared" si="111"/>
        <v>10</v>
      </c>
      <c r="AG803" s="2">
        <f t="shared" si="112"/>
        <v>3</v>
      </c>
      <c r="AH803" s="4">
        <f t="shared" si="113"/>
        <v>44885.760729166665</v>
      </c>
      <c r="AI803" s="2">
        <f t="shared" si="114"/>
        <v>2</v>
      </c>
      <c r="AJ803" s="2">
        <f t="shared" si="115"/>
        <v>22</v>
      </c>
      <c r="AK803" s="2">
        <f t="shared" si="116"/>
        <v>14</v>
      </c>
    </row>
    <row r="804" spans="1:37" x14ac:dyDescent="0.25">
      <c r="A804">
        <v>644</v>
      </c>
      <c r="B804" t="s">
        <v>904</v>
      </c>
      <c r="C804" t="s">
        <v>806</v>
      </c>
      <c r="D804" t="s">
        <v>826</v>
      </c>
      <c r="E804" t="s">
        <v>29</v>
      </c>
      <c r="F804" t="s">
        <v>883</v>
      </c>
      <c r="G804" t="s">
        <v>144</v>
      </c>
      <c r="H804" s="1">
        <v>44781.760729166665</v>
      </c>
      <c r="I804" s="1">
        <v>44784.760729166665</v>
      </c>
      <c r="J804" t="s">
        <v>32</v>
      </c>
      <c r="K804" s="1">
        <v>44797.760729166665</v>
      </c>
      <c r="L804" t="s">
        <v>57</v>
      </c>
      <c r="N804" s="4">
        <v>44802.760729166665</v>
      </c>
      <c r="O804" t="s">
        <v>57</v>
      </c>
      <c r="P804" s="4">
        <v>44798.760729166665</v>
      </c>
      <c r="Q804" s="4">
        <v>44800.760729166665</v>
      </c>
      <c r="R804" s="4">
        <v>44801.760729166665</v>
      </c>
      <c r="S804" s="4">
        <v>44804.760729166665</v>
      </c>
      <c r="T804">
        <v>1</v>
      </c>
      <c r="U804" s="4">
        <v>44805.760729166665</v>
      </c>
      <c r="V804" s="4">
        <v>44808.760729166665</v>
      </c>
      <c r="W804" s="4">
        <v>44809.760729166665</v>
      </c>
      <c r="Z804" s="4">
        <v>44830.760729166665</v>
      </c>
      <c r="AC804" s="2">
        <f t="shared" si="108"/>
        <v>3</v>
      </c>
      <c r="AD804" s="2">
        <f t="shared" si="109"/>
        <v>16</v>
      </c>
      <c r="AE804" s="2">
        <f t="shared" si="110"/>
        <v>13</v>
      </c>
      <c r="AF804" s="2">
        <f t="shared" si="111"/>
        <v>20</v>
      </c>
      <c r="AG804" s="2">
        <f t="shared" si="112"/>
        <v>4</v>
      </c>
      <c r="AH804" s="4">
        <f t="shared" si="113"/>
        <v>44891.760729166665</v>
      </c>
      <c r="AI804" s="2">
        <f t="shared" si="114"/>
        <v>1</v>
      </c>
      <c r="AJ804" s="2">
        <f t="shared" si="115"/>
        <v>29</v>
      </c>
      <c r="AK804" s="2">
        <f t="shared" si="116"/>
        <v>8</v>
      </c>
    </row>
    <row r="805" spans="1:37" x14ac:dyDescent="0.25">
      <c r="A805">
        <v>558</v>
      </c>
      <c r="B805" t="s">
        <v>905</v>
      </c>
      <c r="C805" t="s">
        <v>806</v>
      </c>
      <c r="D805" t="s">
        <v>826</v>
      </c>
      <c r="E805" t="s">
        <v>29</v>
      </c>
      <c r="F805" t="s">
        <v>883</v>
      </c>
      <c r="G805" t="s">
        <v>144</v>
      </c>
      <c r="H805" s="1">
        <v>45086.01053240741</v>
      </c>
      <c r="I805" s="1">
        <v>45088.01053240741</v>
      </c>
      <c r="J805" t="s">
        <v>44</v>
      </c>
      <c r="K805" s="1"/>
      <c r="T805">
        <v>0</v>
      </c>
      <c r="AC805" s="2">
        <f t="shared" si="108"/>
        <v>2</v>
      </c>
      <c r="AD805" s="2" t="str">
        <f t="shared" si="109"/>
        <v/>
      </c>
      <c r="AE805" s="2" t="str">
        <f t="shared" si="110"/>
        <v/>
      </c>
      <c r="AF805" s="2" t="str">
        <f t="shared" si="111"/>
        <v/>
      </c>
      <c r="AG805" s="2" t="str">
        <f t="shared" si="112"/>
        <v/>
      </c>
      <c r="AH805" s="4" t="str">
        <f t="shared" si="113"/>
        <v/>
      </c>
      <c r="AI805" s="2" t="str">
        <f t="shared" si="114"/>
        <v/>
      </c>
      <c r="AJ805" s="2" t="str">
        <f t="shared" si="115"/>
        <v/>
      </c>
      <c r="AK805" s="2" t="str">
        <f t="shared" si="116"/>
        <v/>
      </c>
    </row>
    <row r="806" spans="1:37" x14ac:dyDescent="0.25">
      <c r="A806">
        <v>554</v>
      </c>
      <c r="B806" t="s">
        <v>906</v>
      </c>
      <c r="C806" t="s">
        <v>806</v>
      </c>
      <c r="D806" t="s">
        <v>826</v>
      </c>
      <c r="E806" t="s">
        <v>29</v>
      </c>
      <c r="F806" t="s">
        <v>883</v>
      </c>
      <c r="G806" t="s">
        <v>144</v>
      </c>
      <c r="H806" s="1">
        <v>45086.01053240741</v>
      </c>
      <c r="I806" s="1">
        <v>45088.01053240741</v>
      </c>
      <c r="J806" t="s">
        <v>32</v>
      </c>
      <c r="K806" s="1">
        <v>45095.01053240741</v>
      </c>
      <c r="L806" t="s">
        <v>33</v>
      </c>
      <c r="M806" t="s">
        <v>34</v>
      </c>
      <c r="R806" s="4">
        <v>45096.01053240741</v>
      </c>
      <c r="T806">
        <v>0</v>
      </c>
      <c r="Y806" t="s">
        <v>55</v>
      </c>
      <c r="AC806" s="2">
        <f t="shared" si="108"/>
        <v>2</v>
      </c>
      <c r="AD806" s="2">
        <f t="shared" si="109"/>
        <v>9</v>
      </c>
      <c r="AE806" s="2">
        <f t="shared" si="110"/>
        <v>7</v>
      </c>
      <c r="AF806" s="2">
        <f t="shared" si="111"/>
        <v>10</v>
      </c>
      <c r="AG806" s="2">
        <f t="shared" si="112"/>
        <v>1</v>
      </c>
      <c r="AH806" s="4">
        <f t="shared" si="113"/>
        <v>45186.01053240741</v>
      </c>
      <c r="AI806" s="2" t="str">
        <f t="shared" si="114"/>
        <v/>
      </c>
      <c r="AJ806" s="2" t="str">
        <f t="shared" si="115"/>
        <v/>
      </c>
      <c r="AK806" s="2" t="str">
        <f t="shared" si="116"/>
        <v/>
      </c>
    </row>
    <row r="807" spans="1:37" x14ac:dyDescent="0.25">
      <c r="A807">
        <v>2989</v>
      </c>
      <c r="B807" t="s">
        <v>907</v>
      </c>
      <c r="C807" t="s">
        <v>806</v>
      </c>
      <c r="D807" t="s">
        <v>908</v>
      </c>
      <c r="E807" t="s">
        <v>267</v>
      </c>
      <c r="F807" t="s">
        <v>909</v>
      </c>
      <c r="G807" t="s">
        <v>269</v>
      </c>
      <c r="H807" s="1">
        <v>44928.987974537034</v>
      </c>
      <c r="I807" s="1">
        <v>44930.987974537034</v>
      </c>
      <c r="J807" t="s">
        <v>32</v>
      </c>
      <c r="K807" s="1">
        <v>44945.987974537034</v>
      </c>
      <c r="L807" t="s">
        <v>33</v>
      </c>
      <c r="M807" t="s">
        <v>51</v>
      </c>
      <c r="R807" s="4">
        <v>44947.987974537034</v>
      </c>
      <c r="T807">
        <v>0</v>
      </c>
      <c r="Y807" t="s">
        <v>55</v>
      </c>
      <c r="AC807" s="2">
        <f t="shared" si="108"/>
        <v>2</v>
      </c>
      <c r="AD807" s="2">
        <f t="shared" si="109"/>
        <v>17</v>
      </c>
      <c r="AE807" s="2">
        <f t="shared" si="110"/>
        <v>15</v>
      </c>
      <c r="AF807" s="2">
        <f t="shared" si="111"/>
        <v>19</v>
      </c>
      <c r="AG807" s="2">
        <f t="shared" si="112"/>
        <v>2</v>
      </c>
      <c r="AH807" s="4">
        <f t="shared" si="113"/>
        <v>45037.987974537034</v>
      </c>
      <c r="AI807" s="2" t="str">
        <f t="shared" si="114"/>
        <v/>
      </c>
      <c r="AJ807" s="2" t="str">
        <f t="shared" si="115"/>
        <v/>
      </c>
      <c r="AK807" s="2" t="str">
        <f t="shared" si="116"/>
        <v/>
      </c>
    </row>
    <row r="808" spans="1:37" x14ac:dyDescent="0.25">
      <c r="A808">
        <v>2907</v>
      </c>
      <c r="B808" t="s">
        <v>910</v>
      </c>
      <c r="C808" t="s">
        <v>806</v>
      </c>
      <c r="D808" t="s">
        <v>908</v>
      </c>
      <c r="E808" t="s">
        <v>267</v>
      </c>
      <c r="F808" t="s">
        <v>909</v>
      </c>
      <c r="G808" t="s">
        <v>269</v>
      </c>
      <c r="H808" s="1">
        <v>44616.299814814818</v>
      </c>
      <c r="I808" s="1">
        <v>44617.299814814818</v>
      </c>
      <c r="J808" t="s">
        <v>32</v>
      </c>
      <c r="K808" s="1">
        <v>44636.299814814818</v>
      </c>
      <c r="L808" t="s">
        <v>33</v>
      </c>
      <c r="M808" t="s">
        <v>108</v>
      </c>
      <c r="R808" s="4">
        <v>44639.299814814818</v>
      </c>
      <c r="T808">
        <v>0</v>
      </c>
      <c r="Y808" t="s">
        <v>35</v>
      </c>
      <c r="AC808" s="2">
        <f t="shared" si="108"/>
        <v>1</v>
      </c>
      <c r="AD808" s="2">
        <f t="shared" si="109"/>
        <v>20</v>
      </c>
      <c r="AE808" s="2">
        <f t="shared" si="110"/>
        <v>19</v>
      </c>
      <c r="AF808" s="2">
        <f t="shared" si="111"/>
        <v>23</v>
      </c>
      <c r="AG808" s="2">
        <f t="shared" si="112"/>
        <v>3</v>
      </c>
      <c r="AH808" s="4">
        <f t="shared" si="113"/>
        <v>44729.299814814818</v>
      </c>
      <c r="AI808" s="2" t="str">
        <f t="shared" si="114"/>
        <v/>
      </c>
      <c r="AJ808" s="2" t="str">
        <f t="shared" si="115"/>
        <v/>
      </c>
      <c r="AK808" s="2" t="str">
        <f t="shared" si="116"/>
        <v/>
      </c>
    </row>
    <row r="809" spans="1:37" x14ac:dyDescent="0.25">
      <c r="A809">
        <v>2880</v>
      </c>
      <c r="B809" t="s">
        <v>911</v>
      </c>
      <c r="C809" t="s">
        <v>806</v>
      </c>
      <c r="D809" t="s">
        <v>908</v>
      </c>
      <c r="E809" t="s">
        <v>267</v>
      </c>
      <c r="F809" t="s">
        <v>909</v>
      </c>
      <c r="G809" t="s">
        <v>269</v>
      </c>
      <c r="H809" s="1">
        <v>45117.164652777778</v>
      </c>
      <c r="I809" s="1">
        <v>45119.164652777778</v>
      </c>
      <c r="J809" t="s">
        <v>32</v>
      </c>
      <c r="K809" s="1">
        <v>45131.164652777778</v>
      </c>
      <c r="L809" t="s">
        <v>57</v>
      </c>
      <c r="N809" s="4">
        <v>45137.164652777778</v>
      </c>
      <c r="O809" t="s">
        <v>57</v>
      </c>
      <c r="P809" s="4">
        <v>45132.164652777778</v>
      </c>
      <c r="Q809" s="4">
        <v>45133.164652777778</v>
      </c>
      <c r="R809" s="4">
        <v>45134.164652777778</v>
      </c>
      <c r="S809" s="4">
        <v>45136.164652777778</v>
      </c>
      <c r="T809">
        <v>1</v>
      </c>
      <c r="U809" s="4">
        <v>45138.164652777778</v>
      </c>
      <c r="V809" s="4">
        <v>45139.164652777778</v>
      </c>
      <c r="W809" s="4">
        <v>45140.164652777778</v>
      </c>
      <c r="Z809" s="4">
        <v>45150.164652777778</v>
      </c>
      <c r="AC809" s="2">
        <f t="shared" si="108"/>
        <v>2</v>
      </c>
      <c r="AD809" s="2">
        <f t="shared" si="109"/>
        <v>14</v>
      </c>
      <c r="AE809" s="2">
        <f t="shared" si="110"/>
        <v>12</v>
      </c>
      <c r="AF809" s="2">
        <f t="shared" si="111"/>
        <v>17</v>
      </c>
      <c r="AG809" s="2">
        <f t="shared" si="112"/>
        <v>3</v>
      </c>
      <c r="AH809" s="4">
        <f t="shared" si="113"/>
        <v>45224.164652777778</v>
      </c>
      <c r="AI809" s="2">
        <f t="shared" si="114"/>
        <v>2</v>
      </c>
      <c r="AJ809" s="2">
        <f t="shared" si="115"/>
        <v>16</v>
      </c>
      <c r="AK809" s="2">
        <f t="shared" si="116"/>
        <v>6</v>
      </c>
    </row>
    <row r="810" spans="1:37" x14ac:dyDescent="0.25">
      <c r="A810">
        <v>2876</v>
      </c>
      <c r="B810" t="s">
        <v>912</v>
      </c>
      <c r="C810" t="s">
        <v>806</v>
      </c>
      <c r="D810" t="s">
        <v>908</v>
      </c>
      <c r="E810" t="s">
        <v>267</v>
      </c>
      <c r="F810" t="s">
        <v>909</v>
      </c>
      <c r="G810" t="s">
        <v>269</v>
      </c>
      <c r="H810" s="1">
        <v>45118.164652777778</v>
      </c>
      <c r="I810" s="1">
        <v>45119.164652777778</v>
      </c>
      <c r="J810" t="s">
        <v>32</v>
      </c>
      <c r="K810" s="1">
        <v>45134.164652777778</v>
      </c>
      <c r="L810" t="s">
        <v>39</v>
      </c>
      <c r="N810" s="4">
        <v>45140.164652777778</v>
      </c>
      <c r="O810" t="s">
        <v>39</v>
      </c>
      <c r="R810" s="4">
        <v>45138.164652777778</v>
      </c>
      <c r="T810">
        <v>0</v>
      </c>
      <c r="AC810" s="2">
        <f t="shared" si="108"/>
        <v>1</v>
      </c>
      <c r="AD810" s="2">
        <f t="shared" si="109"/>
        <v>16</v>
      </c>
      <c r="AE810" s="2">
        <f t="shared" si="110"/>
        <v>15</v>
      </c>
      <c r="AF810" s="2">
        <f t="shared" si="111"/>
        <v>20</v>
      </c>
      <c r="AG810" s="2">
        <f t="shared" si="112"/>
        <v>4</v>
      </c>
      <c r="AH810" s="4">
        <f t="shared" si="113"/>
        <v>45228.164652777778</v>
      </c>
      <c r="AI810" s="2" t="str">
        <f t="shared" si="114"/>
        <v/>
      </c>
      <c r="AJ810" s="2" t="str">
        <f t="shared" si="115"/>
        <v/>
      </c>
      <c r="AK810" s="2" t="str">
        <f t="shared" si="116"/>
        <v/>
      </c>
    </row>
    <row r="811" spans="1:37" x14ac:dyDescent="0.25">
      <c r="A811">
        <v>2875</v>
      </c>
      <c r="B811" t="s">
        <v>913</v>
      </c>
      <c r="C811" t="s">
        <v>806</v>
      </c>
      <c r="D811" t="s">
        <v>908</v>
      </c>
      <c r="E811" t="s">
        <v>267</v>
      </c>
      <c r="F811" t="s">
        <v>909</v>
      </c>
      <c r="G811" t="s">
        <v>269</v>
      </c>
      <c r="H811" s="1">
        <v>45114.164652777778</v>
      </c>
      <c r="I811" s="1">
        <v>45115.164652777778</v>
      </c>
      <c r="J811" t="s">
        <v>44</v>
      </c>
      <c r="K811" s="1"/>
      <c r="T811">
        <v>0</v>
      </c>
      <c r="AC811" s="2">
        <f t="shared" si="108"/>
        <v>1</v>
      </c>
      <c r="AD811" s="2" t="str">
        <f t="shared" si="109"/>
        <v/>
      </c>
      <c r="AE811" s="2" t="str">
        <f t="shared" si="110"/>
        <v/>
      </c>
      <c r="AF811" s="2" t="str">
        <f t="shared" si="111"/>
        <v/>
      </c>
      <c r="AG811" s="2" t="str">
        <f t="shared" si="112"/>
        <v/>
      </c>
      <c r="AH811" s="4" t="str">
        <f t="shared" si="113"/>
        <v/>
      </c>
      <c r="AI811" s="2" t="str">
        <f t="shared" si="114"/>
        <v/>
      </c>
      <c r="AJ811" s="2" t="str">
        <f t="shared" si="115"/>
        <v/>
      </c>
      <c r="AK811" s="2" t="str">
        <f t="shared" si="116"/>
        <v/>
      </c>
    </row>
    <row r="812" spans="1:37" x14ac:dyDescent="0.25">
      <c r="A812">
        <v>2871</v>
      </c>
      <c r="B812" t="s">
        <v>914</v>
      </c>
      <c r="C812" t="s">
        <v>806</v>
      </c>
      <c r="D812" t="s">
        <v>908</v>
      </c>
      <c r="E812" t="s">
        <v>267</v>
      </c>
      <c r="F812" t="s">
        <v>909</v>
      </c>
      <c r="G812" t="s">
        <v>269</v>
      </c>
      <c r="H812" s="1">
        <v>45119.164652777778</v>
      </c>
      <c r="I812" s="1">
        <v>45120.164652777778</v>
      </c>
      <c r="J812" t="s">
        <v>32</v>
      </c>
      <c r="K812" s="1">
        <v>45128.164652777778</v>
      </c>
      <c r="L812" t="s">
        <v>57</v>
      </c>
      <c r="N812" s="4">
        <v>45136.164652777778</v>
      </c>
      <c r="O812" t="s">
        <v>57</v>
      </c>
      <c r="P812" s="4">
        <v>45130.164652777778</v>
      </c>
      <c r="Q812" s="4">
        <v>45134.164652777778</v>
      </c>
      <c r="R812" s="4">
        <v>45132.164652777778</v>
      </c>
      <c r="S812" s="4">
        <v>45138.164652777778</v>
      </c>
      <c r="T812">
        <v>1</v>
      </c>
      <c r="U812" s="4">
        <v>45142.164652777778</v>
      </c>
      <c r="V812" s="4">
        <v>45144.164652777778</v>
      </c>
      <c r="W812" s="4">
        <v>45147.164652777778</v>
      </c>
      <c r="Z812" s="4">
        <v>45166.164652777778</v>
      </c>
      <c r="AC812" s="2">
        <f t="shared" si="108"/>
        <v>1</v>
      </c>
      <c r="AD812" s="2">
        <f t="shared" si="109"/>
        <v>9</v>
      </c>
      <c r="AE812" s="2">
        <f t="shared" si="110"/>
        <v>8</v>
      </c>
      <c r="AF812" s="2">
        <f t="shared" si="111"/>
        <v>13</v>
      </c>
      <c r="AG812" s="2">
        <f t="shared" si="112"/>
        <v>4</v>
      </c>
      <c r="AH812" s="4">
        <f t="shared" si="113"/>
        <v>45222.164652777778</v>
      </c>
      <c r="AI812" s="2">
        <f t="shared" si="114"/>
        <v>4</v>
      </c>
      <c r="AJ812" s="2">
        <f t="shared" si="115"/>
        <v>34</v>
      </c>
      <c r="AK812" s="2">
        <f t="shared" si="116"/>
        <v>15</v>
      </c>
    </row>
    <row r="813" spans="1:37" x14ac:dyDescent="0.25">
      <c r="A813">
        <v>2811</v>
      </c>
      <c r="B813" t="s">
        <v>915</v>
      </c>
      <c r="C813" t="s">
        <v>806</v>
      </c>
      <c r="D813" t="s">
        <v>908</v>
      </c>
      <c r="E813" t="s">
        <v>267</v>
      </c>
      <c r="F813" t="s">
        <v>909</v>
      </c>
      <c r="G813" t="s">
        <v>269</v>
      </c>
      <c r="H813" s="1">
        <v>44893.862592592595</v>
      </c>
      <c r="I813" s="1">
        <v>44896.862592592595</v>
      </c>
      <c r="J813" t="s">
        <v>32</v>
      </c>
      <c r="K813" s="1">
        <v>44905.862592592595</v>
      </c>
      <c r="L813" t="s">
        <v>39</v>
      </c>
      <c r="N813" s="4">
        <v>44909.862592592595</v>
      </c>
      <c r="O813" t="s">
        <v>39</v>
      </c>
      <c r="R813" s="4">
        <v>44907.862592592595</v>
      </c>
      <c r="T813">
        <v>0</v>
      </c>
      <c r="AC813" s="2">
        <f t="shared" si="108"/>
        <v>3</v>
      </c>
      <c r="AD813" s="2">
        <f t="shared" si="109"/>
        <v>12</v>
      </c>
      <c r="AE813" s="2">
        <f t="shared" si="110"/>
        <v>9</v>
      </c>
      <c r="AF813" s="2">
        <f t="shared" si="111"/>
        <v>14</v>
      </c>
      <c r="AG813" s="2">
        <f t="shared" si="112"/>
        <v>2</v>
      </c>
      <c r="AH813" s="4">
        <f t="shared" si="113"/>
        <v>44997.862592592595</v>
      </c>
      <c r="AI813" s="2" t="str">
        <f t="shared" si="114"/>
        <v/>
      </c>
      <c r="AJ813" s="2" t="str">
        <f t="shared" si="115"/>
        <v/>
      </c>
      <c r="AK813" s="2" t="str">
        <f t="shared" si="116"/>
        <v/>
      </c>
    </row>
    <row r="814" spans="1:37" x14ac:dyDescent="0.25">
      <c r="A814">
        <v>2718</v>
      </c>
      <c r="B814" t="s">
        <v>916</v>
      </c>
      <c r="C814" t="s">
        <v>806</v>
      </c>
      <c r="D814" t="s">
        <v>908</v>
      </c>
      <c r="E814" t="s">
        <v>267</v>
      </c>
      <c r="F814" t="s">
        <v>909</v>
      </c>
      <c r="G814" t="s">
        <v>269</v>
      </c>
      <c r="H814" s="1">
        <v>44954.0546412037</v>
      </c>
      <c r="I814" s="1">
        <v>44957.0546412037</v>
      </c>
      <c r="J814" t="s">
        <v>32</v>
      </c>
      <c r="K814" s="1">
        <v>44967.0546412037</v>
      </c>
      <c r="L814" t="s">
        <v>33</v>
      </c>
      <c r="M814" t="s">
        <v>67</v>
      </c>
      <c r="R814" s="4">
        <v>44968.0546412037</v>
      </c>
      <c r="T814">
        <v>0</v>
      </c>
      <c r="Y814" t="s">
        <v>35</v>
      </c>
      <c r="AC814" s="2">
        <f t="shared" si="108"/>
        <v>3</v>
      </c>
      <c r="AD814" s="2">
        <f t="shared" si="109"/>
        <v>13</v>
      </c>
      <c r="AE814" s="2">
        <f t="shared" si="110"/>
        <v>10</v>
      </c>
      <c r="AF814" s="2">
        <f t="shared" si="111"/>
        <v>14</v>
      </c>
      <c r="AG814" s="2">
        <f t="shared" si="112"/>
        <v>1</v>
      </c>
      <c r="AH814" s="4">
        <f t="shared" si="113"/>
        <v>45058.0546412037</v>
      </c>
      <c r="AI814" s="2" t="str">
        <f t="shared" si="114"/>
        <v/>
      </c>
      <c r="AJ814" s="2" t="str">
        <f t="shared" si="115"/>
        <v/>
      </c>
      <c r="AK814" s="2" t="str">
        <f t="shared" si="116"/>
        <v/>
      </c>
    </row>
    <row r="815" spans="1:37" x14ac:dyDescent="0.25">
      <c r="A815">
        <v>2714</v>
      </c>
      <c r="B815" t="s">
        <v>917</v>
      </c>
      <c r="C815" t="s">
        <v>806</v>
      </c>
      <c r="D815" t="s">
        <v>908</v>
      </c>
      <c r="E815" t="s">
        <v>267</v>
      </c>
      <c r="F815" t="s">
        <v>909</v>
      </c>
      <c r="G815" t="s">
        <v>269</v>
      </c>
      <c r="H815" s="1">
        <v>44955.0546412037</v>
      </c>
      <c r="I815" s="1">
        <v>44957.0546412037</v>
      </c>
      <c r="J815" t="s">
        <v>32</v>
      </c>
      <c r="K815" s="1">
        <v>44966.0546412037</v>
      </c>
      <c r="L815" t="s">
        <v>33</v>
      </c>
      <c r="M815" t="s">
        <v>92</v>
      </c>
      <c r="T815">
        <v>0</v>
      </c>
      <c r="Y815" t="s">
        <v>55</v>
      </c>
      <c r="AC815" s="2">
        <f t="shared" si="108"/>
        <v>2</v>
      </c>
      <c r="AD815" s="2">
        <f t="shared" si="109"/>
        <v>11</v>
      </c>
      <c r="AE815" s="2">
        <f t="shared" si="110"/>
        <v>9</v>
      </c>
      <c r="AF815" s="2" t="str">
        <f t="shared" si="111"/>
        <v/>
      </c>
      <c r="AG815" s="2" t="str">
        <f t="shared" si="112"/>
        <v/>
      </c>
      <c r="AH815" s="4" t="str">
        <f t="shared" si="113"/>
        <v/>
      </c>
      <c r="AI815" s="2" t="str">
        <f t="shared" si="114"/>
        <v/>
      </c>
      <c r="AJ815" s="2" t="str">
        <f t="shared" si="115"/>
        <v/>
      </c>
      <c r="AK815" s="2" t="str">
        <f t="shared" si="116"/>
        <v/>
      </c>
    </row>
    <row r="816" spans="1:37" x14ac:dyDescent="0.25">
      <c r="A816">
        <v>2652</v>
      </c>
      <c r="B816" t="s">
        <v>918</v>
      </c>
      <c r="C816" t="s">
        <v>806</v>
      </c>
      <c r="D816" t="s">
        <v>908</v>
      </c>
      <c r="E816" t="s">
        <v>267</v>
      </c>
      <c r="F816" t="s">
        <v>909</v>
      </c>
      <c r="G816" t="s">
        <v>269</v>
      </c>
      <c r="H816" s="1">
        <v>44600.417025462964</v>
      </c>
      <c r="I816" s="1">
        <v>44602.417025462964</v>
      </c>
      <c r="J816" t="s">
        <v>32</v>
      </c>
      <c r="K816" s="1">
        <v>44623.417025462964</v>
      </c>
      <c r="L816" t="s">
        <v>33</v>
      </c>
      <c r="M816" t="s">
        <v>51</v>
      </c>
      <c r="T816">
        <v>0</v>
      </c>
      <c r="Y816" t="s">
        <v>35</v>
      </c>
      <c r="AC816" s="2">
        <f t="shared" si="108"/>
        <v>2</v>
      </c>
      <c r="AD816" s="2">
        <f t="shared" si="109"/>
        <v>23</v>
      </c>
      <c r="AE816" s="2">
        <f t="shared" si="110"/>
        <v>21</v>
      </c>
      <c r="AF816" s="2" t="str">
        <f t="shared" si="111"/>
        <v/>
      </c>
      <c r="AG816" s="2" t="str">
        <f t="shared" si="112"/>
        <v/>
      </c>
      <c r="AH816" s="4" t="str">
        <f t="shared" si="113"/>
        <v/>
      </c>
      <c r="AI816" s="2" t="str">
        <f t="shared" si="114"/>
        <v/>
      </c>
      <c r="AJ816" s="2" t="str">
        <f t="shared" si="115"/>
        <v/>
      </c>
      <c r="AK816" s="2" t="str">
        <f t="shared" si="116"/>
        <v/>
      </c>
    </row>
    <row r="817" spans="1:37" x14ac:dyDescent="0.25">
      <c r="A817">
        <v>2608</v>
      </c>
      <c r="B817" t="s">
        <v>919</v>
      </c>
      <c r="C817" t="s">
        <v>806</v>
      </c>
      <c r="D817" t="s">
        <v>908</v>
      </c>
      <c r="E817" t="s">
        <v>267</v>
      </c>
      <c r="F817" t="s">
        <v>909</v>
      </c>
      <c r="G817" t="s">
        <v>269</v>
      </c>
      <c r="H817" s="1">
        <v>45041.692673611113</v>
      </c>
      <c r="I817" s="1">
        <v>45044.692673611113</v>
      </c>
      <c r="J817" t="s">
        <v>32</v>
      </c>
      <c r="K817" s="1">
        <v>45060.692673611113</v>
      </c>
      <c r="L817" t="s">
        <v>33</v>
      </c>
      <c r="M817" t="s">
        <v>51</v>
      </c>
      <c r="T817">
        <v>0</v>
      </c>
      <c r="Y817" t="s">
        <v>55</v>
      </c>
      <c r="AC817" s="2">
        <f t="shared" si="108"/>
        <v>3</v>
      </c>
      <c r="AD817" s="2">
        <f t="shared" si="109"/>
        <v>19</v>
      </c>
      <c r="AE817" s="2">
        <f t="shared" si="110"/>
        <v>16</v>
      </c>
      <c r="AF817" s="2" t="str">
        <f t="shared" si="111"/>
        <v/>
      </c>
      <c r="AG817" s="2" t="str">
        <f t="shared" si="112"/>
        <v/>
      </c>
      <c r="AH817" s="4" t="str">
        <f t="shared" si="113"/>
        <v/>
      </c>
      <c r="AI817" s="2" t="str">
        <f t="shared" si="114"/>
        <v/>
      </c>
      <c r="AJ817" s="2" t="str">
        <f t="shared" si="115"/>
        <v/>
      </c>
      <c r="AK817" s="2" t="str">
        <f t="shared" si="116"/>
        <v/>
      </c>
    </row>
    <row r="818" spans="1:37" x14ac:dyDescent="0.25">
      <c r="A818">
        <v>2605</v>
      </c>
      <c r="B818" t="s">
        <v>920</v>
      </c>
      <c r="C818" t="s">
        <v>806</v>
      </c>
      <c r="D818" t="s">
        <v>908</v>
      </c>
      <c r="E818" t="s">
        <v>267</v>
      </c>
      <c r="F818" t="s">
        <v>909</v>
      </c>
      <c r="G818" t="s">
        <v>269</v>
      </c>
      <c r="H818" s="1">
        <v>45042.692673611113</v>
      </c>
      <c r="I818" s="1">
        <v>45043.692673611113</v>
      </c>
      <c r="J818" t="s">
        <v>32</v>
      </c>
      <c r="K818" s="1">
        <v>45062.692673611113</v>
      </c>
      <c r="L818" t="s">
        <v>33</v>
      </c>
      <c r="M818" t="s">
        <v>67</v>
      </c>
      <c r="T818">
        <v>0</v>
      </c>
      <c r="Y818" t="s">
        <v>55</v>
      </c>
      <c r="AC818" s="2">
        <f t="shared" si="108"/>
        <v>1</v>
      </c>
      <c r="AD818" s="2">
        <f t="shared" si="109"/>
        <v>20</v>
      </c>
      <c r="AE818" s="2">
        <f t="shared" si="110"/>
        <v>19</v>
      </c>
      <c r="AF818" s="2" t="str">
        <f t="shared" si="111"/>
        <v/>
      </c>
      <c r="AG818" s="2" t="str">
        <f t="shared" si="112"/>
        <v/>
      </c>
      <c r="AH818" s="4" t="str">
        <f t="shared" si="113"/>
        <v/>
      </c>
      <c r="AI818" s="2" t="str">
        <f t="shared" si="114"/>
        <v/>
      </c>
      <c r="AJ818" s="2" t="str">
        <f t="shared" si="115"/>
        <v/>
      </c>
      <c r="AK818" s="2" t="str">
        <f t="shared" si="116"/>
        <v/>
      </c>
    </row>
    <row r="819" spans="1:37" x14ac:dyDescent="0.25">
      <c r="A819">
        <v>2470</v>
      </c>
      <c r="B819" t="s">
        <v>921</v>
      </c>
      <c r="C819" t="s">
        <v>806</v>
      </c>
      <c r="D819" t="s">
        <v>908</v>
      </c>
      <c r="E819" t="s">
        <v>267</v>
      </c>
      <c r="F819" t="s">
        <v>909</v>
      </c>
      <c r="G819" t="s">
        <v>269</v>
      </c>
      <c r="H819" s="1">
        <v>45014.841874999998</v>
      </c>
      <c r="I819" s="1">
        <v>45017.841874999998</v>
      </c>
      <c r="J819" t="s">
        <v>32</v>
      </c>
      <c r="K819" s="1">
        <v>45024.841874999998</v>
      </c>
      <c r="L819" t="s">
        <v>57</v>
      </c>
      <c r="N819" s="4">
        <v>45032.841874999998</v>
      </c>
      <c r="O819" t="s">
        <v>57</v>
      </c>
      <c r="P819" s="4">
        <v>45025.841874999998</v>
      </c>
      <c r="Q819" s="4">
        <v>45028.841874999998</v>
      </c>
      <c r="R819" s="4">
        <v>45028.841874999998</v>
      </c>
      <c r="S819" s="4">
        <v>45030.841874999998</v>
      </c>
      <c r="T819">
        <v>1</v>
      </c>
      <c r="U819" s="4">
        <v>45034.841874999998</v>
      </c>
      <c r="V819" s="4">
        <v>45035.841874999998</v>
      </c>
      <c r="W819" s="4">
        <v>45037.841874999998</v>
      </c>
      <c r="Z819" s="4">
        <v>45057.841874999998</v>
      </c>
      <c r="AC819" s="2">
        <f t="shared" si="108"/>
        <v>3</v>
      </c>
      <c r="AD819" s="2">
        <f t="shared" si="109"/>
        <v>10</v>
      </c>
      <c r="AE819" s="2">
        <f t="shared" si="110"/>
        <v>7</v>
      </c>
      <c r="AF819" s="2">
        <f t="shared" si="111"/>
        <v>14</v>
      </c>
      <c r="AG819" s="2">
        <f t="shared" si="112"/>
        <v>4</v>
      </c>
      <c r="AH819" s="4">
        <f t="shared" si="113"/>
        <v>45118.841874999998</v>
      </c>
      <c r="AI819" s="2">
        <f t="shared" si="114"/>
        <v>4</v>
      </c>
      <c r="AJ819" s="2">
        <f t="shared" si="115"/>
        <v>29</v>
      </c>
      <c r="AK819" s="2">
        <f t="shared" si="116"/>
        <v>9</v>
      </c>
    </row>
    <row r="820" spans="1:37" x14ac:dyDescent="0.25">
      <c r="A820">
        <v>2466</v>
      </c>
      <c r="B820" t="s">
        <v>922</v>
      </c>
      <c r="C820" t="s">
        <v>806</v>
      </c>
      <c r="D820" t="s">
        <v>908</v>
      </c>
      <c r="E820" t="s">
        <v>267</v>
      </c>
      <c r="F820" t="s">
        <v>909</v>
      </c>
      <c r="G820" t="s">
        <v>269</v>
      </c>
      <c r="H820" s="1">
        <v>45017.841874999998</v>
      </c>
      <c r="I820" s="1">
        <v>45019.841874999998</v>
      </c>
      <c r="J820" t="s">
        <v>32</v>
      </c>
      <c r="K820" s="1">
        <v>45036.841874999998</v>
      </c>
      <c r="L820" t="s">
        <v>164</v>
      </c>
      <c r="N820" s="4">
        <v>45044.841874999998</v>
      </c>
      <c r="O820" t="s">
        <v>164</v>
      </c>
      <c r="R820" s="4">
        <v>45040.841874999998</v>
      </c>
      <c r="T820">
        <v>0</v>
      </c>
      <c r="AC820" s="2">
        <f t="shared" si="108"/>
        <v>2</v>
      </c>
      <c r="AD820" s="2">
        <f t="shared" si="109"/>
        <v>19</v>
      </c>
      <c r="AE820" s="2">
        <f t="shared" si="110"/>
        <v>17</v>
      </c>
      <c r="AF820" s="2">
        <f t="shared" si="111"/>
        <v>23</v>
      </c>
      <c r="AG820" s="2">
        <f t="shared" si="112"/>
        <v>4</v>
      </c>
      <c r="AH820" s="4">
        <f t="shared" si="113"/>
        <v>45130.841874999998</v>
      </c>
      <c r="AI820" s="2" t="str">
        <f t="shared" si="114"/>
        <v/>
      </c>
      <c r="AJ820" s="2" t="str">
        <f t="shared" si="115"/>
        <v/>
      </c>
      <c r="AK820" s="2" t="str">
        <f t="shared" si="116"/>
        <v/>
      </c>
    </row>
    <row r="821" spans="1:37" x14ac:dyDescent="0.25">
      <c r="A821">
        <v>2433</v>
      </c>
      <c r="B821" t="s">
        <v>923</v>
      </c>
      <c r="C821" t="s">
        <v>806</v>
      </c>
      <c r="D821" t="s">
        <v>908</v>
      </c>
      <c r="E821" t="s">
        <v>267</v>
      </c>
      <c r="F821" t="s">
        <v>909</v>
      </c>
      <c r="G821" t="s">
        <v>269</v>
      </c>
      <c r="H821" s="1">
        <v>44744.126967592594</v>
      </c>
      <c r="I821" s="1">
        <v>44745.126967592594</v>
      </c>
      <c r="J821" t="s">
        <v>32</v>
      </c>
      <c r="K821" s="1">
        <v>44758.126967592594</v>
      </c>
      <c r="L821" t="s">
        <v>33</v>
      </c>
      <c r="M821" t="s">
        <v>67</v>
      </c>
      <c r="R821" s="4">
        <v>44762.126967592594</v>
      </c>
      <c r="T821">
        <v>0</v>
      </c>
      <c r="Y821" t="s">
        <v>35</v>
      </c>
      <c r="AC821" s="2">
        <f t="shared" si="108"/>
        <v>1</v>
      </c>
      <c r="AD821" s="2">
        <f t="shared" si="109"/>
        <v>14</v>
      </c>
      <c r="AE821" s="2">
        <f t="shared" si="110"/>
        <v>13</v>
      </c>
      <c r="AF821" s="2">
        <f t="shared" si="111"/>
        <v>18</v>
      </c>
      <c r="AG821" s="2">
        <f t="shared" si="112"/>
        <v>4</v>
      </c>
      <c r="AH821" s="4">
        <f t="shared" si="113"/>
        <v>44852.126967592594</v>
      </c>
      <c r="AI821" s="2" t="str">
        <f t="shared" si="114"/>
        <v/>
      </c>
      <c r="AJ821" s="2" t="str">
        <f t="shared" si="115"/>
        <v/>
      </c>
      <c r="AK821" s="2" t="str">
        <f t="shared" si="116"/>
        <v/>
      </c>
    </row>
    <row r="822" spans="1:37" x14ac:dyDescent="0.25">
      <c r="A822">
        <v>2350</v>
      </c>
      <c r="B822" t="s">
        <v>924</v>
      </c>
      <c r="C822" t="s">
        <v>806</v>
      </c>
      <c r="D822" t="s">
        <v>908</v>
      </c>
      <c r="E822" t="s">
        <v>267</v>
      </c>
      <c r="F822" t="s">
        <v>909</v>
      </c>
      <c r="G822" t="s">
        <v>269</v>
      </c>
      <c r="H822" s="1">
        <v>45054.364525462966</v>
      </c>
      <c r="I822" s="1">
        <v>45058.364525462966</v>
      </c>
      <c r="J822" t="s">
        <v>32</v>
      </c>
      <c r="K822" s="1">
        <v>45068.364525462966</v>
      </c>
      <c r="L822" t="s">
        <v>33</v>
      </c>
      <c r="M822" t="s">
        <v>51</v>
      </c>
      <c r="R822" s="4">
        <v>45069.364525462966</v>
      </c>
      <c r="T822">
        <v>0</v>
      </c>
      <c r="Y822" t="s">
        <v>35</v>
      </c>
      <c r="AC822" s="2">
        <f t="shared" si="108"/>
        <v>4</v>
      </c>
      <c r="AD822" s="2">
        <f t="shared" si="109"/>
        <v>14</v>
      </c>
      <c r="AE822" s="2">
        <f t="shared" si="110"/>
        <v>10</v>
      </c>
      <c r="AF822" s="2">
        <f t="shared" si="111"/>
        <v>15</v>
      </c>
      <c r="AG822" s="2">
        <f t="shared" si="112"/>
        <v>1</v>
      </c>
      <c r="AH822" s="4">
        <f t="shared" si="113"/>
        <v>45159.364525462966</v>
      </c>
      <c r="AI822" s="2" t="str">
        <f t="shared" si="114"/>
        <v/>
      </c>
      <c r="AJ822" s="2" t="str">
        <f t="shared" si="115"/>
        <v/>
      </c>
      <c r="AK822" s="2" t="str">
        <f t="shared" si="116"/>
        <v/>
      </c>
    </row>
    <row r="823" spans="1:37" x14ac:dyDescent="0.25">
      <c r="A823">
        <v>2343</v>
      </c>
      <c r="B823" t="s">
        <v>925</v>
      </c>
      <c r="C823" t="s">
        <v>806</v>
      </c>
      <c r="D823" t="s">
        <v>908</v>
      </c>
      <c r="E823" t="s">
        <v>267</v>
      </c>
      <c r="F823" t="s">
        <v>909</v>
      </c>
      <c r="G823" t="s">
        <v>269</v>
      </c>
      <c r="H823" s="1">
        <v>45055.364525462966</v>
      </c>
      <c r="I823" s="1">
        <v>45057.364525462966</v>
      </c>
      <c r="J823" t="s">
        <v>44</v>
      </c>
      <c r="K823" s="1"/>
      <c r="T823">
        <v>0</v>
      </c>
      <c r="AC823" s="2">
        <f t="shared" si="108"/>
        <v>2</v>
      </c>
      <c r="AD823" s="2" t="str">
        <f t="shared" si="109"/>
        <v/>
      </c>
      <c r="AE823" s="2" t="str">
        <f t="shared" si="110"/>
        <v/>
      </c>
      <c r="AF823" s="2" t="str">
        <f t="shared" si="111"/>
        <v/>
      </c>
      <c r="AG823" s="2" t="str">
        <f t="shared" si="112"/>
        <v/>
      </c>
      <c r="AH823" s="4" t="str">
        <f t="shared" si="113"/>
        <v/>
      </c>
      <c r="AI823" s="2" t="str">
        <f t="shared" si="114"/>
        <v/>
      </c>
      <c r="AJ823" s="2" t="str">
        <f t="shared" si="115"/>
        <v/>
      </c>
      <c r="AK823" s="2" t="str">
        <f t="shared" si="116"/>
        <v/>
      </c>
    </row>
    <row r="824" spans="1:37" x14ac:dyDescent="0.25">
      <c r="A824">
        <v>2182</v>
      </c>
      <c r="B824" t="s">
        <v>926</v>
      </c>
      <c r="C824" t="s">
        <v>806</v>
      </c>
      <c r="D824" t="s">
        <v>908</v>
      </c>
      <c r="E824" t="s">
        <v>267</v>
      </c>
      <c r="F824" t="s">
        <v>909</v>
      </c>
      <c r="G824" t="s">
        <v>269</v>
      </c>
      <c r="H824" s="1">
        <v>44993.531736111108</v>
      </c>
      <c r="I824" s="1">
        <v>44996.531736111108</v>
      </c>
      <c r="J824" t="s">
        <v>32</v>
      </c>
      <c r="K824" s="1">
        <v>45004.531736111108</v>
      </c>
      <c r="L824" t="s">
        <v>57</v>
      </c>
      <c r="N824" s="4">
        <v>45007.531736111108</v>
      </c>
      <c r="O824" t="s">
        <v>57</v>
      </c>
      <c r="P824" s="4">
        <v>45005.531736111108</v>
      </c>
      <c r="Q824" s="4">
        <v>45009.531736111108</v>
      </c>
      <c r="R824" s="4">
        <v>45006.531736111108</v>
      </c>
      <c r="S824" s="4">
        <v>45016.531736111108</v>
      </c>
      <c r="T824">
        <v>1</v>
      </c>
      <c r="U824" s="4">
        <v>45018.531736111108</v>
      </c>
      <c r="V824" s="4">
        <v>45021.531736111108</v>
      </c>
      <c r="W824" s="4">
        <v>45024.531736111108</v>
      </c>
      <c r="Z824" s="4">
        <v>45041.531736111108</v>
      </c>
      <c r="AC824" s="2">
        <f t="shared" si="108"/>
        <v>3</v>
      </c>
      <c r="AD824" s="2">
        <f t="shared" si="109"/>
        <v>11</v>
      </c>
      <c r="AE824" s="2">
        <f t="shared" si="110"/>
        <v>8</v>
      </c>
      <c r="AF824" s="2">
        <f t="shared" si="111"/>
        <v>13</v>
      </c>
      <c r="AG824" s="2">
        <f t="shared" si="112"/>
        <v>2</v>
      </c>
      <c r="AH824" s="4">
        <f t="shared" si="113"/>
        <v>45096.531736111108</v>
      </c>
      <c r="AI824" s="2">
        <f t="shared" si="114"/>
        <v>2</v>
      </c>
      <c r="AJ824" s="2">
        <f t="shared" si="115"/>
        <v>35</v>
      </c>
      <c r="AK824" s="2">
        <f t="shared" si="116"/>
        <v>18</v>
      </c>
    </row>
    <row r="825" spans="1:37" x14ac:dyDescent="0.25">
      <c r="A825">
        <v>2079</v>
      </c>
      <c r="B825" t="s">
        <v>927</v>
      </c>
      <c r="C825" t="s">
        <v>806</v>
      </c>
      <c r="D825" t="s">
        <v>908</v>
      </c>
      <c r="E825" t="s">
        <v>267</v>
      </c>
      <c r="F825" t="s">
        <v>909</v>
      </c>
      <c r="G825" t="s">
        <v>269</v>
      </c>
      <c r="H825" s="1">
        <v>44914.441053240742</v>
      </c>
      <c r="I825" s="1">
        <v>44917.441053240742</v>
      </c>
      <c r="J825" t="s">
        <v>32</v>
      </c>
      <c r="K825" s="1">
        <v>44930.441053240742</v>
      </c>
      <c r="L825" t="s">
        <v>57</v>
      </c>
      <c r="N825" s="4">
        <v>44935.441053240742</v>
      </c>
      <c r="O825" t="s">
        <v>57</v>
      </c>
      <c r="P825" s="4">
        <v>44932.441053240742</v>
      </c>
      <c r="Q825" s="4">
        <v>44933.441053240742</v>
      </c>
      <c r="R825" s="4">
        <v>44931.441053240742</v>
      </c>
      <c r="S825" s="4">
        <v>44934.441053240742</v>
      </c>
      <c r="T825">
        <v>1</v>
      </c>
      <c r="U825" s="4">
        <v>44937.441053240742</v>
      </c>
      <c r="V825" s="4">
        <v>44938.441053240742</v>
      </c>
      <c r="W825" s="4">
        <v>44939.441053240742</v>
      </c>
      <c r="Z825" s="4">
        <v>44961.441053240742</v>
      </c>
      <c r="AC825" s="2">
        <f t="shared" si="108"/>
        <v>3</v>
      </c>
      <c r="AD825" s="2">
        <f t="shared" si="109"/>
        <v>16</v>
      </c>
      <c r="AE825" s="2">
        <f t="shared" si="110"/>
        <v>13</v>
      </c>
      <c r="AF825" s="2">
        <f t="shared" si="111"/>
        <v>17</v>
      </c>
      <c r="AG825" s="2">
        <f t="shared" si="112"/>
        <v>1</v>
      </c>
      <c r="AH825" s="4">
        <f t="shared" si="113"/>
        <v>45021.441053240742</v>
      </c>
      <c r="AI825" s="2">
        <f t="shared" si="114"/>
        <v>3</v>
      </c>
      <c r="AJ825" s="2">
        <f t="shared" si="115"/>
        <v>30</v>
      </c>
      <c r="AK825" s="2">
        <f t="shared" si="116"/>
        <v>8</v>
      </c>
    </row>
    <row r="826" spans="1:37" x14ac:dyDescent="0.25">
      <c r="A826">
        <v>2076</v>
      </c>
      <c r="B826" t="s">
        <v>928</v>
      </c>
      <c r="C826" t="s">
        <v>806</v>
      </c>
      <c r="D826" t="s">
        <v>908</v>
      </c>
      <c r="E826" t="s">
        <v>267</v>
      </c>
      <c r="F826" t="s">
        <v>909</v>
      </c>
      <c r="G826" t="s">
        <v>269</v>
      </c>
      <c r="H826" s="1">
        <v>44920.441053240742</v>
      </c>
      <c r="I826" s="1">
        <v>44922.441053240742</v>
      </c>
      <c r="J826" t="s">
        <v>32</v>
      </c>
      <c r="K826" s="1">
        <v>44937.441053240742</v>
      </c>
      <c r="L826" t="s">
        <v>39</v>
      </c>
      <c r="N826" s="4">
        <v>44942.441053240742</v>
      </c>
      <c r="O826" t="s">
        <v>39</v>
      </c>
      <c r="R826" s="4">
        <v>44941.441053240742</v>
      </c>
      <c r="T826">
        <v>0</v>
      </c>
      <c r="AC826" s="2">
        <f t="shared" si="108"/>
        <v>2</v>
      </c>
      <c r="AD826" s="2">
        <f t="shared" si="109"/>
        <v>17</v>
      </c>
      <c r="AE826" s="2">
        <f t="shared" si="110"/>
        <v>15</v>
      </c>
      <c r="AF826" s="2">
        <f t="shared" si="111"/>
        <v>21</v>
      </c>
      <c r="AG826" s="2">
        <f t="shared" si="112"/>
        <v>4</v>
      </c>
      <c r="AH826" s="4">
        <f t="shared" si="113"/>
        <v>45031.441053240742</v>
      </c>
      <c r="AI826" s="2" t="str">
        <f t="shared" si="114"/>
        <v/>
      </c>
      <c r="AJ826" s="2" t="str">
        <f t="shared" si="115"/>
        <v/>
      </c>
      <c r="AK826" s="2" t="str">
        <f t="shared" si="116"/>
        <v/>
      </c>
    </row>
    <row r="827" spans="1:37" x14ac:dyDescent="0.25">
      <c r="A827">
        <v>2020</v>
      </c>
      <c r="B827" t="s">
        <v>929</v>
      </c>
      <c r="C827" t="s">
        <v>806</v>
      </c>
      <c r="D827" t="s">
        <v>908</v>
      </c>
      <c r="E827" t="s">
        <v>267</v>
      </c>
      <c r="F827" t="s">
        <v>909</v>
      </c>
      <c r="G827" t="s">
        <v>269</v>
      </c>
      <c r="H827" s="1">
        <v>45082.58390046296</v>
      </c>
      <c r="I827" s="1">
        <v>45083.58390046296</v>
      </c>
      <c r="J827" t="s">
        <v>32</v>
      </c>
      <c r="K827" s="1">
        <v>45101.58390046296</v>
      </c>
      <c r="L827" t="s">
        <v>164</v>
      </c>
      <c r="N827" s="4">
        <v>45106.58390046296</v>
      </c>
      <c r="O827" t="s">
        <v>164</v>
      </c>
      <c r="R827" s="4">
        <v>45105.58390046296</v>
      </c>
      <c r="T827">
        <v>0</v>
      </c>
      <c r="AC827" s="2">
        <f t="shared" si="108"/>
        <v>1</v>
      </c>
      <c r="AD827" s="2">
        <f t="shared" si="109"/>
        <v>19</v>
      </c>
      <c r="AE827" s="2">
        <f t="shared" si="110"/>
        <v>18</v>
      </c>
      <c r="AF827" s="2">
        <f t="shared" si="111"/>
        <v>23</v>
      </c>
      <c r="AG827" s="2">
        <f t="shared" si="112"/>
        <v>4</v>
      </c>
      <c r="AH827" s="4">
        <f t="shared" si="113"/>
        <v>45195.58390046296</v>
      </c>
      <c r="AI827" s="2" t="str">
        <f t="shared" si="114"/>
        <v/>
      </c>
      <c r="AJ827" s="2" t="str">
        <f t="shared" si="115"/>
        <v/>
      </c>
      <c r="AK827" s="2" t="str">
        <f t="shared" si="116"/>
        <v/>
      </c>
    </row>
    <row r="828" spans="1:37" x14ac:dyDescent="0.25">
      <c r="A828">
        <v>1950</v>
      </c>
      <c r="B828" t="s">
        <v>930</v>
      </c>
      <c r="C828" t="s">
        <v>806</v>
      </c>
      <c r="D828" t="s">
        <v>908</v>
      </c>
      <c r="E828" t="s">
        <v>267</v>
      </c>
      <c r="F828" t="s">
        <v>909</v>
      </c>
      <c r="G828" t="s">
        <v>269</v>
      </c>
      <c r="H828" s="1">
        <v>44987.264120370368</v>
      </c>
      <c r="I828" s="1">
        <v>44988.264120370368</v>
      </c>
      <c r="J828" t="s">
        <v>32</v>
      </c>
      <c r="K828" s="1">
        <v>44991.264120370368</v>
      </c>
      <c r="L828" t="s">
        <v>57</v>
      </c>
      <c r="N828" s="4">
        <v>44995.264120370368</v>
      </c>
      <c r="O828" t="s">
        <v>57</v>
      </c>
      <c r="P828" s="4">
        <v>44992.264120370368</v>
      </c>
      <c r="Q828" s="4">
        <v>44993.264120370368</v>
      </c>
      <c r="R828" s="4">
        <v>44993.264120370368</v>
      </c>
      <c r="S828" s="4">
        <v>45000.264120370368</v>
      </c>
      <c r="T828">
        <v>1</v>
      </c>
      <c r="U828" s="4">
        <v>45002.264120370368</v>
      </c>
      <c r="V828" s="4">
        <v>45005.264120370368</v>
      </c>
      <c r="W828" s="4">
        <v>45008.264120370368</v>
      </c>
      <c r="Z828" s="4">
        <v>45016.264120370368</v>
      </c>
      <c r="AC828" s="2">
        <f t="shared" si="108"/>
        <v>1</v>
      </c>
      <c r="AD828" s="2">
        <f t="shared" si="109"/>
        <v>4</v>
      </c>
      <c r="AE828" s="2">
        <f t="shared" si="110"/>
        <v>3</v>
      </c>
      <c r="AF828" s="2">
        <f t="shared" si="111"/>
        <v>6</v>
      </c>
      <c r="AG828" s="2">
        <f t="shared" si="112"/>
        <v>2</v>
      </c>
      <c r="AH828" s="4">
        <f t="shared" si="113"/>
        <v>45083.264120370368</v>
      </c>
      <c r="AI828" s="2">
        <f t="shared" si="114"/>
        <v>2</v>
      </c>
      <c r="AJ828" s="2">
        <f t="shared" si="115"/>
        <v>23</v>
      </c>
      <c r="AK828" s="2">
        <f t="shared" si="116"/>
        <v>15</v>
      </c>
    </row>
    <row r="829" spans="1:37" x14ac:dyDescent="0.25">
      <c r="A829">
        <v>1945</v>
      </c>
      <c r="B829" t="s">
        <v>931</v>
      </c>
      <c r="C829" t="s">
        <v>806</v>
      </c>
      <c r="D829" t="s">
        <v>908</v>
      </c>
      <c r="E829" t="s">
        <v>267</v>
      </c>
      <c r="F829" t="s">
        <v>909</v>
      </c>
      <c r="G829" t="s">
        <v>269</v>
      </c>
      <c r="H829" s="1">
        <v>44982.264120370368</v>
      </c>
      <c r="I829" s="1">
        <v>44984.264120370368</v>
      </c>
      <c r="J829" t="s">
        <v>32</v>
      </c>
      <c r="K829" s="1">
        <v>44999.264120370368</v>
      </c>
      <c r="L829" t="s">
        <v>33</v>
      </c>
      <c r="M829" t="s">
        <v>51</v>
      </c>
      <c r="T829">
        <v>0</v>
      </c>
      <c r="Y829" t="s">
        <v>55</v>
      </c>
      <c r="AC829" s="2">
        <f t="shared" si="108"/>
        <v>2</v>
      </c>
      <c r="AD829" s="2">
        <f t="shared" si="109"/>
        <v>17</v>
      </c>
      <c r="AE829" s="2">
        <f t="shared" si="110"/>
        <v>15</v>
      </c>
      <c r="AF829" s="2" t="str">
        <f t="shared" si="111"/>
        <v/>
      </c>
      <c r="AG829" s="2" t="str">
        <f t="shared" si="112"/>
        <v/>
      </c>
      <c r="AH829" s="4" t="str">
        <f t="shared" si="113"/>
        <v/>
      </c>
      <c r="AI829" s="2" t="str">
        <f t="shared" si="114"/>
        <v/>
      </c>
      <c r="AJ829" s="2" t="str">
        <f t="shared" si="115"/>
        <v/>
      </c>
      <c r="AK829" s="2" t="str">
        <f t="shared" si="116"/>
        <v/>
      </c>
    </row>
    <row r="830" spans="1:37" x14ac:dyDescent="0.25">
      <c r="A830">
        <v>1942</v>
      </c>
      <c r="B830" t="s">
        <v>932</v>
      </c>
      <c r="C830" t="s">
        <v>806</v>
      </c>
      <c r="D830" t="s">
        <v>908</v>
      </c>
      <c r="E830" t="s">
        <v>267</v>
      </c>
      <c r="F830" t="s">
        <v>909</v>
      </c>
      <c r="G830" t="s">
        <v>269</v>
      </c>
      <c r="H830" s="1">
        <v>44984.264120370368</v>
      </c>
      <c r="I830" s="1">
        <v>44988.264120370368</v>
      </c>
      <c r="J830" t="s">
        <v>32</v>
      </c>
      <c r="K830" s="1">
        <v>44999.264120370368</v>
      </c>
      <c r="L830" t="s">
        <v>57</v>
      </c>
      <c r="N830" s="4">
        <v>45003.264120370368</v>
      </c>
      <c r="O830" t="s">
        <v>57</v>
      </c>
      <c r="P830" s="4">
        <v>45001.264120370368</v>
      </c>
      <c r="Q830" s="4">
        <v>45004.264120370368</v>
      </c>
      <c r="R830" s="4">
        <v>45001.264120370368</v>
      </c>
      <c r="S830" s="4">
        <v>45008.264120370368</v>
      </c>
      <c r="T830">
        <v>1</v>
      </c>
      <c r="U830" s="4">
        <v>45010.264120370368</v>
      </c>
      <c r="V830" s="4">
        <v>45012.264120370368</v>
      </c>
      <c r="W830" s="4">
        <v>45013.264120370368</v>
      </c>
      <c r="Z830" s="4">
        <v>45027.264120370368</v>
      </c>
      <c r="AC830" s="2">
        <f t="shared" si="108"/>
        <v>4</v>
      </c>
      <c r="AD830" s="2">
        <f t="shared" si="109"/>
        <v>15</v>
      </c>
      <c r="AE830" s="2">
        <f t="shared" si="110"/>
        <v>11</v>
      </c>
      <c r="AF830" s="2">
        <f t="shared" si="111"/>
        <v>17</v>
      </c>
      <c r="AG830" s="2">
        <f t="shared" si="112"/>
        <v>2</v>
      </c>
      <c r="AH830" s="4">
        <f t="shared" si="113"/>
        <v>45091.264120370368</v>
      </c>
      <c r="AI830" s="2">
        <f t="shared" si="114"/>
        <v>2</v>
      </c>
      <c r="AJ830" s="2">
        <f t="shared" si="115"/>
        <v>26</v>
      </c>
      <c r="AK830" s="2">
        <f t="shared" si="116"/>
        <v>12</v>
      </c>
    </row>
    <row r="831" spans="1:37" x14ac:dyDescent="0.25">
      <c r="A831">
        <v>1927</v>
      </c>
      <c r="B831" t="s">
        <v>933</v>
      </c>
      <c r="C831" t="s">
        <v>806</v>
      </c>
      <c r="D831" t="s">
        <v>908</v>
      </c>
      <c r="E831" t="s">
        <v>267</v>
      </c>
      <c r="F831" t="s">
        <v>909</v>
      </c>
      <c r="G831" t="s">
        <v>269</v>
      </c>
      <c r="H831" s="1">
        <v>44795.391932870371</v>
      </c>
      <c r="I831" s="1">
        <v>44796.391932870371</v>
      </c>
      <c r="J831" t="s">
        <v>44</v>
      </c>
      <c r="K831" s="1"/>
      <c r="T831">
        <v>0</v>
      </c>
      <c r="AC831" s="2">
        <f t="shared" si="108"/>
        <v>1</v>
      </c>
      <c r="AD831" s="2" t="str">
        <f t="shared" si="109"/>
        <v/>
      </c>
      <c r="AE831" s="2" t="str">
        <f t="shared" si="110"/>
        <v/>
      </c>
      <c r="AF831" s="2" t="str">
        <f t="shared" si="111"/>
        <v/>
      </c>
      <c r="AG831" s="2" t="str">
        <f t="shared" si="112"/>
        <v/>
      </c>
      <c r="AH831" s="4" t="str">
        <f t="shared" si="113"/>
        <v/>
      </c>
      <c r="AI831" s="2" t="str">
        <f t="shared" si="114"/>
        <v/>
      </c>
      <c r="AJ831" s="2" t="str">
        <f t="shared" si="115"/>
        <v/>
      </c>
      <c r="AK831" s="2" t="str">
        <f t="shared" si="116"/>
        <v/>
      </c>
    </row>
    <row r="832" spans="1:37" x14ac:dyDescent="0.25">
      <c r="A832">
        <v>1923</v>
      </c>
      <c r="B832" t="s">
        <v>934</v>
      </c>
      <c r="C832" t="s">
        <v>806</v>
      </c>
      <c r="D832" t="s">
        <v>908</v>
      </c>
      <c r="E832" t="s">
        <v>267</v>
      </c>
      <c r="F832" t="s">
        <v>909</v>
      </c>
      <c r="G832" t="s">
        <v>269</v>
      </c>
      <c r="H832" s="1">
        <v>44796.391932870371</v>
      </c>
      <c r="I832" s="1">
        <v>44797.391932870371</v>
      </c>
      <c r="J832" t="s">
        <v>32</v>
      </c>
      <c r="K832" s="1">
        <v>44807.391932870371</v>
      </c>
      <c r="L832" t="s">
        <v>33</v>
      </c>
      <c r="M832" t="s">
        <v>51</v>
      </c>
      <c r="R832" s="4">
        <v>44809.391932870371</v>
      </c>
      <c r="T832">
        <v>0</v>
      </c>
      <c r="Y832" t="s">
        <v>55</v>
      </c>
      <c r="AC832" s="2">
        <f t="shared" si="108"/>
        <v>1</v>
      </c>
      <c r="AD832" s="2">
        <f t="shared" si="109"/>
        <v>11</v>
      </c>
      <c r="AE832" s="2">
        <f t="shared" si="110"/>
        <v>10</v>
      </c>
      <c r="AF832" s="2">
        <f t="shared" si="111"/>
        <v>13</v>
      </c>
      <c r="AG832" s="2">
        <f t="shared" si="112"/>
        <v>2</v>
      </c>
      <c r="AH832" s="4">
        <f t="shared" si="113"/>
        <v>44899.391932870371</v>
      </c>
      <c r="AI832" s="2" t="str">
        <f t="shared" si="114"/>
        <v/>
      </c>
      <c r="AJ832" s="2" t="str">
        <f t="shared" si="115"/>
        <v/>
      </c>
      <c r="AK832" s="2" t="str">
        <f t="shared" si="116"/>
        <v/>
      </c>
    </row>
    <row r="833" spans="1:37" x14ac:dyDescent="0.25">
      <c r="A833">
        <v>1839</v>
      </c>
      <c r="B833" t="s">
        <v>935</v>
      </c>
      <c r="C833" t="s">
        <v>806</v>
      </c>
      <c r="D833" t="s">
        <v>908</v>
      </c>
      <c r="E833" t="s">
        <v>267</v>
      </c>
      <c r="F833" t="s">
        <v>909</v>
      </c>
      <c r="G833" t="s">
        <v>269</v>
      </c>
      <c r="H833" s="1">
        <v>45038.367280092592</v>
      </c>
      <c r="I833" s="1">
        <v>45039.367280092592</v>
      </c>
      <c r="J833" t="s">
        <v>32</v>
      </c>
      <c r="K833" s="1">
        <v>45056.367280092592</v>
      </c>
      <c r="L833" t="s">
        <v>39</v>
      </c>
      <c r="N833" s="4">
        <v>45061.367280092592</v>
      </c>
      <c r="O833" t="s">
        <v>39</v>
      </c>
      <c r="R833" s="4">
        <v>45058.367280092592</v>
      </c>
      <c r="T833">
        <v>0</v>
      </c>
      <c r="AC833" s="2">
        <f t="shared" si="108"/>
        <v>1</v>
      </c>
      <c r="AD833" s="2">
        <f t="shared" si="109"/>
        <v>18</v>
      </c>
      <c r="AE833" s="2">
        <f t="shared" si="110"/>
        <v>17</v>
      </c>
      <c r="AF833" s="2">
        <f t="shared" si="111"/>
        <v>20</v>
      </c>
      <c r="AG833" s="2">
        <f t="shared" si="112"/>
        <v>2</v>
      </c>
      <c r="AH833" s="4">
        <f t="shared" si="113"/>
        <v>45148.367280092592</v>
      </c>
      <c r="AI833" s="2" t="str">
        <f t="shared" si="114"/>
        <v/>
      </c>
      <c r="AJ833" s="2" t="str">
        <f t="shared" si="115"/>
        <v/>
      </c>
      <c r="AK833" s="2" t="str">
        <f t="shared" si="116"/>
        <v/>
      </c>
    </row>
    <row r="834" spans="1:37" x14ac:dyDescent="0.25">
      <c r="A834">
        <v>1790</v>
      </c>
      <c r="B834" t="s">
        <v>936</v>
      </c>
      <c r="C834" t="s">
        <v>806</v>
      </c>
      <c r="D834" t="s">
        <v>908</v>
      </c>
      <c r="E834" t="s">
        <v>267</v>
      </c>
      <c r="F834" t="s">
        <v>909</v>
      </c>
      <c r="G834" t="s">
        <v>269</v>
      </c>
      <c r="H834" s="1">
        <v>44658.356493055559</v>
      </c>
      <c r="I834" s="1">
        <v>44661.356493055559</v>
      </c>
      <c r="J834" t="s">
        <v>44</v>
      </c>
      <c r="K834" s="1"/>
      <c r="T834">
        <v>0</v>
      </c>
      <c r="AC834" s="2">
        <f t="shared" si="108"/>
        <v>3</v>
      </c>
      <c r="AD834" s="2" t="str">
        <f t="shared" si="109"/>
        <v/>
      </c>
      <c r="AE834" s="2" t="str">
        <f t="shared" si="110"/>
        <v/>
      </c>
      <c r="AF834" s="2" t="str">
        <f t="shared" si="111"/>
        <v/>
      </c>
      <c r="AG834" s="2" t="str">
        <f t="shared" si="112"/>
        <v/>
      </c>
      <c r="AH834" s="4" t="str">
        <f t="shared" si="113"/>
        <v/>
      </c>
      <c r="AI834" s="2" t="str">
        <f t="shared" si="114"/>
        <v/>
      </c>
      <c r="AJ834" s="2" t="str">
        <f t="shared" si="115"/>
        <v/>
      </c>
      <c r="AK834" s="2" t="str">
        <f t="shared" si="116"/>
        <v/>
      </c>
    </row>
    <row r="835" spans="1:37" x14ac:dyDescent="0.25">
      <c r="A835">
        <v>1782</v>
      </c>
      <c r="B835" t="s">
        <v>937</v>
      </c>
      <c r="C835" t="s">
        <v>806</v>
      </c>
      <c r="D835" t="s">
        <v>908</v>
      </c>
      <c r="E835" t="s">
        <v>267</v>
      </c>
      <c r="F835" t="s">
        <v>909</v>
      </c>
      <c r="G835" t="s">
        <v>269</v>
      </c>
      <c r="H835" s="1">
        <v>44659.356493055559</v>
      </c>
      <c r="I835" s="1">
        <v>44662.356493055559</v>
      </c>
      <c r="J835" t="s">
        <v>32</v>
      </c>
      <c r="K835" s="1">
        <v>44670.356493055559</v>
      </c>
      <c r="L835" t="s">
        <v>39</v>
      </c>
      <c r="N835" s="4">
        <v>44673.356493055559</v>
      </c>
      <c r="O835" t="s">
        <v>39</v>
      </c>
      <c r="R835" s="4">
        <v>44672.356493055559</v>
      </c>
      <c r="T835">
        <v>0</v>
      </c>
      <c r="AC835" s="2">
        <f t="shared" ref="AC835:AC898" si="117">IF(AND(I835&lt;&gt;"",H835&lt;&gt;""), I835-H835, "")</f>
        <v>3</v>
      </c>
      <c r="AD835" s="2">
        <f t="shared" ref="AD835:AD898" si="118">IF(AND(K835&lt;&gt;"",H835&lt;&gt;""), K835-H835, "")</f>
        <v>11</v>
      </c>
      <c r="AE835" s="2">
        <f t="shared" ref="AE835:AE898" si="119">IF(AND(K835&lt;&gt;"",I835&lt;&gt;""), K835-I835, "")</f>
        <v>8</v>
      </c>
      <c r="AF835" s="2">
        <f t="shared" ref="AF835:AF898" si="120">IF(AND(R835&lt;&gt;"",H835&lt;&gt;""), R835-H835, "")</f>
        <v>13</v>
      </c>
      <c r="AG835" s="2">
        <f t="shared" ref="AG835:AG898" si="121">IF(AND(R835&lt;&gt;"",K835&lt;&gt;""), R835-K835, "")</f>
        <v>2</v>
      </c>
      <c r="AH835" s="4">
        <f t="shared" ref="AH835:AH898" si="122">IF(R835&lt;&gt;"", R835+90, "")</f>
        <v>44762.356493055559</v>
      </c>
      <c r="AI835" s="2" t="str">
        <f t="shared" ref="AI835:AI898" si="123">IF(AND(U835&lt;&gt;"",S835&lt;&gt;""), U835-S835, "")</f>
        <v/>
      </c>
      <c r="AJ835" s="2" t="str">
        <f t="shared" ref="AJ835:AJ898" si="124">IF(AND(Z835&lt;&gt;"",R835&lt;&gt;""), Z835-R835, "")</f>
        <v/>
      </c>
      <c r="AK835" s="2" t="str">
        <f t="shared" ref="AK835:AK898" si="125">IF(AND(W835&lt;&gt;"",R835&lt;&gt;""), W835-R835, "")</f>
        <v/>
      </c>
    </row>
    <row r="836" spans="1:37" x14ac:dyDescent="0.25">
      <c r="A836">
        <v>1768</v>
      </c>
      <c r="B836" t="s">
        <v>938</v>
      </c>
      <c r="C836" t="s">
        <v>806</v>
      </c>
      <c r="D836" t="s">
        <v>908</v>
      </c>
      <c r="E836" t="s">
        <v>267</v>
      </c>
      <c r="F836" t="s">
        <v>909</v>
      </c>
      <c r="G836" t="s">
        <v>269</v>
      </c>
      <c r="H836" s="1">
        <v>45097.652581018519</v>
      </c>
      <c r="I836" s="1">
        <v>45101.652581018519</v>
      </c>
      <c r="J836" t="s">
        <v>32</v>
      </c>
      <c r="K836" s="1">
        <v>45121.652581018519</v>
      </c>
      <c r="L836" t="s">
        <v>57</v>
      </c>
      <c r="N836" s="4">
        <v>45128.652581018519</v>
      </c>
      <c r="O836" t="s">
        <v>57</v>
      </c>
      <c r="P836" s="4">
        <v>45123.652581018519</v>
      </c>
      <c r="Q836" s="4">
        <v>45127.652581018519</v>
      </c>
      <c r="R836" s="4">
        <v>45124.652581018519</v>
      </c>
      <c r="S836" s="4">
        <v>45134.652581018519</v>
      </c>
      <c r="T836">
        <v>1</v>
      </c>
      <c r="U836" s="4">
        <v>45135.652581018519</v>
      </c>
      <c r="V836" s="4">
        <v>45138.652581018519</v>
      </c>
      <c r="W836" s="4">
        <v>45139.652581018519</v>
      </c>
      <c r="Z836" s="4">
        <v>45154.652581018519</v>
      </c>
      <c r="AC836" s="2">
        <f t="shared" si="117"/>
        <v>4</v>
      </c>
      <c r="AD836" s="2">
        <f t="shared" si="118"/>
        <v>24</v>
      </c>
      <c r="AE836" s="2">
        <f t="shared" si="119"/>
        <v>20</v>
      </c>
      <c r="AF836" s="2">
        <f t="shared" si="120"/>
        <v>27</v>
      </c>
      <c r="AG836" s="2">
        <f t="shared" si="121"/>
        <v>3</v>
      </c>
      <c r="AH836" s="4">
        <f t="shared" si="122"/>
        <v>45214.652581018519</v>
      </c>
      <c r="AI836" s="2">
        <f t="shared" si="123"/>
        <v>1</v>
      </c>
      <c r="AJ836" s="2">
        <f t="shared" si="124"/>
        <v>30</v>
      </c>
      <c r="AK836" s="2">
        <f t="shared" si="125"/>
        <v>15</v>
      </c>
    </row>
    <row r="837" spans="1:37" x14ac:dyDescent="0.25">
      <c r="A837">
        <v>1765</v>
      </c>
      <c r="B837" t="s">
        <v>939</v>
      </c>
      <c r="C837" t="s">
        <v>806</v>
      </c>
      <c r="D837" t="s">
        <v>908</v>
      </c>
      <c r="E837" t="s">
        <v>267</v>
      </c>
      <c r="F837" t="s">
        <v>909</v>
      </c>
      <c r="G837" t="s">
        <v>269</v>
      </c>
      <c r="H837" s="1">
        <v>45101.652581018519</v>
      </c>
      <c r="I837" s="1">
        <v>45104.652581018519</v>
      </c>
      <c r="J837" t="s">
        <v>32</v>
      </c>
      <c r="K837" s="1">
        <v>45118.652581018519</v>
      </c>
      <c r="L837" t="s">
        <v>39</v>
      </c>
      <c r="N837" s="4">
        <v>45123.652581018519</v>
      </c>
      <c r="O837" t="s">
        <v>39</v>
      </c>
      <c r="R837" s="4">
        <v>45122.652581018519</v>
      </c>
      <c r="T837">
        <v>0</v>
      </c>
      <c r="AC837" s="2">
        <f t="shared" si="117"/>
        <v>3</v>
      </c>
      <c r="AD837" s="2">
        <f t="shared" si="118"/>
        <v>17</v>
      </c>
      <c r="AE837" s="2">
        <f t="shared" si="119"/>
        <v>14</v>
      </c>
      <c r="AF837" s="2">
        <f t="shared" si="120"/>
        <v>21</v>
      </c>
      <c r="AG837" s="2">
        <f t="shared" si="121"/>
        <v>4</v>
      </c>
      <c r="AH837" s="4">
        <f t="shared" si="122"/>
        <v>45212.652581018519</v>
      </c>
      <c r="AI837" s="2" t="str">
        <f t="shared" si="123"/>
        <v/>
      </c>
      <c r="AJ837" s="2" t="str">
        <f t="shared" si="124"/>
        <v/>
      </c>
      <c r="AK837" s="2" t="str">
        <f t="shared" si="125"/>
        <v/>
      </c>
    </row>
    <row r="838" spans="1:37" x14ac:dyDescent="0.25">
      <c r="A838">
        <v>1764</v>
      </c>
      <c r="B838" t="s">
        <v>940</v>
      </c>
      <c r="C838" t="s">
        <v>806</v>
      </c>
      <c r="D838" t="s">
        <v>908</v>
      </c>
      <c r="E838" t="s">
        <v>267</v>
      </c>
      <c r="F838" t="s">
        <v>909</v>
      </c>
      <c r="G838" t="s">
        <v>269</v>
      </c>
      <c r="H838" s="1">
        <v>45099.652581018519</v>
      </c>
      <c r="I838" s="1">
        <v>45103.652581018519</v>
      </c>
      <c r="J838" t="s">
        <v>32</v>
      </c>
      <c r="K838" s="1">
        <v>45115.652581018519</v>
      </c>
      <c r="L838" t="s">
        <v>33</v>
      </c>
      <c r="M838" t="s">
        <v>92</v>
      </c>
      <c r="R838" s="4">
        <v>45116.652581018519</v>
      </c>
      <c r="T838">
        <v>0</v>
      </c>
      <c r="Y838" t="s">
        <v>35</v>
      </c>
      <c r="AC838" s="2">
        <f t="shared" si="117"/>
        <v>4</v>
      </c>
      <c r="AD838" s="2">
        <f t="shared" si="118"/>
        <v>16</v>
      </c>
      <c r="AE838" s="2">
        <f t="shared" si="119"/>
        <v>12</v>
      </c>
      <c r="AF838" s="2">
        <f t="shared" si="120"/>
        <v>17</v>
      </c>
      <c r="AG838" s="2">
        <f t="shared" si="121"/>
        <v>1</v>
      </c>
      <c r="AH838" s="4">
        <f t="shared" si="122"/>
        <v>45206.652581018519</v>
      </c>
      <c r="AI838" s="2" t="str">
        <f t="shared" si="123"/>
        <v/>
      </c>
      <c r="AJ838" s="2" t="str">
        <f t="shared" si="124"/>
        <v/>
      </c>
      <c r="AK838" s="2" t="str">
        <f t="shared" si="125"/>
        <v/>
      </c>
    </row>
    <row r="839" spans="1:37" x14ac:dyDescent="0.25">
      <c r="A839">
        <v>1729</v>
      </c>
      <c r="B839" t="s">
        <v>941</v>
      </c>
      <c r="C839" t="s">
        <v>806</v>
      </c>
      <c r="D839" t="s">
        <v>908</v>
      </c>
      <c r="E839" t="s">
        <v>267</v>
      </c>
      <c r="F839" t="s">
        <v>909</v>
      </c>
      <c r="G839" t="s">
        <v>269</v>
      </c>
      <c r="H839" s="1">
        <v>44861.500428240739</v>
      </c>
      <c r="I839" s="1">
        <v>44863.500428240739</v>
      </c>
      <c r="J839" t="s">
        <v>32</v>
      </c>
      <c r="K839" s="1">
        <v>44881.500428240739</v>
      </c>
      <c r="L839" t="s">
        <v>33</v>
      </c>
      <c r="M839" t="s">
        <v>92</v>
      </c>
      <c r="T839">
        <v>0</v>
      </c>
      <c r="Y839" t="s">
        <v>35</v>
      </c>
      <c r="AC839" s="2">
        <f t="shared" si="117"/>
        <v>2</v>
      </c>
      <c r="AD839" s="2">
        <f t="shared" si="118"/>
        <v>20</v>
      </c>
      <c r="AE839" s="2">
        <f t="shared" si="119"/>
        <v>18</v>
      </c>
      <c r="AF839" s="2" t="str">
        <f t="shared" si="120"/>
        <v/>
      </c>
      <c r="AG839" s="2" t="str">
        <f t="shared" si="121"/>
        <v/>
      </c>
      <c r="AH839" s="4" t="str">
        <f t="shared" si="122"/>
        <v/>
      </c>
      <c r="AI839" s="2" t="str">
        <f t="shared" si="123"/>
        <v/>
      </c>
      <c r="AJ839" s="2" t="str">
        <f t="shared" si="124"/>
        <v/>
      </c>
      <c r="AK839" s="2" t="str">
        <f t="shared" si="125"/>
        <v/>
      </c>
    </row>
    <row r="840" spans="1:37" x14ac:dyDescent="0.25">
      <c r="A840">
        <v>1721</v>
      </c>
      <c r="B840" t="s">
        <v>942</v>
      </c>
      <c r="C840" t="s">
        <v>806</v>
      </c>
      <c r="D840" t="s">
        <v>908</v>
      </c>
      <c r="E840" t="s">
        <v>267</v>
      </c>
      <c r="F840" t="s">
        <v>909</v>
      </c>
      <c r="G840" t="s">
        <v>269</v>
      </c>
      <c r="H840" s="1">
        <v>44862.500428240739</v>
      </c>
      <c r="I840" s="1">
        <v>44866.500428240739</v>
      </c>
      <c r="J840" t="s">
        <v>44</v>
      </c>
      <c r="K840" s="1"/>
      <c r="T840">
        <v>0</v>
      </c>
      <c r="AC840" s="2">
        <f t="shared" si="117"/>
        <v>4</v>
      </c>
      <c r="AD840" s="2" t="str">
        <f t="shared" si="118"/>
        <v/>
      </c>
      <c r="AE840" s="2" t="str">
        <f t="shared" si="119"/>
        <v/>
      </c>
      <c r="AF840" s="2" t="str">
        <f t="shared" si="120"/>
        <v/>
      </c>
      <c r="AG840" s="2" t="str">
        <f t="shared" si="121"/>
        <v/>
      </c>
      <c r="AH840" s="4" t="str">
        <f t="shared" si="122"/>
        <v/>
      </c>
      <c r="AI840" s="2" t="str">
        <f t="shared" si="123"/>
        <v/>
      </c>
      <c r="AJ840" s="2" t="str">
        <f t="shared" si="124"/>
        <v/>
      </c>
      <c r="AK840" s="2" t="str">
        <f t="shared" si="125"/>
        <v/>
      </c>
    </row>
    <row r="841" spans="1:37" x14ac:dyDescent="0.25">
      <c r="A841">
        <v>1651</v>
      </c>
      <c r="B841" t="s">
        <v>943</v>
      </c>
      <c r="C841" t="s">
        <v>806</v>
      </c>
      <c r="D841" t="s">
        <v>908</v>
      </c>
      <c r="E841" t="s">
        <v>267</v>
      </c>
      <c r="F841" t="s">
        <v>909</v>
      </c>
      <c r="G841" t="s">
        <v>269</v>
      </c>
      <c r="H841" s="1">
        <v>44876.194988425923</v>
      </c>
      <c r="I841" s="1">
        <v>44880.194988425923</v>
      </c>
      <c r="J841" t="s">
        <v>32</v>
      </c>
      <c r="K841" s="1">
        <v>44886.194988425923</v>
      </c>
      <c r="L841" t="s">
        <v>33</v>
      </c>
      <c r="M841" t="s">
        <v>34</v>
      </c>
      <c r="T841">
        <v>0</v>
      </c>
      <c r="Y841" t="s">
        <v>35</v>
      </c>
      <c r="AC841" s="2">
        <f t="shared" si="117"/>
        <v>4</v>
      </c>
      <c r="AD841" s="2">
        <f t="shared" si="118"/>
        <v>10</v>
      </c>
      <c r="AE841" s="2">
        <f t="shared" si="119"/>
        <v>6</v>
      </c>
      <c r="AF841" s="2" t="str">
        <f t="shared" si="120"/>
        <v/>
      </c>
      <c r="AG841" s="2" t="str">
        <f t="shared" si="121"/>
        <v/>
      </c>
      <c r="AH841" s="4" t="str">
        <f t="shared" si="122"/>
        <v/>
      </c>
      <c r="AI841" s="2" t="str">
        <f t="shared" si="123"/>
        <v/>
      </c>
      <c r="AJ841" s="2" t="str">
        <f t="shared" si="124"/>
        <v/>
      </c>
      <c r="AK841" s="2" t="str">
        <f t="shared" si="125"/>
        <v/>
      </c>
    </row>
    <row r="842" spans="1:37" x14ac:dyDescent="0.25">
      <c r="A842">
        <v>1626</v>
      </c>
      <c r="B842" t="s">
        <v>944</v>
      </c>
      <c r="C842" t="s">
        <v>806</v>
      </c>
      <c r="D842" t="s">
        <v>908</v>
      </c>
      <c r="E842" t="s">
        <v>267</v>
      </c>
      <c r="F842" t="s">
        <v>909</v>
      </c>
      <c r="G842" t="s">
        <v>269</v>
      </c>
      <c r="H842" s="1">
        <v>44639.297905092593</v>
      </c>
      <c r="I842" s="1">
        <v>44643.297905092593</v>
      </c>
      <c r="J842" t="s">
        <v>32</v>
      </c>
      <c r="K842" s="1">
        <v>44653.297905092593</v>
      </c>
      <c r="L842" t="s">
        <v>39</v>
      </c>
      <c r="N842" s="4">
        <v>44656.297905092593</v>
      </c>
      <c r="O842" t="s">
        <v>39</v>
      </c>
      <c r="R842" s="4">
        <v>44655.297905092593</v>
      </c>
      <c r="T842">
        <v>0</v>
      </c>
      <c r="AC842" s="2">
        <f t="shared" si="117"/>
        <v>4</v>
      </c>
      <c r="AD842" s="2">
        <f t="shared" si="118"/>
        <v>14</v>
      </c>
      <c r="AE842" s="2">
        <f t="shared" si="119"/>
        <v>10</v>
      </c>
      <c r="AF842" s="2">
        <f t="shared" si="120"/>
        <v>16</v>
      </c>
      <c r="AG842" s="2">
        <f t="shared" si="121"/>
        <v>2</v>
      </c>
      <c r="AH842" s="4">
        <f t="shared" si="122"/>
        <v>44745.297905092593</v>
      </c>
      <c r="AI842" s="2" t="str">
        <f t="shared" si="123"/>
        <v/>
      </c>
      <c r="AJ842" s="2" t="str">
        <f t="shared" si="124"/>
        <v/>
      </c>
      <c r="AK842" s="2" t="str">
        <f t="shared" si="125"/>
        <v/>
      </c>
    </row>
    <row r="843" spans="1:37" x14ac:dyDescent="0.25">
      <c r="A843">
        <v>1610</v>
      </c>
      <c r="B843" t="s">
        <v>945</v>
      </c>
      <c r="C843" t="s">
        <v>806</v>
      </c>
      <c r="D843" t="s">
        <v>908</v>
      </c>
      <c r="E843" t="s">
        <v>267</v>
      </c>
      <c r="F843" t="s">
        <v>909</v>
      </c>
      <c r="G843" t="s">
        <v>269</v>
      </c>
      <c r="H843" s="1">
        <v>44564.819027777776</v>
      </c>
      <c r="I843" s="1">
        <v>44566.819027777776</v>
      </c>
      <c r="J843" t="s">
        <v>32</v>
      </c>
      <c r="K843" s="1">
        <v>44578.819027777776</v>
      </c>
      <c r="L843" t="s">
        <v>39</v>
      </c>
      <c r="N843" s="4">
        <v>44581.819027777776</v>
      </c>
      <c r="O843" t="s">
        <v>39</v>
      </c>
      <c r="R843" s="4">
        <v>44579.819027777776</v>
      </c>
      <c r="T843">
        <v>0</v>
      </c>
      <c r="AC843" s="2">
        <f t="shared" si="117"/>
        <v>2</v>
      </c>
      <c r="AD843" s="2">
        <f t="shared" si="118"/>
        <v>14</v>
      </c>
      <c r="AE843" s="2">
        <f t="shared" si="119"/>
        <v>12</v>
      </c>
      <c r="AF843" s="2">
        <f t="shared" si="120"/>
        <v>15</v>
      </c>
      <c r="AG843" s="2">
        <f t="shared" si="121"/>
        <v>1</v>
      </c>
      <c r="AH843" s="4">
        <f t="shared" si="122"/>
        <v>44669.819027777776</v>
      </c>
      <c r="AI843" s="2" t="str">
        <f t="shared" si="123"/>
        <v/>
      </c>
      <c r="AJ843" s="2" t="str">
        <f t="shared" si="124"/>
        <v/>
      </c>
      <c r="AK843" s="2" t="str">
        <f t="shared" si="125"/>
        <v/>
      </c>
    </row>
    <row r="844" spans="1:37" x14ac:dyDescent="0.25">
      <c r="A844">
        <v>1609</v>
      </c>
      <c r="B844" t="s">
        <v>946</v>
      </c>
      <c r="C844" t="s">
        <v>806</v>
      </c>
      <c r="D844" t="s">
        <v>908</v>
      </c>
      <c r="E844" t="s">
        <v>267</v>
      </c>
      <c r="F844" t="s">
        <v>909</v>
      </c>
      <c r="G844" t="s">
        <v>269</v>
      </c>
      <c r="H844" s="1">
        <v>44562.819027777776</v>
      </c>
      <c r="I844" s="1">
        <v>44564.819027777776</v>
      </c>
      <c r="J844" t="s">
        <v>44</v>
      </c>
      <c r="K844" s="1"/>
      <c r="T844">
        <v>0</v>
      </c>
      <c r="AC844" s="2">
        <f t="shared" si="117"/>
        <v>2</v>
      </c>
      <c r="AD844" s="2" t="str">
        <f t="shared" si="118"/>
        <v/>
      </c>
      <c r="AE844" s="2" t="str">
        <f t="shared" si="119"/>
        <v/>
      </c>
      <c r="AF844" s="2" t="str">
        <f t="shared" si="120"/>
        <v/>
      </c>
      <c r="AG844" s="2" t="str">
        <f t="shared" si="121"/>
        <v/>
      </c>
      <c r="AH844" s="4" t="str">
        <f t="shared" si="122"/>
        <v/>
      </c>
      <c r="AI844" s="2" t="str">
        <f t="shared" si="123"/>
        <v/>
      </c>
      <c r="AJ844" s="2" t="str">
        <f t="shared" si="124"/>
        <v/>
      </c>
      <c r="AK844" s="2" t="str">
        <f t="shared" si="125"/>
        <v/>
      </c>
    </row>
    <row r="845" spans="1:37" x14ac:dyDescent="0.25">
      <c r="A845">
        <v>1608</v>
      </c>
      <c r="B845" t="s">
        <v>947</v>
      </c>
      <c r="C845" t="s">
        <v>806</v>
      </c>
      <c r="D845" t="s">
        <v>908</v>
      </c>
      <c r="E845" t="s">
        <v>267</v>
      </c>
      <c r="F845" t="s">
        <v>909</v>
      </c>
      <c r="G845" t="s">
        <v>269</v>
      </c>
      <c r="H845" s="1">
        <v>44562.819027777776</v>
      </c>
      <c r="I845" s="1">
        <v>44564.819027777776</v>
      </c>
      <c r="J845" t="s">
        <v>32</v>
      </c>
      <c r="K845" s="1">
        <v>44573.819027777776</v>
      </c>
      <c r="L845" t="s">
        <v>33</v>
      </c>
      <c r="M845" t="s">
        <v>51</v>
      </c>
      <c r="R845" s="4">
        <v>44577.819027777776</v>
      </c>
      <c r="T845">
        <v>0</v>
      </c>
      <c r="Y845" t="s">
        <v>35</v>
      </c>
      <c r="AC845" s="2">
        <f t="shared" si="117"/>
        <v>2</v>
      </c>
      <c r="AD845" s="2">
        <f t="shared" si="118"/>
        <v>11</v>
      </c>
      <c r="AE845" s="2">
        <f t="shared" si="119"/>
        <v>9</v>
      </c>
      <c r="AF845" s="2">
        <f t="shared" si="120"/>
        <v>15</v>
      </c>
      <c r="AG845" s="2">
        <f t="shared" si="121"/>
        <v>4</v>
      </c>
      <c r="AH845" s="4">
        <f t="shared" si="122"/>
        <v>44667.819027777776</v>
      </c>
      <c r="AI845" s="2" t="str">
        <f t="shared" si="123"/>
        <v/>
      </c>
      <c r="AJ845" s="2" t="str">
        <f t="shared" si="124"/>
        <v/>
      </c>
      <c r="AK845" s="2" t="str">
        <f t="shared" si="125"/>
        <v/>
      </c>
    </row>
    <row r="846" spans="1:37" x14ac:dyDescent="0.25">
      <c r="A846">
        <v>1604</v>
      </c>
      <c r="B846" t="s">
        <v>948</v>
      </c>
      <c r="C846" t="s">
        <v>806</v>
      </c>
      <c r="D846" t="s">
        <v>908</v>
      </c>
      <c r="E846" t="s">
        <v>267</v>
      </c>
      <c r="F846" t="s">
        <v>909</v>
      </c>
      <c r="G846" t="s">
        <v>269</v>
      </c>
      <c r="H846" s="1">
        <v>44561.819027777776</v>
      </c>
      <c r="I846" s="1">
        <v>44564.819027777776</v>
      </c>
      <c r="J846" t="s">
        <v>32</v>
      </c>
      <c r="K846" s="1">
        <v>44575.819027777776</v>
      </c>
      <c r="L846" t="s">
        <v>33</v>
      </c>
      <c r="M846" t="s">
        <v>92</v>
      </c>
      <c r="T846">
        <v>0</v>
      </c>
      <c r="Y846" t="s">
        <v>55</v>
      </c>
      <c r="AC846" s="2">
        <f t="shared" si="117"/>
        <v>3</v>
      </c>
      <c r="AD846" s="2">
        <f t="shared" si="118"/>
        <v>14</v>
      </c>
      <c r="AE846" s="2">
        <f t="shared" si="119"/>
        <v>11</v>
      </c>
      <c r="AF846" s="2" t="str">
        <f t="shared" si="120"/>
        <v/>
      </c>
      <c r="AG846" s="2" t="str">
        <f t="shared" si="121"/>
        <v/>
      </c>
      <c r="AH846" s="4" t="str">
        <f t="shared" si="122"/>
        <v/>
      </c>
      <c r="AI846" s="2" t="str">
        <f t="shared" si="123"/>
        <v/>
      </c>
      <c r="AJ846" s="2" t="str">
        <f t="shared" si="124"/>
        <v/>
      </c>
      <c r="AK846" s="2" t="str">
        <f t="shared" si="125"/>
        <v/>
      </c>
    </row>
    <row r="847" spans="1:37" x14ac:dyDescent="0.25">
      <c r="A847">
        <v>1475</v>
      </c>
      <c r="B847" t="s">
        <v>949</v>
      </c>
      <c r="C847" t="s">
        <v>806</v>
      </c>
      <c r="D847" t="s">
        <v>908</v>
      </c>
      <c r="E847" t="s">
        <v>267</v>
      </c>
      <c r="F847" t="s">
        <v>909</v>
      </c>
      <c r="G847" t="s">
        <v>269</v>
      </c>
      <c r="H847" s="1">
        <v>44946.278946759259</v>
      </c>
      <c r="I847" s="1">
        <v>44948.278946759259</v>
      </c>
      <c r="J847" t="s">
        <v>32</v>
      </c>
      <c r="K847" s="1">
        <v>44960.278946759259</v>
      </c>
      <c r="L847" t="s">
        <v>164</v>
      </c>
      <c r="N847" s="4">
        <v>44966.278946759259</v>
      </c>
      <c r="O847" t="s">
        <v>164</v>
      </c>
      <c r="R847" s="4">
        <v>44962.278946759259</v>
      </c>
      <c r="T847">
        <v>0</v>
      </c>
      <c r="AC847" s="2">
        <f t="shared" si="117"/>
        <v>2</v>
      </c>
      <c r="AD847" s="2">
        <f t="shared" si="118"/>
        <v>14</v>
      </c>
      <c r="AE847" s="2">
        <f t="shared" si="119"/>
        <v>12</v>
      </c>
      <c r="AF847" s="2">
        <f t="shared" si="120"/>
        <v>16</v>
      </c>
      <c r="AG847" s="2">
        <f t="shared" si="121"/>
        <v>2</v>
      </c>
      <c r="AH847" s="4">
        <f t="shared" si="122"/>
        <v>45052.278946759259</v>
      </c>
      <c r="AI847" s="2" t="str">
        <f t="shared" si="123"/>
        <v/>
      </c>
      <c r="AJ847" s="2" t="str">
        <f t="shared" si="124"/>
        <v/>
      </c>
      <c r="AK847" s="2" t="str">
        <f t="shared" si="125"/>
        <v/>
      </c>
    </row>
    <row r="848" spans="1:37" x14ac:dyDescent="0.25">
      <c r="A848">
        <v>1055</v>
      </c>
      <c r="B848" t="s">
        <v>950</v>
      </c>
      <c r="C848" t="s">
        <v>806</v>
      </c>
      <c r="D848" t="s">
        <v>908</v>
      </c>
      <c r="E848" t="s">
        <v>267</v>
      </c>
      <c r="F848" t="s">
        <v>909</v>
      </c>
      <c r="G848" t="s">
        <v>269</v>
      </c>
      <c r="H848" s="1">
        <v>45155.180486111109</v>
      </c>
      <c r="I848" s="1">
        <v>45159.180486111109</v>
      </c>
      <c r="J848" t="s">
        <v>32</v>
      </c>
      <c r="K848" s="1">
        <v>45172.180486111109</v>
      </c>
      <c r="L848" t="s">
        <v>57</v>
      </c>
      <c r="N848" s="4">
        <v>45177.180486111109</v>
      </c>
      <c r="O848" t="s">
        <v>57</v>
      </c>
      <c r="P848" s="4">
        <v>45174.180486111109</v>
      </c>
      <c r="Q848" s="4">
        <v>45178.180486111109</v>
      </c>
      <c r="R848" s="4">
        <v>45173.180486111109</v>
      </c>
      <c r="S848" s="4">
        <v>45178.180486111109</v>
      </c>
      <c r="T848">
        <v>1</v>
      </c>
      <c r="U848" s="4">
        <v>45180.180486111109</v>
      </c>
      <c r="V848" s="4">
        <v>45183.180486111109</v>
      </c>
      <c r="W848" s="4">
        <v>45186.180486111109</v>
      </c>
      <c r="Z848" s="4">
        <v>45202.180486111109</v>
      </c>
      <c r="AC848" s="2">
        <f t="shared" si="117"/>
        <v>4</v>
      </c>
      <c r="AD848" s="2">
        <f t="shared" si="118"/>
        <v>17</v>
      </c>
      <c r="AE848" s="2">
        <f t="shared" si="119"/>
        <v>13</v>
      </c>
      <c r="AF848" s="2">
        <f t="shared" si="120"/>
        <v>18</v>
      </c>
      <c r="AG848" s="2">
        <f t="shared" si="121"/>
        <v>1</v>
      </c>
      <c r="AH848" s="4">
        <f t="shared" si="122"/>
        <v>45263.180486111109</v>
      </c>
      <c r="AI848" s="2">
        <f t="shared" si="123"/>
        <v>2</v>
      </c>
      <c r="AJ848" s="2">
        <f t="shared" si="124"/>
        <v>29</v>
      </c>
      <c r="AK848" s="2">
        <f t="shared" si="125"/>
        <v>13</v>
      </c>
    </row>
    <row r="849" spans="1:37" x14ac:dyDescent="0.25">
      <c r="A849">
        <v>1001</v>
      </c>
      <c r="B849" t="s">
        <v>951</v>
      </c>
      <c r="C849" t="s">
        <v>806</v>
      </c>
      <c r="D849" t="s">
        <v>908</v>
      </c>
      <c r="E849" t="s">
        <v>267</v>
      </c>
      <c r="F849" t="s">
        <v>909</v>
      </c>
      <c r="G849" t="s">
        <v>269</v>
      </c>
      <c r="H849" s="1">
        <v>44919.68855324074</v>
      </c>
      <c r="I849" s="1">
        <v>44922.68855324074</v>
      </c>
      <c r="J849" t="s">
        <v>32</v>
      </c>
      <c r="K849" s="1">
        <v>44939.68855324074</v>
      </c>
      <c r="L849" t="s">
        <v>39</v>
      </c>
      <c r="N849" s="4">
        <v>44943.68855324074</v>
      </c>
      <c r="O849" t="s">
        <v>39</v>
      </c>
      <c r="R849" s="4">
        <v>44941.68855324074</v>
      </c>
      <c r="T849">
        <v>0</v>
      </c>
      <c r="AC849" s="2">
        <f t="shared" si="117"/>
        <v>3</v>
      </c>
      <c r="AD849" s="2">
        <f t="shared" si="118"/>
        <v>20</v>
      </c>
      <c r="AE849" s="2">
        <f t="shared" si="119"/>
        <v>17</v>
      </c>
      <c r="AF849" s="2">
        <f t="shared" si="120"/>
        <v>22</v>
      </c>
      <c r="AG849" s="2">
        <f t="shared" si="121"/>
        <v>2</v>
      </c>
      <c r="AH849" s="4">
        <f t="shared" si="122"/>
        <v>45031.68855324074</v>
      </c>
      <c r="AI849" s="2" t="str">
        <f t="shared" si="123"/>
        <v/>
      </c>
      <c r="AJ849" s="2" t="str">
        <f t="shared" si="124"/>
        <v/>
      </c>
      <c r="AK849" s="2" t="str">
        <f t="shared" si="125"/>
        <v/>
      </c>
    </row>
    <row r="850" spans="1:37" x14ac:dyDescent="0.25">
      <c r="A850">
        <v>982</v>
      </c>
      <c r="B850" t="s">
        <v>952</v>
      </c>
      <c r="C850" t="s">
        <v>806</v>
      </c>
      <c r="D850" t="s">
        <v>908</v>
      </c>
      <c r="E850" t="s">
        <v>267</v>
      </c>
      <c r="F850" t="s">
        <v>909</v>
      </c>
      <c r="G850" t="s">
        <v>269</v>
      </c>
      <c r="H850" s="1">
        <v>44797.241203703707</v>
      </c>
      <c r="I850" s="1">
        <v>44798.241203703707</v>
      </c>
      <c r="J850" t="s">
        <v>32</v>
      </c>
      <c r="K850" s="1">
        <v>44811.241203703707</v>
      </c>
      <c r="L850" t="s">
        <v>39</v>
      </c>
      <c r="N850" s="4">
        <v>44816.241203703707</v>
      </c>
      <c r="O850" t="s">
        <v>39</v>
      </c>
      <c r="R850" s="4">
        <v>44814.241203703707</v>
      </c>
      <c r="T850">
        <v>0</v>
      </c>
      <c r="AC850" s="2">
        <f t="shared" si="117"/>
        <v>1</v>
      </c>
      <c r="AD850" s="2">
        <f t="shared" si="118"/>
        <v>14</v>
      </c>
      <c r="AE850" s="2">
        <f t="shared" si="119"/>
        <v>13</v>
      </c>
      <c r="AF850" s="2">
        <f t="shared" si="120"/>
        <v>17</v>
      </c>
      <c r="AG850" s="2">
        <f t="shared" si="121"/>
        <v>3</v>
      </c>
      <c r="AH850" s="4">
        <f t="shared" si="122"/>
        <v>44904.241203703707</v>
      </c>
      <c r="AI850" s="2" t="str">
        <f t="shared" si="123"/>
        <v/>
      </c>
      <c r="AJ850" s="2" t="str">
        <f t="shared" si="124"/>
        <v/>
      </c>
      <c r="AK850" s="2" t="str">
        <f t="shared" si="125"/>
        <v/>
      </c>
    </row>
    <row r="851" spans="1:37" x14ac:dyDescent="0.25">
      <c r="A851">
        <v>873</v>
      </c>
      <c r="B851" t="s">
        <v>953</v>
      </c>
      <c r="C851" t="s">
        <v>806</v>
      </c>
      <c r="D851" t="s">
        <v>908</v>
      </c>
      <c r="E851" t="s">
        <v>267</v>
      </c>
      <c r="F851" t="s">
        <v>909</v>
      </c>
      <c r="G851" t="s">
        <v>269</v>
      </c>
      <c r="H851" s="1">
        <v>44763.80777777778</v>
      </c>
      <c r="I851" s="1">
        <v>44766.80777777778</v>
      </c>
      <c r="J851" t="s">
        <v>32</v>
      </c>
      <c r="K851" s="1">
        <v>44775.80777777778</v>
      </c>
      <c r="L851" t="s">
        <v>39</v>
      </c>
      <c r="N851" s="4">
        <v>44783.80777777778</v>
      </c>
      <c r="O851" t="s">
        <v>39</v>
      </c>
      <c r="R851" s="4">
        <v>44779.80777777778</v>
      </c>
      <c r="T851">
        <v>0</v>
      </c>
      <c r="AC851" s="2">
        <f t="shared" si="117"/>
        <v>3</v>
      </c>
      <c r="AD851" s="2">
        <f t="shared" si="118"/>
        <v>12</v>
      </c>
      <c r="AE851" s="2">
        <f t="shared" si="119"/>
        <v>9</v>
      </c>
      <c r="AF851" s="2">
        <f t="shared" si="120"/>
        <v>16</v>
      </c>
      <c r="AG851" s="2">
        <f t="shared" si="121"/>
        <v>4</v>
      </c>
      <c r="AH851" s="4">
        <f t="shared" si="122"/>
        <v>44869.80777777778</v>
      </c>
      <c r="AI851" s="2" t="str">
        <f t="shared" si="123"/>
        <v/>
      </c>
      <c r="AJ851" s="2" t="str">
        <f t="shared" si="124"/>
        <v/>
      </c>
      <c r="AK851" s="2" t="str">
        <f t="shared" si="125"/>
        <v/>
      </c>
    </row>
    <row r="852" spans="1:37" x14ac:dyDescent="0.25">
      <c r="A852">
        <v>871</v>
      </c>
      <c r="B852" t="s">
        <v>954</v>
      </c>
      <c r="C852" t="s">
        <v>806</v>
      </c>
      <c r="D852" t="s">
        <v>908</v>
      </c>
      <c r="E852" t="s">
        <v>267</v>
      </c>
      <c r="F852" t="s">
        <v>909</v>
      </c>
      <c r="G852" t="s">
        <v>269</v>
      </c>
      <c r="H852" s="1">
        <v>44758.80777777778</v>
      </c>
      <c r="I852" s="1">
        <v>44762.80777777778</v>
      </c>
      <c r="J852" t="s">
        <v>32</v>
      </c>
      <c r="K852" s="1">
        <v>44771.80777777778</v>
      </c>
      <c r="L852" t="s">
        <v>57</v>
      </c>
      <c r="N852" s="4">
        <v>44779.80777777778</v>
      </c>
      <c r="O852" t="s">
        <v>57</v>
      </c>
      <c r="P852" s="4">
        <v>44772.80777777778</v>
      </c>
      <c r="Q852" s="4">
        <v>44775.80777777778</v>
      </c>
      <c r="R852" s="4">
        <v>44775.80777777778</v>
      </c>
      <c r="S852" s="4">
        <v>44776.80777777778</v>
      </c>
      <c r="T852">
        <v>1</v>
      </c>
      <c r="U852" s="4">
        <v>44777.80777777778</v>
      </c>
      <c r="V852" s="4">
        <v>44778.80777777778</v>
      </c>
      <c r="W852" s="4">
        <v>44779.80777777778</v>
      </c>
      <c r="Z852" s="4">
        <v>44796.80777777778</v>
      </c>
      <c r="AC852" s="2">
        <f t="shared" si="117"/>
        <v>4</v>
      </c>
      <c r="AD852" s="2">
        <f t="shared" si="118"/>
        <v>13</v>
      </c>
      <c r="AE852" s="2">
        <f t="shared" si="119"/>
        <v>9</v>
      </c>
      <c r="AF852" s="2">
        <f t="shared" si="120"/>
        <v>17</v>
      </c>
      <c r="AG852" s="2">
        <f t="shared" si="121"/>
        <v>4</v>
      </c>
      <c r="AH852" s="4">
        <f t="shared" si="122"/>
        <v>44865.80777777778</v>
      </c>
      <c r="AI852" s="2">
        <f t="shared" si="123"/>
        <v>1</v>
      </c>
      <c r="AJ852" s="2">
        <f t="shared" si="124"/>
        <v>21</v>
      </c>
      <c r="AK852" s="2">
        <f t="shared" si="125"/>
        <v>4</v>
      </c>
    </row>
    <row r="853" spans="1:37" x14ac:dyDescent="0.25">
      <c r="A853">
        <v>752</v>
      </c>
      <c r="B853" t="s">
        <v>955</v>
      </c>
      <c r="C853" t="s">
        <v>806</v>
      </c>
      <c r="D853" t="s">
        <v>908</v>
      </c>
      <c r="E853" t="s">
        <v>267</v>
      </c>
      <c r="F853" t="s">
        <v>909</v>
      </c>
      <c r="G853" t="s">
        <v>269</v>
      </c>
      <c r="H853" s="1">
        <v>44943.883877314816</v>
      </c>
      <c r="I853" s="1">
        <v>44945.883877314816</v>
      </c>
      <c r="J853" t="s">
        <v>32</v>
      </c>
      <c r="K853" s="1">
        <v>44953.883877314816</v>
      </c>
      <c r="L853" t="s">
        <v>57</v>
      </c>
      <c r="N853" s="4">
        <v>44956.883877314816</v>
      </c>
      <c r="O853" t="s">
        <v>57</v>
      </c>
      <c r="P853" s="4">
        <v>44954.883877314816</v>
      </c>
      <c r="Q853" s="4">
        <v>44955.883877314816</v>
      </c>
      <c r="R853" s="4">
        <v>44954.883877314816</v>
      </c>
      <c r="S853" s="4">
        <v>44962.883877314816</v>
      </c>
      <c r="T853">
        <v>1</v>
      </c>
      <c r="U853" s="4">
        <v>44965.883877314816</v>
      </c>
      <c r="V853" s="4">
        <v>44966.883877314816</v>
      </c>
      <c r="W853" s="4">
        <v>44968.883877314816</v>
      </c>
      <c r="Z853" s="4">
        <v>44980.883877314816</v>
      </c>
      <c r="AC853" s="2">
        <f t="shared" si="117"/>
        <v>2</v>
      </c>
      <c r="AD853" s="2">
        <f t="shared" si="118"/>
        <v>10</v>
      </c>
      <c r="AE853" s="2">
        <f t="shared" si="119"/>
        <v>8</v>
      </c>
      <c r="AF853" s="2">
        <f t="shared" si="120"/>
        <v>11</v>
      </c>
      <c r="AG853" s="2">
        <f t="shared" si="121"/>
        <v>1</v>
      </c>
      <c r="AH853" s="4">
        <f t="shared" si="122"/>
        <v>45044.883877314816</v>
      </c>
      <c r="AI853" s="2">
        <f t="shared" si="123"/>
        <v>3</v>
      </c>
      <c r="AJ853" s="2">
        <f t="shared" si="124"/>
        <v>26</v>
      </c>
      <c r="AK853" s="2">
        <f t="shared" si="125"/>
        <v>14</v>
      </c>
    </row>
    <row r="854" spans="1:37" x14ac:dyDescent="0.25">
      <c r="A854">
        <v>699</v>
      </c>
      <c r="B854" t="s">
        <v>956</v>
      </c>
      <c r="C854" t="s">
        <v>806</v>
      </c>
      <c r="D854" t="s">
        <v>908</v>
      </c>
      <c r="E854" t="s">
        <v>267</v>
      </c>
      <c r="F854" t="s">
        <v>909</v>
      </c>
      <c r="G854" t="s">
        <v>269</v>
      </c>
      <c r="H854" s="1">
        <v>44871.289201388892</v>
      </c>
      <c r="I854" s="1">
        <v>44873.289201388892</v>
      </c>
      <c r="J854" t="s">
        <v>32</v>
      </c>
      <c r="K854" s="1">
        <v>44885.289201388892</v>
      </c>
      <c r="L854" t="s">
        <v>33</v>
      </c>
      <c r="M854" t="s">
        <v>51</v>
      </c>
      <c r="R854" s="4">
        <v>44887.289201388892</v>
      </c>
      <c r="T854">
        <v>0</v>
      </c>
      <c r="Y854" t="s">
        <v>35</v>
      </c>
      <c r="AC854" s="2">
        <f t="shared" si="117"/>
        <v>2</v>
      </c>
      <c r="AD854" s="2">
        <f t="shared" si="118"/>
        <v>14</v>
      </c>
      <c r="AE854" s="2">
        <f t="shared" si="119"/>
        <v>12</v>
      </c>
      <c r="AF854" s="2">
        <f t="shared" si="120"/>
        <v>16</v>
      </c>
      <c r="AG854" s="2">
        <f t="shared" si="121"/>
        <v>2</v>
      </c>
      <c r="AH854" s="4">
        <f t="shared" si="122"/>
        <v>44977.289201388892</v>
      </c>
      <c r="AI854" s="2" t="str">
        <f t="shared" si="123"/>
        <v/>
      </c>
      <c r="AJ854" s="2" t="str">
        <f t="shared" si="124"/>
        <v/>
      </c>
      <c r="AK854" s="2" t="str">
        <f t="shared" si="125"/>
        <v/>
      </c>
    </row>
    <row r="855" spans="1:37" x14ac:dyDescent="0.25">
      <c r="A855">
        <v>698</v>
      </c>
      <c r="B855" t="s">
        <v>957</v>
      </c>
      <c r="C855" t="s">
        <v>806</v>
      </c>
      <c r="D855" t="s">
        <v>908</v>
      </c>
      <c r="E855" t="s">
        <v>267</v>
      </c>
      <c r="F855" t="s">
        <v>909</v>
      </c>
      <c r="G855" t="s">
        <v>269</v>
      </c>
      <c r="H855" s="1">
        <v>44873.289201388892</v>
      </c>
      <c r="I855" s="1">
        <v>44874.289201388892</v>
      </c>
      <c r="J855" t="s">
        <v>44</v>
      </c>
      <c r="K855" s="1"/>
      <c r="T855">
        <v>0</v>
      </c>
      <c r="AC855" s="2">
        <f t="shared" si="117"/>
        <v>1</v>
      </c>
      <c r="AD855" s="2" t="str">
        <f t="shared" si="118"/>
        <v/>
      </c>
      <c r="AE855" s="2" t="str">
        <f t="shared" si="119"/>
        <v/>
      </c>
      <c r="AF855" s="2" t="str">
        <f t="shared" si="120"/>
        <v/>
      </c>
      <c r="AG855" s="2" t="str">
        <f t="shared" si="121"/>
        <v/>
      </c>
      <c r="AH855" s="4" t="str">
        <f t="shared" si="122"/>
        <v/>
      </c>
      <c r="AI855" s="2" t="str">
        <f t="shared" si="123"/>
        <v/>
      </c>
      <c r="AJ855" s="2" t="str">
        <f t="shared" si="124"/>
        <v/>
      </c>
      <c r="AK855" s="2" t="str">
        <f t="shared" si="125"/>
        <v/>
      </c>
    </row>
    <row r="856" spans="1:37" x14ac:dyDescent="0.25">
      <c r="A856">
        <v>696</v>
      </c>
      <c r="B856" t="s">
        <v>958</v>
      </c>
      <c r="C856" t="s">
        <v>806</v>
      </c>
      <c r="D856" t="s">
        <v>908</v>
      </c>
      <c r="E856" t="s">
        <v>267</v>
      </c>
      <c r="F856" t="s">
        <v>909</v>
      </c>
      <c r="G856" t="s">
        <v>269</v>
      </c>
      <c r="H856" s="1">
        <v>44868.289201388892</v>
      </c>
      <c r="I856" s="1">
        <v>44869.289201388892</v>
      </c>
      <c r="J856" t="s">
        <v>44</v>
      </c>
      <c r="K856" s="1"/>
      <c r="T856">
        <v>0</v>
      </c>
      <c r="AC856" s="2">
        <f t="shared" si="117"/>
        <v>1</v>
      </c>
      <c r="AD856" s="2" t="str">
        <f t="shared" si="118"/>
        <v/>
      </c>
      <c r="AE856" s="2" t="str">
        <f t="shared" si="119"/>
        <v/>
      </c>
      <c r="AF856" s="2" t="str">
        <f t="shared" si="120"/>
        <v/>
      </c>
      <c r="AG856" s="2" t="str">
        <f t="shared" si="121"/>
        <v/>
      </c>
      <c r="AH856" s="4" t="str">
        <f t="shared" si="122"/>
        <v/>
      </c>
      <c r="AI856" s="2" t="str">
        <f t="shared" si="123"/>
        <v/>
      </c>
      <c r="AJ856" s="2" t="str">
        <f t="shared" si="124"/>
        <v/>
      </c>
      <c r="AK856" s="2" t="str">
        <f t="shared" si="125"/>
        <v/>
      </c>
    </row>
    <row r="857" spans="1:37" x14ac:dyDescent="0.25">
      <c r="A857">
        <v>695</v>
      </c>
      <c r="B857" t="s">
        <v>959</v>
      </c>
      <c r="C857" t="s">
        <v>806</v>
      </c>
      <c r="D857" t="s">
        <v>908</v>
      </c>
      <c r="E857" t="s">
        <v>267</v>
      </c>
      <c r="F857" t="s">
        <v>909</v>
      </c>
      <c r="G857" t="s">
        <v>269</v>
      </c>
      <c r="H857" s="1">
        <v>44869.289201388892</v>
      </c>
      <c r="I857" s="1">
        <v>44871.289201388892</v>
      </c>
      <c r="J857" t="s">
        <v>32</v>
      </c>
      <c r="K857" s="1">
        <v>44882.289201388892</v>
      </c>
      <c r="L857" t="s">
        <v>33</v>
      </c>
      <c r="M857" t="s">
        <v>34</v>
      </c>
      <c r="R857" s="4">
        <v>44883.289201388892</v>
      </c>
      <c r="T857">
        <v>0</v>
      </c>
      <c r="Y857" t="s">
        <v>35</v>
      </c>
      <c r="AC857" s="2">
        <f t="shared" si="117"/>
        <v>2</v>
      </c>
      <c r="AD857" s="2">
        <f t="shared" si="118"/>
        <v>13</v>
      </c>
      <c r="AE857" s="2">
        <f t="shared" si="119"/>
        <v>11</v>
      </c>
      <c r="AF857" s="2">
        <f t="shared" si="120"/>
        <v>14</v>
      </c>
      <c r="AG857" s="2">
        <f t="shared" si="121"/>
        <v>1</v>
      </c>
      <c r="AH857" s="4">
        <f t="shared" si="122"/>
        <v>44973.289201388892</v>
      </c>
      <c r="AI857" s="2" t="str">
        <f t="shared" si="123"/>
        <v/>
      </c>
      <c r="AJ857" s="2" t="str">
        <f t="shared" si="124"/>
        <v/>
      </c>
      <c r="AK857" s="2" t="str">
        <f t="shared" si="125"/>
        <v/>
      </c>
    </row>
    <row r="858" spans="1:37" x14ac:dyDescent="0.25">
      <c r="A858">
        <v>648</v>
      </c>
      <c r="B858" t="s">
        <v>960</v>
      </c>
      <c r="C858" t="s">
        <v>806</v>
      </c>
      <c r="D858" t="s">
        <v>908</v>
      </c>
      <c r="E858" t="s">
        <v>267</v>
      </c>
      <c r="F858" t="s">
        <v>909</v>
      </c>
      <c r="G858" t="s">
        <v>269</v>
      </c>
      <c r="H858" s="1">
        <v>44783.760729166665</v>
      </c>
      <c r="I858" s="1">
        <v>44787.760729166665</v>
      </c>
      <c r="J858" t="s">
        <v>44</v>
      </c>
      <c r="K858" s="1"/>
      <c r="T858">
        <v>0</v>
      </c>
      <c r="AC858" s="2">
        <f t="shared" si="117"/>
        <v>4</v>
      </c>
      <c r="AD858" s="2" t="str">
        <f t="shared" si="118"/>
        <v/>
      </c>
      <c r="AE858" s="2" t="str">
        <f t="shared" si="119"/>
        <v/>
      </c>
      <c r="AF858" s="2" t="str">
        <f t="shared" si="120"/>
        <v/>
      </c>
      <c r="AG858" s="2" t="str">
        <f t="shared" si="121"/>
        <v/>
      </c>
      <c r="AH858" s="4" t="str">
        <f t="shared" si="122"/>
        <v/>
      </c>
      <c r="AI858" s="2" t="str">
        <f t="shared" si="123"/>
        <v/>
      </c>
      <c r="AJ858" s="2" t="str">
        <f t="shared" si="124"/>
        <v/>
      </c>
      <c r="AK858" s="2" t="str">
        <f t="shared" si="125"/>
        <v/>
      </c>
    </row>
    <row r="859" spans="1:37" x14ac:dyDescent="0.25">
      <c r="A859">
        <v>643</v>
      </c>
      <c r="B859" t="s">
        <v>961</v>
      </c>
      <c r="C859" t="s">
        <v>806</v>
      </c>
      <c r="D859" t="s">
        <v>908</v>
      </c>
      <c r="E859" t="s">
        <v>267</v>
      </c>
      <c r="F859" t="s">
        <v>909</v>
      </c>
      <c r="G859" t="s">
        <v>269</v>
      </c>
      <c r="H859" s="1">
        <v>44783.760729166665</v>
      </c>
      <c r="I859" s="1">
        <v>44785.760729166665</v>
      </c>
      <c r="J859" t="s">
        <v>32</v>
      </c>
      <c r="K859" s="1">
        <v>44802.760729166665</v>
      </c>
      <c r="L859" t="s">
        <v>33</v>
      </c>
      <c r="M859" t="s">
        <v>51</v>
      </c>
      <c r="T859">
        <v>0</v>
      </c>
      <c r="Y859" t="s">
        <v>35</v>
      </c>
      <c r="AC859" s="2">
        <f t="shared" si="117"/>
        <v>2</v>
      </c>
      <c r="AD859" s="2">
        <f t="shared" si="118"/>
        <v>19</v>
      </c>
      <c r="AE859" s="2">
        <f t="shared" si="119"/>
        <v>17</v>
      </c>
      <c r="AF859" s="2" t="str">
        <f t="shared" si="120"/>
        <v/>
      </c>
      <c r="AG859" s="2" t="str">
        <f t="shared" si="121"/>
        <v/>
      </c>
      <c r="AH859" s="4" t="str">
        <f t="shared" si="122"/>
        <v/>
      </c>
      <c r="AI859" s="2" t="str">
        <f t="shared" si="123"/>
        <v/>
      </c>
      <c r="AJ859" s="2" t="str">
        <f t="shared" si="124"/>
        <v/>
      </c>
      <c r="AK859" s="2" t="str">
        <f t="shared" si="125"/>
        <v/>
      </c>
    </row>
    <row r="860" spans="1:37" x14ac:dyDescent="0.25">
      <c r="A860">
        <v>642</v>
      </c>
      <c r="B860" t="s">
        <v>962</v>
      </c>
      <c r="C860" t="s">
        <v>806</v>
      </c>
      <c r="D860" t="s">
        <v>908</v>
      </c>
      <c r="E860" t="s">
        <v>267</v>
      </c>
      <c r="F860" t="s">
        <v>909</v>
      </c>
      <c r="G860" t="s">
        <v>269</v>
      </c>
      <c r="H860" s="1">
        <v>44780.760729166665</v>
      </c>
      <c r="I860" s="1">
        <v>44782.760729166665</v>
      </c>
      <c r="J860" t="s">
        <v>32</v>
      </c>
      <c r="K860" s="1">
        <v>44792.760729166665</v>
      </c>
      <c r="L860" t="s">
        <v>39</v>
      </c>
      <c r="N860" s="4">
        <v>44799.760729166665</v>
      </c>
      <c r="O860" t="s">
        <v>39</v>
      </c>
      <c r="R860" s="4">
        <v>44796.760729166665</v>
      </c>
      <c r="T860">
        <v>0</v>
      </c>
      <c r="AC860" s="2">
        <f t="shared" si="117"/>
        <v>2</v>
      </c>
      <c r="AD860" s="2">
        <f t="shared" si="118"/>
        <v>12</v>
      </c>
      <c r="AE860" s="2">
        <f t="shared" si="119"/>
        <v>10</v>
      </c>
      <c r="AF860" s="2">
        <f t="shared" si="120"/>
        <v>16</v>
      </c>
      <c r="AG860" s="2">
        <f t="shared" si="121"/>
        <v>4</v>
      </c>
      <c r="AH860" s="4">
        <f t="shared" si="122"/>
        <v>44886.760729166665</v>
      </c>
      <c r="AI860" s="2" t="str">
        <f t="shared" si="123"/>
        <v/>
      </c>
      <c r="AJ860" s="2" t="str">
        <f t="shared" si="124"/>
        <v/>
      </c>
      <c r="AK860" s="2" t="str">
        <f t="shared" si="125"/>
        <v/>
      </c>
    </row>
    <row r="861" spans="1:37" x14ac:dyDescent="0.25">
      <c r="A861">
        <v>589</v>
      </c>
      <c r="B861" t="s">
        <v>963</v>
      </c>
      <c r="C861" t="s">
        <v>806</v>
      </c>
      <c r="D861" t="s">
        <v>908</v>
      </c>
      <c r="E861" t="s">
        <v>267</v>
      </c>
      <c r="F861" t="s">
        <v>909</v>
      </c>
      <c r="G861" t="s">
        <v>269</v>
      </c>
      <c r="H861" s="1">
        <v>44891.41333333333</v>
      </c>
      <c r="I861" s="1">
        <v>44893.41333333333</v>
      </c>
      <c r="J861" t="s">
        <v>32</v>
      </c>
      <c r="K861" s="1">
        <v>44898.41333333333</v>
      </c>
      <c r="L861" t="s">
        <v>33</v>
      </c>
      <c r="M861" t="s">
        <v>34</v>
      </c>
      <c r="T861">
        <v>0</v>
      </c>
      <c r="Y861" t="s">
        <v>35</v>
      </c>
      <c r="AC861" s="2">
        <f t="shared" si="117"/>
        <v>2</v>
      </c>
      <c r="AD861" s="2">
        <f t="shared" si="118"/>
        <v>7</v>
      </c>
      <c r="AE861" s="2">
        <f t="shared" si="119"/>
        <v>5</v>
      </c>
      <c r="AF861" s="2" t="str">
        <f t="shared" si="120"/>
        <v/>
      </c>
      <c r="AG861" s="2" t="str">
        <f t="shared" si="121"/>
        <v/>
      </c>
      <c r="AH861" s="4" t="str">
        <f t="shared" si="122"/>
        <v/>
      </c>
      <c r="AI861" s="2" t="str">
        <f t="shared" si="123"/>
        <v/>
      </c>
      <c r="AJ861" s="2" t="str">
        <f t="shared" si="124"/>
        <v/>
      </c>
      <c r="AK861" s="2" t="str">
        <f t="shared" si="125"/>
        <v/>
      </c>
    </row>
    <row r="862" spans="1:37" x14ac:dyDescent="0.25">
      <c r="A862">
        <v>586</v>
      </c>
      <c r="B862" t="s">
        <v>964</v>
      </c>
      <c r="C862" t="s">
        <v>806</v>
      </c>
      <c r="D862" t="s">
        <v>908</v>
      </c>
      <c r="E862" t="s">
        <v>267</v>
      </c>
      <c r="F862" t="s">
        <v>909</v>
      </c>
      <c r="G862" t="s">
        <v>269</v>
      </c>
      <c r="H862" s="1">
        <v>44887.41333333333</v>
      </c>
      <c r="I862" s="1">
        <v>44891.41333333333</v>
      </c>
      <c r="J862" t="s">
        <v>32</v>
      </c>
      <c r="K862" s="1">
        <v>44899.41333333333</v>
      </c>
      <c r="L862" t="s">
        <v>33</v>
      </c>
      <c r="M862" t="s">
        <v>108</v>
      </c>
      <c r="R862" s="4">
        <v>44900.41333333333</v>
      </c>
      <c r="T862">
        <v>0</v>
      </c>
      <c r="Y862" t="s">
        <v>55</v>
      </c>
      <c r="AC862" s="2">
        <f t="shared" si="117"/>
        <v>4</v>
      </c>
      <c r="AD862" s="2">
        <f t="shared" si="118"/>
        <v>12</v>
      </c>
      <c r="AE862" s="2">
        <f t="shared" si="119"/>
        <v>8</v>
      </c>
      <c r="AF862" s="2">
        <f t="shared" si="120"/>
        <v>13</v>
      </c>
      <c r="AG862" s="2">
        <f t="shared" si="121"/>
        <v>1</v>
      </c>
      <c r="AH862" s="4">
        <f t="shared" si="122"/>
        <v>44990.41333333333</v>
      </c>
      <c r="AI862" s="2" t="str">
        <f t="shared" si="123"/>
        <v/>
      </c>
      <c r="AJ862" s="2" t="str">
        <f t="shared" si="124"/>
        <v/>
      </c>
      <c r="AK862" s="2" t="str">
        <f t="shared" si="125"/>
        <v/>
      </c>
    </row>
    <row r="863" spans="1:37" x14ac:dyDescent="0.25">
      <c r="A863">
        <v>585</v>
      </c>
      <c r="B863" t="s">
        <v>965</v>
      </c>
      <c r="C863" t="s">
        <v>806</v>
      </c>
      <c r="D863" t="s">
        <v>908</v>
      </c>
      <c r="E863" t="s">
        <v>267</v>
      </c>
      <c r="F863" t="s">
        <v>909</v>
      </c>
      <c r="G863" t="s">
        <v>269</v>
      </c>
      <c r="H863" s="1">
        <v>44892.41333333333</v>
      </c>
      <c r="I863" s="1">
        <v>44895.41333333333</v>
      </c>
      <c r="J863" t="s">
        <v>32</v>
      </c>
      <c r="K863" s="1">
        <v>44910.41333333333</v>
      </c>
      <c r="L863" t="s">
        <v>164</v>
      </c>
      <c r="N863" s="4">
        <v>44915.41333333333</v>
      </c>
      <c r="O863" t="s">
        <v>164</v>
      </c>
      <c r="R863" s="4">
        <v>44911.41333333333</v>
      </c>
      <c r="T863">
        <v>0</v>
      </c>
      <c r="AC863" s="2">
        <f t="shared" si="117"/>
        <v>3</v>
      </c>
      <c r="AD863" s="2">
        <f t="shared" si="118"/>
        <v>18</v>
      </c>
      <c r="AE863" s="2">
        <f t="shared" si="119"/>
        <v>15</v>
      </c>
      <c r="AF863" s="2">
        <f t="shared" si="120"/>
        <v>19</v>
      </c>
      <c r="AG863" s="2">
        <f t="shared" si="121"/>
        <v>1</v>
      </c>
      <c r="AH863" s="4">
        <f t="shared" si="122"/>
        <v>45001.41333333333</v>
      </c>
      <c r="AI863" s="2" t="str">
        <f t="shared" si="123"/>
        <v/>
      </c>
      <c r="AJ863" s="2" t="str">
        <f t="shared" si="124"/>
        <v/>
      </c>
      <c r="AK863" s="2" t="str">
        <f t="shared" si="125"/>
        <v/>
      </c>
    </row>
    <row r="864" spans="1:37" x14ac:dyDescent="0.25">
      <c r="A864">
        <v>584</v>
      </c>
      <c r="B864" t="s">
        <v>966</v>
      </c>
      <c r="C864" t="s">
        <v>806</v>
      </c>
      <c r="D864" t="s">
        <v>908</v>
      </c>
      <c r="E864" t="s">
        <v>267</v>
      </c>
      <c r="F864" t="s">
        <v>909</v>
      </c>
      <c r="G864" t="s">
        <v>269</v>
      </c>
      <c r="H864" s="1">
        <v>44891.41333333333</v>
      </c>
      <c r="I864" s="1">
        <v>44894.41333333333</v>
      </c>
      <c r="J864" t="s">
        <v>32</v>
      </c>
      <c r="K864" s="1">
        <v>44911.41333333333</v>
      </c>
      <c r="L864" t="s">
        <v>57</v>
      </c>
      <c r="N864" s="4">
        <v>44919.41333333333</v>
      </c>
      <c r="O864" t="s">
        <v>57</v>
      </c>
      <c r="P864" s="4">
        <v>44912.41333333333</v>
      </c>
      <c r="Q864" s="4">
        <v>44916.41333333333</v>
      </c>
      <c r="R864" s="4">
        <v>44915.41333333333</v>
      </c>
      <c r="S864" s="4">
        <v>44922.41333333333</v>
      </c>
      <c r="T864">
        <v>1</v>
      </c>
      <c r="U864" s="4">
        <v>44924.41333333333</v>
      </c>
      <c r="V864" s="4">
        <v>44926.41333333333</v>
      </c>
      <c r="W864" s="4">
        <v>44929.41333333333</v>
      </c>
      <c r="Z864" s="4">
        <v>44939.41333333333</v>
      </c>
      <c r="AC864" s="2">
        <f t="shared" si="117"/>
        <v>3</v>
      </c>
      <c r="AD864" s="2">
        <f t="shared" si="118"/>
        <v>20</v>
      </c>
      <c r="AE864" s="2">
        <f t="shared" si="119"/>
        <v>17</v>
      </c>
      <c r="AF864" s="2">
        <f t="shared" si="120"/>
        <v>24</v>
      </c>
      <c r="AG864" s="2">
        <f t="shared" si="121"/>
        <v>4</v>
      </c>
      <c r="AH864" s="4">
        <f t="shared" si="122"/>
        <v>45005.41333333333</v>
      </c>
      <c r="AI864" s="2">
        <f t="shared" si="123"/>
        <v>2</v>
      </c>
      <c r="AJ864" s="2">
        <f t="shared" si="124"/>
        <v>24</v>
      </c>
      <c r="AK864" s="2">
        <f t="shared" si="125"/>
        <v>14</v>
      </c>
    </row>
    <row r="865" spans="1:37" x14ac:dyDescent="0.25">
      <c r="A865">
        <v>581</v>
      </c>
      <c r="B865" t="s">
        <v>967</v>
      </c>
      <c r="C865" t="s">
        <v>806</v>
      </c>
      <c r="D865" t="s">
        <v>908</v>
      </c>
      <c r="E865" t="s">
        <v>267</v>
      </c>
      <c r="F865" t="s">
        <v>909</v>
      </c>
      <c r="G865" t="s">
        <v>269</v>
      </c>
      <c r="H865" s="1">
        <v>44886.41333333333</v>
      </c>
      <c r="I865" s="1">
        <v>44890.41333333333</v>
      </c>
      <c r="J865" t="s">
        <v>32</v>
      </c>
      <c r="K865" s="1">
        <v>44913.41333333333</v>
      </c>
      <c r="L865" t="s">
        <v>33</v>
      </c>
      <c r="M865" t="s">
        <v>51</v>
      </c>
      <c r="R865" s="4">
        <v>44917.41333333333</v>
      </c>
      <c r="T865">
        <v>0</v>
      </c>
      <c r="Y865" t="s">
        <v>55</v>
      </c>
      <c r="AC865" s="2">
        <f t="shared" si="117"/>
        <v>4</v>
      </c>
      <c r="AD865" s="2">
        <f t="shared" si="118"/>
        <v>27</v>
      </c>
      <c r="AE865" s="2">
        <f t="shared" si="119"/>
        <v>23</v>
      </c>
      <c r="AF865" s="2">
        <f t="shared" si="120"/>
        <v>31</v>
      </c>
      <c r="AG865" s="2">
        <f t="shared" si="121"/>
        <v>4</v>
      </c>
      <c r="AH865" s="4">
        <f t="shared" si="122"/>
        <v>45007.41333333333</v>
      </c>
      <c r="AI865" s="2" t="str">
        <f t="shared" si="123"/>
        <v/>
      </c>
      <c r="AJ865" s="2" t="str">
        <f t="shared" si="124"/>
        <v/>
      </c>
      <c r="AK865" s="2" t="str">
        <f t="shared" si="125"/>
        <v/>
      </c>
    </row>
    <row r="866" spans="1:37" x14ac:dyDescent="0.25">
      <c r="A866">
        <v>555</v>
      </c>
      <c r="B866" t="s">
        <v>968</v>
      </c>
      <c r="C866" t="s">
        <v>806</v>
      </c>
      <c r="D866" t="s">
        <v>908</v>
      </c>
      <c r="E866" t="s">
        <v>267</v>
      </c>
      <c r="F866" t="s">
        <v>909</v>
      </c>
      <c r="G866" t="s">
        <v>269</v>
      </c>
      <c r="H866" s="1">
        <v>45084.01053240741</v>
      </c>
      <c r="I866" s="1">
        <v>45088.01053240741</v>
      </c>
      <c r="J866" t="s">
        <v>32</v>
      </c>
      <c r="K866" s="1">
        <v>45102.01053240741</v>
      </c>
      <c r="L866" t="s">
        <v>39</v>
      </c>
      <c r="N866" s="4">
        <v>45106.01053240741</v>
      </c>
      <c r="O866" t="s">
        <v>39</v>
      </c>
      <c r="R866" s="4">
        <v>45103.01053240741</v>
      </c>
      <c r="T866">
        <v>0</v>
      </c>
      <c r="AC866" s="2">
        <f t="shared" si="117"/>
        <v>4</v>
      </c>
      <c r="AD866" s="2">
        <f t="shared" si="118"/>
        <v>18</v>
      </c>
      <c r="AE866" s="2">
        <f t="shared" si="119"/>
        <v>14</v>
      </c>
      <c r="AF866" s="2">
        <f t="shared" si="120"/>
        <v>19</v>
      </c>
      <c r="AG866" s="2">
        <f t="shared" si="121"/>
        <v>1</v>
      </c>
      <c r="AH866" s="4">
        <f t="shared" si="122"/>
        <v>45193.01053240741</v>
      </c>
      <c r="AI866" s="2" t="str">
        <f t="shared" si="123"/>
        <v/>
      </c>
      <c r="AJ866" s="2" t="str">
        <f t="shared" si="124"/>
        <v/>
      </c>
      <c r="AK866" s="2" t="str">
        <f t="shared" si="125"/>
        <v/>
      </c>
    </row>
    <row r="867" spans="1:37" x14ac:dyDescent="0.25">
      <c r="A867">
        <v>542</v>
      </c>
      <c r="B867" t="s">
        <v>969</v>
      </c>
      <c r="C867" t="s">
        <v>806</v>
      </c>
      <c r="D867" t="s">
        <v>908</v>
      </c>
      <c r="E867" t="s">
        <v>267</v>
      </c>
      <c r="F867" t="s">
        <v>909</v>
      </c>
      <c r="G867" t="s">
        <v>269</v>
      </c>
      <c r="H867" s="1">
        <v>44959.651087962964</v>
      </c>
      <c r="I867" s="1">
        <v>44963.651087962964</v>
      </c>
      <c r="J867" t="s">
        <v>44</v>
      </c>
      <c r="K867" s="1"/>
      <c r="T867">
        <v>0</v>
      </c>
      <c r="AC867" s="2">
        <f t="shared" si="117"/>
        <v>4</v>
      </c>
      <c r="AD867" s="2" t="str">
        <f t="shared" si="118"/>
        <v/>
      </c>
      <c r="AE867" s="2" t="str">
        <f t="shared" si="119"/>
        <v/>
      </c>
      <c r="AF867" s="2" t="str">
        <f t="shared" si="120"/>
        <v/>
      </c>
      <c r="AG867" s="2" t="str">
        <f t="shared" si="121"/>
        <v/>
      </c>
      <c r="AH867" s="4" t="str">
        <f t="shared" si="122"/>
        <v/>
      </c>
      <c r="AI867" s="2" t="str">
        <f t="shared" si="123"/>
        <v/>
      </c>
      <c r="AJ867" s="2" t="str">
        <f t="shared" si="124"/>
        <v/>
      </c>
      <c r="AK867" s="2" t="str">
        <f t="shared" si="125"/>
        <v/>
      </c>
    </row>
    <row r="868" spans="1:37" x14ac:dyDescent="0.25">
      <c r="A868">
        <v>529</v>
      </c>
      <c r="B868" t="s">
        <v>970</v>
      </c>
      <c r="C868" t="s">
        <v>806</v>
      </c>
      <c r="D868" t="s">
        <v>908</v>
      </c>
      <c r="E868" t="s">
        <v>267</v>
      </c>
      <c r="F868" t="s">
        <v>909</v>
      </c>
      <c r="G868" t="s">
        <v>269</v>
      </c>
      <c r="H868" s="1">
        <v>44604.83390046296</v>
      </c>
      <c r="I868" s="1">
        <v>44606.83390046296</v>
      </c>
      <c r="J868" t="s">
        <v>32</v>
      </c>
      <c r="K868" s="1">
        <v>44614.83390046296</v>
      </c>
      <c r="L868" t="s">
        <v>33</v>
      </c>
      <c r="M868" t="s">
        <v>34</v>
      </c>
      <c r="R868" s="4">
        <v>44618.83390046296</v>
      </c>
      <c r="T868">
        <v>0</v>
      </c>
      <c r="Y868" t="s">
        <v>35</v>
      </c>
      <c r="AC868" s="2">
        <f t="shared" si="117"/>
        <v>2</v>
      </c>
      <c r="AD868" s="2">
        <f t="shared" si="118"/>
        <v>10</v>
      </c>
      <c r="AE868" s="2">
        <f t="shared" si="119"/>
        <v>8</v>
      </c>
      <c r="AF868" s="2">
        <f t="shared" si="120"/>
        <v>14</v>
      </c>
      <c r="AG868" s="2">
        <f t="shared" si="121"/>
        <v>4</v>
      </c>
      <c r="AH868" s="4">
        <f t="shared" si="122"/>
        <v>44708.83390046296</v>
      </c>
      <c r="AI868" s="2" t="str">
        <f t="shared" si="123"/>
        <v/>
      </c>
      <c r="AJ868" s="2" t="str">
        <f t="shared" si="124"/>
        <v/>
      </c>
      <c r="AK868" s="2" t="str">
        <f t="shared" si="125"/>
        <v/>
      </c>
    </row>
    <row r="869" spans="1:37" x14ac:dyDescent="0.25">
      <c r="A869">
        <v>526</v>
      </c>
      <c r="B869" t="s">
        <v>971</v>
      </c>
      <c r="C869" t="s">
        <v>806</v>
      </c>
      <c r="D869" t="s">
        <v>908</v>
      </c>
      <c r="E869" t="s">
        <v>267</v>
      </c>
      <c r="F869" t="s">
        <v>909</v>
      </c>
      <c r="G869" t="s">
        <v>269</v>
      </c>
      <c r="H869" s="1">
        <v>44602.83390046296</v>
      </c>
      <c r="I869" s="1">
        <v>44605.83390046296</v>
      </c>
      <c r="J869" t="s">
        <v>44</v>
      </c>
      <c r="K869" s="1"/>
      <c r="T869">
        <v>0</v>
      </c>
      <c r="AC869" s="2">
        <f t="shared" si="117"/>
        <v>3</v>
      </c>
      <c r="AD869" s="2" t="str">
        <f t="shared" si="118"/>
        <v/>
      </c>
      <c r="AE869" s="2" t="str">
        <f t="shared" si="119"/>
        <v/>
      </c>
      <c r="AF869" s="2" t="str">
        <f t="shared" si="120"/>
        <v/>
      </c>
      <c r="AG869" s="2" t="str">
        <f t="shared" si="121"/>
        <v/>
      </c>
      <c r="AH869" s="4" t="str">
        <f t="shared" si="122"/>
        <v/>
      </c>
      <c r="AI869" s="2" t="str">
        <f t="shared" si="123"/>
        <v/>
      </c>
      <c r="AJ869" s="2" t="str">
        <f t="shared" si="124"/>
        <v/>
      </c>
      <c r="AK869" s="2" t="str">
        <f t="shared" si="125"/>
        <v/>
      </c>
    </row>
    <row r="870" spans="1:37" x14ac:dyDescent="0.25">
      <c r="A870">
        <v>2908</v>
      </c>
      <c r="B870" t="s">
        <v>972</v>
      </c>
      <c r="C870" t="s">
        <v>806</v>
      </c>
      <c r="D870" t="s">
        <v>973</v>
      </c>
      <c r="E870" t="s">
        <v>29</v>
      </c>
      <c r="F870" t="s">
        <v>883</v>
      </c>
      <c r="G870" t="s">
        <v>31</v>
      </c>
      <c r="H870" s="1">
        <v>44615.299814814818</v>
      </c>
      <c r="I870" s="1">
        <v>44617.299814814818</v>
      </c>
      <c r="J870" t="s">
        <v>32</v>
      </c>
      <c r="K870" s="1">
        <v>44637.299814814818</v>
      </c>
      <c r="L870" t="s">
        <v>57</v>
      </c>
      <c r="N870" s="4">
        <v>44642.299814814818</v>
      </c>
      <c r="O870" t="s">
        <v>57</v>
      </c>
      <c r="P870" s="4">
        <v>44638.299814814818</v>
      </c>
      <c r="Q870" s="4">
        <v>44640.299814814818</v>
      </c>
      <c r="R870" s="4">
        <v>44641.299814814818</v>
      </c>
      <c r="S870" s="4">
        <v>44647.299814814818</v>
      </c>
      <c r="T870">
        <v>1</v>
      </c>
      <c r="U870" s="4">
        <v>44649.299814814818</v>
      </c>
      <c r="V870" s="4">
        <v>44651.299814814818</v>
      </c>
      <c r="W870" s="4">
        <v>44652.299814814818</v>
      </c>
      <c r="Z870" s="4">
        <v>44667.299814814818</v>
      </c>
      <c r="AC870" s="2">
        <f t="shared" si="117"/>
        <v>2</v>
      </c>
      <c r="AD870" s="2">
        <f t="shared" si="118"/>
        <v>22</v>
      </c>
      <c r="AE870" s="2">
        <f t="shared" si="119"/>
        <v>20</v>
      </c>
      <c r="AF870" s="2">
        <f t="shared" si="120"/>
        <v>26</v>
      </c>
      <c r="AG870" s="2">
        <f t="shared" si="121"/>
        <v>4</v>
      </c>
      <c r="AH870" s="4">
        <f t="shared" si="122"/>
        <v>44731.299814814818</v>
      </c>
      <c r="AI870" s="2">
        <f t="shared" si="123"/>
        <v>2</v>
      </c>
      <c r="AJ870" s="2">
        <f t="shared" si="124"/>
        <v>26</v>
      </c>
      <c r="AK870" s="2">
        <f t="shared" si="125"/>
        <v>11</v>
      </c>
    </row>
    <row r="871" spans="1:37" x14ac:dyDescent="0.25">
      <c r="A871">
        <v>2906</v>
      </c>
      <c r="B871" t="s">
        <v>974</v>
      </c>
      <c r="C871" t="s">
        <v>806</v>
      </c>
      <c r="D871" t="s">
        <v>973</v>
      </c>
      <c r="E871" t="s">
        <v>29</v>
      </c>
      <c r="F871" t="s">
        <v>883</v>
      </c>
      <c r="G871" t="s">
        <v>31</v>
      </c>
      <c r="H871" s="1">
        <v>44615.299814814818</v>
      </c>
      <c r="I871" s="1">
        <v>44618.299814814818</v>
      </c>
      <c r="J871" t="s">
        <v>32</v>
      </c>
      <c r="K871" s="1">
        <v>44629.299814814818</v>
      </c>
      <c r="L871" t="s">
        <v>39</v>
      </c>
      <c r="N871" s="4">
        <v>44634.299814814818</v>
      </c>
      <c r="O871" t="s">
        <v>39</v>
      </c>
      <c r="R871" s="4">
        <v>44632.299814814818</v>
      </c>
      <c r="T871">
        <v>0</v>
      </c>
      <c r="AC871" s="2">
        <f t="shared" si="117"/>
        <v>3</v>
      </c>
      <c r="AD871" s="2">
        <f t="shared" si="118"/>
        <v>14</v>
      </c>
      <c r="AE871" s="2">
        <f t="shared" si="119"/>
        <v>11</v>
      </c>
      <c r="AF871" s="2">
        <f t="shared" si="120"/>
        <v>17</v>
      </c>
      <c r="AG871" s="2">
        <f t="shared" si="121"/>
        <v>3</v>
      </c>
      <c r="AH871" s="4">
        <f t="shared" si="122"/>
        <v>44722.299814814818</v>
      </c>
      <c r="AI871" s="2" t="str">
        <f t="shared" si="123"/>
        <v/>
      </c>
      <c r="AJ871" s="2" t="str">
        <f t="shared" si="124"/>
        <v/>
      </c>
      <c r="AK871" s="2" t="str">
        <f t="shared" si="125"/>
        <v/>
      </c>
    </row>
    <row r="872" spans="1:37" x14ac:dyDescent="0.25">
      <c r="A872">
        <v>2904</v>
      </c>
      <c r="B872" t="s">
        <v>975</v>
      </c>
      <c r="C872" t="s">
        <v>806</v>
      </c>
      <c r="D872" t="s">
        <v>973</v>
      </c>
      <c r="E872" t="s">
        <v>29</v>
      </c>
      <c r="F872" t="s">
        <v>883</v>
      </c>
      <c r="G872" t="s">
        <v>31</v>
      </c>
      <c r="H872" s="1">
        <v>44620.299814814818</v>
      </c>
      <c r="I872" s="1">
        <v>44621.299814814818</v>
      </c>
      <c r="J872" t="s">
        <v>44</v>
      </c>
      <c r="K872" s="1"/>
      <c r="T872">
        <v>0</v>
      </c>
      <c r="AC872" s="2">
        <f t="shared" si="117"/>
        <v>1</v>
      </c>
      <c r="AD872" s="2" t="str">
        <f t="shared" si="118"/>
        <v/>
      </c>
      <c r="AE872" s="2" t="str">
        <f t="shared" si="119"/>
        <v/>
      </c>
      <c r="AF872" s="2" t="str">
        <f t="shared" si="120"/>
        <v/>
      </c>
      <c r="AG872" s="2" t="str">
        <f t="shared" si="121"/>
        <v/>
      </c>
      <c r="AH872" s="4" t="str">
        <f t="shared" si="122"/>
        <v/>
      </c>
      <c r="AI872" s="2" t="str">
        <f t="shared" si="123"/>
        <v/>
      </c>
      <c r="AJ872" s="2" t="str">
        <f t="shared" si="124"/>
        <v/>
      </c>
      <c r="AK872" s="2" t="str">
        <f t="shared" si="125"/>
        <v/>
      </c>
    </row>
    <row r="873" spans="1:37" x14ac:dyDescent="0.25">
      <c r="A873">
        <v>2812</v>
      </c>
      <c r="B873" t="s">
        <v>976</v>
      </c>
      <c r="C873" t="s">
        <v>806</v>
      </c>
      <c r="D873" t="s">
        <v>973</v>
      </c>
      <c r="E873" t="s">
        <v>29</v>
      </c>
      <c r="F873" t="s">
        <v>883</v>
      </c>
      <c r="G873" t="s">
        <v>31</v>
      </c>
      <c r="H873" s="1">
        <v>44891.862592592595</v>
      </c>
      <c r="I873" s="1">
        <v>44894.862592592595</v>
      </c>
      <c r="J873" t="s">
        <v>32</v>
      </c>
      <c r="K873" s="1">
        <v>44905.862592592595</v>
      </c>
      <c r="L873" t="s">
        <v>33</v>
      </c>
      <c r="M873" t="s">
        <v>92</v>
      </c>
      <c r="T873">
        <v>0</v>
      </c>
      <c r="Y873" t="s">
        <v>55</v>
      </c>
      <c r="AC873" s="2">
        <f t="shared" si="117"/>
        <v>3</v>
      </c>
      <c r="AD873" s="2">
        <f t="shared" si="118"/>
        <v>14</v>
      </c>
      <c r="AE873" s="2">
        <f t="shared" si="119"/>
        <v>11</v>
      </c>
      <c r="AF873" s="2" t="str">
        <f t="shared" si="120"/>
        <v/>
      </c>
      <c r="AG873" s="2" t="str">
        <f t="shared" si="121"/>
        <v/>
      </c>
      <c r="AH873" s="4" t="str">
        <f t="shared" si="122"/>
        <v/>
      </c>
      <c r="AI873" s="2" t="str">
        <f t="shared" si="123"/>
        <v/>
      </c>
      <c r="AJ873" s="2" t="str">
        <f t="shared" si="124"/>
        <v/>
      </c>
      <c r="AK873" s="2" t="str">
        <f t="shared" si="125"/>
        <v/>
      </c>
    </row>
    <row r="874" spans="1:37" x14ac:dyDescent="0.25">
      <c r="A874">
        <v>2720</v>
      </c>
      <c r="B874" t="s">
        <v>977</v>
      </c>
      <c r="C874" t="s">
        <v>806</v>
      </c>
      <c r="D874" t="s">
        <v>973</v>
      </c>
      <c r="E874" t="s">
        <v>29</v>
      </c>
      <c r="F874" t="s">
        <v>883</v>
      </c>
      <c r="G874" t="s">
        <v>31</v>
      </c>
      <c r="H874" s="1">
        <v>44952.0546412037</v>
      </c>
      <c r="I874" s="1">
        <v>44956.0546412037</v>
      </c>
      <c r="J874" t="s">
        <v>32</v>
      </c>
      <c r="K874" s="1">
        <v>44973.0546412037</v>
      </c>
      <c r="L874" t="s">
        <v>39</v>
      </c>
      <c r="N874" s="4">
        <v>44980.0546412037</v>
      </c>
      <c r="O874" t="s">
        <v>39</v>
      </c>
      <c r="R874" s="4">
        <v>44977.0546412037</v>
      </c>
      <c r="T874">
        <v>0</v>
      </c>
      <c r="AC874" s="2">
        <f t="shared" si="117"/>
        <v>4</v>
      </c>
      <c r="AD874" s="2">
        <f t="shared" si="118"/>
        <v>21</v>
      </c>
      <c r="AE874" s="2">
        <f t="shared" si="119"/>
        <v>17</v>
      </c>
      <c r="AF874" s="2">
        <f t="shared" si="120"/>
        <v>25</v>
      </c>
      <c r="AG874" s="2">
        <f t="shared" si="121"/>
        <v>4</v>
      </c>
      <c r="AH874" s="4">
        <f t="shared" si="122"/>
        <v>45067.0546412037</v>
      </c>
      <c r="AI874" s="2" t="str">
        <f t="shared" si="123"/>
        <v/>
      </c>
      <c r="AJ874" s="2" t="str">
        <f t="shared" si="124"/>
        <v/>
      </c>
      <c r="AK874" s="2" t="str">
        <f t="shared" si="125"/>
        <v/>
      </c>
    </row>
    <row r="875" spans="1:37" x14ac:dyDescent="0.25">
      <c r="A875">
        <v>2719</v>
      </c>
      <c r="B875" t="s">
        <v>978</v>
      </c>
      <c r="C875" t="s">
        <v>806</v>
      </c>
      <c r="D875" t="s">
        <v>973</v>
      </c>
      <c r="E875" t="s">
        <v>29</v>
      </c>
      <c r="F875" t="s">
        <v>883</v>
      </c>
      <c r="G875" t="s">
        <v>31</v>
      </c>
      <c r="H875" s="1">
        <v>44952.0546412037</v>
      </c>
      <c r="I875" s="1">
        <v>44956.0546412037</v>
      </c>
      <c r="J875" t="s">
        <v>32</v>
      </c>
      <c r="K875" s="1">
        <v>44962.0546412037</v>
      </c>
      <c r="L875" t="s">
        <v>39</v>
      </c>
      <c r="N875" s="4">
        <v>44964.0546412037</v>
      </c>
      <c r="O875" t="s">
        <v>39</v>
      </c>
      <c r="R875" s="4">
        <v>44963.0546412037</v>
      </c>
      <c r="T875">
        <v>0</v>
      </c>
      <c r="AC875" s="2">
        <f t="shared" si="117"/>
        <v>4</v>
      </c>
      <c r="AD875" s="2">
        <f t="shared" si="118"/>
        <v>10</v>
      </c>
      <c r="AE875" s="2">
        <f t="shared" si="119"/>
        <v>6</v>
      </c>
      <c r="AF875" s="2">
        <f t="shared" si="120"/>
        <v>11</v>
      </c>
      <c r="AG875" s="2">
        <f t="shared" si="121"/>
        <v>1</v>
      </c>
      <c r="AH875" s="4">
        <f t="shared" si="122"/>
        <v>45053.0546412037</v>
      </c>
      <c r="AI875" s="2" t="str">
        <f t="shared" si="123"/>
        <v/>
      </c>
      <c r="AJ875" s="2" t="str">
        <f t="shared" si="124"/>
        <v/>
      </c>
      <c r="AK875" s="2" t="str">
        <f t="shared" si="125"/>
        <v/>
      </c>
    </row>
    <row r="876" spans="1:37" x14ac:dyDescent="0.25">
      <c r="A876">
        <v>2693</v>
      </c>
      <c r="B876" t="s">
        <v>979</v>
      </c>
      <c r="C876" t="s">
        <v>806</v>
      </c>
      <c r="D876" t="s">
        <v>973</v>
      </c>
      <c r="E876" t="s">
        <v>29</v>
      </c>
      <c r="F876" t="s">
        <v>883</v>
      </c>
      <c r="G876" t="s">
        <v>31</v>
      </c>
      <c r="H876" s="1">
        <v>45017.99291666667</v>
      </c>
      <c r="I876" s="1">
        <v>45019.99291666667</v>
      </c>
      <c r="J876" t="s">
        <v>32</v>
      </c>
      <c r="K876" s="1">
        <v>45035.99291666667</v>
      </c>
      <c r="L876" t="s">
        <v>164</v>
      </c>
      <c r="N876" s="4">
        <v>45039.99291666667</v>
      </c>
      <c r="O876" t="s">
        <v>164</v>
      </c>
      <c r="R876" s="4">
        <v>45036.99291666667</v>
      </c>
      <c r="T876">
        <v>0</v>
      </c>
      <c r="AC876" s="2">
        <f t="shared" si="117"/>
        <v>2</v>
      </c>
      <c r="AD876" s="2">
        <f t="shared" si="118"/>
        <v>18</v>
      </c>
      <c r="AE876" s="2">
        <f t="shared" si="119"/>
        <v>16</v>
      </c>
      <c r="AF876" s="2">
        <f t="shared" si="120"/>
        <v>19</v>
      </c>
      <c r="AG876" s="2">
        <f t="shared" si="121"/>
        <v>1</v>
      </c>
      <c r="AH876" s="4">
        <f t="shared" si="122"/>
        <v>45126.99291666667</v>
      </c>
      <c r="AI876" s="2" t="str">
        <f t="shared" si="123"/>
        <v/>
      </c>
      <c r="AJ876" s="2" t="str">
        <f t="shared" si="124"/>
        <v/>
      </c>
      <c r="AK876" s="2" t="str">
        <f t="shared" si="125"/>
        <v/>
      </c>
    </row>
    <row r="877" spans="1:37" x14ac:dyDescent="0.25">
      <c r="A877">
        <v>2659</v>
      </c>
      <c r="B877" t="s">
        <v>980</v>
      </c>
      <c r="C877" t="s">
        <v>806</v>
      </c>
      <c r="D877" t="s">
        <v>973</v>
      </c>
      <c r="E877" t="s">
        <v>29</v>
      </c>
      <c r="F877" t="s">
        <v>883</v>
      </c>
      <c r="G877" t="s">
        <v>31</v>
      </c>
      <c r="H877" s="1">
        <v>44599.417025462964</v>
      </c>
      <c r="I877" s="1">
        <v>44600.417025462964</v>
      </c>
      <c r="J877" t="s">
        <v>32</v>
      </c>
      <c r="K877" s="1">
        <v>44618.417025462964</v>
      </c>
      <c r="L877" t="s">
        <v>39</v>
      </c>
      <c r="N877" s="4">
        <v>44624.417025462964</v>
      </c>
      <c r="O877" t="s">
        <v>39</v>
      </c>
      <c r="R877" s="4">
        <v>44622.417025462964</v>
      </c>
      <c r="T877">
        <v>0</v>
      </c>
      <c r="AC877" s="2">
        <f t="shared" si="117"/>
        <v>1</v>
      </c>
      <c r="AD877" s="2">
        <f t="shared" si="118"/>
        <v>19</v>
      </c>
      <c r="AE877" s="2">
        <f t="shared" si="119"/>
        <v>18</v>
      </c>
      <c r="AF877" s="2">
        <f t="shared" si="120"/>
        <v>23</v>
      </c>
      <c r="AG877" s="2">
        <f t="shared" si="121"/>
        <v>4</v>
      </c>
      <c r="AH877" s="4">
        <f t="shared" si="122"/>
        <v>44712.417025462964</v>
      </c>
      <c r="AI877" s="2" t="str">
        <f t="shared" si="123"/>
        <v/>
      </c>
      <c r="AJ877" s="2" t="str">
        <f t="shared" si="124"/>
        <v/>
      </c>
      <c r="AK877" s="2" t="str">
        <f t="shared" si="125"/>
        <v/>
      </c>
    </row>
    <row r="878" spans="1:37" x14ac:dyDescent="0.25">
      <c r="A878">
        <v>2658</v>
      </c>
      <c r="B878" t="s">
        <v>981</v>
      </c>
      <c r="C878" t="s">
        <v>806</v>
      </c>
      <c r="D878" t="s">
        <v>973</v>
      </c>
      <c r="E878" t="s">
        <v>29</v>
      </c>
      <c r="F878" t="s">
        <v>883</v>
      </c>
      <c r="G878" t="s">
        <v>31</v>
      </c>
      <c r="H878" s="1">
        <v>44600.417025462964</v>
      </c>
      <c r="I878" s="1">
        <v>44602.417025462964</v>
      </c>
      <c r="J878" t="s">
        <v>32</v>
      </c>
      <c r="K878" s="1">
        <v>44606.417025462964</v>
      </c>
      <c r="L878" t="s">
        <v>57</v>
      </c>
      <c r="N878" s="4">
        <v>44611.417025462964</v>
      </c>
      <c r="O878" t="s">
        <v>57</v>
      </c>
      <c r="P878" s="4">
        <v>44608.417025462964</v>
      </c>
      <c r="Q878" s="4">
        <v>44612.417025462964</v>
      </c>
      <c r="R878" s="4">
        <v>44608.417025462964</v>
      </c>
      <c r="S878" s="4">
        <v>44617.417025462964</v>
      </c>
      <c r="T878">
        <v>1</v>
      </c>
      <c r="U878" s="4">
        <v>44621.417025462964</v>
      </c>
      <c r="V878" s="4">
        <v>44622.417025462964</v>
      </c>
      <c r="W878" s="4">
        <v>44625.417025462964</v>
      </c>
      <c r="Z878" s="4">
        <v>44638.417025462964</v>
      </c>
      <c r="AC878" s="2">
        <f t="shared" si="117"/>
        <v>2</v>
      </c>
      <c r="AD878" s="2">
        <f t="shared" si="118"/>
        <v>6</v>
      </c>
      <c r="AE878" s="2">
        <f t="shared" si="119"/>
        <v>4</v>
      </c>
      <c r="AF878" s="2">
        <f t="shared" si="120"/>
        <v>8</v>
      </c>
      <c r="AG878" s="2">
        <f t="shared" si="121"/>
        <v>2</v>
      </c>
      <c r="AH878" s="4">
        <f t="shared" si="122"/>
        <v>44698.417025462964</v>
      </c>
      <c r="AI878" s="2">
        <f t="shared" si="123"/>
        <v>4</v>
      </c>
      <c r="AJ878" s="2">
        <f t="shared" si="124"/>
        <v>30</v>
      </c>
      <c r="AK878" s="2">
        <f t="shared" si="125"/>
        <v>17</v>
      </c>
    </row>
    <row r="879" spans="1:37" x14ac:dyDescent="0.25">
      <c r="A879">
        <v>2656</v>
      </c>
      <c r="B879" t="s">
        <v>982</v>
      </c>
      <c r="C879" t="s">
        <v>806</v>
      </c>
      <c r="D879" t="s">
        <v>973</v>
      </c>
      <c r="E879" t="s">
        <v>29</v>
      </c>
      <c r="F879" t="s">
        <v>883</v>
      </c>
      <c r="G879" t="s">
        <v>31</v>
      </c>
      <c r="H879" s="1">
        <v>44601.417025462964</v>
      </c>
      <c r="I879" s="1">
        <v>44603.417025462964</v>
      </c>
      <c r="J879" t="s">
        <v>32</v>
      </c>
      <c r="K879" s="1">
        <v>44612.417025462964</v>
      </c>
      <c r="L879" t="s">
        <v>57</v>
      </c>
      <c r="N879" s="4">
        <v>44618.417025462964</v>
      </c>
      <c r="O879" t="s">
        <v>57</v>
      </c>
      <c r="P879" s="4">
        <v>44613.417025462964</v>
      </c>
      <c r="Q879" s="4">
        <v>44615.417025462964</v>
      </c>
      <c r="R879" s="4">
        <v>44614.417025462964</v>
      </c>
      <c r="S879" s="4">
        <v>44617.417025462964</v>
      </c>
      <c r="T879">
        <v>1</v>
      </c>
      <c r="U879" s="4">
        <v>44618.417025462964</v>
      </c>
      <c r="V879" s="4">
        <v>44619.417025462964</v>
      </c>
      <c r="W879" s="4">
        <v>44622.417025462964</v>
      </c>
      <c r="Z879" s="4">
        <v>44637.417025462964</v>
      </c>
      <c r="AC879" s="2">
        <f t="shared" si="117"/>
        <v>2</v>
      </c>
      <c r="AD879" s="2">
        <f t="shared" si="118"/>
        <v>11</v>
      </c>
      <c r="AE879" s="2">
        <f t="shared" si="119"/>
        <v>9</v>
      </c>
      <c r="AF879" s="2">
        <f t="shared" si="120"/>
        <v>13</v>
      </c>
      <c r="AG879" s="2">
        <f t="shared" si="121"/>
        <v>2</v>
      </c>
      <c r="AH879" s="4">
        <f t="shared" si="122"/>
        <v>44704.417025462964</v>
      </c>
      <c r="AI879" s="2">
        <f t="shared" si="123"/>
        <v>1</v>
      </c>
      <c r="AJ879" s="2">
        <f t="shared" si="124"/>
        <v>23</v>
      </c>
      <c r="AK879" s="2">
        <f t="shared" si="125"/>
        <v>8</v>
      </c>
    </row>
    <row r="880" spans="1:37" x14ac:dyDescent="0.25">
      <c r="A880">
        <v>2655</v>
      </c>
      <c r="B880" t="s">
        <v>983</v>
      </c>
      <c r="C880" t="s">
        <v>806</v>
      </c>
      <c r="D880" t="s">
        <v>973</v>
      </c>
      <c r="E880" t="s">
        <v>29</v>
      </c>
      <c r="F880" t="s">
        <v>883</v>
      </c>
      <c r="G880" t="s">
        <v>31</v>
      </c>
      <c r="H880" s="1">
        <v>44599.417025462964</v>
      </c>
      <c r="I880" s="1">
        <v>44601.417025462964</v>
      </c>
      <c r="J880" t="s">
        <v>32</v>
      </c>
      <c r="K880" s="1">
        <v>44609.417025462964</v>
      </c>
      <c r="L880" t="s">
        <v>57</v>
      </c>
      <c r="N880" s="4">
        <v>44613.417025462964</v>
      </c>
      <c r="O880" t="s">
        <v>57</v>
      </c>
      <c r="P880" s="4">
        <v>44610.417025462964</v>
      </c>
      <c r="Q880" s="4">
        <v>44611.417025462964</v>
      </c>
      <c r="R880" s="4">
        <v>44610.417025462964</v>
      </c>
      <c r="S880" s="4">
        <v>44620.417025462964</v>
      </c>
      <c r="T880">
        <v>1</v>
      </c>
      <c r="U880" s="4">
        <v>44623.417025462964</v>
      </c>
      <c r="V880" s="4">
        <v>44626.417025462964</v>
      </c>
      <c r="W880" s="4">
        <v>44629.417025462964</v>
      </c>
      <c r="Z880" s="4">
        <v>44639.417025462964</v>
      </c>
      <c r="AC880" s="2">
        <f t="shared" si="117"/>
        <v>2</v>
      </c>
      <c r="AD880" s="2">
        <f t="shared" si="118"/>
        <v>10</v>
      </c>
      <c r="AE880" s="2">
        <f t="shared" si="119"/>
        <v>8</v>
      </c>
      <c r="AF880" s="2">
        <f t="shared" si="120"/>
        <v>11</v>
      </c>
      <c r="AG880" s="2">
        <f t="shared" si="121"/>
        <v>1</v>
      </c>
      <c r="AH880" s="4">
        <f t="shared" si="122"/>
        <v>44700.417025462964</v>
      </c>
      <c r="AI880" s="2">
        <f t="shared" si="123"/>
        <v>3</v>
      </c>
      <c r="AJ880" s="2">
        <f t="shared" si="124"/>
        <v>29</v>
      </c>
      <c r="AK880" s="2">
        <f t="shared" si="125"/>
        <v>19</v>
      </c>
    </row>
    <row r="881" spans="1:37" x14ac:dyDescent="0.25">
      <c r="A881">
        <v>2610</v>
      </c>
      <c r="B881" t="s">
        <v>984</v>
      </c>
      <c r="C881" t="s">
        <v>806</v>
      </c>
      <c r="D881" t="s">
        <v>973</v>
      </c>
      <c r="E881" t="s">
        <v>388</v>
      </c>
      <c r="F881" t="s">
        <v>985</v>
      </c>
      <c r="G881" t="s">
        <v>31</v>
      </c>
      <c r="H881" s="1">
        <v>45041.692673611113</v>
      </c>
      <c r="I881" s="1">
        <v>45042.692673611113</v>
      </c>
      <c r="J881" t="s">
        <v>32</v>
      </c>
      <c r="K881" s="1">
        <v>45058.692673611113</v>
      </c>
      <c r="L881" t="s">
        <v>39</v>
      </c>
      <c r="N881" s="4">
        <v>45064.692673611113</v>
      </c>
      <c r="O881" t="s">
        <v>39</v>
      </c>
      <c r="R881" s="4">
        <v>45062.692673611113</v>
      </c>
      <c r="T881">
        <v>0</v>
      </c>
      <c r="AC881" s="2">
        <f t="shared" si="117"/>
        <v>1</v>
      </c>
      <c r="AD881" s="2">
        <f t="shared" si="118"/>
        <v>17</v>
      </c>
      <c r="AE881" s="2">
        <f t="shared" si="119"/>
        <v>16</v>
      </c>
      <c r="AF881" s="2">
        <f t="shared" si="120"/>
        <v>21</v>
      </c>
      <c r="AG881" s="2">
        <f t="shared" si="121"/>
        <v>4</v>
      </c>
      <c r="AH881" s="4">
        <f t="shared" si="122"/>
        <v>45152.692673611113</v>
      </c>
      <c r="AI881" s="2" t="str">
        <f t="shared" si="123"/>
        <v/>
      </c>
      <c r="AJ881" s="2" t="str">
        <f t="shared" si="124"/>
        <v/>
      </c>
      <c r="AK881" s="2" t="str">
        <f t="shared" si="125"/>
        <v/>
      </c>
    </row>
    <row r="882" spans="1:37" x14ac:dyDescent="0.25">
      <c r="A882">
        <v>2609</v>
      </c>
      <c r="B882" t="s">
        <v>986</v>
      </c>
      <c r="C882" t="s">
        <v>806</v>
      </c>
      <c r="D882" t="s">
        <v>973</v>
      </c>
      <c r="E882" t="s">
        <v>388</v>
      </c>
      <c r="F882" t="s">
        <v>985</v>
      </c>
      <c r="G882" t="s">
        <v>31</v>
      </c>
      <c r="H882" s="1">
        <v>45037.692673611113</v>
      </c>
      <c r="I882" s="1">
        <v>45040.692673611113</v>
      </c>
      <c r="J882" t="s">
        <v>32</v>
      </c>
      <c r="K882" s="1">
        <v>45056.692673611113</v>
      </c>
      <c r="L882" t="s">
        <v>39</v>
      </c>
      <c r="N882" s="4">
        <v>45061.692673611113</v>
      </c>
      <c r="O882" t="s">
        <v>39</v>
      </c>
      <c r="R882" s="4">
        <v>45057.692673611113</v>
      </c>
      <c r="T882">
        <v>0</v>
      </c>
      <c r="AC882" s="2">
        <f t="shared" si="117"/>
        <v>3</v>
      </c>
      <c r="AD882" s="2">
        <f t="shared" si="118"/>
        <v>19</v>
      </c>
      <c r="AE882" s="2">
        <f t="shared" si="119"/>
        <v>16</v>
      </c>
      <c r="AF882" s="2">
        <f t="shared" si="120"/>
        <v>20</v>
      </c>
      <c r="AG882" s="2">
        <f t="shared" si="121"/>
        <v>1</v>
      </c>
      <c r="AH882" s="4">
        <f t="shared" si="122"/>
        <v>45147.692673611113</v>
      </c>
      <c r="AI882" s="2" t="str">
        <f t="shared" si="123"/>
        <v/>
      </c>
      <c r="AJ882" s="2" t="str">
        <f t="shared" si="124"/>
        <v/>
      </c>
      <c r="AK882" s="2" t="str">
        <f t="shared" si="125"/>
        <v/>
      </c>
    </row>
    <row r="883" spans="1:37" x14ac:dyDescent="0.25">
      <c r="A883">
        <v>2606</v>
      </c>
      <c r="B883" t="s">
        <v>987</v>
      </c>
      <c r="C883" t="s">
        <v>806</v>
      </c>
      <c r="D883" t="s">
        <v>973</v>
      </c>
      <c r="E883" t="s">
        <v>388</v>
      </c>
      <c r="F883" t="s">
        <v>985</v>
      </c>
      <c r="G883" t="s">
        <v>31</v>
      </c>
      <c r="H883" s="1">
        <v>45040.692673611113</v>
      </c>
      <c r="I883" s="1">
        <v>45043.692673611113</v>
      </c>
      <c r="J883" t="s">
        <v>32</v>
      </c>
      <c r="K883" s="1">
        <v>45052.692673611113</v>
      </c>
      <c r="L883" t="s">
        <v>39</v>
      </c>
      <c r="N883" s="4">
        <v>45056.692673611113</v>
      </c>
      <c r="O883" t="s">
        <v>39</v>
      </c>
      <c r="R883" s="4">
        <v>45055.692673611113</v>
      </c>
      <c r="T883">
        <v>0</v>
      </c>
      <c r="AC883" s="2">
        <f t="shared" si="117"/>
        <v>3</v>
      </c>
      <c r="AD883" s="2">
        <f t="shared" si="118"/>
        <v>12</v>
      </c>
      <c r="AE883" s="2">
        <f t="shared" si="119"/>
        <v>9</v>
      </c>
      <c r="AF883" s="2">
        <f t="shared" si="120"/>
        <v>15</v>
      </c>
      <c r="AG883" s="2">
        <f t="shared" si="121"/>
        <v>3</v>
      </c>
      <c r="AH883" s="4">
        <f t="shared" si="122"/>
        <v>45145.692673611113</v>
      </c>
      <c r="AI883" s="2" t="str">
        <f t="shared" si="123"/>
        <v/>
      </c>
      <c r="AJ883" s="2" t="str">
        <f t="shared" si="124"/>
        <v/>
      </c>
      <c r="AK883" s="2" t="str">
        <f t="shared" si="125"/>
        <v/>
      </c>
    </row>
    <row r="884" spans="1:37" x14ac:dyDescent="0.25">
      <c r="A884">
        <v>2603</v>
      </c>
      <c r="B884" t="s">
        <v>988</v>
      </c>
      <c r="C884" t="s">
        <v>806</v>
      </c>
      <c r="D884" t="s">
        <v>973</v>
      </c>
      <c r="E884" t="s">
        <v>388</v>
      </c>
      <c r="F884" t="s">
        <v>985</v>
      </c>
      <c r="G884" t="s">
        <v>31</v>
      </c>
      <c r="H884" s="1">
        <v>45041.692673611113</v>
      </c>
      <c r="I884" s="1">
        <v>45045.692673611113</v>
      </c>
      <c r="J884" t="s">
        <v>32</v>
      </c>
      <c r="K884" s="1">
        <v>45059.692673611113</v>
      </c>
      <c r="L884" t="s">
        <v>33</v>
      </c>
      <c r="M884" t="s">
        <v>108</v>
      </c>
      <c r="R884" s="4">
        <v>45060.692673611113</v>
      </c>
      <c r="T884">
        <v>0</v>
      </c>
      <c r="Y884" t="s">
        <v>55</v>
      </c>
      <c r="AC884" s="2">
        <f t="shared" si="117"/>
        <v>4</v>
      </c>
      <c r="AD884" s="2">
        <f t="shared" si="118"/>
        <v>18</v>
      </c>
      <c r="AE884" s="2">
        <f t="shared" si="119"/>
        <v>14</v>
      </c>
      <c r="AF884" s="2">
        <f t="shared" si="120"/>
        <v>19</v>
      </c>
      <c r="AG884" s="2">
        <f t="shared" si="121"/>
        <v>1</v>
      </c>
      <c r="AH884" s="4">
        <f t="shared" si="122"/>
        <v>45150.692673611113</v>
      </c>
      <c r="AI884" s="2" t="str">
        <f t="shared" si="123"/>
        <v/>
      </c>
      <c r="AJ884" s="2" t="str">
        <f t="shared" si="124"/>
        <v/>
      </c>
      <c r="AK884" s="2" t="str">
        <f t="shared" si="125"/>
        <v/>
      </c>
    </row>
    <row r="885" spans="1:37" x14ac:dyDescent="0.25">
      <c r="A885">
        <v>2602</v>
      </c>
      <c r="B885" t="s">
        <v>989</v>
      </c>
      <c r="C885" t="s">
        <v>806</v>
      </c>
      <c r="D885" t="s">
        <v>973</v>
      </c>
      <c r="E885" t="s">
        <v>388</v>
      </c>
      <c r="F885" t="s">
        <v>985</v>
      </c>
      <c r="G885" t="s">
        <v>31</v>
      </c>
      <c r="H885" s="1">
        <v>45039.692673611113</v>
      </c>
      <c r="I885" s="1">
        <v>45041.692673611113</v>
      </c>
      <c r="J885" t="s">
        <v>32</v>
      </c>
      <c r="K885" s="1">
        <v>45055.692673611113</v>
      </c>
      <c r="L885" t="s">
        <v>164</v>
      </c>
      <c r="N885" s="4">
        <v>45059.692673611113</v>
      </c>
      <c r="O885" t="s">
        <v>164</v>
      </c>
      <c r="R885" s="4">
        <v>45058.692673611113</v>
      </c>
      <c r="T885">
        <v>0</v>
      </c>
      <c r="AC885" s="2">
        <f t="shared" si="117"/>
        <v>2</v>
      </c>
      <c r="AD885" s="2">
        <f t="shared" si="118"/>
        <v>16</v>
      </c>
      <c r="AE885" s="2">
        <f t="shared" si="119"/>
        <v>14</v>
      </c>
      <c r="AF885" s="2">
        <f t="shared" si="120"/>
        <v>19</v>
      </c>
      <c r="AG885" s="2">
        <f t="shared" si="121"/>
        <v>3</v>
      </c>
      <c r="AH885" s="4">
        <f t="shared" si="122"/>
        <v>45148.692673611113</v>
      </c>
      <c r="AI885" s="2" t="str">
        <f t="shared" si="123"/>
        <v/>
      </c>
      <c r="AJ885" s="2" t="str">
        <f t="shared" si="124"/>
        <v/>
      </c>
      <c r="AK885" s="2" t="str">
        <f t="shared" si="125"/>
        <v/>
      </c>
    </row>
    <row r="886" spans="1:37" x14ac:dyDescent="0.25">
      <c r="A886">
        <v>2496</v>
      </c>
      <c r="B886" t="s">
        <v>990</v>
      </c>
      <c r="C886" t="s">
        <v>806</v>
      </c>
      <c r="D886" t="s">
        <v>973</v>
      </c>
      <c r="E886" t="s">
        <v>388</v>
      </c>
      <c r="F886" t="s">
        <v>985</v>
      </c>
      <c r="G886" t="s">
        <v>31</v>
      </c>
      <c r="H886" s="1">
        <v>44589.546469907407</v>
      </c>
      <c r="I886" s="1">
        <v>44592.546469907407</v>
      </c>
      <c r="J886" t="s">
        <v>32</v>
      </c>
      <c r="K886" s="1">
        <v>44603.546469907407</v>
      </c>
      <c r="L886" t="s">
        <v>33</v>
      </c>
      <c r="M886" t="s">
        <v>67</v>
      </c>
      <c r="T886">
        <v>0</v>
      </c>
      <c r="Y886" t="s">
        <v>35</v>
      </c>
      <c r="AC886" s="2">
        <f t="shared" si="117"/>
        <v>3</v>
      </c>
      <c r="AD886" s="2">
        <f t="shared" si="118"/>
        <v>14</v>
      </c>
      <c r="AE886" s="2">
        <f t="shared" si="119"/>
        <v>11</v>
      </c>
      <c r="AF886" s="2" t="str">
        <f t="shared" si="120"/>
        <v/>
      </c>
      <c r="AG886" s="2" t="str">
        <f t="shared" si="121"/>
        <v/>
      </c>
      <c r="AH886" s="4" t="str">
        <f t="shared" si="122"/>
        <v/>
      </c>
      <c r="AI886" s="2" t="str">
        <f t="shared" si="123"/>
        <v/>
      </c>
      <c r="AJ886" s="2" t="str">
        <f t="shared" si="124"/>
        <v/>
      </c>
      <c r="AK886" s="2" t="str">
        <f t="shared" si="125"/>
        <v/>
      </c>
    </row>
    <row r="887" spans="1:37" x14ac:dyDescent="0.25">
      <c r="A887">
        <v>2492</v>
      </c>
      <c r="B887" t="s">
        <v>991</v>
      </c>
      <c r="C887" t="s">
        <v>806</v>
      </c>
      <c r="D887" t="s">
        <v>973</v>
      </c>
      <c r="E887" t="s">
        <v>388</v>
      </c>
      <c r="F887" t="s">
        <v>985</v>
      </c>
      <c r="G887" t="s">
        <v>31</v>
      </c>
      <c r="H887" s="1">
        <v>44591.546469907407</v>
      </c>
      <c r="I887" s="1">
        <v>44593.546469907407</v>
      </c>
      <c r="J887" t="s">
        <v>32</v>
      </c>
      <c r="K887" s="1">
        <v>44604.546469907407</v>
      </c>
      <c r="L887" t="s">
        <v>57</v>
      </c>
      <c r="N887" s="4">
        <v>44609.546469907407</v>
      </c>
      <c r="O887" t="s">
        <v>57</v>
      </c>
      <c r="P887" s="4">
        <v>44606.546469907407</v>
      </c>
      <c r="Q887" s="4">
        <v>44607.546469907407</v>
      </c>
      <c r="R887" s="4">
        <v>44608.546469907407</v>
      </c>
      <c r="S887" s="4">
        <v>44613.546469907407</v>
      </c>
      <c r="T887">
        <v>1</v>
      </c>
      <c r="U887" s="4">
        <v>44616.546469907407</v>
      </c>
      <c r="V887" s="4">
        <v>44617.546469907407</v>
      </c>
      <c r="W887" s="4">
        <v>44618.546469907407</v>
      </c>
      <c r="Z887" s="4">
        <v>44638.546469907407</v>
      </c>
      <c r="AC887" s="2">
        <f t="shared" si="117"/>
        <v>2</v>
      </c>
      <c r="AD887" s="2">
        <f t="shared" si="118"/>
        <v>13</v>
      </c>
      <c r="AE887" s="2">
        <f t="shared" si="119"/>
        <v>11</v>
      </c>
      <c r="AF887" s="2">
        <f t="shared" si="120"/>
        <v>17</v>
      </c>
      <c r="AG887" s="2">
        <f t="shared" si="121"/>
        <v>4</v>
      </c>
      <c r="AH887" s="4">
        <f t="shared" si="122"/>
        <v>44698.546469907407</v>
      </c>
      <c r="AI887" s="2">
        <f t="shared" si="123"/>
        <v>3</v>
      </c>
      <c r="AJ887" s="2">
        <f t="shared" si="124"/>
        <v>30</v>
      </c>
      <c r="AK887" s="2">
        <f t="shared" si="125"/>
        <v>10</v>
      </c>
    </row>
    <row r="888" spans="1:37" x14ac:dyDescent="0.25">
      <c r="A888">
        <v>2469</v>
      </c>
      <c r="B888" t="s">
        <v>992</v>
      </c>
      <c r="C888" t="s">
        <v>806</v>
      </c>
      <c r="D888" t="s">
        <v>973</v>
      </c>
      <c r="E888" t="s">
        <v>388</v>
      </c>
      <c r="F888" t="s">
        <v>985</v>
      </c>
      <c r="G888" t="s">
        <v>31</v>
      </c>
      <c r="H888" s="1">
        <v>45016.841874999998</v>
      </c>
      <c r="I888" s="1">
        <v>45017.841874999998</v>
      </c>
      <c r="J888" t="s">
        <v>32</v>
      </c>
      <c r="K888" s="1">
        <v>45038.841874999998</v>
      </c>
      <c r="L888" t="s">
        <v>33</v>
      </c>
      <c r="M888" t="s">
        <v>67</v>
      </c>
      <c r="T888">
        <v>0</v>
      </c>
      <c r="Y888" t="s">
        <v>35</v>
      </c>
      <c r="AC888" s="2">
        <f t="shared" si="117"/>
        <v>1</v>
      </c>
      <c r="AD888" s="2">
        <f t="shared" si="118"/>
        <v>22</v>
      </c>
      <c r="AE888" s="2">
        <f t="shared" si="119"/>
        <v>21</v>
      </c>
      <c r="AF888" s="2" t="str">
        <f t="shared" si="120"/>
        <v/>
      </c>
      <c r="AG888" s="2" t="str">
        <f t="shared" si="121"/>
        <v/>
      </c>
      <c r="AH888" s="4" t="str">
        <f t="shared" si="122"/>
        <v/>
      </c>
      <c r="AI888" s="2" t="str">
        <f t="shared" si="123"/>
        <v/>
      </c>
      <c r="AJ888" s="2" t="str">
        <f t="shared" si="124"/>
        <v/>
      </c>
      <c r="AK888" s="2" t="str">
        <f t="shared" si="125"/>
        <v/>
      </c>
    </row>
    <row r="889" spans="1:37" x14ac:dyDescent="0.25">
      <c r="A889">
        <v>2464</v>
      </c>
      <c r="B889" t="s">
        <v>993</v>
      </c>
      <c r="C889" t="s">
        <v>806</v>
      </c>
      <c r="D889" t="s">
        <v>973</v>
      </c>
      <c r="E889" t="s">
        <v>388</v>
      </c>
      <c r="F889" t="s">
        <v>985</v>
      </c>
      <c r="G889" t="s">
        <v>31</v>
      </c>
      <c r="H889" s="1">
        <v>45017.841874999998</v>
      </c>
      <c r="I889" s="1">
        <v>45021.841874999998</v>
      </c>
      <c r="J889" t="s">
        <v>32</v>
      </c>
      <c r="K889" s="1">
        <v>45027.841874999998</v>
      </c>
      <c r="L889" t="s">
        <v>39</v>
      </c>
      <c r="N889" s="4">
        <v>45034.841874999998</v>
      </c>
      <c r="O889" t="s">
        <v>39</v>
      </c>
      <c r="R889" s="4">
        <v>45031.841874999998</v>
      </c>
      <c r="T889">
        <v>0</v>
      </c>
      <c r="AC889" s="2">
        <f t="shared" si="117"/>
        <v>4</v>
      </c>
      <c r="AD889" s="2">
        <f t="shared" si="118"/>
        <v>10</v>
      </c>
      <c r="AE889" s="2">
        <f t="shared" si="119"/>
        <v>6</v>
      </c>
      <c r="AF889" s="2">
        <f t="shared" si="120"/>
        <v>14</v>
      </c>
      <c r="AG889" s="2">
        <f t="shared" si="121"/>
        <v>4</v>
      </c>
      <c r="AH889" s="4">
        <f t="shared" si="122"/>
        <v>45121.841874999998</v>
      </c>
      <c r="AI889" s="2" t="str">
        <f t="shared" si="123"/>
        <v/>
      </c>
      <c r="AJ889" s="2" t="str">
        <f t="shared" si="124"/>
        <v/>
      </c>
      <c r="AK889" s="2" t="str">
        <f t="shared" si="125"/>
        <v/>
      </c>
    </row>
    <row r="890" spans="1:37" x14ac:dyDescent="0.25">
      <c r="A890">
        <v>2432</v>
      </c>
      <c r="B890" t="s">
        <v>994</v>
      </c>
      <c r="C890" t="s">
        <v>806</v>
      </c>
      <c r="D890" t="s">
        <v>973</v>
      </c>
      <c r="E890" t="s">
        <v>388</v>
      </c>
      <c r="F890" t="s">
        <v>985</v>
      </c>
      <c r="G890" t="s">
        <v>31</v>
      </c>
      <c r="H890" s="1">
        <v>44747.126967592594</v>
      </c>
      <c r="I890" s="1">
        <v>44748.126967592594</v>
      </c>
      <c r="J890" t="s">
        <v>32</v>
      </c>
      <c r="K890" s="1">
        <v>44754.126967592594</v>
      </c>
      <c r="L890" t="s">
        <v>39</v>
      </c>
      <c r="N890" s="4">
        <v>44758.126967592594</v>
      </c>
      <c r="O890" t="s">
        <v>39</v>
      </c>
      <c r="R890" s="4">
        <v>44755.126967592594</v>
      </c>
      <c r="T890">
        <v>0</v>
      </c>
      <c r="AC890" s="2">
        <f t="shared" si="117"/>
        <v>1</v>
      </c>
      <c r="AD890" s="2">
        <f t="shared" si="118"/>
        <v>7</v>
      </c>
      <c r="AE890" s="2">
        <f t="shared" si="119"/>
        <v>6</v>
      </c>
      <c r="AF890" s="2">
        <f t="shared" si="120"/>
        <v>8</v>
      </c>
      <c r="AG890" s="2">
        <f t="shared" si="121"/>
        <v>1</v>
      </c>
      <c r="AH890" s="4">
        <f t="shared" si="122"/>
        <v>44845.126967592594</v>
      </c>
      <c r="AI890" s="2" t="str">
        <f t="shared" si="123"/>
        <v/>
      </c>
      <c r="AJ890" s="2" t="str">
        <f t="shared" si="124"/>
        <v/>
      </c>
      <c r="AK890" s="2" t="str">
        <f t="shared" si="125"/>
        <v/>
      </c>
    </row>
    <row r="891" spans="1:37" x14ac:dyDescent="0.25">
      <c r="A891">
        <v>2344</v>
      </c>
      <c r="B891" t="s">
        <v>995</v>
      </c>
      <c r="C891" t="s">
        <v>806</v>
      </c>
      <c r="D891" t="s">
        <v>973</v>
      </c>
      <c r="E891" t="s">
        <v>388</v>
      </c>
      <c r="F891" t="s">
        <v>985</v>
      </c>
      <c r="G891" t="s">
        <v>31</v>
      </c>
      <c r="H891" s="1">
        <v>45052.364525462966</v>
      </c>
      <c r="I891" s="1">
        <v>45054.364525462966</v>
      </c>
      <c r="J891" t="s">
        <v>32</v>
      </c>
      <c r="K891" s="1">
        <v>45068.364525462966</v>
      </c>
      <c r="L891" t="s">
        <v>33</v>
      </c>
      <c r="M891" t="s">
        <v>34</v>
      </c>
      <c r="R891" s="4">
        <v>45070.364525462966</v>
      </c>
      <c r="T891">
        <v>0</v>
      </c>
      <c r="Y891" t="s">
        <v>35</v>
      </c>
      <c r="AC891" s="2">
        <f t="shared" si="117"/>
        <v>2</v>
      </c>
      <c r="AD891" s="2">
        <f t="shared" si="118"/>
        <v>16</v>
      </c>
      <c r="AE891" s="2">
        <f t="shared" si="119"/>
        <v>14</v>
      </c>
      <c r="AF891" s="2">
        <f t="shared" si="120"/>
        <v>18</v>
      </c>
      <c r="AG891" s="2">
        <f t="shared" si="121"/>
        <v>2</v>
      </c>
      <c r="AH891" s="4">
        <f t="shared" si="122"/>
        <v>45160.364525462966</v>
      </c>
      <c r="AI891" s="2" t="str">
        <f t="shared" si="123"/>
        <v/>
      </c>
      <c r="AJ891" s="2" t="str">
        <f t="shared" si="124"/>
        <v/>
      </c>
      <c r="AK891" s="2" t="str">
        <f t="shared" si="125"/>
        <v/>
      </c>
    </row>
    <row r="892" spans="1:37" x14ac:dyDescent="0.25">
      <c r="A892">
        <v>2209</v>
      </c>
      <c r="B892" t="s">
        <v>996</v>
      </c>
      <c r="C892" t="s">
        <v>806</v>
      </c>
      <c r="D892" t="s">
        <v>973</v>
      </c>
      <c r="E892" t="s">
        <v>388</v>
      </c>
      <c r="F892" t="s">
        <v>985</v>
      </c>
      <c r="G892" t="s">
        <v>31</v>
      </c>
      <c r="H892" s="1">
        <v>45096.202615740738</v>
      </c>
      <c r="I892" s="1">
        <v>45097.202615740738</v>
      </c>
      <c r="J892" t="s">
        <v>32</v>
      </c>
      <c r="K892" s="1">
        <v>45113.202615740738</v>
      </c>
      <c r="L892" t="s">
        <v>57</v>
      </c>
      <c r="N892" s="4">
        <v>45119.202615740738</v>
      </c>
      <c r="O892" t="s">
        <v>57</v>
      </c>
      <c r="P892" s="4">
        <v>45115.202615740738</v>
      </c>
      <c r="Q892" s="4">
        <v>45117.202615740738</v>
      </c>
      <c r="R892" s="4">
        <v>45116.202615740738</v>
      </c>
      <c r="S892" s="4">
        <v>45117.202615740738</v>
      </c>
      <c r="T892">
        <v>1</v>
      </c>
      <c r="U892" s="4">
        <v>45119.202615740738</v>
      </c>
      <c r="V892" s="4">
        <v>45120.202615740738</v>
      </c>
      <c r="W892" s="4">
        <v>45123.202615740738</v>
      </c>
      <c r="Z892" s="4">
        <v>45138.202615740738</v>
      </c>
      <c r="AC892" s="2">
        <f t="shared" si="117"/>
        <v>1</v>
      </c>
      <c r="AD892" s="2">
        <f t="shared" si="118"/>
        <v>17</v>
      </c>
      <c r="AE892" s="2">
        <f t="shared" si="119"/>
        <v>16</v>
      </c>
      <c r="AF892" s="2">
        <f t="shared" si="120"/>
        <v>20</v>
      </c>
      <c r="AG892" s="2">
        <f t="shared" si="121"/>
        <v>3</v>
      </c>
      <c r="AH892" s="4">
        <f t="shared" si="122"/>
        <v>45206.202615740738</v>
      </c>
      <c r="AI892" s="2">
        <f t="shared" si="123"/>
        <v>2</v>
      </c>
      <c r="AJ892" s="2">
        <f t="shared" si="124"/>
        <v>22</v>
      </c>
      <c r="AK892" s="2">
        <f t="shared" si="125"/>
        <v>7</v>
      </c>
    </row>
    <row r="893" spans="1:37" x14ac:dyDescent="0.25">
      <c r="A893">
        <v>2206</v>
      </c>
      <c r="B893" t="s">
        <v>997</v>
      </c>
      <c r="C893" t="s">
        <v>806</v>
      </c>
      <c r="D893" t="s">
        <v>973</v>
      </c>
      <c r="E893" t="s">
        <v>388</v>
      </c>
      <c r="F893" t="s">
        <v>985</v>
      </c>
      <c r="G893" t="s">
        <v>31</v>
      </c>
      <c r="H893" s="1">
        <v>45091.202615740738</v>
      </c>
      <c r="I893" s="1">
        <v>45093.202615740738</v>
      </c>
      <c r="J893" t="s">
        <v>32</v>
      </c>
      <c r="K893" s="1">
        <v>45102.202615740738</v>
      </c>
      <c r="L893" t="s">
        <v>33</v>
      </c>
      <c r="M893" t="s">
        <v>51</v>
      </c>
      <c r="R893" s="4">
        <v>45103.202615740738</v>
      </c>
      <c r="T893">
        <v>0</v>
      </c>
      <c r="Y893" t="s">
        <v>35</v>
      </c>
      <c r="AC893" s="2">
        <f t="shared" si="117"/>
        <v>2</v>
      </c>
      <c r="AD893" s="2">
        <f t="shared" si="118"/>
        <v>11</v>
      </c>
      <c r="AE893" s="2">
        <f t="shared" si="119"/>
        <v>9</v>
      </c>
      <c r="AF893" s="2">
        <f t="shared" si="120"/>
        <v>12</v>
      </c>
      <c r="AG893" s="2">
        <f t="shared" si="121"/>
        <v>1</v>
      </c>
      <c r="AH893" s="4">
        <f t="shared" si="122"/>
        <v>45193.202615740738</v>
      </c>
      <c r="AI893" s="2" t="str">
        <f t="shared" si="123"/>
        <v/>
      </c>
      <c r="AJ893" s="2" t="str">
        <f t="shared" si="124"/>
        <v/>
      </c>
      <c r="AK893" s="2" t="str">
        <f t="shared" si="125"/>
        <v/>
      </c>
    </row>
    <row r="894" spans="1:37" x14ac:dyDescent="0.25">
      <c r="A894">
        <v>2188</v>
      </c>
      <c r="B894" t="s">
        <v>998</v>
      </c>
      <c r="C894" t="s">
        <v>806</v>
      </c>
      <c r="D894" t="s">
        <v>973</v>
      </c>
      <c r="E894" t="s">
        <v>388</v>
      </c>
      <c r="F894" t="s">
        <v>985</v>
      </c>
      <c r="G894" t="s">
        <v>31</v>
      </c>
      <c r="H894" s="1">
        <v>44996.531736111108</v>
      </c>
      <c r="I894" s="1">
        <v>44997.531736111108</v>
      </c>
      <c r="J894" t="s">
        <v>32</v>
      </c>
      <c r="K894" s="1">
        <v>45015.531736111108</v>
      </c>
      <c r="L894" t="s">
        <v>33</v>
      </c>
      <c r="M894" t="s">
        <v>92</v>
      </c>
      <c r="R894" s="4">
        <v>45016.531736111108</v>
      </c>
      <c r="T894">
        <v>0</v>
      </c>
      <c r="Y894" t="s">
        <v>55</v>
      </c>
      <c r="AC894" s="2">
        <f t="shared" si="117"/>
        <v>1</v>
      </c>
      <c r="AD894" s="2">
        <f t="shared" si="118"/>
        <v>19</v>
      </c>
      <c r="AE894" s="2">
        <f t="shared" si="119"/>
        <v>18</v>
      </c>
      <c r="AF894" s="2">
        <f t="shared" si="120"/>
        <v>20</v>
      </c>
      <c r="AG894" s="2">
        <f t="shared" si="121"/>
        <v>1</v>
      </c>
      <c r="AH894" s="4">
        <f t="shared" si="122"/>
        <v>45106.531736111108</v>
      </c>
      <c r="AI894" s="2" t="str">
        <f t="shared" si="123"/>
        <v/>
      </c>
      <c r="AJ894" s="2" t="str">
        <f t="shared" si="124"/>
        <v/>
      </c>
      <c r="AK894" s="2" t="str">
        <f t="shared" si="125"/>
        <v/>
      </c>
    </row>
    <row r="895" spans="1:37" x14ac:dyDescent="0.25">
      <c r="A895">
        <v>2186</v>
      </c>
      <c r="B895" t="s">
        <v>999</v>
      </c>
      <c r="C895" t="s">
        <v>806</v>
      </c>
      <c r="D895" t="s">
        <v>973</v>
      </c>
      <c r="E895" t="s">
        <v>388</v>
      </c>
      <c r="F895" t="s">
        <v>985</v>
      </c>
      <c r="G895" t="s">
        <v>31</v>
      </c>
      <c r="H895" s="1">
        <v>44996.531736111108</v>
      </c>
      <c r="I895" s="1">
        <v>44997.531736111108</v>
      </c>
      <c r="J895" t="s">
        <v>32</v>
      </c>
      <c r="K895" s="1">
        <v>45012.531736111108</v>
      </c>
      <c r="L895" t="s">
        <v>33</v>
      </c>
      <c r="M895" t="s">
        <v>92</v>
      </c>
      <c r="T895">
        <v>0</v>
      </c>
      <c r="Y895" t="s">
        <v>35</v>
      </c>
      <c r="AC895" s="2">
        <f t="shared" si="117"/>
        <v>1</v>
      </c>
      <c r="AD895" s="2">
        <f t="shared" si="118"/>
        <v>16</v>
      </c>
      <c r="AE895" s="2">
        <f t="shared" si="119"/>
        <v>15</v>
      </c>
      <c r="AF895" s="2" t="str">
        <f t="shared" si="120"/>
        <v/>
      </c>
      <c r="AG895" s="2" t="str">
        <f t="shared" si="121"/>
        <v/>
      </c>
      <c r="AH895" s="4" t="str">
        <f t="shared" si="122"/>
        <v/>
      </c>
      <c r="AI895" s="2" t="str">
        <f t="shared" si="123"/>
        <v/>
      </c>
      <c r="AJ895" s="2" t="str">
        <f t="shared" si="124"/>
        <v/>
      </c>
      <c r="AK895" s="2" t="str">
        <f t="shared" si="125"/>
        <v/>
      </c>
    </row>
    <row r="896" spans="1:37" x14ac:dyDescent="0.25">
      <c r="A896">
        <v>2185</v>
      </c>
      <c r="B896" t="s">
        <v>1000</v>
      </c>
      <c r="C896" t="s">
        <v>806</v>
      </c>
      <c r="D896" t="s">
        <v>973</v>
      </c>
      <c r="E896" t="s">
        <v>388</v>
      </c>
      <c r="F896" t="s">
        <v>985</v>
      </c>
      <c r="G896" t="s">
        <v>31</v>
      </c>
      <c r="H896" s="1">
        <v>44997.531736111108</v>
      </c>
      <c r="I896" s="1">
        <v>44999.531736111108</v>
      </c>
      <c r="J896" t="s">
        <v>32</v>
      </c>
      <c r="K896" s="1">
        <v>45006.531736111108</v>
      </c>
      <c r="L896" t="s">
        <v>39</v>
      </c>
      <c r="N896" s="4">
        <v>45011.531736111108</v>
      </c>
      <c r="O896" t="s">
        <v>39</v>
      </c>
      <c r="R896" s="4">
        <v>45008.531736111108</v>
      </c>
      <c r="T896">
        <v>0</v>
      </c>
      <c r="AC896" s="2">
        <f t="shared" si="117"/>
        <v>2</v>
      </c>
      <c r="AD896" s="2">
        <f t="shared" si="118"/>
        <v>9</v>
      </c>
      <c r="AE896" s="2">
        <f t="shared" si="119"/>
        <v>7</v>
      </c>
      <c r="AF896" s="2">
        <f t="shared" si="120"/>
        <v>11</v>
      </c>
      <c r="AG896" s="2">
        <f t="shared" si="121"/>
        <v>2</v>
      </c>
      <c r="AH896" s="4">
        <f t="shared" si="122"/>
        <v>45098.531736111108</v>
      </c>
      <c r="AI896" s="2" t="str">
        <f t="shared" si="123"/>
        <v/>
      </c>
      <c r="AJ896" s="2" t="str">
        <f t="shared" si="124"/>
        <v/>
      </c>
      <c r="AK896" s="2" t="str">
        <f t="shared" si="125"/>
        <v/>
      </c>
    </row>
    <row r="897" spans="1:37" x14ac:dyDescent="0.25">
      <c r="A897">
        <v>2077</v>
      </c>
      <c r="B897" t="s">
        <v>1001</v>
      </c>
      <c r="C897" t="s">
        <v>806</v>
      </c>
      <c r="D897" t="s">
        <v>973</v>
      </c>
      <c r="E897" t="s">
        <v>388</v>
      </c>
      <c r="F897" t="s">
        <v>985</v>
      </c>
      <c r="G897" t="s">
        <v>31</v>
      </c>
      <c r="H897" s="1">
        <v>44916.441053240742</v>
      </c>
      <c r="I897" s="1">
        <v>44918.441053240742</v>
      </c>
      <c r="J897" t="s">
        <v>32</v>
      </c>
      <c r="K897" s="1">
        <v>44930.441053240742</v>
      </c>
      <c r="L897" t="s">
        <v>57</v>
      </c>
      <c r="N897" s="4">
        <v>44934.441053240742</v>
      </c>
      <c r="O897" t="s">
        <v>57</v>
      </c>
      <c r="P897" s="4">
        <v>44931.441053240742</v>
      </c>
      <c r="Q897" s="4">
        <v>44934.441053240742</v>
      </c>
      <c r="R897" s="4">
        <v>44931.441053240742</v>
      </c>
      <c r="S897" s="4">
        <v>44940.441053240742</v>
      </c>
      <c r="T897">
        <v>1</v>
      </c>
      <c r="U897" s="4">
        <v>44944.441053240742</v>
      </c>
      <c r="V897" s="4">
        <v>44947.441053240742</v>
      </c>
      <c r="W897" s="4">
        <v>44950.441053240742</v>
      </c>
      <c r="Z897" s="4">
        <v>44971.441053240742</v>
      </c>
      <c r="AC897" s="2">
        <f t="shared" si="117"/>
        <v>2</v>
      </c>
      <c r="AD897" s="2">
        <f t="shared" si="118"/>
        <v>14</v>
      </c>
      <c r="AE897" s="2">
        <f t="shared" si="119"/>
        <v>12</v>
      </c>
      <c r="AF897" s="2">
        <f t="shared" si="120"/>
        <v>15</v>
      </c>
      <c r="AG897" s="2">
        <f t="shared" si="121"/>
        <v>1</v>
      </c>
      <c r="AH897" s="4">
        <f t="shared" si="122"/>
        <v>45021.441053240742</v>
      </c>
      <c r="AI897" s="2">
        <f t="shared" si="123"/>
        <v>4</v>
      </c>
      <c r="AJ897" s="2">
        <f t="shared" si="124"/>
        <v>40</v>
      </c>
      <c r="AK897" s="2">
        <f t="shared" si="125"/>
        <v>19</v>
      </c>
    </row>
    <row r="898" spans="1:37" x14ac:dyDescent="0.25">
      <c r="A898">
        <v>2016</v>
      </c>
      <c r="B898" t="s">
        <v>1002</v>
      </c>
      <c r="C898" t="s">
        <v>806</v>
      </c>
      <c r="D898" t="s">
        <v>973</v>
      </c>
      <c r="E898" t="s">
        <v>388</v>
      </c>
      <c r="F898" t="s">
        <v>985</v>
      </c>
      <c r="G898" t="s">
        <v>31</v>
      </c>
      <c r="H898" s="1">
        <v>45079.58390046296</v>
      </c>
      <c r="I898" s="1">
        <v>45083.58390046296</v>
      </c>
      <c r="J898" t="s">
        <v>32</v>
      </c>
      <c r="K898" s="1">
        <v>45090.58390046296</v>
      </c>
      <c r="L898" t="s">
        <v>33</v>
      </c>
      <c r="M898" t="s">
        <v>108</v>
      </c>
      <c r="R898" s="4">
        <v>45094.58390046296</v>
      </c>
      <c r="T898">
        <v>0</v>
      </c>
      <c r="Y898" t="s">
        <v>35</v>
      </c>
      <c r="AC898" s="2">
        <f t="shared" si="117"/>
        <v>4</v>
      </c>
      <c r="AD898" s="2">
        <f t="shared" si="118"/>
        <v>11</v>
      </c>
      <c r="AE898" s="2">
        <f t="shared" si="119"/>
        <v>7</v>
      </c>
      <c r="AF898" s="2">
        <f t="shared" si="120"/>
        <v>15</v>
      </c>
      <c r="AG898" s="2">
        <f t="shared" si="121"/>
        <v>4</v>
      </c>
      <c r="AH898" s="4">
        <f t="shared" si="122"/>
        <v>45184.58390046296</v>
      </c>
      <c r="AI898" s="2" t="str">
        <f t="shared" si="123"/>
        <v/>
      </c>
      <c r="AJ898" s="2" t="str">
        <f t="shared" si="124"/>
        <v/>
      </c>
      <c r="AK898" s="2" t="str">
        <f t="shared" si="125"/>
        <v/>
      </c>
    </row>
    <row r="899" spans="1:37" x14ac:dyDescent="0.25">
      <c r="A899">
        <v>2013</v>
      </c>
      <c r="B899" t="s">
        <v>1003</v>
      </c>
      <c r="C899" t="s">
        <v>806</v>
      </c>
      <c r="D899" t="s">
        <v>973</v>
      </c>
      <c r="E899" t="s">
        <v>388</v>
      </c>
      <c r="F899" t="s">
        <v>985</v>
      </c>
      <c r="G899" t="s">
        <v>31</v>
      </c>
      <c r="H899" s="1">
        <v>45082.58390046296</v>
      </c>
      <c r="I899" s="1">
        <v>45084.58390046296</v>
      </c>
      <c r="J899" t="s">
        <v>32</v>
      </c>
      <c r="K899" s="1">
        <v>45094.58390046296</v>
      </c>
      <c r="L899" t="s">
        <v>39</v>
      </c>
      <c r="N899" s="4">
        <v>45099.58390046296</v>
      </c>
      <c r="O899" t="s">
        <v>39</v>
      </c>
      <c r="R899" s="4">
        <v>45097.58390046296</v>
      </c>
      <c r="T899">
        <v>0</v>
      </c>
      <c r="AC899" s="2">
        <f t="shared" ref="AC899:AC962" si="126">IF(AND(I899&lt;&gt;"",H899&lt;&gt;""), I899-H899, "")</f>
        <v>2</v>
      </c>
      <c r="AD899" s="2">
        <f t="shared" ref="AD899:AD962" si="127">IF(AND(K899&lt;&gt;"",H899&lt;&gt;""), K899-H899, "")</f>
        <v>12</v>
      </c>
      <c r="AE899" s="2">
        <f t="shared" ref="AE899:AE962" si="128">IF(AND(K899&lt;&gt;"",I899&lt;&gt;""), K899-I899, "")</f>
        <v>10</v>
      </c>
      <c r="AF899" s="2">
        <f t="shared" ref="AF899:AF962" si="129">IF(AND(R899&lt;&gt;"",H899&lt;&gt;""), R899-H899, "")</f>
        <v>15</v>
      </c>
      <c r="AG899" s="2">
        <f t="shared" ref="AG899:AG962" si="130">IF(AND(R899&lt;&gt;"",K899&lt;&gt;""), R899-K899, "")</f>
        <v>3</v>
      </c>
      <c r="AH899" s="4">
        <f t="shared" ref="AH899:AH962" si="131">IF(R899&lt;&gt;"", R899+90, "")</f>
        <v>45187.58390046296</v>
      </c>
      <c r="AI899" s="2" t="str">
        <f t="shared" ref="AI899:AI962" si="132">IF(AND(U899&lt;&gt;"",S899&lt;&gt;""), U899-S899, "")</f>
        <v/>
      </c>
      <c r="AJ899" s="2" t="str">
        <f t="shared" ref="AJ899:AJ962" si="133">IF(AND(Z899&lt;&gt;"",R899&lt;&gt;""), Z899-R899, "")</f>
        <v/>
      </c>
      <c r="AK899" s="2" t="str">
        <f t="shared" ref="AK899:AK962" si="134">IF(AND(W899&lt;&gt;"",R899&lt;&gt;""), W899-R899, "")</f>
        <v/>
      </c>
    </row>
    <row r="900" spans="1:37" x14ac:dyDescent="0.25">
      <c r="A900">
        <v>1944</v>
      </c>
      <c r="B900" t="s">
        <v>1004</v>
      </c>
      <c r="C900" t="s">
        <v>806</v>
      </c>
      <c r="D900" t="s">
        <v>973</v>
      </c>
      <c r="E900" t="s">
        <v>388</v>
      </c>
      <c r="F900" t="s">
        <v>985</v>
      </c>
      <c r="G900" t="s">
        <v>31</v>
      </c>
      <c r="H900" s="1">
        <v>44986.264120370368</v>
      </c>
      <c r="I900" s="1">
        <v>44989.264120370368</v>
      </c>
      <c r="J900" t="s">
        <v>32</v>
      </c>
      <c r="K900" s="1">
        <v>44998.264120370368</v>
      </c>
      <c r="L900" t="s">
        <v>33</v>
      </c>
      <c r="M900" t="s">
        <v>92</v>
      </c>
      <c r="T900">
        <v>0</v>
      </c>
      <c r="Y900" t="s">
        <v>35</v>
      </c>
      <c r="AC900" s="2">
        <f t="shared" si="126"/>
        <v>3</v>
      </c>
      <c r="AD900" s="2">
        <f t="shared" si="127"/>
        <v>12</v>
      </c>
      <c r="AE900" s="2">
        <f t="shared" si="128"/>
        <v>9</v>
      </c>
      <c r="AF900" s="2" t="str">
        <f t="shared" si="129"/>
        <v/>
      </c>
      <c r="AG900" s="2" t="str">
        <f t="shared" si="130"/>
        <v/>
      </c>
      <c r="AH900" s="4" t="str">
        <f t="shared" si="131"/>
        <v/>
      </c>
      <c r="AI900" s="2" t="str">
        <f t="shared" si="132"/>
        <v/>
      </c>
      <c r="AJ900" s="2" t="str">
        <f t="shared" si="133"/>
        <v/>
      </c>
      <c r="AK900" s="2" t="str">
        <f t="shared" si="134"/>
        <v/>
      </c>
    </row>
    <row r="901" spans="1:37" x14ac:dyDescent="0.25">
      <c r="A901">
        <v>1922</v>
      </c>
      <c r="B901" t="s">
        <v>1005</v>
      </c>
      <c r="C901" t="s">
        <v>806</v>
      </c>
      <c r="D901" t="s">
        <v>973</v>
      </c>
      <c r="E901" t="s">
        <v>388</v>
      </c>
      <c r="F901" t="s">
        <v>985</v>
      </c>
      <c r="G901" t="s">
        <v>31</v>
      </c>
      <c r="H901" s="1">
        <v>44793.391932870371</v>
      </c>
      <c r="I901" s="1">
        <v>44794.391932870371</v>
      </c>
      <c r="J901" t="s">
        <v>32</v>
      </c>
      <c r="K901" s="1">
        <v>44801.391932870371</v>
      </c>
      <c r="L901" t="s">
        <v>164</v>
      </c>
      <c r="N901" s="4">
        <v>44805.391932870371</v>
      </c>
      <c r="O901" t="s">
        <v>164</v>
      </c>
      <c r="R901" s="4">
        <v>44803.391932870371</v>
      </c>
      <c r="T901">
        <v>0</v>
      </c>
      <c r="AC901" s="2">
        <f t="shared" si="126"/>
        <v>1</v>
      </c>
      <c r="AD901" s="2">
        <f t="shared" si="127"/>
        <v>8</v>
      </c>
      <c r="AE901" s="2">
        <f t="shared" si="128"/>
        <v>7</v>
      </c>
      <c r="AF901" s="2">
        <f t="shared" si="129"/>
        <v>10</v>
      </c>
      <c r="AG901" s="2">
        <f t="shared" si="130"/>
        <v>2</v>
      </c>
      <c r="AH901" s="4">
        <f t="shared" si="131"/>
        <v>44893.391932870371</v>
      </c>
      <c r="AI901" s="2" t="str">
        <f t="shared" si="132"/>
        <v/>
      </c>
      <c r="AJ901" s="2" t="str">
        <f t="shared" si="133"/>
        <v/>
      </c>
      <c r="AK901" s="2" t="str">
        <f t="shared" si="134"/>
        <v/>
      </c>
    </row>
    <row r="902" spans="1:37" x14ac:dyDescent="0.25">
      <c r="A902">
        <v>1834</v>
      </c>
      <c r="B902" t="s">
        <v>1006</v>
      </c>
      <c r="C902" t="s">
        <v>806</v>
      </c>
      <c r="D902" t="s">
        <v>973</v>
      </c>
      <c r="E902" t="s">
        <v>388</v>
      </c>
      <c r="F902" t="s">
        <v>985</v>
      </c>
      <c r="G902" t="s">
        <v>31</v>
      </c>
      <c r="H902" s="1">
        <v>45036.367280092592</v>
      </c>
      <c r="I902" s="1">
        <v>45037.367280092592</v>
      </c>
      <c r="J902" t="s">
        <v>32</v>
      </c>
      <c r="K902" s="1">
        <v>45056.367280092592</v>
      </c>
      <c r="L902" t="s">
        <v>33</v>
      </c>
      <c r="M902" t="s">
        <v>67</v>
      </c>
      <c r="T902">
        <v>0</v>
      </c>
      <c r="Y902" t="s">
        <v>35</v>
      </c>
      <c r="AC902" s="2">
        <f t="shared" si="126"/>
        <v>1</v>
      </c>
      <c r="AD902" s="2">
        <f t="shared" si="127"/>
        <v>20</v>
      </c>
      <c r="AE902" s="2">
        <f t="shared" si="128"/>
        <v>19</v>
      </c>
      <c r="AF902" s="2" t="str">
        <f t="shared" si="129"/>
        <v/>
      </c>
      <c r="AG902" s="2" t="str">
        <f t="shared" si="130"/>
        <v/>
      </c>
      <c r="AH902" s="4" t="str">
        <f t="shared" si="131"/>
        <v/>
      </c>
      <c r="AI902" s="2" t="str">
        <f t="shared" si="132"/>
        <v/>
      </c>
      <c r="AJ902" s="2" t="str">
        <f t="shared" si="133"/>
        <v/>
      </c>
      <c r="AK902" s="2" t="str">
        <f t="shared" si="134"/>
        <v/>
      </c>
    </row>
    <row r="903" spans="1:37" x14ac:dyDescent="0.25">
      <c r="A903">
        <v>1789</v>
      </c>
      <c r="B903" t="s">
        <v>1007</v>
      </c>
      <c r="C903" t="s">
        <v>806</v>
      </c>
      <c r="D903" t="s">
        <v>973</v>
      </c>
      <c r="E903" t="s">
        <v>388</v>
      </c>
      <c r="F903" t="s">
        <v>985</v>
      </c>
      <c r="G903" t="s">
        <v>31</v>
      </c>
      <c r="H903" s="1">
        <v>44661.356493055559</v>
      </c>
      <c r="I903" s="1">
        <v>44662.356493055559</v>
      </c>
      <c r="J903" t="s">
        <v>32</v>
      </c>
      <c r="K903" s="1">
        <v>44668.356493055559</v>
      </c>
      <c r="L903" t="s">
        <v>57</v>
      </c>
      <c r="N903" s="4">
        <v>44673.356493055559</v>
      </c>
      <c r="O903" t="s">
        <v>57</v>
      </c>
      <c r="P903" s="4">
        <v>44670.356493055559</v>
      </c>
      <c r="Q903" s="4">
        <v>44673.356493055559</v>
      </c>
      <c r="R903" s="4">
        <v>44671.356493055559</v>
      </c>
      <c r="S903" s="4">
        <v>44677.356493055559</v>
      </c>
      <c r="T903">
        <v>1</v>
      </c>
      <c r="U903" s="4">
        <v>44681.356493055559</v>
      </c>
      <c r="V903" s="4">
        <v>44684.356493055559</v>
      </c>
      <c r="W903" s="4">
        <v>44686.356493055559</v>
      </c>
      <c r="Z903" s="4">
        <v>44703.356493055559</v>
      </c>
      <c r="AC903" s="2">
        <f t="shared" si="126"/>
        <v>1</v>
      </c>
      <c r="AD903" s="2">
        <f t="shared" si="127"/>
        <v>7</v>
      </c>
      <c r="AE903" s="2">
        <f t="shared" si="128"/>
        <v>6</v>
      </c>
      <c r="AF903" s="2">
        <f t="shared" si="129"/>
        <v>10</v>
      </c>
      <c r="AG903" s="2">
        <f t="shared" si="130"/>
        <v>3</v>
      </c>
      <c r="AH903" s="4">
        <f t="shared" si="131"/>
        <v>44761.356493055559</v>
      </c>
      <c r="AI903" s="2">
        <f t="shared" si="132"/>
        <v>4</v>
      </c>
      <c r="AJ903" s="2">
        <f t="shared" si="133"/>
        <v>32</v>
      </c>
      <c r="AK903" s="2">
        <f t="shared" si="134"/>
        <v>15</v>
      </c>
    </row>
    <row r="904" spans="1:37" x14ac:dyDescent="0.25">
      <c r="A904">
        <v>1786</v>
      </c>
      <c r="B904" t="s">
        <v>1008</v>
      </c>
      <c r="C904" t="s">
        <v>806</v>
      </c>
      <c r="D904" t="s">
        <v>973</v>
      </c>
      <c r="E904" t="s">
        <v>388</v>
      </c>
      <c r="F904" t="s">
        <v>985</v>
      </c>
      <c r="G904" t="s">
        <v>31</v>
      </c>
      <c r="H904" s="1">
        <v>44662.356493055559</v>
      </c>
      <c r="I904" s="1">
        <v>44664.356493055559</v>
      </c>
      <c r="J904" t="s">
        <v>44</v>
      </c>
      <c r="K904" s="1"/>
      <c r="T904">
        <v>0</v>
      </c>
      <c r="AC904" s="2">
        <f t="shared" si="126"/>
        <v>2</v>
      </c>
      <c r="AD904" s="2" t="str">
        <f t="shared" si="127"/>
        <v/>
      </c>
      <c r="AE904" s="2" t="str">
        <f t="shared" si="128"/>
        <v/>
      </c>
      <c r="AF904" s="2" t="str">
        <f t="shared" si="129"/>
        <v/>
      </c>
      <c r="AG904" s="2" t="str">
        <f t="shared" si="130"/>
        <v/>
      </c>
      <c r="AH904" s="4" t="str">
        <f t="shared" si="131"/>
        <v/>
      </c>
      <c r="AI904" s="2" t="str">
        <f t="shared" si="132"/>
        <v/>
      </c>
      <c r="AJ904" s="2" t="str">
        <f t="shared" si="133"/>
        <v/>
      </c>
      <c r="AK904" s="2" t="str">
        <f t="shared" si="134"/>
        <v/>
      </c>
    </row>
    <row r="905" spans="1:37" x14ac:dyDescent="0.25">
      <c r="A905">
        <v>1783</v>
      </c>
      <c r="B905" t="s">
        <v>1009</v>
      </c>
      <c r="C905" t="s">
        <v>806</v>
      </c>
      <c r="D905" t="s">
        <v>973</v>
      </c>
      <c r="E905" t="s">
        <v>388</v>
      </c>
      <c r="F905" t="s">
        <v>985</v>
      </c>
      <c r="G905" t="s">
        <v>31</v>
      </c>
      <c r="H905" s="1">
        <v>44659.356493055559</v>
      </c>
      <c r="I905" s="1">
        <v>44663.356493055559</v>
      </c>
      <c r="J905" t="s">
        <v>32</v>
      </c>
      <c r="K905" s="1">
        <v>44673.356493055559</v>
      </c>
      <c r="L905" t="s">
        <v>39</v>
      </c>
      <c r="N905" s="4">
        <v>44678.356493055559</v>
      </c>
      <c r="O905" t="s">
        <v>39</v>
      </c>
      <c r="R905" s="4">
        <v>44674.356493055559</v>
      </c>
      <c r="T905">
        <v>0</v>
      </c>
      <c r="AC905" s="2">
        <f t="shared" si="126"/>
        <v>4</v>
      </c>
      <c r="AD905" s="2">
        <f t="shared" si="127"/>
        <v>14</v>
      </c>
      <c r="AE905" s="2">
        <f t="shared" si="128"/>
        <v>10</v>
      </c>
      <c r="AF905" s="2">
        <f t="shared" si="129"/>
        <v>15</v>
      </c>
      <c r="AG905" s="2">
        <f t="shared" si="130"/>
        <v>1</v>
      </c>
      <c r="AH905" s="4">
        <f t="shared" si="131"/>
        <v>44764.356493055559</v>
      </c>
      <c r="AI905" s="2" t="str">
        <f t="shared" si="132"/>
        <v/>
      </c>
      <c r="AJ905" s="2" t="str">
        <f t="shared" si="133"/>
        <v/>
      </c>
      <c r="AK905" s="2" t="str">
        <f t="shared" si="134"/>
        <v/>
      </c>
    </row>
    <row r="906" spans="1:37" x14ac:dyDescent="0.25">
      <c r="A906">
        <v>1769</v>
      </c>
      <c r="B906" t="s">
        <v>1010</v>
      </c>
      <c r="C906" t="s">
        <v>806</v>
      </c>
      <c r="D906" t="s">
        <v>973</v>
      </c>
      <c r="E906" t="s">
        <v>388</v>
      </c>
      <c r="F906" t="s">
        <v>985</v>
      </c>
      <c r="G906" t="s">
        <v>31</v>
      </c>
      <c r="H906" s="1">
        <v>45099.652581018519</v>
      </c>
      <c r="I906" s="1">
        <v>45100.652581018519</v>
      </c>
      <c r="J906" t="s">
        <v>32</v>
      </c>
      <c r="K906" s="1">
        <v>45109.652581018519</v>
      </c>
      <c r="L906" t="s">
        <v>57</v>
      </c>
      <c r="N906" s="4">
        <v>45115.652581018519</v>
      </c>
      <c r="O906" t="s">
        <v>57</v>
      </c>
      <c r="P906" s="4">
        <v>45111.652581018519</v>
      </c>
      <c r="Q906" s="4">
        <v>45115.652581018519</v>
      </c>
      <c r="R906" s="4">
        <v>45111.652581018519</v>
      </c>
      <c r="S906" s="4">
        <v>45121.652581018519</v>
      </c>
      <c r="T906">
        <v>1</v>
      </c>
      <c r="U906" s="4">
        <v>45123.652581018519</v>
      </c>
      <c r="V906" s="4">
        <v>45126.652581018519</v>
      </c>
      <c r="W906" s="4">
        <v>45127.652581018519</v>
      </c>
      <c r="Z906" s="4">
        <v>45149.652581018519</v>
      </c>
      <c r="AC906" s="2">
        <f t="shared" si="126"/>
        <v>1</v>
      </c>
      <c r="AD906" s="2">
        <f t="shared" si="127"/>
        <v>10</v>
      </c>
      <c r="AE906" s="2">
        <f t="shared" si="128"/>
        <v>9</v>
      </c>
      <c r="AF906" s="2">
        <f t="shared" si="129"/>
        <v>12</v>
      </c>
      <c r="AG906" s="2">
        <f t="shared" si="130"/>
        <v>2</v>
      </c>
      <c r="AH906" s="4">
        <f t="shared" si="131"/>
        <v>45201.652581018519</v>
      </c>
      <c r="AI906" s="2">
        <f t="shared" si="132"/>
        <v>2</v>
      </c>
      <c r="AJ906" s="2">
        <f t="shared" si="133"/>
        <v>38</v>
      </c>
      <c r="AK906" s="2">
        <f t="shared" si="134"/>
        <v>16</v>
      </c>
    </row>
    <row r="907" spans="1:37" x14ac:dyDescent="0.25">
      <c r="A907">
        <v>1762</v>
      </c>
      <c r="B907" t="s">
        <v>1011</v>
      </c>
      <c r="C907" t="s">
        <v>806</v>
      </c>
      <c r="D907" t="s">
        <v>973</v>
      </c>
      <c r="E907" t="s">
        <v>388</v>
      </c>
      <c r="F907" t="s">
        <v>985</v>
      </c>
      <c r="G907" t="s">
        <v>31</v>
      </c>
      <c r="H907" s="1">
        <v>45102.652581018519</v>
      </c>
      <c r="I907" s="1">
        <v>45103.652581018519</v>
      </c>
      <c r="J907" t="s">
        <v>32</v>
      </c>
      <c r="K907" s="1">
        <v>45111.652581018519</v>
      </c>
      <c r="L907" t="s">
        <v>33</v>
      </c>
      <c r="M907" t="s">
        <v>108</v>
      </c>
      <c r="T907">
        <v>0</v>
      </c>
      <c r="Y907" t="s">
        <v>55</v>
      </c>
      <c r="AC907" s="2">
        <f t="shared" si="126"/>
        <v>1</v>
      </c>
      <c r="AD907" s="2">
        <f t="shared" si="127"/>
        <v>9</v>
      </c>
      <c r="AE907" s="2">
        <f t="shared" si="128"/>
        <v>8</v>
      </c>
      <c r="AF907" s="2" t="str">
        <f t="shared" si="129"/>
        <v/>
      </c>
      <c r="AG907" s="2" t="str">
        <f t="shared" si="130"/>
        <v/>
      </c>
      <c r="AH907" s="4" t="str">
        <f t="shared" si="131"/>
        <v/>
      </c>
      <c r="AI907" s="2" t="str">
        <f t="shared" si="132"/>
        <v/>
      </c>
      <c r="AJ907" s="2" t="str">
        <f t="shared" si="133"/>
        <v/>
      </c>
      <c r="AK907" s="2" t="str">
        <f t="shared" si="134"/>
        <v/>
      </c>
    </row>
    <row r="908" spans="1:37" x14ac:dyDescent="0.25">
      <c r="A908">
        <v>1725</v>
      </c>
      <c r="B908" t="s">
        <v>1012</v>
      </c>
      <c r="C908" t="s">
        <v>806</v>
      </c>
      <c r="D908" t="s">
        <v>973</v>
      </c>
      <c r="E908" t="s">
        <v>388</v>
      </c>
      <c r="F908" t="s">
        <v>985</v>
      </c>
      <c r="G908" t="s">
        <v>31</v>
      </c>
      <c r="H908" s="1">
        <v>44860.500428240739</v>
      </c>
      <c r="I908" s="1">
        <v>44863.500428240739</v>
      </c>
      <c r="J908" t="s">
        <v>32</v>
      </c>
      <c r="K908" s="1">
        <v>44882.500428240739</v>
      </c>
      <c r="L908" t="s">
        <v>33</v>
      </c>
      <c r="M908" t="s">
        <v>108</v>
      </c>
      <c r="T908">
        <v>0</v>
      </c>
      <c r="Y908" t="s">
        <v>35</v>
      </c>
      <c r="AC908" s="2">
        <f t="shared" si="126"/>
        <v>3</v>
      </c>
      <c r="AD908" s="2">
        <f t="shared" si="127"/>
        <v>22</v>
      </c>
      <c r="AE908" s="2">
        <f t="shared" si="128"/>
        <v>19</v>
      </c>
      <c r="AF908" s="2" t="str">
        <f t="shared" si="129"/>
        <v/>
      </c>
      <c r="AG908" s="2" t="str">
        <f t="shared" si="130"/>
        <v/>
      </c>
      <c r="AH908" s="4" t="str">
        <f t="shared" si="131"/>
        <v/>
      </c>
      <c r="AI908" s="2" t="str">
        <f t="shared" si="132"/>
        <v/>
      </c>
      <c r="AJ908" s="2" t="str">
        <f t="shared" si="133"/>
        <v/>
      </c>
      <c r="AK908" s="2" t="str">
        <f t="shared" si="134"/>
        <v/>
      </c>
    </row>
    <row r="909" spans="1:37" x14ac:dyDescent="0.25">
      <c r="A909">
        <v>1723</v>
      </c>
      <c r="B909" t="s">
        <v>1013</v>
      </c>
      <c r="C909" t="s">
        <v>806</v>
      </c>
      <c r="D909" t="s">
        <v>973</v>
      </c>
      <c r="E909" t="s">
        <v>388</v>
      </c>
      <c r="F909" t="s">
        <v>985</v>
      </c>
      <c r="G909" t="s">
        <v>31</v>
      </c>
      <c r="H909" s="1">
        <v>44861.500428240739</v>
      </c>
      <c r="I909" s="1">
        <v>44863.500428240739</v>
      </c>
      <c r="J909" t="s">
        <v>44</v>
      </c>
      <c r="K909" s="1"/>
      <c r="T909">
        <v>0</v>
      </c>
      <c r="AC909" s="2">
        <f t="shared" si="126"/>
        <v>2</v>
      </c>
      <c r="AD909" s="2" t="str">
        <f t="shared" si="127"/>
        <v/>
      </c>
      <c r="AE909" s="2" t="str">
        <f t="shared" si="128"/>
        <v/>
      </c>
      <c r="AF909" s="2" t="str">
        <f t="shared" si="129"/>
        <v/>
      </c>
      <c r="AG909" s="2" t="str">
        <f t="shared" si="130"/>
        <v/>
      </c>
      <c r="AH909" s="4" t="str">
        <f t="shared" si="131"/>
        <v/>
      </c>
      <c r="AI909" s="2" t="str">
        <f t="shared" si="132"/>
        <v/>
      </c>
      <c r="AJ909" s="2" t="str">
        <f t="shared" si="133"/>
        <v/>
      </c>
      <c r="AK909" s="2" t="str">
        <f t="shared" si="134"/>
        <v/>
      </c>
    </row>
    <row r="910" spans="1:37" x14ac:dyDescent="0.25">
      <c r="A910">
        <v>1622</v>
      </c>
      <c r="B910" t="s">
        <v>1014</v>
      </c>
      <c r="C910" t="s">
        <v>806</v>
      </c>
      <c r="D910" t="s">
        <v>973</v>
      </c>
      <c r="E910" t="s">
        <v>388</v>
      </c>
      <c r="F910" t="s">
        <v>985</v>
      </c>
      <c r="G910" t="s">
        <v>31</v>
      </c>
      <c r="H910" s="1">
        <v>44639.297905092593</v>
      </c>
      <c r="I910" s="1">
        <v>44640.297905092593</v>
      </c>
      <c r="J910" t="s">
        <v>32</v>
      </c>
      <c r="K910" s="1">
        <v>44655.297905092593</v>
      </c>
      <c r="L910" t="s">
        <v>164</v>
      </c>
      <c r="N910" s="4">
        <v>44658.297905092593</v>
      </c>
      <c r="O910" t="s">
        <v>164</v>
      </c>
      <c r="R910" s="4">
        <v>44657.297905092593</v>
      </c>
      <c r="T910">
        <v>0</v>
      </c>
      <c r="AC910" s="2">
        <f t="shared" si="126"/>
        <v>1</v>
      </c>
      <c r="AD910" s="2">
        <f t="shared" si="127"/>
        <v>16</v>
      </c>
      <c r="AE910" s="2">
        <f t="shared" si="128"/>
        <v>15</v>
      </c>
      <c r="AF910" s="2">
        <f t="shared" si="129"/>
        <v>18</v>
      </c>
      <c r="AG910" s="2">
        <f t="shared" si="130"/>
        <v>2</v>
      </c>
      <c r="AH910" s="4">
        <f t="shared" si="131"/>
        <v>44747.297905092593</v>
      </c>
      <c r="AI910" s="2" t="str">
        <f t="shared" si="132"/>
        <v/>
      </c>
      <c r="AJ910" s="2" t="str">
        <f t="shared" si="133"/>
        <v/>
      </c>
      <c r="AK910" s="2" t="str">
        <f t="shared" si="134"/>
        <v/>
      </c>
    </row>
    <row r="911" spans="1:37" x14ac:dyDescent="0.25">
      <c r="A911">
        <v>1607</v>
      </c>
      <c r="B911" t="s">
        <v>1015</v>
      </c>
      <c r="C911" t="s">
        <v>806</v>
      </c>
      <c r="D911" t="s">
        <v>973</v>
      </c>
      <c r="E911" t="s">
        <v>388</v>
      </c>
      <c r="F911" t="s">
        <v>985</v>
      </c>
      <c r="G911" t="s">
        <v>31</v>
      </c>
      <c r="H911" s="1">
        <v>44561.819027777776</v>
      </c>
      <c r="I911" s="1">
        <v>44564.819027777776</v>
      </c>
      <c r="J911" t="s">
        <v>32</v>
      </c>
      <c r="K911" s="1">
        <v>44581.819027777776</v>
      </c>
      <c r="L911" t="s">
        <v>33</v>
      </c>
      <c r="M911" t="s">
        <v>92</v>
      </c>
      <c r="R911" s="4">
        <v>44584.819027777776</v>
      </c>
      <c r="T911">
        <v>0</v>
      </c>
      <c r="Y911" t="s">
        <v>55</v>
      </c>
      <c r="AC911" s="2">
        <f t="shared" si="126"/>
        <v>3</v>
      </c>
      <c r="AD911" s="2">
        <f t="shared" si="127"/>
        <v>20</v>
      </c>
      <c r="AE911" s="2">
        <f t="shared" si="128"/>
        <v>17</v>
      </c>
      <c r="AF911" s="2">
        <f t="shared" si="129"/>
        <v>23</v>
      </c>
      <c r="AG911" s="2">
        <f t="shared" si="130"/>
        <v>3</v>
      </c>
      <c r="AH911" s="4">
        <f t="shared" si="131"/>
        <v>44674.819027777776</v>
      </c>
      <c r="AI911" s="2" t="str">
        <f t="shared" si="132"/>
        <v/>
      </c>
      <c r="AJ911" s="2" t="str">
        <f t="shared" si="133"/>
        <v/>
      </c>
      <c r="AK911" s="2" t="str">
        <f t="shared" si="134"/>
        <v/>
      </c>
    </row>
    <row r="912" spans="1:37" x14ac:dyDescent="0.25">
      <c r="A912">
        <v>1606</v>
      </c>
      <c r="B912" t="s">
        <v>1016</v>
      </c>
      <c r="C912" t="s">
        <v>806</v>
      </c>
      <c r="D912" t="s">
        <v>973</v>
      </c>
      <c r="E912" t="s">
        <v>388</v>
      </c>
      <c r="F912" t="s">
        <v>985</v>
      </c>
      <c r="G912" t="s">
        <v>31</v>
      </c>
      <c r="H912" s="1">
        <v>44563.819027777776</v>
      </c>
      <c r="I912" s="1">
        <v>44565.819027777776</v>
      </c>
      <c r="J912" t="s">
        <v>32</v>
      </c>
      <c r="K912" s="1">
        <v>44572.819027777776</v>
      </c>
      <c r="L912" t="s">
        <v>39</v>
      </c>
      <c r="N912" s="4">
        <v>44574.819027777776</v>
      </c>
      <c r="O912" t="s">
        <v>39</v>
      </c>
      <c r="R912" s="4">
        <v>44573.819027777776</v>
      </c>
      <c r="T912">
        <v>0</v>
      </c>
      <c r="AC912" s="2">
        <f t="shared" si="126"/>
        <v>2</v>
      </c>
      <c r="AD912" s="2">
        <f t="shared" si="127"/>
        <v>9</v>
      </c>
      <c r="AE912" s="2">
        <f t="shared" si="128"/>
        <v>7</v>
      </c>
      <c r="AF912" s="2">
        <f t="shared" si="129"/>
        <v>10</v>
      </c>
      <c r="AG912" s="2">
        <f t="shared" si="130"/>
        <v>1</v>
      </c>
      <c r="AH912" s="4">
        <f t="shared" si="131"/>
        <v>44663.819027777776</v>
      </c>
      <c r="AI912" s="2" t="str">
        <f t="shared" si="132"/>
        <v/>
      </c>
      <c r="AJ912" s="2" t="str">
        <f t="shared" si="133"/>
        <v/>
      </c>
      <c r="AK912" s="2" t="str">
        <f t="shared" si="134"/>
        <v/>
      </c>
    </row>
    <row r="913" spans="1:37" x14ac:dyDescent="0.25">
      <c r="A913">
        <v>1605</v>
      </c>
      <c r="B913" t="s">
        <v>1017</v>
      </c>
      <c r="C913" t="s">
        <v>806</v>
      </c>
      <c r="D913" t="s">
        <v>973</v>
      </c>
      <c r="E913" t="s">
        <v>388</v>
      </c>
      <c r="F913" t="s">
        <v>985</v>
      </c>
      <c r="G913" t="s">
        <v>31</v>
      </c>
      <c r="H913" s="1">
        <v>44560.819027777776</v>
      </c>
      <c r="I913" s="1">
        <v>44564.819027777776</v>
      </c>
      <c r="J913" t="s">
        <v>44</v>
      </c>
      <c r="K913" s="1"/>
      <c r="T913">
        <v>0</v>
      </c>
      <c r="AC913" s="2">
        <f t="shared" si="126"/>
        <v>4</v>
      </c>
      <c r="AD913" s="2" t="str">
        <f t="shared" si="127"/>
        <v/>
      </c>
      <c r="AE913" s="2" t="str">
        <f t="shared" si="128"/>
        <v/>
      </c>
      <c r="AF913" s="2" t="str">
        <f t="shared" si="129"/>
        <v/>
      </c>
      <c r="AG913" s="2" t="str">
        <f t="shared" si="130"/>
        <v/>
      </c>
      <c r="AH913" s="4" t="str">
        <f t="shared" si="131"/>
        <v/>
      </c>
      <c r="AI913" s="2" t="str">
        <f t="shared" si="132"/>
        <v/>
      </c>
      <c r="AJ913" s="2" t="str">
        <f t="shared" si="133"/>
        <v/>
      </c>
      <c r="AK913" s="2" t="str">
        <f t="shared" si="134"/>
        <v/>
      </c>
    </row>
    <row r="914" spans="1:37" x14ac:dyDescent="0.25">
      <c r="A914">
        <v>1601</v>
      </c>
      <c r="B914" t="s">
        <v>1018</v>
      </c>
      <c r="C914" t="s">
        <v>806</v>
      </c>
      <c r="D914" t="s">
        <v>973</v>
      </c>
      <c r="E914" t="s">
        <v>388</v>
      </c>
      <c r="F914" t="s">
        <v>985</v>
      </c>
      <c r="G914" t="s">
        <v>31</v>
      </c>
      <c r="H914" s="1">
        <v>44563.819027777776</v>
      </c>
      <c r="I914" s="1">
        <v>44565.819027777776</v>
      </c>
      <c r="J914" t="s">
        <v>32</v>
      </c>
      <c r="K914" s="1">
        <v>44583.819027777776</v>
      </c>
      <c r="L914" t="s">
        <v>33</v>
      </c>
      <c r="M914" t="s">
        <v>34</v>
      </c>
      <c r="R914" s="4">
        <v>44587.819027777776</v>
      </c>
      <c r="T914">
        <v>0</v>
      </c>
      <c r="Y914" t="s">
        <v>35</v>
      </c>
      <c r="AC914" s="2">
        <f t="shared" si="126"/>
        <v>2</v>
      </c>
      <c r="AD914" s="2">
        <f t="shared" si="127"/>
        <v>20</v>
      </c>
      <c r="AE914" s="2">
        <f t="shared" si="128"/>
        <v>18</v>
      </c>
      <c r="AF914" s="2">
        <f t="shared" si="129"/>
        <v>24</v>
      </c>
      <c r="AG914" s="2">
        <f t="shared" si="130"/>
        <v>4</v>
      </c>
      <c r="AH914" s="4">
        <f t="shared" si="131"/>
        <v>44677.819027777776</v>
      </c>
      <c r="AI914" s="2" t="str">
        <f t="shared" si="132"/>
        <v/>
      </c>
      <c r="AJ914" s="2" t="str">
        <f t="shared" si="133"/>
        <v/>
      </c>
      <c r="AK914" s="2" t="str">
        <f t="shared" si="134"/>
        <v/>
      </c>
    </row>
    <row r="915" spans="1:37" x14ac:dyDescent="0.25">
      <c r="A915">
        <v>1479</v>
      </c>
      <c r="B915" t="s">
        <v>1019</v>
      </c>
      <c r="C915" t="s">
        <v>806</v>
      </c>
      <c r="D915" t="s">
        <v>973</v>
      </c>
      <c r="E915" t="s">
        <v>388</v>
      </c>
      <c r="F915" t="s">
        <v>985</v>
      </c>
      <c r="G915" t="s">
        <v>31</v>
      </c>
      <c r="H915" s="1">
        <v>44951.278946759259</v>
      </c>
      <c r="I915" s="1">
        <v>44952.278946759259</v>
      </c>
      <c r="J915" t="s">
        <v>32</v>
      </c>
      <c r="K915" s="1">
        <v>44958.278946759259</v>
      </c>
      <c r="L915" t="s">
        <v>33</v>
      </c>
      <c r="M915" t="s">
        <v>92</v>
      </c>
      <c r="T915">
        <v>0</v>
      </c>
      <c r="Y915" t="s">
        <v>55</v>
      </c>
      <c r="AC915" s="2">
        <f t="shared" si="126"/>
        <v>1</v>
      </c>
      <c r="AD915" s="2">
        <f t="shared" si="127"/>
        <v>7</v>
      </c>
      <c r="AE915" s="2">
        <f t="shared" si="128"/>
        <v>6</v>
      </c>
      <c r="AF915" s="2" t="str">
        <f t="shared" si="129"/>
        <v/>
      </c>
      <c r="AG915" s="2" t="str">
        <f t="shared" si="130"/>
        <v/>
      </c>
      <c r="AH915" s="4" t="str">
        <f t="shared" si="131"/>
        <v/>
      </c>
      <c r="AI915" s="2" t="str">
        <f t="shared" si="132"/>
        <v/>
      </c>
      <c r="AJ915" s="2" t="str">
        <f t="shared" si="133"/>
        <v/>
      </c>
      <c r="AK915" s="2" t="str">
        <f t="shared" si="134"/>
        <v/>
      </c>
    </row>
    <row r="916" spans="1:37" x14ac:dyDescent="0.25">
      <c r="A916">
        <v>1379</v>
      </c>
      <c r="B916" t="s">
        <v>1020</v>
      </c>
      <c r="C916" t="s">
        <v>806</v>
      </c>
      <c r="D916" t="s">
        <v>973</v>
      </c>
      <c r="E916" t="s">
        <v>388</v>
      </c>
      <c r="F916" t="s">
        <v>985</v>
      </c>
      <c r="G916" t="s">
        <v>31</v>
      </c>
      <c r="H916" s="1">
        <v>44864.130648148152</v>
      </c>
      <c r="I916" s="1">
        <v>44865.130648148152</v>
      </c>
      <c r="J916" t="s">
        <v>32</v>
      </c>
      <c r="K916" s="1">
        <v>44877.130648148152</v>
      </c>
      <c r="L916" t="s">
        <v>33</v>
      </c>
      <c r="M916" t="s">
        <v>51</v>
      </c>
      <c r="T916">
        <v>0</v>
      </c>
      <c r="Y916" t="s">
        <v>55</v>
      </c>
      <c r="AC916" s="2">
        <f t="shared" si="126"/>
        <v>1</v>
      </c>
      <c r="AD916" s="2">
        <f t="shared" si="127"/>
        <v>13</v>
      </c>
      <c r="AE916" s="2">
        <f t="shared" si="128"/>
        <v>12</v>
      </c>
      <c r="AF916" s="2" t="str">
        <f t="shared" si="129"/>
        <v/>
      </c>
      <c r="AG916" s="2" t="str">
        <f t="shared" si="130"/>
        <v/>
      </c>
      <c r="AH916" s="4" t="str">
        <f t="shared" si="131"/>
        <v/>
      </c>
      <c r="AI916" s="2" t="str">
        <f t="shared" si="132"/>
        <v/>
      </c>
      <c r="AJ916" s="2" t="str">
        <f t="shared" si="133"/>
        <v/>
      </c>
      <c r="AK916" s="2" t="str">
        <f t="shared" si="134"/>
        <v/>
      </c>
    </row>
    <row r="917" spans="1:37" x14ac:dyDescent="0.25">
      <c r="A917">
        <v>1377</v>
      </c>
      <c r="B917" t="s">
        <v>1021</v>
      </c>
      <c r="C917" t="s">
        <v>806</v>
      </c>
      <c r="D917" t="s">
        <v>973</v>
      </c>
      <c r="E917" t="s">
        <v>388</v>
      </c>
      <c r="F917" t="s">
        <v>985</v>
      </c>
      <c r="G917" t="s">
        <v>31</v>
      </c>
      <c r="H917" s="1">
        <v>44866.130648148152</v>
      </c>
      <c r="I917" s="1">
        <v>44868.130648148152</v>
      </c>
      <c r="J917" t="s">
        <v>32</v>
      </c>
      <c r="K917" s="1">
        <v>44886.130648148152</v>
      </c>
      <c r="L917" t="s">
        <v>33</v>
      </c>
      <c r="M917" t="s">
        <v>92</v>
      </c>
      <c r="T917">
        <v>0</v>
      </c>
      <c r="Y917" t="s">
        <v>55</v>
      </c>
      <c r="AC917" s="2">
        <f t="shared" si="126"/>
        <v>2</v>
      </c>
      <c r="AD917" s="2">
        <f t="shared" si="127"/>
        <v>20</v>
      </c>
      <c r="AE917" s="2">
        <f t="shared" si="128"/>
        <v>18</v>
      </c>
      <c r="AF917" s="2" t="str">
        <f t="shared" si="129"/>
        <v/>
      </c>
      <c r="AG917" s="2" t="str">
        <f t="shared" si="130"/>
        <v/>
      </c>
      <c r="AH917" s="4" t="str">
        <f t="shared" si="131"/>
        <v/>
      </c>
      <c r="AI917" s="2" t="str">
        <f t="shared" si="132"/>
        <v/>
      </c>
      <c r="AJ917" s="2" t="str">
        <f t="shared" si="133"/>
        <v/>
      </c>
      <c r="AK917" s="2" t="str">
        <f t="shared" si="134"/>
        <v/>
      </c>
    </row>
    <row r="918" spans="1:37" x14ac:dyDescent="0.25">
      <c r="A918">
        <v>1350</v>
      </c>
      <c r="B918" t="s">
        <v>1022</v>
      </c>
      <c r="C918" t="s">
        <v>806</v>
      </c>
      <c r="D918" t="s">
        <v>973</v>
      </c>
      <c r="E918" t="s">
        <v>388</v>
      </c>
      <c r="F918" t="s">
        <v>985</v>
      </c>
      <c r="G918" t="s">
        <v>31</v>
      </c>
      <c r="H918" s="1">
        <v>45092.039097222223</v>
      </c>
      <c r="I918" s="1">
        <v>45095.039097222223</v>
      </c>
      <c r="J918" t="s">
        <v>32</v>
      </c>
      <c r="K918" s="1">
        <v>45104.039097222223</v>
      </c>
      <c r="L918" t="s">
        <v>33</v>
      </c>
      <c r="M918" t="s">
        <v>34</v>
      </c>
      <c r="R918" s="4">
        <v>45105.039097222223</v>
      </c>
      <c r="T918">
        <v>0</v>
      </c>
      <c r="Y918" t="s">
        <v>55</v>
      </c>
      <c r="AC918" s="2">
        <f t="shared" si="126"/>
        <v>3</v>
      </c>
      <c r="AD918" s="2">
        <f t="shared" si="127"/>
        <v>12</v>
      </c>
      <c r="AE918" s="2">
        <f t="shared" si="128"/>
        <v>9</v>
      </c>
      <c r="AF918" s="2">
        <f t="shared" si="129"/>
        <v>13</v>
      </c>
      <c r="AG918" s="2">
        <f t="shared" si="130"/>
        <v>1</v>
      </c>
      <c r="AH918" s="4">
        <f t="shared" si="131"/>
        <v>45195.039097222223</v>
      </c>
      <c r="AI918" s="2" t="str">
        <f t="shared" si="132"/>
        <v/>
      </c>
      <c r="AJ918" s="2" t="str">
        <f t="shared" si="133"/>
        <v/>
      </c>
      <c r="AK918" s="2" t="str">
        <f t="shared" si="134"/>
        <v/>
      </c>
    </row>
    <row r="919" spans="1:37" x14ac:dyDescent="0.25">
      <c r="A919">
        <v>1347</v>
      </c>
      <c r="B919" t="s">
        <v>1023</v>
      </c>
      <c r="C919" t="s">
        <v>806</v>
      </c>
      <c r="D919" t="s">
        <v>973</v>
      </c>
      <c r="E919" t="s">
        <v>388</v>
      </c>
      <c r="F919" t="s">
        <v>985</v>
      </c>
      <c r="G919" t="s">
        <v>31</v>
      </c>
      <c r="H919" s="1">
        <v>45094.039097222223</v>
      </c>
      <c r="I919" s="1">
        <v>45097.039097222223</v>
      </c>
      <c r="J919" t="s">
        <v>32</v>
      </c>
      <c r="K919" s="1">
        <v>45105.039097222223</v>
      </c>
      <c r="L919" t="s">
        <v>57</v>
      </c>
      <c r="N919" s="4">
        <v>45109.039097222223</v>
      </c>
      <c r="O919" t="s">
        <v>57</v>
      </c>
      <c r="P919" s="4">
        <v>45106.039097222223</v>
      </c>
      <c r="Q919" s="4">
        <v>45108.039097222223</v>
      </c>
      <c r="R919" s="4">
        <v>45108.039097222223</v>
      </c>
      <c r="S919" s="4">
        <v>45117.039097222223</v>
      </c>
      <c r="T919">
        <v>1</v>
      </c>
      <c r="U919" s="4">
        <v>45119.039097222223</v>
      </c>
      <c r="V919" s="4">
        <v>45121.039097222223</v>
      </c>
      <c r="W919" s="4">
        <v>45124.039097222223</v>
      </c>
      <c r="Z919" s="4">
        <v>45141.039097222223</v>
      </c>
      <c r="AC919" s="2">
        <f t="shared" si="126"/>
        <v>3</v>
      </c>
      <c r="AD919" s="2">
        <f t="shared" si="127"/>
        <v>11</v>
      </c>
      <c r="AE919" s="2">
        <f t="shared" si="128"/>
        <v>8</v>
      </c>
      <c r="AF919" s="2">
        <f t="shared" si="129"/>
        <v>14</v>
      </c>
      <c r="AG919" s="2">
        <f t="shared" si="130"/>
        <v>3</v>
      </c>
      <c r="AH919" s="4">
        <f t="shared" si="131"/>
        <v>45198.039097222223</v>
      </c>
      <c r="AI919" s="2">
        <f t="shared" si="132"/>
        <v>2</v>
      </c>
      <c r="AJ919" s="2">
        <f t="shared" si="133"/>
        <v>33</v>
      </c>
      <c r="AK919" s="2">
        <f t="shared" si="134"/>
        <v>16</v>
      </c>
    </row>
    <row r="920" spans="1:37" x14ac:dyDescent="0.25">
      <c r="A920">
        <v>1346</v>
      </c>
      <c r="B920" t="s">
        <v>1024</v>
      </c>
      <c r="C920" t="s">
        <v>806</v>
      </c>
      <c r="D920" t="s">
        <v>973</v>
      </c>
      <c r="E920" t="s">
        <v>388</v>
      </c>
      <c r="F920" t="s">
        <v>985</v>
      </c>
      <c r="G920" t="s">
        <v>31</v>
      </c>
      <c r="H920" s="1">
        <v>45097.039097222223</v>
      </c>
      <c r="I920" s="1">
        <v>45099.039097222223</v>
      </c>
      <c r="J920" t="s">
        <v>44</v>
      </c>
      <c r="K920" s="1"/>
      <c r="T920">
        <v>0</v>
      </c>
      <c r="AC920" s="2">
        <f t="shared" si="126"/>
        <v>2</v>
      </c>
      <c r="AD920" s="2" t="str">
        <f t="shared" si="127"/>
        <v/>
      </c>
      <c r="AE920" s="2" t="str">
        <f t="shared" si="128"/>
        <v/>
      </c>
      <c r="AF920" s="2" t="str">
        <f t="shared" si="129"/>
        <v/>
      </c>
      <c r="AG920" s="2" t="str">
        <f t="shared" si="130"/>
        <v/>
      </c>
      <c r="AH920" s="4" t="str">
        <f t="shared" si="131"/>
        <v/>
      </c>
      <c r="AI920" s="2" t="str">
        <f t="shared" si="132"/>
        <v/>
      </c>
      <c r="AJ920" s="2" t="str">
        <f t="shared" si="133"/>
        <v/>
      </c>
      <c r="AK920" s="2" t="str">
        <f t="shared" si="134"/>
        <v/>
      </c>
    </row>
    <row r="921" spans="1:37" x14ac:dyDescent="0.25">
      <c r="A921">
        <v>1341</v>
      </c>
      <c r="B921" t="s">
        <v>1025</v>
      </c>
      <c r="C921" t="s">
        <v>806</v>
      </c>
      <c r="D921" t="s">
        <v>973</v>
      </c>
      <c r="E921" t="s">
        <v>388</v>
      </c>
      <c r="F921" t="s">
        <v>985</v>
      </c>
      <c r="G921" t="s">
        <v>31</v>
      </c>
      <c r="H921" s="1">
        <v>45096.039097222223</v>
      </c>
      <c r="I921" s="1">
        <v>45097.039097222223</v>
      </c>
      <c r="J921" t="s">
        <v>32</v>
      </c>
      <c r="K921" s="1">
        <v>45110.039097222223</v>
      </c>
      <c r="L921" t="s">
        <v>33</v>
      </c>
      <c r="M921" t="s">
        <v>108</v>
      </c>
      <c r="R921" s="4">
        <v>45112.039097222223</v>
      </c>
      <c r="T921">
        <v>0</v>
      </c>
      <c r="Y921" t="s">
        <v>35</v>
      </c>
      <c r="AC921" s="2">
        <f t="shared" si="126"/>
        <v>1</v>
      </c>
      <c r="AD921" s="2">
        <f t="shared" si="127"/>
        <v>14</v>
      </c>
      <c r="AE921" s="2">
        <f t="shared" si="128"/>
        <v>13</v>
      </c>
      <c r="AF921" s="2">
        <f t="shared" si="129"/>
        <v>16</v>
      </c>
      <c r="AG921" s="2">
        <f t="shared" si="130"/>
        <v>2</v>
      </c>
      <c r="AH921" s="4">
        <f t="shared" si="131"/>
        <v>45202.039097222223</v>
      </c>
      <c r="AI921" s="2" t="str">
        <f t="shared" si="132"/>
        <v/>
      </c>
      <c r="AJ921" s="2" t="str">
        <f t="shared" si="133"/>
        <v/>
      </c>
      <c r="AK921" s="2" t="str">
        <f t="shared" si="134"/>
        <v/>
      </c>
    </row>
    <row r="922" spans="1:37" x14ac:dyDescent="0.25">
      <c r="A922">
        <v>1095</v>
      </c>
      <c r="B922" t="s">
        <v>1026</v>
      </c>
      <c r="C922" t="s">
        <v>806</v>
      </c>
      <c r="D922" t="s">
        <v>973</v>
      </c>
      <c r="E922" t="s">
        <v>388</v>
      </c>
      <c r="F922" t="s">
        <v>985</v>
      </c>
      <c r="G922" t="s">
        <v>31</v>
      </c>
      <c r="H922" s="1">
        <v>45038.26462962963</v>
      </c>
      <c r="I922" s="1">
        <v>45042.26462962963</v>
      </c>
      <c r="J922" t="s">
        <v>32</v>
      </c>
      <c r="K922" s="1">
        <v>45056.26462962963</v>
      </c>
      <c r="L922" t="s">
        <v>33</v>
      </c>
      <c r="M922" t="s">
        <v>108</v>
      </c>
      <c r="R922" s="4">
        <v>45060.26462962963</v>
      </c>
      <c r="T922">
        <v>0</v>
      </c>
      <c r="Y922" t="s">
        <v>35</v>
      </c>
      <c r="AC922" s="2">
        <f t="shared" si="126"/>
        <v>4</v>
      </c>
      <c r="AD922" s="2">
        <f t="shared" si="127"/>
        <v>18</v>
      </c>
      <c r="AE922" s="2">
        <f t="shared" si="128"/>
        <v>14</v>
      </c>
      <c r="AF922" s="2">
        <f t="shared" si="129"/>
        <v>22</v>
      </c>
      <c r="AG922" s="2">
        <f t="shared" si="130"/>
        <v>4</v>
      </c>
      <c r="AH922" s="4">
        <f t="shared" si="131"/>
        <v>45150.26462962963</v>
      </c>
      <c r="AI922" s="2" t="str">
        <f t="shared" si="132"/>
        <v/>
      </c>
      <c r="AJ922" s="2" t="str">
        <f t="shared" si="133"/>
        <v/>
      </c>
      <c r="AK922" s="2" t="str">
        <f t="shared" si="134"/>
        <v/>
      </c>
    </row>
    <row r="923" spans="1:37" x14ac:dyDescent="0.25">
      <c r="A923">
        <v>1053</v>
      </c>
      <c r="B923" t="s">
        <v>1027</v>
      </c>
      <c r="C923" t="s">
        <v>806</v>
      </c>
      <c r="D923" t="s">
        <v>973</v>
      </c>
      <c r="E923" t="s">
        <v>388</v>
      </c>
      <c r="F923" t="s">
        <v>985</v>
      </c>
      <c r="G923" t="s">
        <v>31</v>
      </c>
      <c r="H923" s="1">
        <v>45155.180486111109</v>
      </c>
      <c r="I923" s="1">
        <v>45158.180486111109</v>
      </c>
      <c r="J923" t="s">
        <v>32</v>
      </c>
      <c r="K923" s="1">
        <v>45176.180486111109</v>
      </c>
      <c r="L923" t="s">
        <v>39</v>
      </c>
      <c r="N923" s="4">
        <v>45181.180486111109</v>
      </c>
      <c r="O923" t="s">
        <v>39</v>
      </c>
      <c r="R923" s="4">
        <v>45180.180486111109</v>
      </c>
      <c r="T923">
        <v>0</v>
      </c>
      <c r="AC923" s="2">
        <f t="shared" si="126"/>
        <v>3</v>
      </c>
      <c r="AD923" s="2">
        <f t="shared" si="127"/>
        <v>21</v>
      </c>
      <c r="AE923" s="2">
        <f t="shared" si="128"/>
        <v>18</v>
      </c>
      <c r="AF923" s="2">
        <f t="shared" si="129"/>
        <v>25</v>
      </c>
      <c r="AG923" s="2">
        <f t="shared" si="130"/>
        <v>4</v>
      </c>
      <c r="AH923" s="4">
        <f t="shared" si="131"/>
        <v>45270.180486111109</v>
      </c>
      <c r="AI923" s="2" t="str">
        <f t="shared" si="132"/>
        <v/>
      </c>
      <c r="AJ923" s="2" t="str">
        <f t="shared" si="133"/>
        <v/>
      </c>
      <c r="AK923" s="2" t="str">
        <f t="shared" si="134"/>
        <v/>
      </c>
    </row>
    <row r="924" spans="1:37" x14ac:dyDescent="0.25">
      <c r="A924">
        <v>1002</v>
      </c>
      <c r="B924" t="s">
        <v>1028</v>
      </c>
      <c r="C924" t="s">
        <v>806</v>
      </c>
      <c r="D924" t="s">
        <v>973</v>
      </c>
      <c r="E924" t="s">
        <v>388</v>
      </c>
      <c r="F924" t="s">
        <v>985</v>
      </c>
      <c r="G924" t="s">
        <v>31</v>
      </c>
      <c r="H924" s="1">
        <v>44918.68855324074</v>
      </c>
      <c r="I924" s="1">
        <v>44919.68855324074</v>
      </c>
      <c r="J924" t="s">
        <v>44</v>
      </c>
      <c r="K924" s="1"/>
      <c r="T924">
        <v>0</v>
      </c>
      <c r="AC924" s="2">
        <f t="shared" si="126"/>
        <v>1</v>
      </c>
      <c r="AD924" s="2" t="str">
        <f t="shared" si="127"/>
        <v/>
      </c>
      <c r="AE924" s="2" t="str">
        <f t="shared" si="128"/>
        <v/>
      </c>
      <c r="AF924" s="2" t="str">
        <f t="shared" si="129"/>
        <v/>
      </c>
      <c r="AG924" s="2" t="str">
        <f t="shared" si="130"/>
        <v/>
      </c>
      <c r="AH924" s="4" t="str">
        <f t="shared" si="131"/>
        <v/>
      </c>
      <c r="AI924" s="2" t="str">
        <f t="shared" si="132"/>
        <v/>
      </c>
      <c r="AJ924" s="2" t="str">
        <f t="shared" si="133"/>
        <v/>
      </c>
      <c r="AK924" s="2" t="str">
        <f t="shared" si="134"/>
        <v/>
      </c>
    </row>
    <row r="925" spans="1:37" x14ac:dyDescent="0.25">
      <c r="A925">
        <v>984</v>
      </c>
      <c r="B925" t="s">
        <v>1029</v>
      </c>
      <c r="C925" t="s">
        <v>806</v>
      </c>
      <c r="D925" t="s">
        <v>973</v>
      </c>
      <c r="E925" t="s">
        <v>388</v>
      </c>
      <c r="F925" t="s">
        <v>985</v>
      </c>
      <c r="G925" t="s">
        <v>31</v>
      </c>
      <c r="H925" s="1">
        <v>44795.241203703707</v>
      </c>
      <c r="I925" s="1">
        <v>44797.241203703707</v>
      </c>
      <c r="J925" t="s">
        <v>44</v>
      </c>
      <c r="K925" s="1"/>
      <c r="T925">
        <v>0</v>
      </c>
      <c r="AC925" s="2">
        <f t="shared" si="126"/>
        <v>2</v>
      </c>
      <c r="AD925" s="2" t="str">
        <f t="shared" si="127"/>
        <v/>
      </c>
      <c r="AE925" s="2" t="str">
        <f t="shared" si="128"/>
        <v/>
      </c>
      <c r="AF925" s="2" t="str">
        <f t="shared" si="129"/>
        <v/>
      </c>
      <c r="AG925" s="2" t="str">
        <f t="shared" si="130"/>
        <v/>
      </c>
      <c r="AH925" s="4" t="str">
        <f t="shared" si="131"/>
        <v/>
      </c>
      <c r="AI925" s="2" t="str">
        <f t="shared" si="132"/>
        <v/>
      </c>
      <c r="AJ925" s="2" t="str">
        <f t="shared" si="133"/>
        <v/>
      </c>
      <c r="AK925" s="2" t="str">
        <f t="shared" si="134"/>
        <v/>
      </c>
    </row>
    <row r="926" spans="1:37" x14ac:dyDescent="0.25">
      <c r="A926">
        <v>880</v>
      </c>
      <c r="B926" t="s">
        <v>1030</v>
      </c>
      <c r="C926" t="s">
        <v>806</v>
      </c>
      <c r="D926" t="s">
        <v>973</v>
      </c>
      <c r="E926" t="s">
        <v>388</v>
      </c>
      <c r="F926" t="s">
        <v>985</v>
      </c>
      <c r="G926" t="s">
        <v>31</v>
      </c>
      <c r="H926" s="1">
        <v>44759.80777777778</v>
      </c>
      <c r="I926" s="1">
        <v>44763.80777777778</v>
      </c>
      <c r="J926" t="s">
        <v>32</v>
      </c>
      <c r="K926" s="1">
        <v>44774.80777777778</v>
      </c>
      <c r="L926" t="s">
        <v>33</v>
      </c>
      <c r="M926" t="s">
        <v>51</v>
      </c>
      <c r="T926">
        <v>0</v>
      </c>
      <c r="Y926" t="s">
        <v>35</v>
      </c>
      <c r="AC926" s="2">
        <f t="shared" si="126"/>
        <v>4</v>
      </c>
      <c r="AD926" s="2">
        <f t="shared" si="127"/>
        <v>15</v>
      </c>
      <c r="AE926" s="2">
        <f t="shared" si="128"/>
        <v>11</v>
      </c>
      <c r="AF926" s="2" t="str">
        <f t="shared" si="129"/>
        <v/>
      </c>
      <c r="AG926" s="2" t="str">
        <f t="shared" si="130"/>
        <v/>
      </c>
      <c r="AH926" s="4" t="str">
        <f t="shared" si="131"/>
        <v/>
      </c>
      <c r="AI926" s="2" t="str">
        <f t="shared" si="132"/>
        <v/>
      </c>
      <c r="AJ926" s="2" t="str">
        <f t="shared" si="133"/>
        <v/>
      </c>
      <c r="AK926" s="2" t="str">
        <f t="shared" si="134"/>
        <v/>
      </c>
    </row>
    <row r="927" spans="1:37" x14ac:dyDescent="0.25">
      <c r="A927">
        <v>758</v>
      </c>
      <c r="B927" t="s">
        <v>1031</v>
      </c>
      <c r="C927" t="s">
        <v>806</v>
      </c>
      <c r="D927" t="s">
        <v>973</v>
      </c>
      <c r="E927" t="s">
        <v>388</v>
      </c>
      <c r="F927" t="s">
        <v>985</v>
      </c>
      <c r="G927" t="s">
        <v>31</v>
      </c>
      <c r="H927" s="1">
        <v>44940.883877314816</v>
      </c>
      <c r="I927" s="1">
        <v>44943.883877314816</v>
      </c>
      <c r="J927" t="s">
        <v>32</v>
      </c>
      <c r="K927" s="1">
        <v>44956.883877314816</v>
      </c>
      <c r="L927" t="s">
        <v>164</v>
      </c>
      <c r="N927" s="4">
        <v>44962.883877314816</v>
      </c>
      <c r="O927" t="s">
        <v>164</v>
      </c>
      <c r="R927" s="4">
        <v>44959.883877314816</v>
      </c>
      <c r="T927">
        <v>0</v>
      </c>
      <c r="AC927" s="2">
        <f t="shared" si="126"/>
        <v>3</v>
      </c>
      <c r="AD927" s="2">
        <f t="shared" si="127"/>
        <v>16</v>
      </c>
      <c r="AE927" s="2">
        <f t="shared" si="128"/>
        <v>13</v>
      </c>
      <c r="AF927" s="2">
        <f t="shared" si="129"/>
        <v>19</v>
      </c>
      <c r="AG927" s="2">
        <f t="shared" si="130"/>
        <v>3</v>
      </c>
      <c r="AH927" s="4">
        <f t="shared" si="131"/>
        <v>45049.883877314816</v>
      </c>
      <c r="AI927" s="2" t="str">
        <f t="shared" si="132"/>
        <v/>
      </c>
      <c r="AJ927" s="2" t="str">
        <f t="shared" si="133"/>
        <v/>
      </c>
      <c r="AK927" s="2" t="str">
        <f t="shared" si="134"/>
        <v/>
      </c>
    </row>
    <row r="928" spans="1:37" x14ac:dyDescent="0.25">
      <c r="A928">
        <v>755</v>
      </c>
      <c r="B928" t="s">
        <v>1032</v>
      </c>
      <c r="C928" t="s">
        <v>806</v>
      </c>
      <c r="D928" t="s">
        <v>973</v>
      </c>
      <c r="E928" t="s">
        <v>388</v>
      </c>
      <c r="F928" t="s">
        <v>985</v>
      </c>
      <c r="G928" t="s">
        <v>31</v>
      </c>
      <c r="H928" s="1">
        <v>44942.883877314816</v>
      </c>
      <c r="I928" s="1">
        <v>44946.883877314816</v>
      </c>
      <c r="J928" t="s">
        <v>32</v>
      </c>
      <c r="K928" s="1">
        <v>44965.883877314816</v>
      </c>
      <c r="L928" t="s">
        <v>39</v>
      </c>
      <c r="N928" s="4">
        <v>44970.883877314816</v>
      </c>
      <c r="O928" t="s">
        <v>39</v>
      </c>
      <c r="R928" s="4">
        <v>44967.883877314816</v>
      </c>
      <c r="T928">
        <v>0</v>
      </c>
      <c r="AC928" s="2">
        <f t="shared" si="126"/>
        <v>4</v>
      </c>
      <c r="AD928" s="2">
        <f t="shared" si="127"/>
        <v>23</v>
      </c>
      <c r="AE928" s="2">
        <f t="shared" si="128"/>
        <v>19</v>
      </c>
      <c r="AF928" s="2">
        <f t="shared" si="129"/>
        <v>25</v>
      </c>
      <c r="AG928" s="2">
        <f t="shared" si="130"/>
        <v>2</v>
      </c>
      <c r="AH928" s="4">
        <f t="shared" si="131"/>
        <v>45057.883877314816</v>
      </c>
      <c r="AI928" s="2" t="str">
        <f t="shared" si="132"/>
        <v/>
      </c>
      <c r="AJ928" s="2" t="str">
        <f t="shared" si="133"/>
        <v/>
      </c>
      <c r="AK928" s="2" t="str">
        <f t="shared" si="134"/>
        <v/>
      </c>
    </row>
    <row r="929" spans="1:37" x14ac:dyDescent="0.25">
      <c r="A929">
        <v>754</v>
      </c>
      <c r="B929" t="s">
        <v>1033</v>
      </c>
      <c r="C929" t="s">
        <v>806</v>
      </c>
      <c r="D929" t="s">
        <v>973</v>
      </c>
      <c r="E929" t="s">
        <v>388</v>
      </c>
      <c r="F929" t="s">
        <v>985</v>
      </c>
      <c r="G929" t="s">
        <v>31</v>
      </c>
      <c r="H929" s="1">
        <v>44943.883877314816</v>
      </c>
      <c r="I929" s="1">
        <v>44944.883877314816</v>
      </c>
      <c r="J929" t="s">
        <v>32</v>
      </c>
      <c r="K929" s="1">
        <v>44954.883877314816</v>
      </c>
      <c r="L929" t="s">
        <v>39</v>
      </c>
      <c r="N929" s="4">
        <v>44959.883877314816</v>
      </c>
      <c r="O929" t="s">
        <v>39</v>
      </c>
      <c r="R929" s="4">
        <v>44957.883877314816</v>
      </c>
      <c r="T929">
        <v>0</v>
      </c>
      <c r="AC929" s="2">
        <f t="shared" si="126"/>
        <v>1</v>
      </c>
      <c r="AD929" s="2">
        <f t="shared" si="127"/>
        <v>11</v>
      </c>
      <c r="AE929" s="2">
        <f t="shared" si="128"/>
        <v>10</v>
      </c>
      <c r="AF929" s="2">
        <f t="shared" si="129"/>
        <v>14</v>
      </c>
      <c r="AG929" s="2">
        <f t="shared" si="130"/>
        <v>3</v>
      </c>
      <c r="AH929" s="4">
        <f t="shared" si="131"/>
        <v>45047.883877314816</v>
      </c>
      <c r="AI929" s="2" t="str">
        <f t="shared" si="132"/>
        <v/>
      </c>
      <c r="AJ929" s="2" t="str">
        <f t="shared" si="133"/>
        <v/>
      </c>
      <c r="AK929" s="2" t="str">
        <f t="shared" si="134"/>
        <v/>
      </c>
    </row>
    <row r="930" spans="1:37" x14ac:dyDescent="0.25">
      <c r="A930">
        <v>692</v>
      </c>
      <c r="B930" t="s">
        <v>1034</v>
      </c>
      <c r="C930" t="s">
        <v>806</v>
      </c>
      <c r="D930" t="s">
        <v>973</v>
      </c>
      <c r="E930" t="s">
        <v>388</v>
      </c>
      <c r="F930" t="s">
        <v>985</v>
      </c>
      <c r="G930" t="s">
        <v>31</v>
      </c>
      <c r="H930" s="1">
        <v>44865.289201388892</v>
      </c>
      <c r="I930" s="1">
        <v>44869.289201388892</v>
      </c>
      <c r="J930" t="s">
        <v>32</v>
      </c>
      <c r="K930" s="1">
        <v>44890.289201388892</v>
      </c>
      <c r="L930" t="s">
        <v>33</v>
      </c>
      <c r="M930" t="s">
        <v>51</v>
      </c>
      <c r="T930">
        <v>0</v>
      </c>
      <c r="Y930" t="s">
        <v>35</v>
      </c>
      <c r="AC930" s="2">
        <f t="shared" si="126"/>
        <v>4</v>
      </c>
      <c r="AD930" s="2">
        <f t="shared" si="127"/>
        <v>25</v>
      </c>
      <c r="AE930" s="2">
        <f t="shared" si="128"/>
        <v>21</v>
      </c>
      <c r="AF930" s="2" t="str">
        <f t="shared" si="129"/>
        <v/>
      </c>
      <c r="AG930" s="2" t="str">
        <f t="shared" si="130"/>
        <v/>
      </c>
      <c r="AH930" s="4" t="str">
        <f t="shared" si="131"/>
        <v/>
      </c>
      <c r="AI930" s="2" t="str">
        <f t="shared" si="132"/>
        <v/>
      </c>
      <c r="AJ930" s="2" t="str">
        <f t="shared" si="133"/>
        <v/>
      </c>
      <c r="AK930" s="2" t="str">
        <f t="shared" si="134"/>
        <v/>
      </c>
    </row>
    <row r="931" spans="1:37" x14ac:dyDescent="0.25">
      <c r="A931">
        <v>559</v>
      </c>
      <c r="B931" t="s">
        <v>1035</v>
      </c>
      <c r="C931" t="s">
        <v>806</v>
      </c>
      <c r="D931" t="s">
        <v>973</v>
      </c>
      <c r="E931" t="s">
        <v>388</v>
      </c>
      <c r="F931" t="s">
        <v>985</v>
      </c>
      <c r="G931" t="s">
        <v>31</v>
      </c>
      <c r="H931" s="1">
        <v>45086.01053240741</v>
      </c>
      <c r="I931" s="1">
        <v>45088.01053240741</v>
      </c>
      <c r="J931" t="s">
        <v>32</v>
      </c>
      <c r="K931" s="1">
        <v>45093.01053240741</v>
      </c>
      <c r="L931" t="s">
        <v>33</v>
      </c>
      <c r="M931" t="s">
        <v>92</v>
      </c>
      <c r="T931">
        <v>0</v>
      </c>
      <c r="Y931" t="s">
        <v>55</v>
      </c>
      <c r="AC931" s="2">
        <f t="shared" si="126"/>
        <v>2</v>
      </c>
      <c r="AD931" s="2">
        <f t="shared" si="127"/>
        <v>7</v>
      </c>
      <c r="AE931" s="2">
        <f t="shared" si="128"/>
        <v>5</v>
      </c>
      <c r="AF931" s="2" t="str">
        <f t="shared" si="129"/>
        <v/>
      </c>
      <c r="AG931" s="2" t="str">
        <f t="shared" si="130"/>
        <v/>
      </c>
      <c r="AH931" s="4" t="str">
        <f t="shared" si="131"/>
        <v/>
      </c>
      <c r="AI931" s="2" t="str">
        <f t="shared" si="132"/>
        <v/>
      </c>
      <c r="AJ931" s="2" t="str">
        <f t="shared" si="133"/>
        <v/>
      </c>
      <c r="AK931" s="2" t="str">
        <f t="shared" si="134"/>
        <v/>
      </c>
    </row>
    <row r="932" spans="1:37" x14ac:dyDescent="0.25">
      <c r="A932">
        <v>553</v>
      </c>
      <c r="B932" t="s">
        <v>1036</v>
      </c>
      <c r="C932" t="s">
        <v>806</v>
      </c>
      <c r="D932" t="s">
        <v>973</v>
      </c>
      <c r="E932" t="s">
        <v>388</v>
      </c>
      <c r="F932" t="s">
        <v>985</v>
      </c>
      <c r="G932" t="s">
        <v>31</v>
      </c>
      <c r="H932" s="1">
        <v>45082.01053240741</v>
      </c>
      <c r="I932" s="1">
        <v>45086.01053240741</v>
      </c>
      <c r="J932" t="s">
        <v>32</v>
      </c>
      <c r="K932" s="1">
        <v>45100.01053240741</v>
      </c>
      <c r="L932" t="s">
        <v>164</v>
      </c>
      <c r="N932" s="4">
        <v>45107.01053240741</v>
      </c>
      <c r="O932" t="s">
        <v>164</v>
      </c>
      <c r="R932" s="4">
        <v>45104.01053240741</v>
      </c>
      <c r="T932">
        <v>0</v>
      </c>
      <c r="AC932" s="2">
        <f t="shared" si="126"/>
        <v>4</v>
      </c>
      <c r="AD932" s="2">
        <f t="shared" si="127"/>
        <v>18</v>
      </c>
      <c r="AE932" s="2">
        <f t="shared" si="128"/>
        <v>14</v>
      </c>
      <c r="AF932" s="2">
        <f t="shared" si="129"/>
        <v>22</v>
      </c>
      <c r="AG932" s="2">
        <f t="shared" si="130"/>
        <v>4</v>
      </c>
      <c r="AH932" s="4">
        <f t="shared" si="131"/>
        <v>45194.01053240741</v>
      </c>
      <c r="AI932" s="2" t="str">
        <f t="shared" si="132"/>
        <v/>
      </c>
      <c r="AJ932" s="2" t="str">
        <f t="shared" si="133"/>
        <v/>
      </c>
      <c r="AK932" s="2" t="str">
        <f t="shared" si="134"/>
        <v/>
      </c>
    </row>
    <row r="933" spans="1:37" x14ac:dyDescent="0.25">
      <c r="A933">
        <v>552</v>
      </c>
      <c r="B933" t="s">
        <v>1037</v>
      </c>
      <c r="C933" t="s">
        <v>806</v>
      </c>
      <c r="D933" t="s">
        <v>973</v>
      </c>
      <c r="E933" t="s">
        <v>388</v>
      </c>
      <c r="F933" t="s">
        <v>985</v>
      </c>
      <c r="G933" t="s">
        <v>31</v>
      </c>
      <c r="H933" s="1">
        <v>45084.01053240741</v>
      </c>
      <c r="I933" s="1">
        <v>45085.01053240741</v>
      </c>
      <c r="J933" t="s">
        <v>32</v>
      </c>
      <c r="K933" s="1">
        <v>45098.01053240741</v>
      </c>
      <c r="L933" t="s">
        <v>33</v>
      </c>
      <c r="M933" t="s">
        <v>92</v>
      </c>
      <c r="R933" s="4">
        <v>45101.01053240741</v>
      </c>
      <c r="T933">
        <v>0</v>
      </c>
      <c r="Y933" t="s">
        <v>55</v>
      </c>
      <c r="AC933" s="2">
        <f t="shared" si="126"/>
        <v>1</v>
      </c>
      <c r="AD933" s="2">
        <f t="shared" si="127"/>
        <v>14</v>
      </c>
      <c r="AE933" s="2">
        <f t="shared" si="128"/>
        <v>13</v>
      </c>
      <c r="AF933" s="2">
        <f t="shared" si="129"/>
        <v>17</v>
      </c>
      <c r="AG933" s="2">
        <f t="shared" si="130"/>
        <v>3</v>
      </c>
      <c r="AH933" s="4">
        <f t="shared" si="131"/>
        <v>45191.01053240741</v>
      </c>
      <c r="AI933" s="2" t="str">
        <f t="shared" si="132"/>
        <v/>
      </c>
      <c r="AJ933" s="2" t="str">
        <f t="shared" si="133"/>
        <v/>
      </c>
      <c r="AK933" s="2" t="str">
        <f t="shared" si="134"/>
        <v/>
      </c>
    </row>
    <row r="934" spans="1:37" x14ac:dyDescent="0.25">
      <c r="A934">
        <v>551</v>
      </c>
      <c r="B934" t="s">
        <v>1038</v>
      </c>
      <c r="C934" t="s">
        <v>806</v>
      </c>
      <c r="D934" t="s">
        <v>973</v>
      </c>
      <c r="E934" t="s">
        <v>388</v>
      </c>
      <c r="F934" t="s">
        <v>985</v>
      </c>
      <c r="G934" t="s">
        <v>31</v>
      </c>
      <c r="H934" s="1">
        <v>45088.01053240741</v>
      </c>
      <c r="I934" s="1">
        <v>45090.01053240741</v>
      </c>
      <c r="J934" t="s">
        <v>32</v>
      </c>
      <c r="K934" s="1">
        <v>45107.01053240741</v>
      </c>
      <c r="L934" t="s">
        <v>39</v>
      </c>
      <c r="N934" s="4">
        <v>45112.01053240741</v>
      </c>
      <c r="O934" t="s">
        <v>39</v>
      </c>
      <c r="R934" s="4">
        <v>45110.01053240741</v>
      </c>
      <c r="T934">
        <v>0</v>
      </c>
      <c r="AC934" s="2">
        <f t="shared" si="126"/>
        <v>2</v>
      </c>
      <c r="AD934" s="2">
        <f t="shared" si="127"/>
        <v>19</v>
      </c>
      <c r="AE934" s="2">
        <f t="shared" si="128"/>
        <v>17</v>
      </c>
      <c r="AF934" s="2">
        <f t="shared" si="129"/>
        <v>22</v>
      </c>
      <c r="AG934" s="2">
        <f t="shared" si="130"/>
        <v>3</v>
      </c>
      <c r="AH934" s="4">
        <f t="shared" si="131"/>
        <v>45200.01053240741</v>
      </c>
      <c r="AI934" s="2" t="str">
        <f t="shared" si="132"/>
        <v/>
      </c>
      <c r="AJ934" s="2" t="str">
        <f t="shared" si="133"/>
        <v/>
      </c>
      <c r="AK934" s="2" t="str">
        <f t="shared" si="134"/>
        <v/>
      </c>
    </row>
    <row r="935" spans="1:37" x14ac:dyDescent="0.25">
      <c r="A935">
        <v>547</v>
      </c>
      <c r="B935" t="s">
        <v>1039</v>
      </c>
      <c r="C935" t="s">
        <v>806</v>
      </c>
      <c r="D935" t="s">
        <v>973</v>
      </c>
      <c r="E935" t="s">
        <v>388</v>
      </c>
      <c r="F935" t="s">
        <v>985</v>
      </c>
      <c r="G935" t="s">
        <v>31</v>
      </c>
      <c r="H935" s="1">
        <v>44958.651087962964</v>
      </c>
      <c r="I935" s="1">
        <v>44959.651087962964</v>
      </c>
      <c r="J935" t="s">
        <v>32</v>
      </c>
      <c r="K935" s="1">
        <v>44968.651087962964</v>
      </c>
      <c r="L935" t="s">
        <v>39</v>
      </c>
      <c r="N935" s="4">
        <v>44973.651087962964</v>
      </c>
      <c r="O935" t="s">
        <v>39</v>
      </c>
      <c r="R935" s="4">
        <v>44971.651087962964</v>
      </c>
      <c r="T935">
        <v>0</v>
      </c>
      <c r="AC935" s="2">
        <f t="shared" si="126"/>
        <v>1</v>
      </c>
      <c r="AD935" s="2">
        <f t="shared" si="127"/>
        <v>10</v>
      </c>
      <c r="AE935" s="2">
        <f t="shared" si="128"/>
        <v>9</v>
      </c>
      <c r="AF935" s="2">
        <f t="shared" si="129"/>
        <v>13</v>
      </c>
      <c r="AG935" s="2">
        <f t="shared" si="130"/>
        <v>3</v>
      </c>
      <c r="AH935" s="4">
        <f t="shared" si="131"/>
        <v>45061.651087962964</v>
      </c>
      <c r="AI935" s="2" t="str">
        <f t="shared" si="132"/>
        <v/>
      </c>
      <c r="AJ935" s="2" t="str">
        <f t="shared" si="133"/>
        <v/>
      </c>
      <c r="AK935" s="2" t="str">
        <f t="shared" si="134"/>
        <v/>
      </c>
    </row>
    <row r="936" spans="1:37" x14ac:dyDescent="0.25">
      <c r="A936">
        <v>545</v>
      </c>
      <c r="B936" t="s">
        <v>1040</v>
      </c>
      <c r="C936" t="s">
        <v>806</v>
      </c>
      <c r="D936" t="s">
        <v>973</v>
      </c>
      <c r="E936" t="s">
        <v>388</v>
      </c>
      <c r="F936" t="s">
        <v>985</v>
      </c>
      <c r="G936" t="s">
        <v>31</v>
      </c>
      <c r="H936" s="1">
        <v>44958.651087962964</v>
      </c>
      <c r="I936" s="1">
        <v>44960.651087962964</v>
      </c>
      <c r="J936" t="s">
        <v>32</v>
      </c>
      <c r="K936" s="1">
        <v>44971.651087962964</v>
      </c>
      <c r="L936" t="s">
        <v>33</v>
      </c>
      <c r="M936" t="s">
        <v>51</v>
      </c>
      <c r="T936">
        <v>0</v>
      </c>
      <c r="Y936" t="s">
        <v>55</v>
      </c>
      <c r="AC936" s="2">
        <f t="shared" si="126"/>
        <v>2</v>
      </c>
      <c r="AD936" s="2">
        <f t="shared" si="127"/>
        <v>13</v>
      </c>
      <c r="AE936" s="2">
        <f t="shared" si="128"/>
        <v>11</v>
      </c>
      <c r="AF936" s="2" t="str">
        <f t="shared" si="129"/>
        <v/>
      </c>
      <c r="AG936" s="2" t="str">
        <f t="shared" si="130"/>
        <v/>
      </c>
      <c r="AH936" s="4" t="str">
        <f t="shared" si="131"/>
        <v/>
      </c>
      <c r="AI936" s="2" t="str">
        <f t="shared" si="132"/>
        <v/>
      </c>
      <c r="AJ936" s="2" t="str">
        <f t="shared" si="133"/>
        <v/>
      </c>
      <c r="AK936" s="2" t="str">
        <f t="shared" si="134"/>
        <v/>
      </c>
    </row>
    <row r="937" spans="1:37" x14ac:dyDescent="0.25">
      <c r="A937">
        <v>541</v>
      </c>
      <c r="B937" t="s">
        <v>1041</v>
      </c>
      <c r="C937" t="s">
        <v>806</v>
      </c>
      <c r="D937" t="s">
        <v>973</v>
      </c>
      <c r="E937" t="s">
        <v>388</v>
      </c>
      <c r="F937" t="s">
        <v>985</v>
      </c>
      <c r="G937" t="s">
        <v>31</v>
      </c>
      <c r="H937" s="1">
        <v>44958.651087962964</v>
      </c>
      <c r="I937" s="1">
        <v>44960.651087962964</v>
      </c>
      <c r="J937" t="s">
        <v>32</v>
      </c>
      <c r="K937" s="1">
        <v>44978.651087962964</v>
      </c>
      <c r="L937" t="s">
        <v>33</v>
      </c>
      <c r="M937" t="s">
        <v>108</v>
      </c>
      <c r="R937" s="4">
        <v>44980.651087962964</v>
      </c>
      <c r="T937">
        <v>0</v>
      </c>
      <c r="Y937" t="s">
        <v>35</v>
      </c>
      <c r="AC937" s="2">
        <f t="shared" si="126"/>
        <v>2</v>
      </c>
      <c r="AD937" s="2">
        <f t="shared" si="127"/>
        <v>20</v>
      </c>
      <c r="AE937" s="2">
        <f t="shared" si="128"/>
        <v>18</v>
      </c>
      <c r="AF937" s="2">
        <f t="shared" si="129"/>
        <v>22</v>
      </c>
      <c r="AG937" s="2">
        <f t="shared" si="130"/>
        <v>2</v>
      </c>
      <c r="AH937" s="4">
        <f t="shared" si="131"/>
        <v>45070.651087962964</v>
      </c>
      <c r="AI937" s="2" t="str">
        <f t="shared" si="132"/>
        <v/>
      </c>
      <c r="AJ937" s="2" t="str">
        <f t="shared" si="133"/>
        <v/>
      </c>
      <c r="AK937" s="2" t="str">
        <f t="shared" si="134"/>
        <v/>
      </c>
    </row>
    <row r="938" spans="1:37" x14ac:dyDescent="0.25">
      <c r="A938">
        <v>2982</v>
      </c>
      <c r="B938" t="s">
        <v>1042</v>
      </c>
      <c r="C938" t="s">
        <v>806</v>
      </c>
      <c r="D938" t="s">
        <v>1043</v>
      </c>
      <c r="E938" t="s">
        <v>716</v>
      </c>
      <c r="F938" t="s">
        <v>808</v>
      </c>
      <c r="G938" t="s">
        <v>49</v>
      </c>
      <c r="H938" s="1">
        <v>44922.987974537034</v>
      </c>
      <c r="I938" s="1">
        <v>44926.987974537034</v>
      </c>
      <c r="J938" t="s">
        <v>44</v>
      </c>
      <c r="K938" s="1"/>
      <c r="T938">
        <v>0</v>
      </c>
      <c r="AC938" s="2">
        <f t="shared" si="126"/>
        <v>4</v>
      </c>
      <c r="AD938" s="2" t="str">
        <f t="shared" si="127"/>
        <v/>
      </c>
      <c r="AE938" s="2" t="str">
        <f t="shared" si="128"/>
        <v/>
      </c>
      <c r="AF938" s="2" t="str">
        <f t="shared" si="129"/>
        <v/>
      </c>
      <c r="AG938" s="2" t="str">
        <f t="shared" si="130"/>
        <v/>
      </c>
      <c r="AH938" s="4" t="str">
        <f t="shared" si="131"/>
        <v/>
      </c>
      <c r="AI938" s="2" t="str">
        <f t="shared" si="132"/>
        <v/>
      </c>
      <c r="AJ938" s="2" t="str">
        <f t="shared" si="133"/>
        <v/>
      </c>
      <c r="AK938" s="2" t="str">
        <f t="shared" si="134"/>
        <v/>
      </c>
    </row>
    <row r="939" spans="1:37" x14ac:dyDescent="0.25">
      <c r="A939">
        <v>2462</v>
      </c>
      <c r="B939" t="s">
        <v>1044</v>
      </c>
      <c r="C939" t="s">
        <v>806</v>
      </c>
      <c r="D939" t="s">
        <v>1043</v>
      </c>
      <c r="E939" t="s">
        <v>716</v>
      </c>
      <c r="F939" t="s">
        <v>808</v>
      </c>
      <c r="G939" t="s">
        <v>49</v>
      </c>
      <c r="H939" s="1">
        <v>45016.841874999998</v>
      </c>
      <c r="I939" s="1">
        <v>45019.841874999998</v>
      </c>
      <c r="J939" t="s">
        <v>44</v>
      </c>
      <c r="K939" s="1"/>
      <c r="T939">
        <v>0</v>
      </c>
      <c r="AC939" s="2">
        <f t="shared" si="126"/>
        <v>3</v>
      </c>
      <c r="AD939" s="2" t="str">
        <f t="shared" si="127"/>
        <v/>
      </c>
      <c r="AE939" s="2" t="str">
        <f t="shared" si="128"/>
        <v/>
      </c>
      <c r="AF939" s="2" t="str">
        <f t="shared" si="129"/>
        <v/>
      </c>
      <c r="AG939" s="2" t="str">
        <f t="shared" si="130"/>
        <v/>
      </c>
      <c r="AH939" s="4" t="str">
        <f t="shared" si="131"/>
        <v/>
      </c>
      <c r="AI939" s="2" t="str">
        <f t="shared" si="132"/>
        <v/>
      </c>
      <c r="AJ939" s="2" t="str">
        <f t="shared" si="133"/>
        <v/>
      </c>
      <c r="AK939" s="2" t="str">
        <f t="shared" si="134"/>
        <v/>
      </c>
    </row>
    <row r="940" spans="1:37" x14ac:dyDescent="0.25">
      <c r="A940">
        <v>2341</v>
      </c>
      <c r="B940" t="s">
        <v>1045</v>
      </c>
      <c r="C940" t="s">
        <v>806</v>
      </c>
      <c r="D940" t="s">
        <v>1043</v>
      </c>
      <c r="E940" t="s">
        <v>716</v>
      </c>
      <c r="F940" t="s">
        <v>808</v>
      </c>
      <c r="G940" t="s">
        <v>49</v>
      </c>
      <c r="H940" s="1">
        <v>45054.364525462966</v>
      </c>
      <c r="I940" s="1">
        <v>45056.364525462966</v>
      </c>
      <c r="J940" t="s">
        <v>44</v>
      </c>
      <c r="K940" s="1"/>
      <c r="T940">
        <v>0</v>
      </c>
      <c r="AC940" s="2">
        <f t="shared" si="126"/>
        <v>2</v>
      </c>
      <c r="AD940" s="2" t="str">
        <f t="shared" si="127"/>
        <v/>
      </c>
      <c r="AE940" s="2" t="str">
        <f t="shared" si="128"/>
        <v/>
      </c>
      <c r="AF940" s="2" t="str">
        <f t="shared" si="129"/>
        <v/>
      </c>
      <c r="AG940" s="2" t="str">
        <f t="shared" si="130"/>
        <v/>
      </c>
      <c r="AH940" s="4" t="str">
        <f t="shared" si="131"/>
        <v/>
      </c>
      <c r="AI940" s="2" t="str">
        <f t="shared" si="132"/>
        <v/>
      </c>
      <c r="AJ940" s="2" t="str">
        <f t="shared" si="133"/>
        <v/>
      </c>
      <c r="AK940" s="2" t="str">
        <f t="shared" si="134"/>
        <v/>
      </c>
    </row>
    <row r="941" spans="1:37" x14ac:dyDescent="0.25">
      <c r="A941">
        <v>2291</v>
      </c>
      <c r="B941" t="s">
        <v>1046</v>
      </c>
      <c r="C941" t="s">
        <v>806</v>
      </c>
      <c r="D941" t="s">
        <v>1043</v>
      </c>
      <c r="E941" t="s">
        <v>716</v>
      </c>
      <c r="F941" t="s">
        <v>808</v>
      </c>
      <c r="G941" t="s">
        <v>49</v>
      </c>
      <c r="H941" s="1">
        <v>45104.656666666669</v>
      </c>
      <c r="I941" s="1">
        <v>45108.656666666669</v>
      </c>
      <c r="J941" t="s">
        <v>44</v>
      </c>
      <c r="K941" s="1"/>
      <c r="T941">
        <v>0</v>
      </c>
      <c r="AC941" s="2">
        <f t="shared" si="126"/>
        <v>4</v>
      </c>
      <c r="AD941" s="2" t="str">
        <f t="shared" si="127"/>
        <v/>
      </c>
      <c r="AE941" s="2" t="str">
        <f t="shared" si="128"/>
        <v/>
      </c>
      <c r="AF941" s="2" t="str">
        <f t="shared" si="129"/>
        <v/>
      </c>
      <c r="AG941" s="2" t="str">
        <f t="shared" si="130"/>
        <v/>
      </c>
      <c r="AH941" s="4" t="str">
        <f t="shared" si="131"/>
        <v/>
      </c>
      <c r="AI941" s="2" t="str">
        <f t="shared" si="132"/>
        <v/>
      </c>
      <c r="AJ941" s="2" t="str">
        <f t="shared" si="133"/>
        <v/>
      </c>
      <c r="AK941" s="2" t="str">
        <f t="shared" si="134"/>
        <v/>
      </c>
    </row>
    <row r="942" spans="1:37" x14ac:dyDescent="0.25">
      <c r="A942">
        <v>2201</v>
      </c>
      <c r="B942" t="s">
        <v>1047</v>
      </c>
      <c r="C942" t="s">
        <v>806</v>
      </c>
      <c r="D942" t="s">
        <v>1043</v>
      </c>
      <c r="E942" t="s">
        <v>716</v>
      </c>
      <c r="F942" t="s">
        <v>808</v>
      </c>
      <c r="G942" t="s">
        <v>49</v>
      </c>
      <c r="H942" s="1">
        <v>45090.202615740738</v>
      </c>
      <c r="I942" s="1">
        <v>45092.202615740738</v>
      </c>
      <c r="J942" t="s">
        <v>44</v>
      </c>
      <c r="K942" s="1"/>
      <c r="T942">
        <v>0</v>
      </c>
      <c r="AC942" s="2">
        <f t="shared" si="126"/>
        <v>2</v>
      </c>
      <c r="AD942" s="2" t="str">
        <f t="shared" si="127"/>
        <v/>
      </c>
      <c r="AE942" s="2" t="str">
        <f t="shared" si="128"/>
        <v/>
      </c>
      <c r="AF942" s="2" t="str">
        <f t="shared" si="129"/>
        <v/>
      </c>
      <c r="AG942" s="2" t="str">
        <f t="shared" si="130"/>
        <v/>
      </c>
      <c r="AH942" s="4" t="str">
        <f t="shared" si="131"/>
        <v/>
      </c>
      <c r="AI942" s="2" t="str">
        <f t="shared" si="132"/>
        <v/>
      </c>
      <c r="AJ942" s="2" t="str">
        <f t="shared" si="133"/>
        <v/>
      </c>
      <c r="AK942" s="2" t="str">
        <f t="shared" si="134"/>
        <v/>
      </c>
    </row>
    <row r="943" spans="1:37" x14ac:dyDescent="0.25">
      <c r="A943">
        <v>2078</v>
      </c>
      <c r="B943" t="s">
        <v>1048</v>
      </c>
      <c r="C943" t="s">
        <v>806</v>
      </c>
      <c r="D943" t="s">
        <v>1043</v>
      </c>
      <c r="E943" t="s">
        <v>716</v>
      </c>
      <c r="F943" t="s">
        <v>808</v>
      </c>
      <c r="G943" t="s">
        <v>49</v>
      </c>
      <c r="H943" s="1">
        <v>44913.441053240742</v>
      </c>
      <c r="I943" s="1">
        <v>44917.441053240742</v>
      </c>
      <c r="J943" t="s">
        <v>44</v>
      </c>
      <c r="K943" s="1"/>
      <c r="T943">
        <v>0</v>
      </c>
      <c r="AC943" s="2">
        <f t="shared" si="126"/>
        <v>4</v>
      </c>
      <c r="AD943" s="2" t="str">
        <f t="shared" si="127"/>
        <v/>
      </c>
      <c r="AE943" s="2" t="str">
        <f t="shared" si="128"/>
        <v/>
      </c>
      <c r="AF943" s="2" t="str">
        <f t="shared" si="129"/>
        <v/>
      </c>
      <c r="AG943" s="2" t="str">
        <f t="shared" si="130"/>
        <v/>
      </c>
      <c r="AH943" s="4" t="str">
        <f t="shared" si="131"/>
        <v/>
      </c>
      <c r="AI943" s="2" t="str">
        <f t="shared" si="132"/>
        <v/>
      </c>
      <c r="AJ943" s="2" t="str">
        <f t="shared" si="133"/>
        <v/>
      </c>
      <c r="AK943" s="2" t="str">
        <f t="shared" si="134"/>
        <v/>
      </c>
    </row>
    <row r="944" spans="1:37" x14ac:dyDescent="0.25">
      <c r="A944">
        <v>2073</v>
      </c>
      <c r="B944" t="s">
        <v>1049</v>
      </c>
      <c r="C944" t="s">
        <v>806</v>
      </c>
      <c r="D944" t="s">
        <v>1043</v>
      </c>
      <c r="E944" t="s">
        <v>716</v>
      </c>
      <c r="F944" t="s">
        <v>808</v>
      </c>
      <c r="G944" t="s">
        <v>49</v>
      </c>
      <c r="H944" s="1">
        <v>44921.441053240742</v>
      </c>
      <c r="I944" s="1">
        <v>44922.441053240742</v>
      </c>
      <c r="J944" t="s">
        <v>44</v>
      </c>
      <c r="K944" s="1"/>
      <c r="T944">
        <v>0</v>
      </c>
      <c r="AC944" s="2">
        <f t="shared" si="126"/>
        <v>1</v>
      </c>
      <c r="AD944" s="2" t="str">
        <f t="shared" si="127"/>
        <v/>
      </c>
      <c r="AE944" s="2" t="str">
        <f t="shared" si="128"/>
        <v/>
      </c>
      <c r="AF944" s="2" t="str">
        <f t="shared" si="129"/>
        <v/>
      </c>
      <c r="AG944" s="2" t="str">
        <f t="shared" si="130"/>
        <v/>
      </c>
      <c r="AH944" s="4" t="str">
        <f t="shared" si="131"/>
        <v/>
      </c>
      <c r="AI944" s="2" t="str">
        <f t="shared" si="132"/>
        <v/>
      </c>
      <c r="AJ944" s="2" t="str">
        <f t="shared" si="133"/>
        <v/>
      </c>
      <c r="AK944" s="2" t="str">
        <f t="shared" si="134"/>
        <v/>
      </c>
    </row>
    <row r="945" spans="1:37" x14ac:dyDescent="0.25">
      <c r="A945">
        <v>2050</v>
      </c>
      <c r="B945" t="s">
        <v>1050</v>
      </c>
      <c r="C945" t="s">
        <v>806</v>
      </c>
      <c r="D945" t="s">
        <v>1043</v>
      </c>
      <c r="E945" t="s">
        <v>716</v>
      </c>
      <c r="F945" t="s">
        <v>808</v>
      </c>
      <c r="G945" t="s">
        <v>49</v>
      </c>
      <c r="H945" s="1">
        <v>44759.200532407405</v>
      </c>
      <c r="I945" s="1">
        <v>44762.200532407405</v>
      </c>
      <c r="J945" t="s">
        <v>44</v>
      </c>
      <c r="K945" s="1"/>
      <c r="T945">
        <v>0</v>
      </c>
      <c r="AC945" s="2">
        <f t="shared" si="126"/>
        <v>3</v>
      </c>
      <c r="AD945" s="2" t="str">
        <f t="shared" si="127"/>
        <v/>
      </c>
      <c r="AE945" s="2" t="str">
        <f t="shared" si="128"/>
        <v/>
      </c>
      <c r="AF945" s="2" t="str">
        <f t="shared" si="129"/>
        <v/>
      </c>
      <c r="AG945" s="2" t="str">
        <f t="shared" si="130"/>
        <v/>
      </c>
      <c r="AH945" s="4" t="str">
        <f t="shared" si="131"/>
        <v/>
      </c>
      <c r="AI945" s="2" t="str">
        <f t="shared" si="132"/>
        <v/>
      </c>
      <c r="AJ945" s="2" t="str">
        <f t="shared" si="133"/>
        <v/>
      </c>
      <c r="AK945" s="2" t="str">
        <f t="shared" si="134"/>
        <v/>
      </c>
    </row>
    <row r="946" spans="1:37" x14ac:dyDescent="0.25">
      <c r="A946">
        <v>1929</v>
      </c>
      <c r="B946" t="s">
        <v>1051</v>
      </c>
      <c r="C946" t="s">
        <v>806</v>
      </c>
      <c r="D946" t="s">
        <v>1043</v>
      </c>
      <c r="E946" t="s">
        <v>716</v>
      </c>
      <c r="F946" t="s">
        <v>808</v>
      </c>
      <c r="G946" t="s">
        <v>49</v>
      </c>
      <c r="H946" s="1">
        <v>44793.391932870371</v>
      </c>
      <c r="I946" s="1">
        <v>44796.391932870371</v>
      </c>
      <c r="J946" t="s">
        <v>44</v>
      </c>
      <c r="K946" s="1"/>
      <c r="T946">
        <v>0</v>
      </c>
      <c r="AC946" s="2">
        <f t="shared" si="126"/>
        <v>3</v>
      </c>
      <c r="AD946" s="2" t="str">
        <f t="shared" si="127"/>
        <v/>
      </c>
      <c r="AE946" s="2" t="str">
        <f t="shared" si="128"/>
        <v/>
      </c>
      <c r="AF946" s="2" t="str">
        <f t="shared" si="129"/>
        <v/>
      </c>
      <c r="AG946" s="2" t="str">
        <f t="shared" si="130"/>
        <v/>
      </c>
      <c r="AH946" s="4" t="str">
        <f t="shared" si="131"/>
        <v/>
      </c>
      <c r="AI946" s="2" t="str">
        <f t="shared" si="132"/>
        <v/>
      </c>
      <c r="AJ946" s="2" t="str">
        <f t="shared" si="133"/>
        <v/>
      </c>
      <c r="AK946" s="2" t="str">
        <f t="shared" si="134"/>
        <v/>
      </c>
    </row>
    <row r="947" spans="1:37" x14ac:dyDescent="0.25">
      <c r="A947">
        <v>875</v>
      </c>
      <c r="B947" t="s">
        <v>1052</v>
      </c>
      <c r="C947" t="s">
        <v>806</v>
      </c>
      <c r="D947" t="s">
        <v>1043</v>
      </c>
      <c r="E947" t="s">
        <v>716</v>
      </c>
      <c r="F947" t="s">
        <v>808</v>
      </c>
      <c r="G947" t="s">
        <v>49</v>
      </c>
      <c r="H947" s="1">
        <v>44765.80777777778</v>
      </c>
      <c r="I947" s="1">
        <v>44766.80777777778</v>
      </c>
      <c r="J947" t="s">
        <v>32</v>
      </c>
      <c r="K947" s="1">
        <v>44770.80777777778</v>
      </c>
      <c r="L947" t="s">
        <v>57</v>
      </c>
      <c r="N947" s="4">
        <v>44776.80777777778</v>
      </c>
      <c r="O947" t="s">
        <v>57</v>
      </c>
      <c r="P947" s="4">
        <v>44772.80777777778</v>
      </c>
      <c r="Q947" s="4">
        <v>44773.80777777778</v>
      </c>
      <c r="R947" s="4">
        <v>44773.80777777778</v>
      </c>
      <c r="S947" s="4">
        <v>44780.80777777778</v>
      </c>
      <c r="T947">
        <v>1</v>
      </c>
      <c r="U947" s="4">
        <v>44782.80777777778</v>
      </c>
      <c r="V947" s="4">
        <v>44783.80777777778</v>
      </c>
      <c r="W947" s="4">
        <v>44785.80777777778</v>
      </c>
      <c r="Z947" s="4">
        <v>44804.80777777778</v>
      </c>
      <c r="AC947" s="2">
        <f t="shared" si="126"/>
        <v>1</v>
      </c>
      <c r="AD947" s="2">
        <f t="shared" si="127"/>
        <v>5</v>
      </c>
      <c r="AE947" s="2">
        <f t="shared" si="128"/>
        <v>4</v>
      </c>
      <c r="AF947" s="2">
        <f t="shared" si="129"/>
        <v>8</v>
      </c>
      <c r="AG947" s="2">
        <f t="shared" si="130"/>
        <v>3</v>
      </c>
      <c r="AH947" s="4">
        <f t="shared" si="131"/>
        <v>44863.80777777778</v>
      </c>
      <c r="AI947" s="2">
        <f t="shared" si="132"/>
        <v>2</v>
      </c>
      <c r="AJ947" s="2">
        <f t="shared" si="133"/>
        <v>31</v>
      </c>
      <c r="AK947" s="2">
        <f t="shared" si="134"/>
        <v>12</v>
      </c>
    </row>
    <row r="948" spans="1:37" x14ac:dyDescent="0.25">
      <c r="A948">
        <v>756</v>
      </c>
      <c r="B948" t="s">
        <v>1053</v>
      </c>
      <c r="C948" t="s">
        <v>806</v>
      </c>
      <c r="D948" t="s">
        <v>1043</v>
      </c>
      <c r="E948" t="s">
        <v>716</v>
      </c>
      <c r="F948" t="s">
        <v>808</v>
      </c>
      <c r="G948" t="s">
        <v>49</v>
      </c>
      <c r="H948" s="1">
        <v>44941.883877314816</v>
      </c>
      <c r="I948" s="1">
        <v>44945.883877314816</v>
      </c>
      <c r="J948" t="s">
        <v>32</v>
      </c>
      <c r="K948" s="1">
        <v>44964.883877314816</v>
      </c>
      <c r="L948" t="s">
        <v>39</v>
      </c>
      <c r="N948" s="4">
        <v>44971.883877314816</v>
      </c>
      <c r="O948" t="s">
        <v>39</v>
      </c>
      <c r="R948" s="4">
        <v>44968.883877314816</v>
      </c>
      <c r="T948">
        <v>0</v>
      </c>
      <c r="AC948" s="2">
        <f t="shared" si="126"/>
        <v>4</v>
      </c>
      <c r="AD948" s="2">
        <f t="shared" si="127"/>
        <v>23</v>
      </c>
      <c r="AE948" s="2">
        <f t="shared" si="128"/>
        <v>19</v>
      </c>
      <c r="AF948" s="2">
        <f t="shared" si="129"/>
        <v>27</v>
      </c>
      <c r="AG948" s="2">
        <f t="shared" si="130"/>
        <v>4</v>
      </c>
      <c r="AH948" s="4">
        <f t="shared" si="131"/>
        <v>45058.883877314816</v>
      </c>
      <c r="AI948" s="2" t="str">
        <f t="shared" si="132"/>
        <v/>
      </c>
      <c r="AJ948" s="2" t="str">
        <f t="shared" si="133"/>
        <v/>
      </c>
      <c r="AK948" s="2" t="str">
        <f t="shared" si="134"/>
        <v/>
      </c>
    </row>
    <row r="949" spans="1:37" x14ac:dyDescent="0.25">
      <c r="A949">
        <v>697</v>
      </c>
      <c r="B949" t="s">
        <v>1054</v>
      </c>
      <c r="C949" t="s">
        <v>806</v>
      </c>
      <c r="D949" t="s">
        <v>1043</v>
      </c>
      <c r="E949" t="s">
        <v>716</v>
      </c>
      <c r="F949" t="s">
        <v>808</v>
      </c>
      <c r="G949" t="s">
        <v>49</v>
      </c>
      <c r="H949" s="1">
        <v>44868.289201388892</v>
      </c>
      <c r="I949" s="1">
        <v>44871.289201388892</v>
      </c>
      <c r="J949" t="s">
        <v>32</v>
      </c>
      <c r="K949" s="1">
        <v>44883.289201388892</v>
      </c>
      <c r="L949" t="s">
        <v>33</v>
      </c>
      <c r="M949" t="s">
        <v>92</v>
      </c>
      <c r="R949" s="4">
        <v>44886.289201388892</v>
      </c>
      <c r="T949">
        <v>0</v>
      </c>
      <c r="Y949" t="s">
        <v>35</v>
      </c>
      <c r="AC949" s="2">
        <f t="shared" si="126"/>
        <v>3</v>
      </c>
      <c r="AD949" s="2">
        <f t="shared" si="127"/>
        <v>15</v>
      </c>
      <c r="AE949" s="2">
        <f t="shared" si="128"/>
        <v>12</v>
      </c>
      <c r="AF949" s="2">
        <f t="shared" si="129"/>
        <v>18</v>
      </c>
      <c r="AG949" s="2">
        <f t="shared" si="130"/>
        <v>3</v>
      </c>
      <c r="AH949" s="4">
        <f t="shared" si="131"/>
        <v>44976.289201388892</v>
      </c>
      <c r="AI949" s="2" t="str">
        <f t="shared" si="132"/>
        <v/>
      </c>
      <c r="AJ949" s="2" t="str">
        <f t="shared" si="133"/>
        <v/>
      </c>
      <c r="AK949" s="2" t="str">
        <f t="shared" si="134"/>
        <v/>
      </c>
    </row>
    <row r="950" spans="1:37" x14ac:dyDescent="0.25">
      <c r="A950">
        <v>649</v>
      </c>
      <c r="B950" t="s">
        <v>1055</v>
      </c>
      <c r="C950" t="s">
        <v>806</v>
      </c>
      <c r="D950" t="s">
        <v>1043</v>
      </c>
      <c r="E950" t="s">
        <v>1056</v>
      </c>
      <c r="F950" t="s">
        <v>1057</v>
      </c>
      <c r="G950" t="s">
        <v>49</v>
      </c>
      <c r="H950" s="1">
        <v>44783.760729166665</v>
      </c>
      <c r="I950" s="1">
        <v>44787.760729166665</v>
      </c>
      <c r="J950" t="s">
        <v>32</v>
      </c>
      <c r="K950" s="1">
        <v>44800.760729166665</v>
      </c>
      <c r="L950" t="s">
        <v>33</v>
      </c>
      <c r="M950" t="s">
        <v>34</v>
      </c>
      <c r="T950">
        <v>0</v>
      </c>
      <c r="Y950" t="s">
        <v>55</v>
      </c>
      <c r="AC950" s="2">
        <f t="shared" si="126"/>
        <v>4</v>
      </c>
      <c r="AD950" s="2">
        <f t="shared" si="127"/>
        <v>17</v>
      </c>
      <c r="AE950" s="2">
        <f t="shared" si="128"/>
        <v>13</v>
      </c>
      <c r="AF950" s="2" t="str">
        <f t="shared" si="129"/>
        <v/>
      </c>
      <c r="AG950" s="2" t="str">
        <f t="shared" si="130"/>
        <v/>
      </c>
      <c r="AH950" s="4" t="str">
        <f t="shared" si="131"/>
        <v/>
      </c>
      <c r="AI950" s="2" t="str">
        <f t="shared" si="132"/>
        <v/>
      </c>
      <c r="AJ950" s="2" t="str">
        <f t="shared" si="133"/>
        <v/>
      </c>
      <c r="AK950" s="2" t="str">
        <f t="shared" si="134"/>
        <v/>
      </c>
    </row>
    <row r="951" spans="1:37" x14ac:dyDescent="0.25">
      <c r="A951">
        <v>647</v>
      </c>
      <c r="B951" t="s">
        <v>1058</v>
      </c>
      <c r="C951" t="s">
        <v>806</v>
      </c>
      <c r="D951" t="s">
        <v>1043</v>
      </c>
      <c r="E951" t="s">
        <v>1056</v>
      </c>
      <c r="F951" t="s">
        <v>1057</v>
      </c>
      <c r="G951" t="s">
        <v>49</v>
      </c>
      <c r="H951" s="1">
        <v>44782.760729166665</v>
      </c>
      <c r="I951" s="1">
        <v>44785.760729166665</v>
      </c>
      <c r="J951" t="s">
        <v>44</v>
      </c>
      <c r="K951" s="1"/>
      <c r="T951">
        <v>0</v>
      </c>
      <c r="AC951" s="2">
        <f t="shared" si="126"/>
        <v>3</v>
      </c>
      <c r="AD951" s="2" t="str">
        <f t="shared" si="127"/>
        <v/>
      </c>
      <c r="AE951" s="2" t="str">
        <f t="shared" si="128"/>
        <v/>
      </c>
      <c r="AF951" s="2" t="str">
        <f t="shared" si="129"/>
        <v/>
      </c>
      <c r="AG951" s="2" t="str">
        <f t="shared" si="130"/>
        <v/>
      </c>
      <c r="AH951" s="4" t="str">
        <f t="shared" si="131"/>
        <v/>
      </c>
      <c r="AI951" s="2" t="str">
        <f t="shared" si="132"/>
        <v/>
      </c>
      <c r="AJ951" s="2" t="str">
        <f t="shared" si="133"/>
        <v/>
      </c>
      <c r="AK951" s="2" t="str">
        <f t="shared" si="134"/>
        <v/>
      </c>
    </row>
    <row r="952" spans="1:37" x14ac:dyDescent="0.25">
      <c r="A952">
        <v>582</v>
      </c>
      <c r="B952" t="s">
        <v>1059</v>
      </c>
      <c r="C952" t="s">
        <v>806</v>
      </c>
      <c r="D952" t="s">
        <v>1043</v>
      </c>
      <c r="E952" t="s">
        <v>1056</v>
      </c>
      <c r="F952" t="s">
        <v>1057</v>
      </c>
      <c r="G952" t="s">
        <v>49</v>
      </c>
      <c r="H952" s="1">
        <v>44893.41333333333</v>
      </c>
      <c r="I952" s="1">
        <v>44894.41333333333</v>
      </c>
      <c r="J952" t="s">
        <v>44</v>
      </c>
      <c r="K952" s="1"/>
      <c r="T952">
        <v>0</v>
      </c>
      <c r="AC952" s="2">
        <f t="shared" si="126"/>
        <v>1</v>
      </c>
      <c r="AD952" s="2" t="str">
        <f t="shared" si="127"/>
        <v/>
      </c>
      <c r="AE952" s="2" t="str">
        <f t="shared" si="128"/>
        <v/>
      </c>
      <c r="AF952" s="2" t="str">
        <f t="shared" si="129"/>
        <v/>
      </c>
      <c r="AG952" s="2" t="str">
        <f t="shared" si="130"/>
        <v/>
      </c>
      <c r="AH952" s="4" t="str">
        <f t="shared" si="131"/>
        <v/>
      </c>
      <c r="AI952" s="2" t="str">
        <f t="shared" si="132"/>
        <v/>
      </c>
      <c r="AJ952" s="2" t="str">
        <f t="shared" si="133"/>
        <v/>
      </c>
      <c r="AK952" s="2" t="str">
        <f t="shared" si="134"/>
        <v/>
      </c>
    </row>
    <row r="953" spans="1:37" x14ac:dyDescent="0.25">
      <c r="A953">
        <v>560</v>
      </c>
      <c r="B953" t="s">
        <v>1060</v>
      </c>
      <c r="C953" t="s">
        <v>806</v>
      </c>
      <c r="D953" t="s">
        <v>1043</v>
      </c>
      <c r="E953" t="s">
        <v>1056</v>
      </c>
      <c r="F953" t="s">
        <v>1057</v>
      </c>
      <c r="G953" t="s">
        <v>49</v>
      </c>
      <c r="H953" s="1">
        <v>45086.01053240741</v>
      </c>
      <c r="I953" s="1">
        <v>45088.01053240741</v>
      </c>
      <c r="J953" t="s">
        <v>32</v>
      </c>
      <c r="K953" s="1">
        <v>45097.01053240741</v>
      </c>
      <c r="L953" t="s">
        <v>57</v>
      </c>
      <c r="N953" s="4">
        <v>45101.01053240741</v>
      </c>
      <c r="O953" t="s">
        <v>57</v>
      </c>
      <c r="P953" s="4">
        <v>45099.01053240741</v>
      </c>
      <c r="Q953" s="4">
        <v>45100.01053240741</v>
      </c>
      <c r="R953" s="4">
        <v>45098.01053240741</v>
      </c>
      <c r="S953" s="4">
        <v>45100.01053240741</v>
      </c>
      <c r="T953">
        <v>1</v>
      </c>
      <c r="U953" s="4">
        <v>45101.01053240741</v>
      </c>
      <c r="V953" s="4">
        <v>45104.01053240741</v>
      </c>
      <c r="W953" s="4">
        <v>45105.01053240741</v>
      </c>
      <c r="Z953" s="4">
        <v>45119.01053240741</v>
      </c>
      <c r="AC953" s="2">
        <f t="shared" si="126"/>
        <v>2</v>
      </c>
      <c r="AD953" s="2">
        <f t="shared" si="127"/>
        <v>11</v>
      </c>
      <c r="AE953" s="2">
        <f t="shared" si="128"/>
        <v>9</v>
      </c>
      <c r="AF953" s="2">
        <f t="shared" si="129"/>
        <v>12</v>
      </c>
      <c r="AG953" s="2">
        <f t="shared" si="130"/>
        <v>1</v>
      </c>
      <c r="AH953" s="4">
        <f t="shared" si="131"/>
        <v>45188.01053240741</v>
      </c>
      <c r="AI953" s="2">
        <f t="shared" si="132"/>
        <v>1</v>
      </c>
      <c r="AJ953" s="2">
        <f t="shared" si="133"/>
        <v>21</v>
      </c>
      <c r="AK953" s="2">
        <f t="shared" si="134"/>
        <v>7</v>
      </c>
    </row>
    <row r="954" spans="1:37" x14ac:dyDescent="0.25">
      <c r="A954">
        <v>556</v>
      </c>
      <c r="B954" t="s">
        <v>1061</v>
      </c>
      <c r="C954" t="s">
        <v>806</v>
      </c>
      <c r="D954" t="s">
        <v>1043</v>
      </c>
      <c r="E954" t="s">
        <v>1056</v>
      </c>
      <c r="F954" t="s">
        <v>1057</v>
      </c>
      <c r="G954" t="s">
        <v>49</v>
      </c>
      <c r="H954" s="1">
        <v>45084.01053240741</v>
      </c>
      <c r="I954" s="1">
        <v>45088.01053240741</v>
      </c>
      <c r="J954" t="s">
        <v>32</v>
      </c>
      <c r="K954" s="1">
        <v>45094.01053240741</v>
      </c>
      <c r="L954" t="s">
        <v>33</v>
      </c>
      <c r="M954" t="s">
        <v>51</v>
      </c>
      <c r="T954">
        <v>0</v>
      </c>
      <c r="Y954" t="s">
        <v>35</v>
      </c>
      <c r="AC954" s="2">
        <f t="shared" si="126"/>
        <v>4</v>
      </c>
      <c r="AD954" s="2">
        <f t="shared" si="127"/>
        <v>10</v>
      </c>
      <c r="AE954" s="2">
        <f t="shared" si="128"/>
        <v>6</v>
      </c>
      <c r="AF954" s="2" t="str">
        <f t="shared" si="129"/>
        <v/>
      </c>
      <c r="AG954" s="2" t="str">
        <f t="shared" si="130"/>
        <v/>
      </c>
      <c r="AH954" s="4" t="str">
        <f t="shared" si="131"/>
        <v/>
      </c>
      <c r="AI954" s="2" t="str">
        <f t="shared" si="132"/>
        <v/>
      </c>
      <c r="AJ954" s="2" t="str">
        <f t="shared" si="133"/>
        <v/>
      </c>
      <c r="AK954" s="2" t="str">
        <f t="shared" si="134"/>
        <v/>
      </c>
    </row>
    <row r="955" spans="1:37" x14ac:dyDescent="0.25">
      <c r="A955">
        <v>544</v>
      </c>
      <c r="B955" t="s">
        <v>1062</v>
      </c>
      <c r="C955" t="s">
        <v>806</v>
      </c>
      <c r="D955" t="s">
        <v>1043</v>
      </c>
      <c r="E955" t="s">
        <v>1056</v>
      </c>
      <c r="F955" t="s">
        <v>1057</v>
      </c>
      <c r="G955" t="s">
        <v>49</v>
      </c>
      <c r="H955" s="1">
        <v>44956.651087962964</v>
      </c>
      <c r="I955" s="1">
        <v>44958.651087962964</v>
      </c>
      <c r="J955" t="s">
        <v>32</v>
      </c>
      <c r="K955" s="1">
        <v>44980.651087962964</v>
      </c>
      <c r="L955" t="s">
        <v>57</v>
      </c>
      <c r="N955" s="4">
        <v>44982.651087962964</v>
      </c>
      <c r="O955" t="s">
        <v>57</v>
      </c>
      <c r="P955" s="4">
        <v>44981.651087962964</v>
      </c>
      <c r="Q955" s="4">
        <v>44982.651087962964</v>
      </c>
      <c r="R955" s="4">
        <v>44981.651087962964</v>
      </c>
      <c r="S955" s="4">
        <v>44988.651087962964</v>
      </c>
      <c r="T955">
        <v>1</v>
      </c>
      <c r="U955" s="4">
        <v>44991.651087962964</v>
      </c>
      <c r="V955" s="4">
        <v>44992.651087962964</v>
      </c>
      <c r="W955" s="4">
        <v>44995.651087962964</v>
      </c>
      <c r="Z955" s="4">
        <v>45013.651087962964</v>
      </c>
      <c r="AC955" s="2">
        <f t="shared" si="126"/>
        <v>2</v>
      </c>
      <c r="AD955" s="2">
        <f t="shared" si="127"/>
        <v>24</v>
      </c>
      <c r="AE955" s="2">
        <f t="shared" si="128"/>
        <v>22</v>
      </c>
      <c r="AF955" s="2">
        <f t="shared" si="129"/>
        <v>25</v>
      </c>
      <c r="AG955" s="2">
        <f t="shared" si="130"/>
        <v>1</v>
      </c>
      <c r="AH955" s="4">
        <f t="shared" si="131"/>
        <v>45071.651087962964</v>
      </c>
      <c r="AI955" s="2">
        <f t="shared" si="132"/>
        <v>3</v>
      </c>
      <c r="AJ955" s="2">
        <f t="shared" si="133"/>
        <v>32</v>
      </c>
      <c r="AK955" s="2">
        <f t="shared" si="134"/>
        <v>14</v>
      </c>
    </row>
    <row r="956" spans="1:37" x14ac:dyDescent="0.25">
      <c r="A956">
        <v>2878</v>
      </c>
      <c r="B956" t="s">
        <v>1063</v>
      </c>
      <c r="C956" t="s">
        <v>806</v>
      </c>
      <c r="D956" t="s">
        <v>1064</v>
      </c>
      <c r="E956" t="s">
        <v>388</v>
      </c>
      <c r="F956" t="s">
        <v>985</v>
      </c>
      <c r="G956" t="s">
        <v>38</v>
      </c>
      <c r="H956" s="1">
        <v>45114.164652777778</v>
      </c>
      <c r="I956" s="1">
        <v>45115.164652777778</v>
      </c>
      <c r="J956" t="s">
        <v>32</v>
      </c>
      <c r="K956" s="1">
        <v>45125.164652777778</v>
      </c>
      <c r="L956" t="s">
        <v>33</v>
      </c>
      <c r="M956" t="s">
        <v>108</v>
      </c>
      <c r="R956" s="4">
        <v>45128.164652777778</v>
      </c>
      <c r="T956">
        <v>0</v>
      </c>
      <c r="Y956" t="s">
        <v>55</v>
      </c>
      <c r="AC956" s="2">
        <f t="shared" si="126"/>
        <v>1</v>
      </c>
      <c r="AD956" s="2">
        <f t="shared" si="127"/>
        <v>11</v>
      </c>
      <c r="AE956" s="2">
        <f t="shared" si="128"/>
        <v>10</v>
      </c>
      <c r="AF956" s="2">
        <f t="shared" si="129"/>
        <v>14</v>
      </c>
      <c r="AG956" s="2">
        <f t="shared" si="130"/>
        <v>3</v>
      </c>
      <c r="AH956" s="4">
        <f t="shared" si="131"/>
        <v>45218.164652777778</v>
      </c>
      <c r="AI956" s="2" t="str">
        <f t="shared" si="132"/>
        <v/>
      </c>
      <c r="AJ956" s="2" t="str">
        <f t="shared" si="133"/>
        <v/>
      </c>
      <c r="AK956" s="2" t="str">
        <f t="shared" si="134"/>
        <v/>
      </c>
    </row>
    <row r="957" spans="1:37" x14ac:dyDescent="0.25">
      <c r="A957">
        <v>2874</v>
      </c>
      <c r="B957" t="s">
        <v>1065</v>
      </c>
      <c r="C957" t="s">
        <v>806</v>
      </c>
      <c r="D957" t="s">
        <v>1064</v>
      </c>
      <c r="E957" t="s">
        <v>388</v>
      </c>
      <c r="F957" t="s">
        <v>985</v>
      </c>
      <c r="G957" t="s">
        <v>38</v>
      </c>
      <c r="H957" s="1">
        <v>45113.164652777778</v>
      </c>
      <c r="I957" s="1">
        <v>45116.164652777778</v>
      </c>
      <c r="J957" t="s">
        <v>32</v>
      </c>
      <c r="K957" s="1">
        <v>45125.164652777778</v>
      </c>
      <c r="L957" t="s">
        <v>39</v>
      </c>
      <c r="N957" s="4">
        <v>45130.164652777778</v>
      </c>
      <c r="O957" t="s">
        <v>39</v>
      </c>
      <c r="R957" s="4">
        <v>45126.164652777778</v>
      </c>
      <c r="T957">
        <v>0</v>
      </c>
      <c r="AC957" s="2">
        <f t="shared" si="126"/>
        <v>3</v>
      </c>
      <c r="AD957" s="2">
        <f t="shared" si="127"/>
        <v>12</v>
      </c>
      <c r="AE957" s="2">
        <f t="shared" si="128"/>
        <v>9</v>
      </c>
      <c r="AF957" s="2">
        <f t="shared" si="129"/>
        <v>13</v>
      </c>
      <c r="AG957" s="2">
        <f t="shared" si="130"/>
        <v>1</v>
      </c>
      <c r="AH957" s="4">
        <f t="shared" si="131"/>
        <v>45216.164652777778</v>
      </c>
      <c r="AI957" s="2" t="str">
        <f t="shared" si="132"/>
        <v/>
      </c>
      <c r="AJ957" s="2" t="str">
        <f t="shared" si="133"/>
        <v/>
      </c>
      <c r="AK957" s="2" t="str">
        <f t="shared" si="134"/>
        <v/>
      </c>
    </row>
    <row r="958" spans="1:37" x14ac:dyDescent="0.25">
      <c r="A958">
        <v>2818</v>
      </c>
      <c r="B958" t="s">
        <v>1066</v>
      </c>
      <c r="C958" t="s">
        <v>806</v>
      </c>
      <c r="D958" t="s">
        <v>1064</v>
      </c>
      <c r="E958" t="s">
        <v>388</v>
      </c>
      <c r="F958" t="s">
        <v>985</v>
      </c>
      <c r="G958" t="s">
        <v>38</v>
      </c>
      <c r="H958" s="1">
        <v>44890.862592592595</v>
      </c>
      <c r="I958" s="1">
        <v>44893.862592592595</v>
      </c>
      <c r="J958" t="s">
        <v>32</v>
      </c>
      <c r="K958" s="1">
        <v>44914.862592592595</v>
      </c>
      <c r="L958" t="s">
        <v>33</v>
      </c>
      <c r="M958" t="s">
        <v>92</v>
      </c>
      <c r="R958" s="4">
        <v>44915.862592592595</v>
      </c>
      <c r="T958">
        <v>0</v>
      </c>
      <c r="Y958" t="s">
        <v>35</v>
      </c>
      <c r="AC958" s="2">
        <f t="shared" si="126"/>
        <v>3</v>
      </c>
      <c r="AD958" s="2">
        <f t="shared" si="127"/>
        <v>24</v>
      </c>
      <c r="AE958" s="2">
        <f t="shared" si="128"/>
        <v>21</v>
      </c>
      <c r="AF958" s="2">
        <f t="shared" si="129"/>
        <v>25</v>
      </c>
      <c r="AG958" s="2">
        <f t="shared" si="130"/>
        <v>1</v>
      </c>
      <c r="AH958" s="4">
        <f t="shared" si="131"/>
        <v>45005.862592592595</v>
      </c>
      <c r="AI958" s="2" t="str">
        <f t="shared" si="132"/>
        <v/>
      </c>
      <c r="AJ958" s="2" t="str">
        <f t="shared" si="133"/>
        <v/>
      </c>
      <c r="AK958" s="2" t="str">
        <f t="shared" si="134"/>
        <v/>
      </c>
    </row>
    <row r="959" spans="1:37" x14ac:dyDescent="0.25">
      <c r="A959">
        <v>2815</v>
      </c>
      <c r="B959" t="s">
        <v>1067</v>
      </c>
      <c r="C959" t="s">
        <v>806</v>
      </c>
      <c r="D959" t="s">
        <v>1064</v>
      </c>
      <c r="E959" t="s">
        <v>388</v>
      </c>
      <c r="F959" t="s">
        <v>985</v>
      </c>
      <c r="G959" t="s">
        <v>38</v>
      </c>
      <c r="H959" s="1">
        <v>44894.862592592595</v>
      </c>
      <c r="I959" s="1">
        <v>44897.862592592595</v>
      </c>
      <c r="J959" t="s">
        <v>32</v>
      </c>
      <c r="K959" s="1">
        <v>44910.862592592595</v>
      </c>
      <c r="L959" t="s">
        <v>33</v>
      </c>
      <c r="M959" t="s">
        <v>34</v>
      </c>
      <c r="T959">
        <v>0</v>
      </c>
      <c r="Y959" t="s">
        <v>35</v>
      </c>
      <c r="AC959" s="2">
        <f t="shared" si="126"/>
        <v>3</v>
      </c>
      <c r="AD959" s="2">
        <f t="shared" si="127"/>
        <v>16</v>
      </c>
      <c r="AE959" s="2">
        <f t="shared" si="128"/>
        <v>13</v>
      </c>
      <c r="AF959" s="2" t="str">
        <f t="shared" si="129"/>
        <v/>
      </c>
      <c r="AG959" s="2" t="str">
        <f t="shared" si="130"/>
        <v/>
      </c>
      <c r="AH959" s="4" t="str">
        <f t="shared" si="131"/>
        <v/>
      </c>
      <c r="AI959" s="2" t="str">
        <f t="shared" si="132"/>
        <v/>
      </c>
      <c r="AJ959" s="2" t="str">
        <f t="shared" si="133"/>
        <v/>
      </c>
      <c r="AK959" s="2" t="str">
        <f t="shared" si="134"/>
        <v/>
      </c>
    </row>
    <row r="960" spans="1:37" x14ac:dyDescent="0.25">
      <c r="A960">
        <v>2717</v>
      </c>
      <c r="B960" t="s">
        <v>1068</v>
      </c>
      <c r="C960" t="s">
        <v>806</v>
      </c>
      <c r="D960" t="s">
        <v>1064</v>
      </c>
      <c r="E960" t="s">
        <v>388</v>
      </c>
      <c r="F960" t="s">
        <v>985</v>
      </c>
      <c r="G960" t="s">
        <v>38</v>
      </c>
      <c r="H960" s="1">
        <v>44953.0546412037</v>
      </c>
      <c r="I960" s="1">
        <v>44956.0546412037</v>
      </c>
      <c r="J960" t="s">
        <v>32</v>
      </c>
      <c r="K960" s="1">
        <v>44970.0546412037</v>
      </c>
      <c r="L960" t="s">
        <v>164</v>
      </c>
      <c r="N960" s="4">
        <v>44974.0546412037</v>
      </c>
      <c r="O960" t="s">
        <v>164</v>
      </c>
      <c r="R960" s="4">
        <v>44973.0546412037</v>
      </c>
      <c r="T960">
        <v>0</v>
      </c>
      <c r="AC960" s="2">
        <f t="shared" si="126"/>
        <v>3</v>
      </c>
      <c r="AD960" s="2">
        <f t="shared" si="127"/>
        <v>17</v>
      </c>
      <c r="AE960" s="2">
        <f t="shared" si="128"/>
        <v>14</v>
      </c>
      <c r="AF960" s="2">
        <f t="shared" si="129"/>
        <v>20</v>
      </c>
      <c r="AG960" s="2">
        <f t="shared" si="130"/>
        <v>3</v>
      </c>
      <c r="AH960" s="4">
        <f t="shared" si="131"/>
        <v>45063.0546412037</v>
      </c>
      <c r="AI960" s="2" t="str">
        <f t="shared" si="132"/>
        <v/>
      </c>
      <c r="AJ960" s="2" t="str">
        <f t="shared" si="133"/>
        <v/>
      </c>
      <c r="AK960" s="2" t="str">
        <f t="shared" si="134"/>
        <v/>
      </c>
    </row>
    <row r="961" spans="1:37" x14ac:dyDescent="0.25">
      <c r="A961">
        <v>2716</v>
      </c>
      <c r="B961" t="s">
        <v>1069</v>
      </c>
      <c r="C961" t="s">
        <v>806</v>
      </c>
      <c r="D961" t="s">
        <v>1064</v>
      </c>
      <c r="E961" t="s">
        <v>388</v>
      </c>
      <c r="F961" t="s">
        <v>985</v>
      </c>
      <c r="G961" t="s">
        <v>38</v>
      </c>
      <c r="H961" s="1">
        <v>44952.0546412037</v>
      </c>
      <c r="I961" s="1">
        <v>44955.0546412037</v>
      </c>
      <c r="J961" t="s">
        <v>32</v>
      </c>
      <c r="K961" s="1">
        <v>44974.0546412037</v>
      </c>
      <c r="L961" t="s">
        <v>33</v>
      </c>
      <c r="M961" t="s">
        <v>51</v>
      </c>
      <c r="R961" s="4">
        <v>44976.0546412037</v>
      </c>
      <c r="T961">
        <v>0</v>
      </c>
      <c r="Y961" t="s">
        <v>35</v>
      </c>
      <c r="AC961" s="2">
        <f t="shared" si="126"/>
        <v>3</v>
      </c>
      <c r="AD961" s="2">
        <f t="shared" si="127"/>
        <v>22</v>
      </c>
      <c r="AE961" s="2">
        <f t="shared" si="128"/>
        <v>19</v>
      </c>
      <c r="AF961" s="2">
        <f t="shared" si="129"/>
        <v>24</v>
      </c>
      <c r="AG961" s="2">
        <f t="shared" si="130"/>
        <v>2</v>
      </c>
      <c r="AH961" s="4">
        <f t="shared" si="131"/>
        <v>45066.0546412037</v>
      </c>
      <c r="AI961" s="2" t="str">
        <f t="shared" si="132"/>
        <v/>
      </c>
      <c r="AJ961" s="2" t="str">
        <f t="shared" si="133"/>
        <v/>
      </c>
      <c r="AK961" s="2" t="str">
        <f t="shared" si="134"/>
        <v/>
      </c>
    </row>
    <row r="962" spans="1:37" x14ac:dyDescent="0.25">
      <c r="A962">
        <v>2713</v>
      </c>
      <c r="B962" t="s">
        <v>1070</v>
      </c>
      <c r="C962" t="s">
        <v>806</v>
      </c>
      <c r="D962" t="s">
        <v>1064</v>
      </c>
      <c r="E962" t="s">
        <v>388</v>
      </c>
      <c r="F962" t="s">
        <v>985</v>
      </c>
      <c r="G962" t="s">
        <v>38</v>
      </c>
      <c r="H962" s="1">
        <v>44954.0546412037</v>
      </c>
      <c r="I962" s="1">
        <v>44957.0546412037</v>
      </c>
      <c r="J962" t="s">
        <v>32</v>
      </c>
      <c r="K962" s="1">
        <v>44961.0546412037</v>
      </c>
      <c r="L962" t="s">
        <v>33</v>
      </c>
      <c r="M962" t="s">
        <v>51</v>
      </c>
      <c r="T962">
        <v>0</v>
      </c>
      <c r="Y962" t="s">
        <v>55</v>
      </c>
      <c r="AC962" s="2">
        <f t="shared" si="126"/>
        <v>3</v>
      </c>
      <c r="AD962" s="2">
        <f t="shared" si="127"/>
        <v>7</v>
      </c>
      <c r="AE962" s="2">
        <f t="shared" si="128"/>
        <v>4</v>
      </c>
      <c r="AF962" s="2" t="str">
        <f t="shared" si="129"/>
        <v/>
      </c>
      <c r="AG962" s="2" t="str">
        <f t="shared" si="130"/>
        <v/>
      </c>
      <c r="AH962" s="4" t="str">
        <f t="shared" si="131"/>
        <v/>
      </c>
      <c r="AI962" s="2" t="str">
        <f t="shared" si="132"/>
        <v/>
      </c>
      <c r="AJ962" s="2" t="str">
        <f t="shared" si="133"/>
        <v/>
      </c>
      <c r="AK962" s="2" t="str">
        <f t="shared" si="134"/>
        <v/>
      </c>
    </row>
    <row r="963" spans="1:37" x14ac:dyDescent="0.25">
      <c r="A963">
        <v>2699</v>
      </c>
      <c r="B963" t="s">
        <v>1071</v>
      </c>
      <c r="C963" t="s">
        <v>806</v>
      </c>
      <c r="D963" t="s">
        <v>1064</v>
      </c>
      <c r="E963" t="s">
        <v>388</v>
      </c>
      <c r="F963" t="s">
        <v>985</v>
      </c>
      <c r="G963" t="s">
        <v>38</v>
      </c>
      <c r="H963" s="1">
        <v>45021.99291666667</v>
      </c>
      <c r="I963" s="1">
        <v>45022.99291666667</v>
      </c>
      <c r="J963" t="s">
        <v>32</v>
      </c>
      <c r="K963" s="1">
        <v>45033.99291666667</v>
      </c>
      <c r="L963" t="s">
        <v>39</v>
      </c>
      <c r="N963" s="4">
        <v>45039.99291666667</v>
      </c>
      <c r="O963" t="s">
        <v>39</v>
      </c>
      <c r="R963" s="4">
        <v>45035.99291666667</v>
      </c>
      <c r="T963">
        <v>0</v>
      </c>
      <c r="AC963" s="2">
        <f t="shared" ref="AC963:AC1026" si="135">IF(AND(I963&lt;&gt;"",H963&lt;&gt;""), I963-H963, "")</f>
        <v>1</v>
      </c>
      <c r="AD963" s="2">
        <f t="shared" ref="AD963:AD1026" si="136">IF(AND(K963&lt;&gt;"",H963&lt;&gt;""), K963-H963, "")</f>
        <v>12</v>
      </c>
      <c r="AE963" s="2">
        <f t="shared" ref="AE963:AE1026" si="137">IF(AND(K963&lt;&gt;"",I963&lt;&gt;""), K963-I963, "")</f>
        <v>11</v>
      </c>
      <c r="AF963" s="2">
        <f t="shared" ref="AF963:AF1026" si="138">IF(AND(R963&lt;&gt;"",H963&lt;&gt;""), R963-H963, "")</f>
        <v>14</v>
      </c>
      <c r="AG963" s="2">
        <f t="shared" ref="AG963:AG1026" si="139">IF(AND(R963&lt;&gt;"",K963&lt;&gt;""), R963-K963, "")</f>
        <v>2</v>
      </c>
      <c r="AH963" s="4">
        <f t="shared" ref="AH963:AH1026" si="140">IF(R963&lt;&gt;"", R963+90, "")</f>
        <v>45125.99291666667</v>
      </c>
      <c r="AI963" s="2" t="str">
        <f t="shared" ref="AI963:AI1026" si="141">IF(AND(U963&lt;&gt;"",S963&lt;&gt;""), U963-S963, "")</f>
        <v/>
      </c>
      <c r="AJ963" s="2" t="str">
        <f t="shared" ref="AJ963:AJ1026" si="142">IF(AND(Z963&lt;&gt;"",R963&lt;&gt;""), Z963-R963, "")</f>
        <v/>
      </c>
      <c r="AK963" s="2" t="str">
        <f t="shared" ref="AK963:AK1026" si="143">IF(AND(W963&lt;&gt;"",R963&lt;&gt;""), W963-R963, "")</f>
        <v/>
      </c>
    </row>
    <row r="964" spans="1:37" x14ac:dyDescent="0.25">
      <c r="A964">
        <v>2694</v>
      </c>
      <c r="B964" t="s">
        <v>1072</v>
      </c>
      <c r="C964" t="s">
        <v>806</v>
      </c>
      <c r="D964" t="s">
        <v>1064</v>
      </c>
      <c r="E964" t="s">
        <v>388</v>
      </c>
      <c r="F964" t="s">
        <v>985</v>
      </c>
      <c r="G964" t="s">
        <v>38</v>
      </c>
      <c r="H964" s="1">
        <v>45015.99291666667</v>
      </c>
      <c r="I964" s="1">
        <v>45019.99291666667</v>
      </c>
      <c r="J964" t="s">
        <v>32</v>
      </c>
      <c r="K964" s="1">
        <v>45026.99291666667</v>
      </c>
      <c r="L964" t="s">
        <v>39</v>
      </c>
      <c r="N964" s="4">
        <v>45032.99291666667</v>
      </c>
      <c r="O964" t="s">
        <v>39</v>
      </c>
      <c r="R964" s="4">
        <v>45028.99291666667</v>
      </c>
      <c r="T964">
        <v>0</v>
      </c>
      <c r="AC964" s="2">
        <f t="shared" si="135"/>
        <v>4</v>
      </c>
      <c r="AD964" s="2">
        <f t="shared" si="136"/>
        <v>11</v>
      </c>
      <c r="AE964" s="2">
        <f t="shared" si="137"/>
        <v>7</v>
      </c>
      <c r="AF964" s="2">
        <f t="shared" si="138"/>
        <v>13</v>
      </c>
      <c r="AG964" s="2">
        <f t="shared" si="139"/>
        <v>2</v>
      </c>
      <c r="AH964" s="4">
        <f t="shared" si="140"/>
        <v>45118.99291666667</v>
      </c>
      <c r="AI964" s="2" t="str">
        <f t="shared" si="141"/>
        <v/>
      </c>
      <c r="AJ964" s="2" t="str">
        <f t="shared" si="142"/>
        <v/>
      </c>
      <c r="AK964" s="2" t="str">
        <f t="shared" si="143"/>
        <v/>
      </c>
    </row>
    <row r="965" spans="1:37" x14ac:dyDescent="0.25">
      <c r="A965">
        <v>2660</v>
      </c>
      <c r="B965" t="s">
        <v>1073</v>
      </c>
      <c r="C965" t="s">
        <v>806</v>
      </c>
      <c r="D965" t="s">
        <v>1064</v>
      </c>
      <c r="E965" t="s">
        <v>474</v>
      </c>
      <c r="F965" t="s">
        <v>1074</v>
      </c>
      <c r="G965" t="s">
        <v>38</v>
      </c>
      <c r="H965" s="1">
        <v>44595.417025462964</v>
      </c>
      <c r="I965" s="1">
        <v>44599.417025462964</v>
      </c>
      <c r="J965" t="s">
        <v>32</v>
      </c>
      <c r="K965" s="1">
        <v>44620.417025462964</v>
      </c>
      <c r="L965" t="s">
        <v>33</v>
      </c>
      <c r="M965" t="s">
        <v>92</v>
      </c>
      <c r="R965" s="4">
        <v>44624.417025462964</v>
      </c>
      <c r="T965">
        <v>0</v>
      </c>
      <c r="Y965" t="s">
        <v>55</v>
      </c>
      <c r="AC965" s="2">
        <f t="shared" si="135"/>
        <v>4</v>
      </c>
      <c r="AD965" s="2">
        <f t="shared" si="136"/>
        <v>25</v>
      </c>
      <c r="AE965" s="2">
        <f t="shared" si="137"/>
        <v>21</v>
      </c>
      <c r="AF965" s="2">
        <f t="shared" si="138"/>
        <v>29</v>
      </c>
      <c r="AG965" s="2">
        <f t="shared" si="139"/>
        <v>4</v>
      </c>
      <c r="AH965" s="4">
        <f t="shared" si="140"/>
        <v>44714.417025462964</v>
      </c>
      <c r="AI965" s="2" t="str">
        <f t="shared" si="141"/>
        <v/>
      </c>
      <c r="AJ965" s="2" t="str">
        <f t="shared" si="142"/>
        <v/>
      </c>
      <c r="AK965" s="2" t="str">
        <f t="shared" si="143"/>
        <v/>
      </c>
    </row>
    <row r="966" spans="1:37" x14ac:dyDescent="0.25">
      <c r="A966">
        <v>2657</v>
      </c>
      <c r="B966" t="s">
        <v>1075</v>
      </c>
      <c r="C966" t="s">
        <v>806</v>
      </c>
      <c r="D966" t="s">
        <v>1064</v>
      </c>
      <c r="E966" t="s">
        <v>474</v>
      </c>
      <c r="F966" t="s">
        <v>1074</v>
      </c>
      <c r="G966" t="s">
        <v>38</v>
      </c>
      <c r="H966" s="1">
        <v>44600.417025462964</v>
      </c>
      <c r="I966" s="1">
        <v>44601.417025462964</v>
      </c>
      <c r="J966" t="s">
        <v>32</v>
      </c>
      <c r="K966" s="1">
        <v>44615.417025462964</v>
      </c>
      <c r="L966" t="s">
        <v>33</v>
      </c>
      <c r="M966" t="s">
        <v>34</v>
      </c>
      <c r="R966" s="4">
        <v>44618.417025462964</v>
      </c>
      <c r="T966">
        <v>0</v>
      </c>
      <c r="Y966" t="s">
        <v>35</v>
      </c>
      <c r="AC966" s="2">
        <f t="shared" si="135"/>
        <v>1</v>
      </c>
      <c r="AD966" s="2">
        <f t="shared" si="136"/>
        <v>15</v>
      </c>
      <c r="AE966" s="2">
        <f t="shared" si="137"/>
        <v>14</v>
      </c>
      <c r="AF966" s="2">
        <f t="shared" si="138"/>
        <v>18</v>
      </c>
      <c r="AG966" s="2">
        <f t="shared" si="139"/>
        <v>3</v>
      </c>
      <c r="AH966" s="4">
        <f t="shared" si="140"/>
        <v>44708.417025462964</v>
      </c>
      <c r="AI966" s="2" t="str">
        <f t="shared" si="141"/>
        <v/>
      </c>
      <c r="AJ966" s="2" t="str">
        <f t="shared" si="142"/>
        <v/>
      </c>
      <c r="AK966" s="2" t="str">
        <f t="shared" si="143"/>
        <v/>
      </c>
    </row>
    <row r="967" spans="1:37" x14ac:dyDescent="0.25">
      <c r="A967">
        <v>2653</v>
      </c>
      <c r="B967" t="s">
        <v>1076</v>
      </c>
      <c r="C967" t="s">
        <v>806</v>
      </c>
      <c r="D967" t="s">
        <v>1064</v>
      </c>
      <c r="E967" t="s">
        <v>474</v>
      </c>
      <c r="F967" t="s">
        <v>1074</v>
      </c>
      <c r="G967" t="s">
        <v>38</v>
      </c>
      <c r="H967" s="1">
        <v>44599.417025462964</v>
      </c>
      <c r="I967" s="1">
        <v>44600.417025462964</v>
      </c>
      <c r="J967" t="s">
        <v>32</v>
      </c>
      <c r="K967" s="1">
        <v>44620.417025462964</v>
      </c>
      <c r="L967" t="s">
        <v>57</v>
      </c>
      <c r="N967" s="4">
        <v>44625.417025462964</v>
      </c>
      <c r="O967" t="s">
        <v>57</v>
      </c>
      <c r="P967" s="4">
        <v>44621.417025462964</v>
      </c>
      <c r="Q967" s="4">
        <v>44623.417025462964</v>
      </c>
      <c r="R967" s="4">
        <v>44624.417025462964</v>
      </c>
      <c r="S967" s="4">
        <v>44629.417025462964</v>
      </c>
      <c r="T967">
        <v>1</v>
      </c>
      <c r="U967" s="4">
        <v>44633.417025462964</v>
      </c>
      <c r="V967" s="4">
        <v>44634.417025462964</v>
      </c>
      <c r="W967" s="4">
        <v>44637.417025462964</v>
      </c>
      <c r="Z967" s="4">
        <v>44656.417025462964</v>
      </c>
      <c r="AC967" s="2">
        <f t="shared" si="135"/>
        <v>1</v>
      </c>
      <c r="AD967" s="2">
        <f t="shared" si="136"/>
        <v>21</v>
      </c>
      <c r="AE967" s="2">
        <f t="shared" si="137"/>
        <v>20</v>
      </c>
      <c r="AF967" s="2">
        <f t="shared" si="138"/>
        <v>25</v>
      </c>
      <c r="AG967" s="2">
        <f t="shared" si="139"/>
        <v>4</v>
      </c>
      <c r="AH967" s="4">
        <f t="shared" si="140"/>
        <v>44714.417025462964</v>
      </c>
      <c r="AI967" s="2">
        <f t="shared" si="141"/>
        <v>4</v>
      </c>
      <c r="AJ967" s="2">
        <f t="shared" si="142"/>
        <v>32</v>
      </c>
      <c r="AK967" s="2">
        <f t="shared" si="143"/>
        <v>13</v>
      </c>
    </row>
    <row r="968" spans="1:37" x14ac:dyDescent="0.25">
      <c r="A968">
        <v>2604</v>
      </c>
      <c r="B968" t="s">
        <v>1077</v>
      </c>
      <c r="C968" t="s">
        <v>806</v>
      </c>
      <c r="D968" t="s">
        <v>1064</v>
      </c>
      <c r="E968" t="s">
        <v>474</v>
      </c>
      <c r="F968" t="s">
        <v>1074</v>
      </c>
      <c r="G968" t="s">
        <v>38</v>
      </c>
      <c r="H968" s="1">
        <v>45036.692673611113</v>
      </c>
      <c r="I968" s="1">
        <v>45040.692673611113</v>
      </c>
      <c r="J968" t="s">
        <v>32</v>
      </c>
      <c r="K968" s="1">
        <v>45056.692673611113</v>
      </c>
      <c r="L968" t="s">
        <v>33</v>
      </c>
      <c r="M968" t="s">
        <v>51</v>
      </c>
      <c r="R968" s="4">
        <v>45057.692673611113</v>
      </c>
      <c r="T968">
        <v>0</v>
      </c>
      <c r="Y968" t="s">
        <v>35</v>
      </c>
      <c r="AC968" s="2">
        <f t="shared" si="135"/>
        <v>4</v>
      </c>
      <c r="AD968" s="2">
        <f t="shared" si="136"/>
        <v>20</v>
      </c>
      <c r="AE968" s="2">
        <f t="shared" si="137"/>
        <v>16</v>
      </c>
      <c r="AF968" s="2">
        <f t="shared" si="138"/>
        <v>21</v>
      </c>
      <c r="AG968" s="2">
        <f t="shared" si="139"/>
        <v>1</v>
      </c>
      <c r="AH968" s="4">
        <f t="shared" si="140"/>
        <v>45147.692673611113</v>
      </c>
      <c r="AI968" s="2" t="str">
        <f t="shared" si="141"/>
        <v/>
      </c>
      <c r="AJ968" s="2" t="str">
        <f t="shared" si="142"/>
        <v/>
      </c>
      <c r="AK968" s="2" t="str">
        <f t="shared" si="143"/>
        <v/>
      </c>
    </row>
    <row r="969" spans="1:37" x14ac:dyDescent="0.25">
      <c r="A969">
        <v>2601</v>
      </c>
      <c r="B969" t="s">
        <v>1078</v>
      </c>
      <c r="C969" t="s">
        <v>806</v>
      </c>
      <c r="D969" t="s">
        <v>1064</v>
      </c>
      <c r="E969" t="s">
        <v>474</v>
      </c>
      <c r="F969" t="s">
        <v>1074</v>
      </c>
      <c r="G969" t="s">
        <v>38</v>
      </c>
      <c r="H969" s="1">
        <v>45039.692673611113</v>
      </c>
      <c r="I969" s="1">
        <v>45043.692673611113</v>
      </c>
      <c r="J969" t="s">
        <v>32</v>
      </c>
      <c r="K969" s="1">
        <v>45051.692673611113</v>
      </c>
      <c r="L969" t="s">
        <v>57</v>
      </c>
      <c r="N969" s="4">
        <v>45057.692673611113</v>
      </c>
      <c r="O969" t="s">
        <v>57</v>
      </c>
      <c r="P969" s="4">
        <v>45053.692673611113</v>
      </c>
      <c r="Q969" s="4">
        <v>45054.692673611113</v>
      </c>
      <c r="R969" s="4">
        <v>45053.692673611113</v>
      </c>
      <c r="S969" s="4">
        <v>45057.692673611113</v>
      </c>
      <c r="T969">
        <v>1</v>
      </c>
      <c r="U969" s="4">
        <v>45058.692673611113</v>
      </c>
      <c r="V969" s="4">
        <v>45061.692673611113</v>
      </c>
      <c r="W969" s="4">
        <v>45063.692673611113</v>
      </c>
      <c r="Z969" s="4">
        <v>45082.692673611113</v>
      </c>
      <c r="AC969" s="2">
        <f t="shared" si="135"/>
        <v>4</v>
      </c>
      <c r="AD969" s="2">
        <f t="shared" si="136"/>
        <v>12</v>
      </c>
      <c r="AE969" s="2">
        <f t="shared" si="137"/>
        <v>8</v>
      </c>
      <c r="AF969" s="2">
        <f t="shared" si="138"/>
        <v>14</v>
      </c>
      <c r="AG969" s="2">
        <f t="shared" si="139"/>
        <v>2</v>
      </c>
      <c r="AH969" s="4">
        <f t="shared" si="140"/>
        <v>45143.692673611113</v>
      </c>
      <c r="AI969" s="2">
        <f t="shared" si="141"/>
        <v>1</v>
      </c>
      <c r="AJ969" s="2">
        <f t="shared" si="142"/>
        <v>29</v>
      </c>
      <c r="AK969" s="2">
        <f t="shared" si="143"/>
        <v>10</v>
      </c>
    </row>
    <row r="970" spans="1:37" x14ac:dyDescent="0.25">
      <c r="A970">
        <v>2497</v>
      </c>
      <c r="B970" t="s">
        <v>1079</v>
      </c>
      <c r="C970" t="s">
        <v>806</v>
      </c>
      <c r="D970" t="s">
        <v>1064</v>
      </c>
      <c r="E970" t="s">
        <v>474</v>
      </c>
      <c r="F970" t="s">
        <v>1074</v>
      </c>
      <c r="G970" t="s">
        <v>38</v>
      </c>
      <c r="H970" s="1">
        <v>44592.546469907407</v>
      </c>
      <c r="I970" s="1">
        <v>44593.546469907407</v>
      </c>
      <c r="J970" t="s">
        <v>32</v>
      </c>
      <c r="K970" s="1">
        <v>44608.546469907407</v>
      </c>
      <c r="L970" t="s">
        <v>33</v>
      </c>
      <c r="M970" t="s">
        <v>92</v>
      </c>
      <c r="R970" s="4">
        <v>44612.546469907407</v>
      </c>
      <c r="T970">
        <v>0</v>
      </c>
      <c r="Y970" t="s">
        <v>35</v>
      </c>
      <c r="AC970" s="2">
        <f t="shared" si="135"/>
        <v>1</v>
      </c>
      <c r="AD970" s="2">
        <f t="shared" si="136"/>
        <v>16</v>
      </c>
      <c r="AE970" s="2">
        <f t="shared" si="137"/>
        <v>15</v>
      </c>
      <c r="AF970" s="2">
        <f t="shared" si="138"/>
        <v>20</v>
      </c>
      <c r="AG970" s="2">
        <f t="shared" si="139"/>
        <v>4</v>
      </c>
      <c r="AH970" s="4">
        <f t="shared" si="140"/>
        <v>44702.546469907407</v>
      </c>
      <c r="AI970" s="2" t="str">
        <f t="shared" si="141"/>
        <v/>
      </c>
      <c r="AJ970" s="2" t="str">
        <f t="shared" si="142"/>
        <v/>
      </c>
      <c r="AK970" s="2" t="str">
        <f t="shared" si="143"/>
        <v/>
      </c>
    </row>
    <row r="971" spans="1:37" x14ac:dyDescent="0.25">
      <c r="A971">
        <v>2493</v>
      </c>
      <c r="B971" t="s">
        <v>1080</v>
      </c>
      <c r="C971" t="s">
        <v>806</v>
      </c>
      <c r="D971" t="s">
        <v>1064</v>
      </c>
      <c r="E971" t="s">
        <v>474</v>
      </c>
      <c r="F971" t="s">
        <v>1074</v>
      </c>
      <c r="G971" t="s">
        <v>38</v>
      </c>
      <c r="H971" s="1">
        <v>44589.546469907407</v>
      </c>
      <c r="I971" s="1">
        <v>44593.546469907407</v>
      </c>
      <c r="J971" t="s">
        <v>32</v>
      </c>
      <c r="K971" s="1">
        <v>44604.546469907407</v>
      </c>
      <c r="L971" t="s">
        <v>33</v>
      </c>
      <c r="M971" t="s">
        <v>51</v>
      </c>
      <c r="R971" s="4">
        <v>44608.546469907407</v>
      </c>
      <c r="T971">
        <v>0</v>
      </c>
      <c r="Y971" t="s">
        <v>55</v>
      </c>
      <c r="AC971" s="2">
        <f t="shared" si="135"/>
        <v>4</v>
      </c>
      <c r="AD971" s="2">
        <f t="shared" si="136"/>
        <v>15</v>
      </c>
      <c r="AE971" s="2">
        <f t="shared" si="137"/>
        <v>11</v>
      </c>
      <c r="AF971" s="2">
        <f t="shared" si="138"/>
        <v>19</v>
      </c>
      <c r="AG971" s="2">
        <f t="shared" si="139"/>
        <v>4</v>
      </c>
      <c r="AH971" s="4">
        <f t="shared" si="140"/>
        <v>44698.546469907407</v>
      </c>
      <c r="AI971" s="2" t="str">
        <f t="shared" si="141"/>
        <v/>
      </c>
      <c r="AJ971" s="2" t="str">
        <f t="shared" si="142"/>
        <v/>
      </c>
      <c r="AK971" s="2" t="str">
        <f t="shared" si="143"/>
        <v/>
      </c>
    </row>
    <row r="972" spans="1:37" x14ac:dyDescent="0.25">
      <c r="A972">
        <v>2491</v>
      </c>
      <c r="B972" t="s">
        <v>1081</v>
      </c>
      <c r="C972" t="s">
        <v>806</v>
      </c>
      <c r="D972" t="s">
        <v>1064</v>
      </c>
      <c r="E972" t="s">
        <v>474</v>
      </c>
      <c r="F972" t="s">
        <v>1074</v>
      </c>
      <c r="G972" t="s">
        <v>38</v>
      </c>
      <c r="H972" s="1">
        <v>44587.546469907407</v>
      </c>
      <c r="I972" s="1">
        <v>44591.546469907407</v>
      </c>
      <c r="J972" t="s">
        <v>32</v>
      </c>
      <c r="K972" s="1">
        <v>44605.546469907407</v>
      </c>
      <c r="L972" t="s">
        <v>33</v>
      </c>
      <c r="M972" t="s">
        <v>108</v>
      </c>
      <c r="R972" s="4">
        <v>44608.546469907407</v>
      </c>
      <c r="T972">
        <v>0</v>
      </c>
      <c r="Y972" t="s">
        <v>35</v>
      </c>
      <c r="AC972" s="2">
        <f t="shared" si="135"/>
        <v>4</v>
      </c>
      <c r="AD972" s="2">
        <f t="shared" si="136"/>
        <v>18</v>
      </c>
      <c r="AE972" s="2">
        <f t="shared" si="137"/>
        <v>14</v>
      </c>
      <c r="AF972" s="2">
        <f t="shared" si="138"/>
        <v>21</v>
      </c>
      <c r="AG972" s="2">
        <f t="shared" si="139"/>
        <v>3</v>
      </c>
      <c r="AH972" s="4">
        <f t="shared" si="140"/>
        <v>44698.546469907407</v>
      </c>
      <c r="AI972" s="2" t="str">
        <f t="shared" si="141"/>
        <v/>
      </c>
      <c r="AJ972" s="2" t="str">
        <f t="shared" si="142"/>
        <v/>
      </c>
      <c r="AK972" s="2" t="str">
        <f t="shared" si="143"/>
        <v/>
      </c>
    </row>
    <row r="973" spans="1:37" x14ac:dyDescent="0.25">
      <c r="A973">
        <v>2467</v>
      </c>
      <c r="B973" t="s">
        <v>1082</v>
      </c>
      <c r="C973" t="s">
        <v>806</v>
      </c>
      <c r="D973" t="s">
        <v>1064</v>
      </c>
      <c r="E973" t="s">
        <v>474</v>
      </c>
      <c r="F973" t="s">
        <v>1074</v>
      </c>
      <c r="G973" t="s">
        <v>38</v>
      </c>
      <c r="H973" s="1">
        <v>45017.841874999998</v>
      </c>
      <c r="I973" s="1">
        <v>45021.841874999998</v>
      </c>
      <c r="J973" t="s">
        <v>44</v>
      </c>
      <c r="K973" s="1"/>
      <c r="T973">
        <v>0</v>
      </c>
      <c r="AC973" s="2">
        <f t="shared" si="135"/>
        <v>4</v>
      </c>
      <c r="AD973" s="2" t="str">
        <f t="shared" si="136"/>
        <v/>
      </c>
      <c r="AE973" s="2" t="str">
        <f t="shared" si="137"/>
        <v/>
      </c>
      <c r="AF973" s="2" t="str">
        <f t="shared" si="138"/>
        <v/>
      </c>
      <c r="AG973" s="2" t="str">
        <f t="shared" si="139"/>
        <v/>
      </c>
      <c r="AH973" s="4" t="str">
        <f t="shared" si="140"/>
        <v/>
      </c>
      <c r="AI973" s="2" t="str">
        <f t="shared" si="141"/>
        <v/>
      </c>
      <c r="AJ973" s="2" t="str">
        <f t="shared" si="142"/>
        <v/>
      </c>
      <c r="AK973" s="2" t="str">
        <f t="shared" si="143"/>
        <v/>
      </c>
    </row>
    <row r="974" spans="1:37" x14ac:dyDescent="0.25">
      <c r="A974">
        <v>2463</v>
      </c>
      <c r="B974" t="s">
        <v>1083</v>
      </c>
      <c r="C974" t="s">
        <v>806</v>
      </c>
      <c r="D974" t="s">
        <v>1064</v>
      </c>
      <c r="E974" t="s">
        <v>474</v>
      </c>
      <c r="F974" t="s">
        <v>1074</v>
      </c>
      <c r="G974" t="s">
        <v>38</v>
      </c>
      <c r="H974" s="1">
        <v>45016.841874999998</v>
      </c>
      <c r="I974" s="1">
        <v>45020.841874999998</v>
      </c>
      <c r="J974" t="s">
        <v>32</v>
      </c>
      <c r="K974" s="1">
        <v>45031.841874999998</v>
      </c>
      <c r="L974" t="s">
        <v>57</v>
      </c>
      <c r="N974" s="4">
        <v>45036.841874999998</v>
      </c>
      <c r="O974" t="s">
        <v>57</v>
      </c>
      <c r="P974" s="4">
        <v>45033.841874999998</v>
      </c>
      <c r="Q974" s="4">
        <v>45036.841874999998</v>
      </c>
      <c r="R974" s="4">
        <v>45035.841874999998</v>
      </c>
      <c r="S974" s="4">
        <v>45043.841874999998</v>
      </c>
      <c r="T974">
        <v>1</v>
      </c>
      <c r="U974" s="4">
        <v>45047.841874999998</v>
      </c>
      <c r="V974" s="4">
        <v>45049.841874999998</v>
      </c>
      <c r="W974" s="4">
        <v>45052.841874999998</v>
      </c>
      <c r="Z974" s="4">
        <v>45067.841874999998</v>
      </c>
      <c r="AC974" s="2">
        <f t="shared" si="135"/>
        <v>4</v>
      </c>
      <c r="AD974" s="2">
        <f t="shared" si="136"/>
        <v>15</v>
      </c>
      <c r="AE974" s="2">
        <f t="shared" si="137"/>
        <v>11</v>
      </c>
      <c r="AF974" s="2">
        <f t="shared" si="138"/>
        <v>19</v>
      </c>
      <c r="AG974" s="2">
        <f t="shared" si="139"/>
        <v>4</v>
      </c>
      <c r="AH974" s="4">
        <f t="shared" si="140"/>
        <v>45125.841874999998</v>
      </c>
      <c r="AI974" s="2">
        <f t="shared" si="141"/>
        <v>4</v>
      </c>
      <c r="AJ974" s="2">
        <f t="shared" si="142"/>
        <v>32</v>
      </c>
      <c r="AK974" s="2">
        <f t="shared" si="143"/>
        <v>17</v>
      </c>
    </row>
    <row r="975" spans="1:37" x14ac:dyDescent="0.25">
      <c r="A975">
        <v>2440</v>
      </c>
      <c r="B975" t="s">
        <v>1084</v>
      </c>
      <c r="C975" t="s">
        <v>806</v>
      </c>
      <c r="D975" t="s">
        <v>1064</v>
      </c>
      <c r="E975" t="s">
        <v>474</v>
      </c>
      <c r="F975" t="s">
        <v>1074</v>
      </c>
      <c r="G975" t="s">
        <v>38</v>
      </c>
      <c r="H975" s="1">
        <v>44746.126967592594</v>
      </c>
      <c r="I975" s="1">
        <v>44747.126967592594</v>
      </c>
      <c r="J975" t="s">
        <v>32</v>
      </c>
      <c r="K975" s="1">
        <v>44760.126967592594</v>
      </c>
      <c r="L975" t="s">
        <v>39</v>
      </c>
      <c r="N975" s="4">
        <v>44768.126967592594</v>
      </c>
      <c r="O975" t="s">
        <v>39</v>
      </c>
      <c r="R975" s="4">
        <v>44764.126967592594</v>
      </c>
      <c r="T975">
        <v>0</v>
      </c>
      <c r="AC975" s="2">
        <f t="shared" si="135"/>
        <v>1</v>
      </c>
      <c r="AD975" s="2">
        <f t="shared" si="136"/>
        <v>14</v>
      </c>
      <c r="AE975" s="2">
        <f t="shared" si="137"/>
        <v>13</v>
      </c>
      <c r="AF975" s="2">
        <f t="shared" si="138"/>
        <v>18</v>
      </c>
      <c r="AG975" s="2">
        <f t="shared" si="139"/>
        <v>4</v>
      </c>
      <c r="AH975" s="4">
        <f t="shared" si="140"/>
        <v>44854.126967592594</v>
      </c>
      <c r="AI975" s="2" t="str">
        <f t="shared" si="141"/>
        <v/>
      </c>
      <c r="AJ975" s="2" t="str">
        <f t="shared" si="142"/>
        <v/>
      </c>
      <c r="AK975" s="2" t="str">
        <f t="shared" si="143"/>
        <v/>
      </c>
    </row>
    <row r="976" spans="1:37" x14ac:dyDescent="0.25">
      <c r="A976">
        <v>2439</v>
      </c>
      <c r="B976" t="s">
        <v>1085</v>
      </c>
      <c r="C976" t="s">
        <v>806</v>
      </c>
      <c r="D976" t="s">
        <v>1064</v>
      </c>
      <c r="E976" t="s">
        <v>474</v>
      </c>
      <c r="F976" t="s">
        <v>1074</v>
      </c>
      <c r="G976" t="s">
        <v>38</v>
      </c>
      <c r="H976" s="1">
        <v>44743.126967592594</v>
      </c>
      <c r="I976" s="1">
        <v>44745.126967592594</v>
      </c>
      <c r="J976" t="s">
        <v>44</v>
      </c>
      <c r="K976" s="1"/>
      <c r="T976">
        <v>0</v>
      </c>
      <c r="AC976" s="2">
        <f t="shared" si="135"/>
        <v>2</v>
      </c>
      <c r="AD976" s="2" t="str">
        <f t="shared" si="136"/>
        <v/>
      </c>
      <c r="AE976" s="2" t="str">
        <f t="shared" si="137"/>
        <v/>
      </c>
      <c r="AF976" s="2" t="str">
        <f t="shared" si="138"/>
        <v/>
      </c>
      <c r="AG976" s="2" t="str">
        <f t="shared" si="139"/>
        <v/>
      </c>
      <c r="AH976" s="4" t="str">
        <f t="shared" si="140"/>
        <v/>
      </c>
      <c r="AI976" s="2" t="str">
        <f t="shared" si="141"/>
        <v/>
      </c>
      <c r="AJ976" s="2" t="str">
        <f t="shared" si="142"/>
        <v/>
      </c>
      <c r="AK976" s="2" t="str">
        <f t="shared" si="143"/>
        <v/>
      </c>
    </row>
    <row r="977" spans="1:37" x14ac:dyDescent="0.25">
      <c r="A977">
        <v>2438</v>
      </c>
      <c r="B977" t="s">
        <v>1086</v>
      </c>
      <c r="C977" t="s">
        <v>806</v>
      </c>
      <c r="D977" t="s">
        <v>1064</v>
      </c>
      <c r="E977" t="s">
        <v>474</v>
      </c>
      <c r="F977" t="s">
        <v>1074</v>
      </c>
      <c r="G977" t="s">
        <v>38</v>
      </c>
      <c r="H977" s="1">
        <v>44746.126967592594</v>
      </c>
      <c r="I977" s="1">
        <v>44747.126967592594</v>
      </c>
      <c r="J977" t="s">
        <v>32</v>
      </c>
      <c r="K977" s="1">
        <v>44755.126967592594</v>
      </c>
      <c r="L977" t="s">
        <v>33</v>
      </c>
      <c r="M977" t="s">
        <v>92</v>
      </c>
      <c r="T977">
        <v>0</v>
      </c>
      <c r="Y977" t="s">
        <v>35</v>
      </c>
      <c r="AC977" s="2">
        <f t="shared" si="135"/>
        <v>1</v>
      </c>
      <c r="AD977" s="2">
        <f t="shared" si="136"/>
        <v>9</v>
      </c>
      <c r="AE977" s="2">
        <f t="shared" si="137"/>
        <v>8</v>
      </c>
      <c r="AF977" s="2" t="str">
        <f t="shared" si="138"/>
        <v/>
      </c>
      <c r="AG977" s="2" t="str">
        <f t="shared" si="139"/>
        <v/>
      </c>
      <c r="AH977" s="4" t="str">
        <f t="shared" si="140"/>
        <v/>
      </c>
      <c r="AI977" s="2" t="str">
        <f t="shared" si="141"/>
        <v/>
      </c>
      <c r="AJ977" s="2" t="str">
        <f t="shared" si="142"/>
        <v/>
      </c>
      <c r="AK977" s="2" t="str">
        <f t="shared" si="143"/>
        <v/>
      </c>
    </row>
    <row r="978" spans="1:37" x14ac:dyDescent="0.25">
      <c r="A978">
        <v>2437</v>
      </c>
      <c r="B978" t="s">
        <v>1087</v>
      </c>
      <c r="C978" t="s">
        <v>806</v>
      </c>
      <c r="D978" t="s">
        <v>1064</v>
      </c>
      <c r="E978" t="s">
        <v>474</v>
      </c>
      <c r="F978" t="s">
        <v>1074</v>
      </c>
      <c r="G978" t="s">
        <v>38</v>
      </c>
      <c r="H978" s="1">
        <v>44744.126967592594</v>
      </c>
      <c r="I978" s="1">
        <v>44748.126967592594</v>
      </c>
      <c r="J978" t="s">
        <v>32</v>
      </c>
      <c r="K978" s="1">
        <v>44758.126967592594</v>
      </c>
      <c r="L978" t="s">
        <v>39</v>
      </c>
      <c r="N978" s="4">
        <v>44761.126967592594</v>
      </c>
      <c r="O978" t="s">
        <v>39</v>
      </c>
      <c r="R978" s="4">
        <v>44759.126967592594</v>
      </c>
      <c r="T978">
        <v>0</v>
      </c>
      <c r="AC978" s="2">
        <f t="shared" si="135"/>
        <v>4</v>
      </c>
      <c r="AD978" s="2">
        <f t="shared" si="136"/>
        <v>14</v>
      </c>
      <c r="AE978" s="2">
        <f t="shared" si="137"/>
        <v>10</v>
      </c>
      <c r="AF978" s="2">
        <f t="shared" si="138"/>
        <v>15</v>
      </c>
      <c r="AG978" s="2">
        <f t="shared" si="139"/>
        <v>1</v>
      </c>
      <c r="AH978" s="4">
        <f t="shared" si="140"/>
        <v>44849.126967592594</v>
      </c>
      <c r="AI978" s="2" t="str">
        <f t="shared" si="141"/>
        <v/>
      </c>
      <c r="AJ978" s="2" t="str">
        <f t="shared" si="142"/>
        <v/>
      </c>
      <c r="AK978" s="2" t="str">
        <f t="shared" si="143"/>
        <v/>
      </c>
    </row>
    <row r="979" spans="1:37" x14ac:dyDescent="0.25">
      <c r="A979">
        <v>2436</v>
      </c>
      <c r="B979" t="s">
        <v>1088</v>
      </c>
      <c r="C979" t="s">
        <v>806</v>
      </c>
      <c r="D979" t="s">
        <v>1064</v>
      </c>
      <c r="E979" t="s">
        <v>474</v>
      </c>
      <c r="F979" t="s">
        <v>1074</v>
      </c>
      <c r="G979" t="s">
        <v>38</v>
      </c>
      <c r="H979" s="1">
        <v>44742.126967592594</v>
      </c>
      <c r="I979" s="1">
        <v>44743.126967592594</v>
      </c>
      <c r="J979" t="s">
        <v>32</v>
      </c>
      <c r="K979" s="1">
        <v>44757.126967592594</v>
      </c>
      <c r="L979" t="s">
        <v>39</v>
      </c>
      <c r="N979" s="4">
        <v>44765.126967592594</v>
      </c>
      <c r="O979" t="s">
        <v>39</v>
      </c>
      <c r="R979" s="4">
        <v>44761.126967592594</v>
      </c>
      <c r="T979">
        <v>0</v>
      </c>
      <c r="AC979" s="2">
        <f t="shared" si="135"/>
        <v>1</v>
      </c>
      <c r="AD979" s="2">
        <f t="shared" si="136"/>
        <v>15</v>
      </c>
      <c r="AE979" s="2">
        <f t="shared" si="137"/>
        <v>14</v>
      </c>
      <c r="AF979" s="2">
        <f t="shared" si="138"/>
        <v>19</v>
      </c>
      <c r="AG979" s="2">
        <f t="shared" si="139"/>
        <v>4</v>
      </c>
      <c r="AH979" s="4">
        <f t="shared" si="140"/>
        <v>44851.126967592594</v>
      </c>
      <c r="AI979" s="2" t="str">
        <f t="shared" si="141"/>
        <v/>
      </c>
      <c r="AJ979" s="2" t="str">
        <f t="shared" si="142"/>
        <v/>
      </c>
      <c r="AK979" s="2" t="str">
        <f t="shared" si="143"/>
        <v/>
      </c>
    </row>
    <row r="980" spans="1:37" x14ac:dyDescent="0.25">
      <c r="A980">
        <v>2349</v>
      </c>
      <c r="B980" t="s">
        <v>1089</v>
      </c>
      <c r="C980" t="s">
        <v>806</v>
      </c>
      <c r="D980" t="s">
        <v>1064</v>
      </c>
      <c r="E980" t="s">
        <v>474</v>
      </c>
      <c r="F980" t="s">
        <v>1074</v>
      </c>
      <c r="G980" t="s">
        <v>38</v>
      </c>
      <c r="H980" s="1">
        <v>45053.364525462966</v>
      </c>
      <c r="I980" s="1">
        <v>45056.364525462966</v>
      </c>
      <c r="J980" t="s">
        <v>32</v>
      </c>
      <c r="K980" s="1">
        <v>45068.364525462966</v>
      </c>
      <c r="L980" t="s">
        <v>33</v>
      </c>
      <c r="M980" t="s">
        <v>108</v>
      </c>
      <c r="T980">
        <v>0</v>
      </c>
      <c r="Y980" t="s">
        <v>35</v>
      </c>
      <c r="AC980" s="2">
        <f t="shared" si="135"/>
        <v>3</v>
      </c>
      <c r="AD980" s="2">
        <f t="shared" si="136"/>
        <v>15</v>
      </c>
      <c r="AE980" s="2">
        <f t="shared" si="137"/>
        <v>12</v>
      </c>
      <c r="AF980" s="2" t="str">
        <f t="shared" si="138"/>
        <v/>
      </c>
      <c r="AG980" s="2" t="str">
        <f t="shared" si="139"/>
        <v/>
      </c>
      <c r="AH980" s="4" t="str">
        <f t="shared" si="140"/>
        <v/>
      </c>
      <c r="AI980" s="2" t="str">
        <f t="shared" si="141"/>
        <v/>
      </c>
      <c r="AJ980" s="2" t="str">
        <f t="shared" si="142"/>
        <v/>
      </c>
      <c r="AK980" s="2" t="str">
        <f t="shared" si="143"/>
        <v/>
      </c>
    </row>
    <row r="981" spans="1:37" x14ac:dyDescent="0.25">
      <c r="A981">
        <v>2300</v>
      </c>
      <c r="B981" t="s">
        <v>1090</v>
      </c>
      <c r="C981" t="s">
        <v>806</v>
      </c>
      <c r="D981" t="s">
        <v>1064</v>
      </c>
      <c r="E981" t="s">
        <v>474</v>
      </c>
      <c r="F981" t="s">
        <v>1074</v>
      </c>
      <c r="G981" t="s">
        <v>38</v>
      </c>
      <c r="H981" s="1">
        <v>45108.656666666669</v>
      </c>
      <c r="I981" s="1">
        <v>45110.656666666669</v>
      </c>
      <c r="J981" t="s">
        <v>32</v>
      </c>
      <c r="K981" s="1">
        <v>45124.656666666669</v>
      </c>
      <c r="L981" t="s">
        <v>33</v>
      </c>
      <c r="M981" t="s">
        <v>34</v>
      </c>
      <c r="T981">
        <v>0</v>
      </c>
      <c r="Y981" t="s">
        <v>55</v>
      </c>
      <c r="AC981" s="2">
        <f t="shared" si="135"/>
        <v>2</v>
      </c>
      <c r="AD981" s="2">
        <f t="shared" si="136"/>
        <v>16</v>
      </c>
      <c r="AE981" s="2">
        <f t="shared" si="137"/>
        <v>14</v>
      </c>
      <c r="AF981" s="2" t="str">
        <f t="shared" si="138"/>
        <v/>
      </c>
      <c r="AG981" s="2" t="str">
        <f t="shared" si="139"/>
        <v/>
      </c>
      <c r="AH981" s="4" t="str">
        <f t="shared" si="140"/>
        <v/>
      </c>
      <c r="AI981" s="2" t="str">
        <f t="shared" si="141"/>
        <v/>
      </c>
      <c r="AJ981" s="2" t="str">
        <f t="shared" si="142"/>
        <v/>
      </c>
      <c r="AK981" s="2" t="str">
        <f t="shared" si="143"/>
        <v/>
      </c>
    </row>
    <row r="982" spans="1:37" x14ac:dyDescent="0.25">
      <c r="A982">
        <v>2296</v>
      </c>
      <c r="B982" t="s">
        <v>1091</v>
      </c>
      <c r="C982" t="s">
        <v>806</v>
      </c>
      <c r="D982" t="s">
        <v>1064</v>
      </c>
      <c r="E982" t="s">
        <v>474</v>
      </c>
      <c r="F982" t="s">
        <v>1074</v>
      </c>
      <c r="G982" t="s">
        <v>38</v>
      </c>
      <c r="H982" s="1">
        <v>45105.656666666669</v>
      </c>
      <c r="I982" s="1">
        <v>45108.656666666669</v>
      </c>
      <c r="J982" t="s">
        <v>44</v>
      </c>
      <c r="K982" s="1"/>
      <c r="T982">
        <v>0</v>
      </c>
      <c r="AC982" s="2">
        <f t="shared" si="135"/>
        <v>3</v>
      </c>
      <c r="AD982" s="2" t="str">
        <f t="shared" si="136"/>
        <v/>
      </c>
      <c r="AE982" s="2" t="str">
        <f t="shared" si="137"/>
        <v/>
      </c>
      <c r="AF982" s="2" t="str">
        <f t="shared" si="138"/>
        <v/>
      </c>
      <c r="AG982" s="2" t="str">
        <f t="shared" si="139"/>
        <v/>
      </c>
      <c r="AH982" s="4" t="str">
        <f t="shared" si="140"/>
        <v/>
      </c>
      <c r="AI982" s="2" t="str">
        <f t="shared" si="141"/>
        <v/>
      </c>
      <c r="AJ982" s="2" t="str">
        <f t="shared" si="142"/>
        <v/>
      </c>
      <c r="AK982" s="2" t="str">
        <f t="shared" si="143"/>
        <v/>
      </c>
    </row>
    <row r="983" spans="1:37" x14ac:dyDescent="0.25">
      <c r="A983">
        <v>2293</v>
      </c>
      <c r="B983" t="s">
        <v>1092</v>
      </c>
      <c r="C983" t="s">
        <v>806</v>
      </c>
      <c r="D983" t="s">
        <v>1064</v>
      </c>
      <c r="E983" t="s">
        <v>474</v>
      </c>
      <c r="F983" t="s">
        <v>1074</v>
      </c>
      <c r="G983" t="s">
        <v>38</v>
      </c>
      <c r="H983" s="1">
        <v>45109.656666666669</v>
      </c>
      <c r="I983" s="1">
        <v>45110.656666666669</v>
      </c>
      <c r="J983" t="s">
        <v>32</v>
      </c>
      <c r="K983" s="1">
        <v>45121.656666666669</v>
      </c>
      <c r="L983" t="s">
        <v>33</v>
      </c>
      <c r="M983" t="s">
        <v>51</v>
      </c>
      <c r="R983" s="4">
        <v>45122.656666666669</v>
      </c>
      <c r="T983">
        <v>0</v>
      </c>
      <c r="Y983" t="s">
        <v>35</v>
      </c>
      <c r="AC983" s="2">
        <f t="shared" si="135"/>
        <v>1</v>
      </c>
      <c r="AD983" s="2">
        <f t="shared" si="136"/>
        <v>12</v>
      </c>
      <c r="AE983" s="2">
        <f t="shared" si="137"/>
        <v>11</v>
      </c>
      <c r="AF983" s="2">
        <f t="shared" si="138"/>
        <v>13</v>
      </c>
      <c r="AG983" s="2">
        <f t="shared" si="139"/>
        <v>1</v>
      </c>
      <c r="AH983" s="4">
        <f t="shared" si="140"/>
        <v>45212.656666666669</v>
      </c>
      <c r="AI983" s="2" t="str">
        <f t="shared" si="141"/>
        <v/>
      </c>
      <c r="AJ983" s="2" t="str">
        <f t="shared" si="142"/>
        <v/>
      </c>
      <c r="AK983" s="2" t="str">
        <f t="shared" si="143"/>
        <v/>
      </c>
    </row>
    <row r="984" spans="1:37" x14ac:dyDescent="0.25">
      <c r="A984">
        <v>2292</v>
      </c>
      <c r="B984" t="s">
        <v>1093</v>
      </c>
      <c r="C984" t="s">
        <v>806</v>
      </c>
      <c r="D984" t="s">
        <v>1064</v>
      </c>
      <c r="E984" t="s">
        <v>474</v>
      </c>
      <c r="F984" t="s">
        <v>1074</v>
      </c>
      <c r="G984" t="s">
        <v>38</v>
      </c>
      <c r="H984" s="1">
        <v>45105.656666666669</v>
      </c>
      <c r="I984" s="1">
        <v>45109.656666666669</v>
      </c>
      <c r="J984" t="s">
        <v>44</v>
      </c>
      <c r="K984" s="1"/>
      <c r="T984">
        <v>0</v>
      </c>
      <c r="AC984" s="2">
        <f t="shared" si="135"/>
        <v>4</v>
      </c>
      <c r="AD984" s="2" t="str">
        <f t="shared" si="136"/>
        <v/>
      </c>
      <c r="AE984" s="2" t="str">
        <f t="shared" si="137"/>
        <v/>
      </c>
      <c r="AF984" s="2" t="str">
        <f t="shared" si="138"/>
        <v/>
      </c>
      <c r="AG984" s="2" t="str">
        <f t="shared" si="139"/>
        <v/>
      </c>
      <c r="AH984" s="4" t="str">
        <f t="shared" si="140"/>
        <v/>
      </c>
      <c r="AI984" s="2" t="str">
        <f t="shared" si="141"/>
        <v/>
      </c>
      <c r="AJ984" s="2" t="str">
        <f t="shared" si="142"/>
        <v/>
      </c>
      <c r="AK984" s="2" t="str">
        <f t="shared" si="143"/>
        <v/>
      </c>
    </row>
    <row r="985" spans="1:37" x14ac:dyDescent="0.25">
      <c r="A985">
        <v>2204</v>
      </c>
      <c r="B985" t="s">
        <v>1094</v>
      </c>
      <c r="C985" t="s">
        <v>806</v>
      </c>
      <c r="D985" t="s">
        <v>1064</v>
      </c>
      <c r="E985" t="s">
        <v>474</v>
      </c>
      <c r="F985" t="s">
        <v>1074</v>
      </c>
      <c r="G985" t="s">
        <v>38</v>
      </c>
      <c r="H985" s="1">
        <v>45092.202615740738</v>
      </c>
      <c r="I985" s="1">
        <v>45093.202615740738</v>
      </c>
      <c r="J985" t="s">
        <v>32</v>
      </c>
      <c r="K985" s="1">
        <v>45115.202615740738</v>
      </c>
      <c r="L985" t="s">
        <v>33</v>
      </c>
      <c r="M985" t="s">
        <v>34</v>
      </c>
      <c r="R985" s="4">
        <v>45118.202615740738</v>
      </c>
      <c r="T985">
        <v>0</v>
      </c>
      <c r="Y985" t="s">
        <v>35</v>
      </c>
      <c r="AC985" s="2">
        <f t="shared" si="135"/>
        <v>1</v>
      </c>
      <c r="AD985" s="2">
        <f t="shared" si="136"/>
        <v>23</v>
      </c>
      <c r="AE985" s="2">
        <f t="shared" si="137"/>
        <v>22</v>
      </c>
      <c r="AF985" s="2">
        <f t="shared" si="138"/>
        <v>26</v>
      </c>
      <c r="AG985" s="2">
        <f t="shared" si="139"/>
        <v>3</v>
      </c>
      <c r="AH985" s="4">
        <f t="shared" si="140"/>
        <v>45208.202615740738</v>
      </c>
      <c r="AI985" s="2" t="str">
        <f t="shared" si="141"/>
        <v/>
      </c>
      <c r="AJ985" s="2" t="str">
        <f t="shared" si="142"/>
        <v/>
      </c>
      <c r="AK985" s="2" t="str">
        <f t="shared" si="143"/>
        <v/>
      </c>
    </row>
    <row r="986" spans="1:37" x14ac:dyDescent="0.25">
      <c r="A986">
        <v>2202</v>
      </c>
      <c r="B986" t="s">
        <v>1095</v>
      </c>
      <c r="C986" t="s">
        <v>806</v>
      </c>
      <c r="D986" t="s">
        <v>1064</v>
      </c>
      <c r="E986" t="s">
        <v>474</v>
      </c>
      <c r="F986" t="s">
        <v>1074</v>
      </c>
      <c r="G986" t="s">
        <v>38</v>
      </c>
      <c r="H986" s="1">
        <v>45092.202615740738</v>
      </c>
      <c r="I986" s="1">
        <v>45096.202615740738</v>
      </c>
      <c r="J986" t="s">
        <v>32</v>
      </c>
      <c r="K986" s="1">
        <v>45108.202615740738</v>
      </c>
      <c r="L986" t="s">
        <v>39</v>
      </c>
      <c r="N986" s="4">
        <v>45114.202615740738</v>
      </c>
      <c r="O986" t="s">
        <v>39</v>
      </c>
      <c r="R986" s="4">
        <v>45112.202615740738</v>
      </c>
      <c r="T986">
        <v>0</v>
      </c>
      <c r="AC986" s="2">
        <f t="shared" si="135"/>
        <v>4</v>
      </c>
      <c r="AD986" s="2">
        <f t="shared" si="136"/>
        <v>16</v>
      </c>
      <c r="AE986" s="2">
        <f t="shared" si="137"/>
        <v>12</v>
      </c>
      <c r="AF986" s="2">
        <f t="shared" si="138"/>
        <v>20</v>
      </c>
      <c r="AG986" s="2">
        <f t="shared" si="139"/>
        <v>4</v>
      </c>
      <c r="AH986" s="4">
        <f t="shared" si="140"/>
        <v>45202.202615740738</v>
      </c>
      <c r="AI986" s="2" t="str">
        <f t="shared" si="141"/>
        <v/>
      </c>
      <c r="AJ986" s="2" t="str">
        <f t="shared" si="142"/>
        <v/>
      </c>
      <c r="AK986" s="2" t="str">
        <f t="shared" si="143"/>
        <v/>
      </c>
    </row>
    <row r="987" spans="1:37" x14ac:dyDescent="0.25">
      <c r="A987">
        <v>2187</v>
      </c>
      <c r="B987" t="s">
        <v>1096</v>
      </c>
      <c r="C987" t="s">
        <v>806</v>
      </c>
      <c r="D987" t="s">
        <v>1064</v>
      </c>
      <c r="E987" t="s">
        <v>474</v>
      </c>
      <c r="F987" t="s">
        <v>1074</v>
      </c>
      <c r="G987" t="s">
        <v>38</v>
      </c>
      <c r="H987" s="1">
        <v>44995.531736111108</v>
      </c>
      <c r="I987" s="1">
        <v>44996.531736111108</v>
      </c>
      <c r="J987" t="s">
        <v>32</v>
      </c>
      <c r="K987" s="1">
        <v>45016.531736111108</v>
      </c>
      <c r="L987" t="s">
        <v>33</v>
      </c>
      <c r="M987" t="s">
        <v>67</v>
      </c>
      <c r="R987" s="4">
        <v>45020.531736111108</v>
      </c>
      <c r="T987">
        <v>0</v>
      </c>
      <c r="Y987" t="s">
        <v>35</v>
      </c>
      <c r="AC987" s="2">
        <f t="shared" si="135"/>
        <v>1</v>
      </c>
      <c r="AD987" s="2">
        <f t="shared" si="136"/>
        <v>21</v>
      </c>
      <c r="AE987" s="2">
        <f t="shared" si="137"/>
        <v>20</v>
      </c>
      <c r="AF987" s="2">
        <f t="shared" si="138"/>
        <v>25</v>
      </c>
      <c r="AG987" s="2">
        <f t="shared" si="139"/>
        <v>4</v>
      </c>
      <c r="AH987" s="4">
        <f t="shared" si="140"/>
        <v>45110.531736111108</v>
      </c>
      <c r="AI987" s="2" t="str">
        <f t="shared" si="141"/>
        <v/>
      </c>
      <c r="AJ987" s="2" t="str">
        <f t="shared" si="142"/>
        <v/>
      </c>
      <c r="AK987" s="2" t="str">
        <f t="shared" si="143"/>
        <v/>
      </c>
    </row>
    <row r="988" spans="1:37" x14ac:dyDescent="0.25">
      <c r="A988">
        <v>2072</v>
      </c>
      <c r="B988" t="s">
        <v>1097</v>
      </c>
      <c r="C988" t="s">
        <v>806</v>
      </c>
      <c r="D988" t="s">
        <v>1064</v>
      </c>
      <c r="E988" t="s">
        <v>474</v>
      </c>
      <c r="F988" t="s">
        <v>1074</v>
      </c>
      <c r="G988" t="s">
        <v>38</v>
      </c>
      <c r="H988" s="1">
        <v>44918.441053240742</v>
      </c>
      <c r="I988" s="1">
        <v>44920.441053240742</v>
      </c>
      <c r="J988" t="s">
        <v>32</v>
      </c>
      <c r="K988" s="1">
        <v>44927.441053240742</v>
      </c>
      <c r="L988" t="s">
        <v>39</v>
      </c>
      <c r="N988" s="4">
        <v>44934.441053240742</v>
      </c>
      <c r="O988" t="s">
        <v>39</v>
      </c>
      <c r="R988" s="4">
        <v>44930.441053240742</v>
      </c>
      <c r="T988">
        <v>0</v>
      </c>
      <c r="AC988" s="2">
        <f t="shared" si="135"/>
        <v>2</v>
      </c>
      <c r="AD988" s="2">
        <f t="shared" si="136"/>
        <v>9</v>
      </c>
      <c r="AE988" s="2">
        <f t="shared" si="137"/>
        <v>7</v>
      </c>
      <c r="AF988" s="2">
        <f t="shared" si="138"/>
        <v>12</v>
      </c>
      <c r="AG988" s="2">
        <f t="shared" si="139"/>
        <v>3</v>
      </c>
      <c r="AH988" s="4">
        <f t="shared" si="140"/>
        <v>45020.441053240742</v>
      </c>
      <c r="AI988" s="2" t="str">
        <f t="shared" si="141"/>
        <v/>
      </c>
      <c r="AJ988" s="2" t="str">
        <f t="shared" si="142"/>
        <v/>
      </c>
      <c r="AK988" s="2" t="str">
        <f t="shared" si="143"/>
        <v/>
      </c>
    </row>
    <row r="989" spans="1:37" x14ac:dyDescent="0.25">
      <c r="A989">
        <v>2047</v>
      </c>
      <c r="B989" t="s">
        <v>1098</v>
      </c>
      <c r="C989" t="s">
        <v>806</v>
      </c>
      <c r="D989" t="s">
        <v>1064</v>
      </c>
      <c r="E989" t="s">
        <v>474</v>
      </c>
      <c r="F989" t="s">
        <v>1074</v>
      </c>
      <c r="G989" t="s">
        <v>38</v>
      </c>
      <c r="H989" s="1">
        <v>44758.200532407405</v>
      </c>
      <c r="I989" s="1">
        <v>44761.200532407405</v>
      </c>
      <c r="J989" t="s">
        <v>44</v>
      </c>
      <c r="K989" s="1"/>
      <c r="T989">
        <v>0</v>
      </c>
      <c r="AC989" s="2">
        <f t="shared" si="135"/>
        <v>3</v>
      </c>
      <c r="AD989" s="2" t="str">
        <f t="shared" si="136"/>
        <v/>
      </c>
      <c r="AE989" s="2" t="str">
        <f t="shared" si="137"/>
        <v/>
      </c>
      <c r="AF989" s="2" t="str">
        <f t="shared" si="138"/>
        <v/>
      </c>
      <c r="AG989" s="2" t="str">
        <f t="shared" si="139"/>
        <v/>
      </c>
      <c r="AH989" s="4" t="str">
        <f t="shared" si="140"/>
        <v/>
      </c>
      <c r="AI989" s="2" t="str">
        <f t="shared" si="141"/>
        <v/>
      </c>
      <c r="AJ989" s="2" t="str">
        <f t="shared" si="142"/>
        <v/>
      </c>
      <c r="AK989" s="2" t="str">
        <f t="shared" si="143"/>
        <v/>
      </c>
    </row>
    <row r="990" spans="1:37" x14ac:dyDescent="0.25">
      <c r="A990">
        <v>2015</v>
      </c>
      <c r="B990" t="s">
        <v>1099</v>
      </c>
      <c r="C990" t="s">
        <v>806</v>
      </c>
      <c r="D990" t="s">
        <v>1064</v>
      </c>
      <c r="E990" t="s">
        <v>474</v>
      </c>
      <c r="F990" t="s">
        <v>1074</v>
      </c>
      <c r="G990" t="s">
        <v>38</v>
      </c>
      <c r="H990" s="1">
        <v>45084.58390046296</v>
      </c>
      <c r="I990" s="1">
        <v>45085.58390046296</v>
      </c>
      <c r="J990" t="s">
        <v>44</v>
      </c>
      <c r="K990" s="1"/>
      <c r="T990">
        <v>0</v>
      </c>
      <c r="AC990" s="2">
        <f t="shared" si="135"/>
        <v>1</v>
      </c>
      <c r="AD990" s="2" t="str">
        <f t="shared" si="136"/>
        <v/>
      </c>
      <c r="AE990" s="2" t="str">
        <f t="shared" si="137"/>
        <v/>
      </c>
      <c r="AF990" s="2" t="str">
        <f t="shared" si="138"/>
        <v/>
      </c>
      <c r="AG990" s="2" t="str">
        <f t="shared" si="139"/>
        <v/>
      </c>
      <c r="AH990" s="4" t="str">
        <f t="shared" si="140"/>
        <v/>
      </c>
      <c r="AI990" s="2" t="str">
        <f t="shared" si="141"/>
        <v/>
      </c>
      <c r="AJ990" s="2" t="str">
        <f t="shared" si="142"/>
        <v/>
      </c>
      <c r="AK990" s="2" t="str">
        <f t="shared" si="143"/>
        <v/>
      </c>
    </row>
    <row r="991" spans="1:37" x14ac:dyDescent="0.25">
      <c r="A991">
        <v>1943</v>
      </c>
      <c r="B991" t="s">
        <v>1100</v>
      </c>
      <c r="C991" t="s">
        <v>806</v>
      </c>
      <c r="D991" t="s">
        <v>1064</v>
      </c>
      <c r="E991" t="s">
        <v>474</v>
      </c>
      <c r="F991" t="s">
        <v>1074</v>
      </c>
      <c r="G991" t="s">
        <v>38</v>
      </c>
      <c r="H991" s="1">
        <v>44987.264120370368</v>
      </c>
      <c r="I991" s="1">
        <v>44988.264120370368</v>
      </c>
      <c r="J991" t="s">
        <v>44</v>
      </c>
      <c r="K991" s="1"/>
      <c r="T991">
        <v>0</v>
      </c>
      <c r="AC991" s="2">
        <f t="shared" si="135"/>
        <v>1</v>
      </c>
      <c r="AD991" s="2" t="str">
        <f t="shared" si="136"/>
        <v/>
      </c>
      <c r="AE991" s="2" t="str">
        <f t="shared" si="137"/>
        <v/>
      </c>
      <c r="AF991" s="2" t="str">
        <f t="shared" si="138"/>
        <v/>
      </c>
      <c r="AG991" s="2" t="str">
        <f t="shared" si="139"/>
        <v/>
      </c>
      <c r="AH991" s="4" t="str">
        <f t="shared" si="140"/>
        <v/>
      </c>
      <c r="AI991" s="2" t="str">
        <f t="shared" si="141"/>
        <v/>
      </c>
      <c r="AJ991" s="2" t="str">
        <f t="shared" si="142"/>
        <v/>
      </c>
      <c r="AK991" s="2" t="str">
        <f t="shared" si="143"/>
        <v/>
      </c>
    </row>
    <row r="992" spans="1:37" x14ac:dyDescent="0.25">
      <c r="A992">
        <v>1926</v>
      </c>
      <c r="B992" t="s">
        <v>1101</v>
      </c>
      <c r="C992" t="s">
        <v>806</v>
      </c>
      <c r="D992" t="s">
        <v>1064</v>
      </c>
      <c r="E992" t="s">
        <v>474</v>
      </c>
      <c r="F992" t="s">
        <v>1074</v>
      </c>
      <c r="G992" t="s">
        <v>38</v>
      </c>
      <c r="H992" s="1">
        <v>44796.391932870371</v>
      </c>
      <c r="I992" s="1">
        <v>44797.391932870371</v>
      </c>
      <c r="J992" t="s">
        <v>32</v>
      </c>
      <c r="K992" s="1">
        <v>44807.391932870371</v>
      </c>
      <c r="L992" t="s">
        <v>33</v>
      </c>
      <c r="M992" t="s">
        <v>34</v>
      </c>
      <c r="T992">
        <v>0</v>
      </c>
      <c r="Y992" t="s">
        <v>35</v>
      </c>
      <c r="AC992" s="2">
        <f t="shared" si="135"/>
        <v>1</v>
      </c>
      <c r="AD992" s="2">
        <f t="shared" si="136"/>
        <v>11</v>
      </c>
      <c r="AE992" s="2">
        <f t="shared" si="137"/>
        <v>10</v>
      </c>
      <c r="AF992" s="2" t="str">
        <f t="shared" si="138"/>
        <v/>
      </c>
      <c r="AG992" s="2" t="str">
        <f t="shared" si="139"/>
        <v/>
      </c>
      <c r="AH992" s="4" t="str">
        <f t="shared" si="140"/>
        <v/>
      </c>
      <c r="AI992" s="2" t="str">
        <f t="shared" si="141"/>
        <v/>
      </c>
      <c r="AJ992" s="2" t="str">
        <f t="shared" si="142"/>
        <v/>
      </c>
      <c r="AK992" s="2" t="str">
        <f t="shared" si="143"/>
        <v/>
      </c>
    </row>
    <row r="993" spans="1:37" x14ac:dyDescent="0.25">
      <c r="A993">
        <v>1924</v>
      </c>
      <c r="B993" t="s">
        <v>1102</v>
      </c>
      <c r="C993" t="s">
        <v>806</v>
      </c>
      <c r="D993" t="s">
        <v>1064</v>
      </c>
      <c r="E993" t="s">
        <v>474</v>
      </c>
      <c r="F993" t="s">
        <v>1074</v>
      </c>
      <c r="G993" t="s">
        <v>38</v>
      </c>
      <c r="H993" s="1">
        <v>44788.391932870371</v>
      </c>
      <c r="I993" s="1">
        <v>44792.391932870371</v>
      </c>
      <c r="J993" t="s">
        <v>32</v>
      </c>
      <c r="K993" s="1">
        <v>44814.391932870371</v>
      </c>
      <c r="L993" t="s">
        <v>57</v>
      </c>
      <c r="N993" s="4">
        <v>44817.391932870371</v>
      </c>
      <c r="O993" t="s">
        <v>57</v>
      </c>
      <c r="P993" s="4">
        <v>44815.391932870371</v>
      </c>
      <c r="Q993" s="4">
        <v>44817.391932870371</v>
      </c>
      <c r="R993" s="4">
        <v>44815.391932870371</v>
      </c>
      <c r="S993" s="4">
        <v>44817.391932870371</v>
      </c>
      <c r="T993">
        <v>1</v>
      </c>
      <c r="U993" s="4">
        <v>44819.391932870371</v>
      </c>
      <c r="V993" s="4">
        <v>44821.391932870371</v>
      </c>
      <c r="W993" s="4">
        <v>44823.391932870371</v>
      </c>
      <c r="Z993" s="4">
        <v>44844.391932870371</v>
      </c>
      <c r="AC993" s="2">
        <f t="shared" si="135"/>
        <v>4</v>
      </c>
      <c r="AD993" s="2">
        <f t="shared" si="136"/>
        <v>26</v>
      </c>
      <c r="AE993" s="2">
        <f t="shared" si="137"/>
        <v>22</v>
      </c>
      <c r="AF993" s="2">
        <f t="shared" si="138"/>
        <v>27</v>
      </c>
      <c r="AG993" s="2">
        <f t="shared" si="139"/>
        <v>1</v>
      </c>
      <c r="AH993" s="4">
        <f t="shared" si="140"/>
        <v>44905.391932870371</v>
      </c>
      <c r="AI993" s="2">
        <f t="shared" si="141"/>
        <v>2</v>
      </c>
      <c r="AJ993" s="2">
        <f t="shared" si="142"/>
        <v>29</v>
      </c>
      <c r="AK993" s="2">
        <f t="shared" si="143"/>
        <v>8</v>
      </c>
    </row>
    <row r="994" spans="1:37" x14ac:dyDescent="0.25">
      <c r="A994">
        <v>1835</v>
      </c>
      <c r="B994" t="s">
        <v>1103</v>
      </c>
      <c r="C994" t="s">
        <v>806</v>
      </c>
      <c r="D994" t="s">
        <v>1064</v>
      </c>
      <c r="E994" t="s">
        <v>474</v>
      </c>
      <c r="F994" t="s">
        <v>1074</v>
      </c>
      <c r="G994" t="s">
        <v>38</v>
      </c>
      <c r="H994" s="1">
        <v>45037.367280092592</v>
      </c>
      <c r="I994" s="1">
        <v>45038.367280092592</v>
      </c>
      <c r="J994" t="s">
        <v>32</v>
      </c>
      <c r="K994" s="1">
        <v>45054.367280092592</v>
      </c>
      <c r="L994" t="s">
        <v>33</v>
      </c>
      <c r="M994" t="s">
        <v>92</v>
      </c>
      <c r="T994">
        <v>0</v>
      </c>
      <c r="Y994" t="s">
        <v>35</v>
      </c>
      <c r="AC994" s="2">
        <f t="shared" si="135"/>
        <v>1</v>
      </c>
      <c r="AD994" s="2">
        <f t="shared" si="136"/>
        <v>17</v>
      </c>
      <c r="AE994" s="2">
        <f t="shared" si="137"/>
        <v>16</v>
      </c>
      <c r="AF994" s="2" t="str">
        <f t="shared" si="138"/>
        <v/>
      </c>
      <c r="AG994" s="2" t="str">
        <f t="shared" si="139"/>
        <v/>
      </c>
      <c r="AH994" s="4" t="str">
        <f t="shared" si="140"/>
        <v/>
      </c>
      <c r="AI994" s="2" t="str">
        <f t="shared" si="141"/>
        <v/>
      </c>
      <c r="AJ994" s="2" t="str">
        <f t="shared" si="142"/>
        <v/>
      </c>
      <c r="AK994" s="2" t="str">
        <f t="shared" si="143"/>
        <v/>
      </c>
    </row>
    <row r="995" spans="1:37" x14ac:dyDescent="0.25">
      <c r="A995">
        <v>1833</v>
      </c>
      <c r="B995" t="s">
        <v>1104</v>
      </c>
      <c r="C995" t="s">
        <v>806</v>
      </c>
      <c r="D995" t="s">
        <v>1064</v>
      </c>
      <c r="E995" t="s">
        <v>474</v>
      </c>
      <c r="F995" t="s">
        <v>1074</v>
      </c>
      <c r="G995" t="s">
        <v>38</v>
      </c>
      <c r="H995" s="1">
        <v>45031.367280092592</v>
      </c>
      <c r="I995" s="1">
        <v>45035.367280092592</v>
      </c>
      <c r="J995" t="s">
        <v>32</v>
      </c>
      <c r="K995" s="1">
        <v>45043.367280092592</v>
      </c>
      <c r="L995" t="s">
        <v>57</v>
      </c>
      <c r="N995" s="4">
        <v>45046.367280092592</v>
      </c>
      <c r="O995" t="s">
        <v>57</v>
      </c>
      <c r="P995" s="4">
        <v>45044.367280092592</v>
      </c>
      <c r="Q995" s="4">
        <v>45045.367280092592</v>
      </c>
      <c r="R995" s="4">
        <v>45045.367280092592</v>
      </c>
      <c r="S995" s="4">
        <v>45050.367280092592</v>
      </c>
      <c r="T995">
        <v>1</v>
      </c>
      <c r="U995" s="4">
        <v>45051.367280092592</v>
      </c>
      <c r="V995" s="4">
        <v>45054.367280092592</v>
      </c>
      <c r="W995" s="4">
        <v>45055.367280092592</v>
      </c>
      <c r="Z995" s="4">
        <v>45071.367280092592</v>
      </c>
      <c r="AC995" s="2">
        <f t="shared" si="135"/>
        <v>4</v>
      </c>
      <c r="AD995" s="2">
        <f t="shared" si="136"/>
        <v>12</v>
      </c>
      <c r="AE995" s="2">
        <f t="shared" si="137"/>
        <v>8</v>
      </c>
      <c r="AF995" s="2">
        <f t="shared" si="138"/>
        <v>14</v>
      </c>
      <c r="AG995" s="2">
        <f t="shared" si="139"/>
        <v>2</v>
      </c>
      <c r="AH995" s="4">
        <f t="shared" si="140"/>
        <v>45135.367280092592</v>
      </c>
      <c r="AI995" s="2">
        <f t="shared" si="141"/>
        <v>1</v>
      </c>
      <c r="AJ995" s="2">
        <f t="shared" si="142"/>
        <v>26</v>
      </c>
      <c r="AK995" s="2">
        <f t="shared" si="143"/>
        <v>10</v>
      </c>
    </row>
    <row r="996" spans="1:37" x14ac:dyDescent="0.25">
      <c r="A996">
        <v>1787</v>
      </c>
      <c r="B996" t="s">
        <v>1105</v>
      </c>
      <c r="C996" t="s">
        <v>806</v>
      </c>
      <c r="D996" t="s">
        <v>1064</v>
      </c>
      <c r="E996" t="s">
        <v>474</v>
      </c>
      <c r="F996" t="s">
        <v>1074</v>
      </c>
      <c r="G996" t="s">
        <v>38</v>
      </c>
      <c r="H996" s="1">
        <v>44661.356493055559</v>
      </c>
      <c r="I996" s="1">
        <v>44664.356493055559</v>
      </c>
      <c r="J996" t="s">
        <v>32</v>
      </c>
      <c r="K996" s="1">
        <v>44674.356493055559</v>
      </c>
      <c r="L996" t="s">
        <v>39</v>
      </c>
      <c r="N996" s="4">
        <v>44681.356493055559</v>
      </c>
      <c r="O996" t="s">
        <v>39</v>
      </c>
      <c r="R996" s="4">
        <v>44678.356493055559</v>
      </c>
      <c r="T996">
        <v>0</v>
      </c>
      <c r="AC996" s="2">
        <f t="shared" si="135"/>
        <v>3</v>
      </c>
      <c r="AD996" s="2">
        <f t="shared" si="136"/>
        <v>13</v>
      </c>
      <c r="AE996" s="2">
        <f t="shared" si="137"/>
        <v>10</v>
      </c>
      <c r="AF996" s="2">
        <f t="shared" si="138"/>
        <v>17</v>
      </c>
      <c r="AG996" s="2">
        <f t="shared" si="139"/>
        <v>4</v>
      </c>
      <c r="AH996" s="4">
        <f t="shared" si="140"/>
        <v>44768.356493055559</v>
      </c>
      <c r="AI996" s="2" t="str">
        <f t="shared" si="141"/>
        <v/>
      </c>
      <c r="AJ996" s="2" t="str">
        <f t="shared" si="142"/>
        <v/>
      </c>
      <c r="AK996" s="2" t="str">
        <f t="shared" si="143"/>
        <v/>
      </c>
    </row>
    <row r="997" spans="1:37" x14ac:dyDescent="0.25">
      <c r="A997">
        <v>1730</v>
      </c>
      <c r="B997" t="s">
        <v>1106</v>
      </c>
      <c r="C997" t="s">
        <v>806</v>
      </c>
      <c r="D997" t="s">
        <v>1064</v>
      </c>
      <c r="E997" t="s">
        <v>678</v>
      </c>
      <c r="F997" t="s">
        <v>1107</v>
      </c>
      <c r="G997" t="s">
        <v>38</v>
      </c>
      <c r="H997" s="1">
        <v>44861.500428240739</v>
      </c>
      <c r="I997" s="1">
        <v>44864.500428240739</v>
      </c>
      <c r="J997" t="s">
        <v>32</v>
      </c>
      <c r="K997" s="1">
        <v>44879.500428240739</v>
      </c>
      <c r="L997" t="s">
        <v>33</v>
      </c>
      <c r="M997" t="s">
        <v>51</v>
      </c>
      <c r="T997">
        <v>0</v>
      </c>
      <c r="Y997" t="s">
        <v>35</v>
      </c>
      <c r="AC997" s="2">
        <f t="shared" si="135"/>
        <v>3</v>
      </c>
      <c r="AD997" s="2">
        <f t="shared" si="136"/>
        <v>18</v>
      </c>
      <c r="AE997" s="2">
        <f t="shared" si="137"/>
        <v>15</v>
      </c>
      <c r="AF997" s="2" t="str">
        <f t="shared" si="138"/>
        <v/>
      </c>
      <c r="AG997" s="2" t="str">
        <f t="shared" si="139"/>
        <v/>
      </c>
      <c r="AH997" s="4" t="str">
        <f t="shared" si="140"/>
        <v/>
      </c>
      <c r="AI997" s="2" t="str">
        <f t="shared" si="141"/>
        <v/>
      </c>
      <c r="AJ997" s="2" t="str">
        <f t="shared" si="142"/>
        <v/>
      </c>
      <c r="AK997" s="2" t="str">
        <f t="shared" si="143"/>
        <v/>
      </c>
    </row>
    <row r="998" spans="1:37" x14ac:dyDescent="0.25">
      <c r="A998">
        <v>1726</v>
      </c>
      <c r="B998" t="s">
        <v>1108</v>
      </c>
      <c r="C998" t="s">
        <v>806</v>
      </c>
      <c r="D998" t="s">
        <v>1064</v>
      </c>
      <c r="E998" t="s">
        <v>678</v>
      </c>
      <c r="F998" t="s">
        <v>1107</v>
      </c>
      <c r="G998" t="s">
        <v>38</v>
      </c>
      <c r="H998" s="1">
        <v>44866.500428240739</v>
      </c>
      <c r="I998" s="1">
        <v>44867.500428240739</v>
      </c>
      <c r="J998" t="s">
        <v>32</v>
      </c>
      <c r="K998" s="1">
        <v>44874.500428240739</v>
      </c>
      <c r="L998" t="s">
        <v>33</v>
      </c>
      <c r="M998" t="s">
        <v>92</v>
      </c>
      <c r="R998" s="4">
        <v>44875.500428240739</v>
      </c>
      <c r="T998">
        <v>0</v>
      </c>
      <c r="Y998" t="s">
        <v>55</v>
      </c>
      <c r="AC998" s="2">
        <f t="shared" si="135"/>
        <v>1</v>
      </c>
      <c r="AD998" s="2">
        <f t="shared" si="136"/>
        <v>8</v>
      </c>
      <c r="AE998" s="2">
        <f t="shared" si="137"/>
        <v>7</v>
      </c>
      <c r="AF998" s="2">
        <f t="shared" si="138"/>
        <v>9</v>
      </c>
      <c r="AG998" s="2">
        <f t="shared" si="139"/>
        <v>1</v>
      </c>
      <c r="AH998" s="4">
        <f t="shared" si="140"/>
        <v>44965.500428240739</v>
      </c>
      <c r="AI998" s="2" t="str">
        <f t="shared" si="141"/>
        <v/>
      </c>
      <c r="AJ998" s="2" t="str">
        <f t="shared" si="142"/>
        <v/>
      </c>
      <c r="AK998" s="2" t="str">
        <f t="shared" si="143"/>
        <v/>
      </c>
    </row>
    <row r="999" spans="1:37" x14ac:dyDescent="0.25">
      <c r="A999">
        <v>1658</v>
      </c>
      <c r="B999" t="s">
        <v>1109</v>
      </c>
      <c r="C999" t="s">
        <v>806</v>
      </c>
      <c r="D999" t="s">
        <v>1064</v>
      </c>
      <c r="E999" t="s">
        <v>678</v>
      </c>
      <c r="F999" t="s">
        <v>1107</v>
      </c>
      <c r="G999" t="s">
        <v>38</v>
      </c>
      <c r="H999" s="1">
        <v>44875.194988425923</v>
      </c>
      <c r="I999" s="1">
        <v>44877.194988425923</v>
      </c>
      <c r="J999" t="s">
        <v>32</v>
      </c>
      <c r="K999" s="1">
        <v>44900.194988425923</v>
      </c>
      <c r="L999" t="s">
        <v>39</v>
      </c>
      <c r="N999" s="4">
        <v>44903.194988425923</v>
      </c>
      <c r="O999" t="s">
        <v>39</v>
      </c>
      <c r="R999" s="4">
        <v>44902.194988425923</v>
      </c>
      <c r="T999">
        <v>0</v>
      </c>
      <c r="AC999" s="2">
        <f t="shared" si="135"/>
        <v>2</v>
      </c>
      <c r="AD999" s="2">
        <f t="shared" si="136"/>
        <v>25</v>
      </c>
      <c r="AE999" s="2">
        <f t="shared" si="137"/>
        <v>23</v>
      </c>
      <c r="AF999" s="2">
        <f t="shared" si="138"/>
        <v>27</v>
      </c>
      <c r="AG999" s="2">
        <f t="shared" si="139"/>
        <v>2</v>
      </c>
      <c r="AH999" s="4">
        <f t="shared" si="140"/>
        <v>44992.194988425923</v>
      </c>
      <c r="AI999" s="2" t="str">
        <f t="shared" si="141"/>
        <v/>
      </c>
      <c r="AJ999" s="2" t="str">
        <f t="shared" si="142"/>
        <v/>
      </c>
      <c r="AK999" s="2" t="str">
        <f t="shared" si="143"/>
        <v/>
      </c>
    </row>
    <row r="1000" spans="1:37" x14ac:dyDescent="0.25">
      <c r="A1000">
        <v>1656</v>
      </c>
      <c r="B1000" t="s">
        <v>1110</v>
      </c>
      <c r="C1000" t="s">
        <v>806</v>
      </c>
      <c r="D1000" t="s">
        <v>1064</v>
      </c>
      <c r="E1000" t="s">
        <v>678</v>
      </c>
      <c r="F1000" t="s">
        <v>1107</v>
      </c>
      <c r="G1000" t="s">
        <v>38</v>
      </c>
      <c r="H1000" s="1">
        <v>44879.194988425923</v>
      </c>
      <c r="I1000" s="1">
        <v>44880.194988425923</v>
      </c>
      <c r="J1000" t="s">
        <v>32</v>
      </c>
      <c r="K1000" s="1">
        <v>44894.194988425923</v>
      </c>
      <c r="L1000" t="s">
        <v>33</v>
      </c>
      <c r="M1000" t="s">
        <v>92</v>
      </c>
      <c r="T1000">
        <v>0</v>
      </c>
      <c r="Y1000" t="s">
        <v>35</v>
      </c>
      <c r="AC1000" s="2">
        <f t="shared" si="135"/>
        <v>1</v>
      </c>
      <c r="AD1000" s="2">
        <f t="shared" si="136"/>
        <v>15</v>
      </c>
      <c r="AE1000" s="2">
        <f t="shared" si="137"/>
        <v>14</v>
      </c>
      <c r="AF1000" s="2" t="str">
        <f t="shared" si="138"/>
        <v/>
      </c>
      <c r="AG1000" s="2" t="str">
        <f t="shared" si="139"/>
        <v/>
      </c>
      <c r="AH1000" s="4" t="str">
        <f t="shared" si="140"/>
        <v/>
      </c>
      <c r="AI1000" s="2" t="str">
        <f t="shared" si="141"/>
        <v/>
      </c>
      <c r="AJ1000" s="2" t="str">
        <f t="shared" si="142"/>
        <v/>
      </c>
      <c r="AK1000" s="2" t="str">
        <f t="shared" si="143"/>
        <v/>
      </c>
    </row>
    <row r="1001" spans="1:37" x14ac:dyDescent="0.25">
      <c r="A1001">
        <v>1654</v>
      </c>
      <c r="B1001" t="s">
        <v>1111</v>
      </c>
      <c r="C1001" t="s">
        <v>806</v>
      </c>
      <c r="D1001" t="s">
        <v>1064</v>
      </c>
      <c r="E1001" t="s">
        <v>678</v>
      </c>
      <c r="F1001" t="s">
        <v>1107</v>
      </c>
      <c r="G1001" t="s">
        <v>38</v>
      </c>
      <c r="H1001" s="1">
        <v>44879.194988425923</v>
      </c>
      <c r="I1001" s="1">
        <v>44880.194988425923</v>
      </c>
      <c r="J1001" t="s">
        <v>32</v>
      </c>
      <c r="K1001" s="1">
        <v>44886.194988425923</v>
      </c>
      <c r="L1001" t="s">
        <v>33</v>
      </c>
      <c r="M1001" t="s">
        <v>34</v>
      </c>
      <c r="T1001">
        <v>0</v>
      </c>
      <c r="Y1001" t="s">
        <v>55</v>
      </c>
      <c r="AC1001" s="2">
        <f t="shared" si="135"/>
        <v>1</v>
      </c>
      <c r="AD1001" s="2">
        <f t="shared" si="136"/>
        <v>7</v>
      </c>
      <c r="AE1001" s="2">
        <f t="shared" si="137"/>
        <v>6</v>
      </c>
      <c r="AF1001" s="2" t="str">
        <f t="shared" si="138"/>
        <v/>
      </c>
      <c r="AG1001" s="2" t="str">
        <f t="shared" si="139"/>
        <v/>
      </c>
      <c r="AH1001" s="4" t="str">
        <f t="shared" si="140"/>
        <v/>
      </c>
      <c r="AI1001" s="2" t="str">
        <f t="shared" si="141"/>
        <v/>
      </c>
      <c r="AJ1001" s="2" t="str">
        <f t="shared" si="142"/>
        <v/>
      </c>
      <c r="AK1001" s="2" t="str">
        <f t="shared" si="143"/>
        <v/>
      </c>
    </row>
    <row r="1002" spans="1:37" x14ac:dyDescent="0.25">
      <c r="A1002">
        <v>1628</v>
      </c>
      <c r="B1002" t="s">
        <v>1112</v>
      </c>
      <c r="C1002" t="s">
        <v>806</v>
      </c>
      <c r="D1002" t="s">
        <v>1064</v>
      </c>
      <c r="E1002" t="s">
        <v>678</v>
      </c>
      <c r="F1002" t="s">
        <v>1107</v>
      </c>
      <c r="G1002" t="s">
        <v>38</v>
      </c>
      <c r="H1002" s="1">
        <v>44636.297905092593</v>
      </c>
      <c r="I1002" s="1">
        <v>44639.297905092593</v>
      </c>
      <c r="J1002" t="s">
        <v>44</v>
      </c>
      <c r="K1002" s="1"/>
      <c r="T1002">
        <v>0</v>
      </c>
      <c r="AC1002" s="2">
        <f t="shared" si="135"/>
        <v>3</v>
      </c>
      <c r="AD1002" s="2" t="str">
        <f t="shared" si="136"/>
        <v/>
      </c>
      <c r="AE1002" s="2" t="str">
        <f t="shared" si="137"/>
        <v/>
      </c>
      <c r="AF1002" s="2" t="str">
        <f t="shared" si="138"/>
        <v/>
      </c>
      <c r="AG1002" s="2" t="str">
        <f t="shared" si="139"/>
        <v/>
      </c>
      <c r="AH1002" s="4" t="str">
        <f t="shared" si="140"/>
        <v/>
      </c>
      <c r="AI1002" s="2" t="str">
        <f t="shared" si="141"/>
        <v/>
      </c>
      <c r="AJ1002" s="2" t="str">
        <f t="shared" si="142"/>
        <v/>
      </c>
      <c r="AK1002" s="2" t="str">
        <f t="shared" si="143"/>
        <v/>
      </c>
    </row>
    <row r="1003" spans="1:37" x14ac:dyDescent="0.25">
      <c r="A1003">
        <v>1625</v>
      </c>
      <c r="B1003" t="s">
        <v>1113</v>
      </c>
      <c r="C1003" t="s">
        <v>806</v>
      </c>
      <c r="D1003" t="s">
        <v>1064</v>
      </c>
      <c r="E1003" t="s">
        <v>678</v>
      </c>
      <c r="F1003" t="s">
        <v>1107</v>
      </c>
      <c r="G1003" t="s">
        <v>38</v>
      </c>
      <c r="H1003" s="1">
        <v>44639.297905092593</v>
      </c>
      <c r="I1003" s="1">
        <v>44643.297905092593</v>
      </c>
      <c r="J1003" t="s">
        <v>32</v>
      </c>
      <c r="K1003" s="1">
        <v>44649.297905092593</v>
      </c>
      <c r="L1003" t="s">
        <v>33</v>
      </c>
      <c r="M1003" t="s">
        <v>67</v>
      </c>
      <c r="T1003">
        <v>0</v>
      </c>
      <c r="Y1003" t="s">
        <v>55</v>
      </c>
      <c r="AC1003" s="2">
        <f t="shared" si="135"/>
        <v>4</v>
      </c>
      <c r="AD1003" s="2">
        <f t="shared" si="136"/>
        <v>10</v>
      </c>
      <c r="AE1003" s="2">
        <f t="shared" si="137"/>
        <v>6</v>
      </c>
      <c r="AF1003" s="2" t="str">
        <f t="shared" si="138"/>
        <v/>
      </c>
      <c r="AG1003" s="2" t="str">
        <f t="shared" si="139"/>
        <v/>
      </c>
      <c r="AH1003" s="4" t="str">
        <f t="shared" si="140"/>
        <v/>
      </c>
      <c r="AI1003" s="2" t="str">
        <f t="shared" si="141"/>
        <v/>
      </c>
      <c r="AJ1003" s="2" t="str">
        <f t="shared" si="142"/>
        <v/>
      </c>
      <c r="AK1003" s="2" t="str">
        <f t="shared" si="143"/>
        <v/>
      </c>
    </row>
    <row r="1004" spans="1:37" x14ac:dyDescent="0.25">
      <c r="A1004">
        <v>1623</v>
      </c>
      <c r="B1004" t="s">
        <v>1114</v>
      </c>
      <c r="C1004" t="s">
        <v>806</v>
      </c>
      <c r="D1004" t="s">
        <v>1064</v>
      </c>
      <c r="E1004" t="s">
        <v>678</v>
      </c>
      <c r="F1004" t="s">
        <v>1107</v>
      </c>
      <c r="G1004" t="s">
        <v>38</v>
      </c>
      <c r="H1004" s="1">
        <v>44639.297905092593</v>
      </c>
      <c r="I1004" s="1">
        <v>44643.297905092593</v>
      </c>
      <c r="J1004" t="s">
        <v>32</v>
      </c>
      <c r="K1004" s="1">
        <v>44661.297905092593</v>
      </c>
      <c r="L1004" t="s">
        <v>39</v>
      </c>
      <c r="N1004" s="4">
        <v>44665.297905092593</v>
      </c>
      <c r="O1004" t="s">
        <v>39</v>
      </c>
      <c r="R1004" s="4">
        <v>44663.297905092593</v>
      </c>
      <c r="T1004">
        <v>0</v>
      </c>
      <c r="AC1004" s="2">
        <f t="shared" si="135"/>
        <v>4</v>
      </c>
      <c r="AD1004" s="2">
        <f t="shared" si="136"/>
        <v>22</v>
      </c>
      <c r="AE1004" s="2">
        <f t="shared" si="137"/>
        <v>18</v>
      </c>
      <c r="AF1004" s="2">
        <f t="shared" si="138"/>
        <v>24</v>
      </c>
      <c r="AG1004" s="2">
        <f t="shared" si="139"/>
        <v>2</v>
      </c>
      <c r="AH1004" s="4">
        <f t="shared" si="140"/>
        <v>44753.297905092593</v>
      </c>
      <c r="AI1004" s="2" t="str">
        <f t="shared" si="141"/>
        <v/>
      </c>
      <c r="AJ1004" s="2" t="str">
        <f t="shared" si="142"/>
        <v/>
      </c>
      <c r="AK1004" s="2" t="str">
        <f t="shared" si="143"/>
        <v/>
      </c>
    </row>
    <row r="1005" spans="1:37" x14ac:dyDescent="0.25">
      <c r="A1005">
        <v>1602</v>
      </c>
      <c r="B1005" t="s">
        <v>1115</v>
      </c>
      <c r="C1005" t="s">
        <v>806</v>
      </c>
      <c r="D1005" t="s">
        <v>1064</v>
      </c>
      <c r="E1005" t="s">
        <v>678</v>
      </c>
      <c r="F1005" t="s">
        <v>1107</v>
      </c>
      <c r="G1005" t="s">
        <v>38</v>
      </c>
      <c r="H1005" s="1">
        <v>44564.819027777776</v>
      </c>
      <c r="I1005" s="1">
        <v>44566.819027777776</v>
      </c>
      <c r="J1005" t="s">
        <v>32</v>
      </c>
      <c r="K1005" s="1">
        <v>44571.819027777776</v>
      </c>
      <c r="L1005" t="s">
        <v>57</v>
      </c>
      <c r="N1005" s="4">
        <v>44575.819027777776</v>
      </c>
      <c r="O1005" t="s">
        <v>57</v>
      </c>
      <c r="P1005" s="4">
        <v>44573.819027777776</v>
      </c>
      <c r="Q1005" s="4">
        <v>44577.819027777776</v>
      </c>
      <c r="R1005" s="4">
        <v>44574.819027777776</v>
      </c>
      <c r="S1005" s="4">
        <v>44583.819027777776</v>
      </c>
      <c r="T1005">
        <v>1</v>
      </c>
      <c r="U1005" s="4">
        <v>44587.819027777776</v>
      </c>
      <c r="V1005" s="4">
        <v>44589.819027777776</v>
      </c>
      <c r="W1005" s="4">
        <v>44592.819027777776</v>
      </c>
      <c r="Z1005" s="4">
        <v>44604.819027777776</v>
      </c>
      <c r="AC1005" s="2">
        <f t="shared" si="135"/>
        <v>2</v>
      </c>
      <c r="AD1005" s="2">
        <f t="shared" si="136"/>
        <v>7</v>
      </c>
      <c r="AE1005" s="2">
        <f t="shared" si="137"/>
        <v>5</v>
      </c>
      <c r="AF1005" s="2">
        <f t="shared" si="138"/>
        <v>10</v>
      </c>
      <c r="AG1005" s="2">
        <f t="shared" si="139"/>
        <v>3</v>
      </c>
      <c r="AH1005" s="4">
        <f t="shared" si="140"/>
        <v>44664.819027777776</v>
      </c>
      <c r="AI1005" s="2">
        <f t="shared" si="141"/>
        <v>4</v>
      </c>
      <c r="AJ1005" s="2">
        <f t="shared" si="142"/>
        <v>30</v>
      </c>
      <c r="AK1005" s="2">
        <f t="shared" si="143"/>
        <v>18</v>
      </c>
    </row>
    <row r="1006" spans="1:37" x14ac:dyDescent="0.25">
      <c r="A1006">
        <v>1478</v>
      </c>
      <c r="B1006" t="s">
        <v>1116</v>
      </c>
      <c r="C1006" t="s">
        <v>806</v>
      </c>
      <c r="D1006" t="s">
        <v>1064</v>
      </c>
      <c r="E1006" t="s">
        <v>678</v>
      </c>
      <c r="F1006" t="s">
        <v>1107</v>
      </c>
      <c r="G1006" t="s">
        <v>38</v>
      </c>
      <c r="H1006" s="1">
        <v>44947.278946759259</v>
      </c>
      <c r="I1006" s="1">
        <v>44949.278946759259</v>
      </c>
      <c r="J1006" t="s">
        <v>32</v>
      </c>
      <c r="K1006" s="1">
        <v>44962.278946759259</v>
      </c>
      <c r="L1006" t="s">
        <v>57</v>
      </c>
      <c r="N1006" s="4">
        <v>44969.278946759259</v>
      </c>
      <c r="O1006" t="s">
        <v>57</v>
      </c>
      <c r="P1006" s="4">
        <v>44963.278946759259</v>
      </c>
      <c r="Q1006" s="4">
        <v>44965.278946759259</v>
      </c>
      <c r="R1006" s="4">
        <v>44966.278946759259</v>
      </c>
      <c r="S1006" s="4">
        <v>44971.278946759259</v>
      </c>
      <c r="T1006">
        <v>1</v>
      </c>
      <c r="U1006" s="4">
        <v>44973.278946759259</v>
      </c>
      <c r="V1006" s="4">
        <v>44976.278946759259</v>
      </c>
      <c r="W1006" s="4">
        <v>44978.278946759259</v>
      </c>
      <c r="Z1006" s="4">
        <v>44988.278946759259</v>
      </c>
      <c r="AC1006" s="2">
        <f t="shared" si="135"/>
        <v>2</v>
      </c>
      <c r="AD1006" s="2">
        <f t="shared" si="136"/>
        <v>15</v>
      </c>
      <c r="AE1006" s="2">
        <f t="shared" si="137"/>
        <v>13</v>
      </c>
      <c r="AF1006" s="2">
        <f t="shared" si="138"/>
        <v>19</v>
      </c>
      <c r="AG1006" s="2">
        <f t="shared" si="139"/>
        <v>4</v>
      </c>
      <c r="AH1006" s="4">
        <f t="shared" si="140"/>
        <v>45056.278946759259</v>
      </c>
      <c r="AI1006" s="2">
        <f t="shared" si="141"/>
        <v>2</v>
      </c>
      <c r="AJ1006" s="2">
        <f t="shared" si="142"/>
        <v>22</v>
      </c>
      <c r="AK1006" s="2">
        <f t="shared" si="143"/>
        <v>12</v>
      </c>
    </row>
    <row r="1007" spans="1:37" x14ac:dyDescent="0.25">
      <c r="A1007">
        <v>1343</v>
      </c>
      <c r="B1007" t="s">
        <v>1117</v>
      </c>
      <c r="C1007" t="s">
        <v>806</v>
      </c>
      <c r="D1007" t="s">
        <v>1064</v>
      </c>
      <c r="E1007" t="s">
        <v>678</v>
      </c>
      <c r="F1007" t="s">
        <v>1107</v>
      </c>
      <c r="G1007" t="s">
        <v>38</v>
      </c>
      <c r="H1007" s="1">
        <v>45096.039097222223</v>
      </c>
      <c r="I1007" s="1">
        <v>45098.039097222223</v>
      </c>
      <c r="J1007" t="s">
        <v>32</v>
      </c>
      <c r="K1007" s="1">
        <v>45113.039097222223</v>
      </c>
      <c r="L1007" t="s">
        <v>39</v>
      </c>
      <c r="N1007" s="4">
        <v>45119.039097222223</v>
      </c>
      <c r="O1007" t="s">
        <v>39</v>
      </c>
      <c r="R1007" s="4">
        <v>45115.039097222223</v>
      </c>
      <c r="T1007">
        <v>0</v>
      </c>
      <c r="AC1007" s="2">
        <f t="shared" si="135"/>
        <v>2</v>
      </c>
      <c r="AD1007" s="2">
        <f t="shared" si="136"/>
        <v>17</v>
      </c>
      <c r="AE1007" s="2">
        <f t="shared" si="137"/>
        <v>15</v>
      </c>
      <c r="AF1007" s="2">
        <f t="shared" si="138"/>
        <v>19</v>
      </c>
      <c r="AG1007" s="2">
        <f t="shared" si="139"/>
        <v>2</v>
      </c>
      <c r="AH1007" s="4">
        <f t="shared" si="140"/>
        <v>45205.039097222223</v>
      </c>
      <c r="AI1007" s="2" t="str">
        <f t="shared" si="141"/>
        <v/>
      </c>
      <c r="AJ1007" s="2" t="str">
        <f t="shared" si="142"/>
        <v/>
      </c>
      <c r="AK1007" s="2" t="str">
        <f t="shared" si="143"/>
        <v/>
      </c>
    </row>
    <row r="1008" spans="1:37" x14ac:dyDescent="0.25">
      <c r="A1008">
        <v>1096</v>
      </c>
      <c r="B1008" t="s">
        <v>1118</v>
      </c>
      <c r="C1008" t="s">
        <v>806</v>
      </c>
      <c r="D1008" t="s">
        <v>1064</v>
      </c>
      <c r="E1008" t="s">
        <v>678</v>
      </c>
      <c r="F1008" t="s">
        <v>1107</v>
      </c>
      <c r="G1008" t="s">
        <v>38</v>
      </c>
      <c r="H1008" s="1">
        <v>45040.26462962963</v>
      </c>
      <c r="I1008" s="1">
        <v>45044.26462962963</v>
      </c>
      <c r="J1008" t="s">
        <v>32</v>
      </c>
      <c r="K1008" s="1">
        <v>45058.26462962963</v>
      </c>
      <c r="L1008" t="s">
        <v>164</v>
      </c>
      <c r="N1008" s="4">
        <v>45064.26462962963</v>
      </c>
      <c r="O1008" t="s">
        <v>164</v>
      </c>
      <c r="R1008" s="4">
        <v>45060.26462962963</v>
      </c>
      <c r="T1008">
        <v>0</v>
      </c>
      <c r="AC1008" s="2">
        <f t="shared" si="135"/>
        <v>4</v>
      </c>
      <c r="AD1008" s="2">
        <f t="shared" si="136"/>
        <v>18</v>
      </c>
      <c r="AE1008" s="2">
        <f t="shared" si="137"/>
        <v>14</v>
      </c>
      <c r="AF1008" s="2">
        <f t="shared" si="138"/>
        <v>20</v>
      </c>
      <c r="AG1008" s="2">
        <f t="shared" si="139"/>
        <v>2</v>
      </c>
      <c r="AH1008" s="4">
        <f t="shared" si="140"/>
        <v>45150.26462962963</v>
      </c>
      <c r="AI1008" s="2" t="str">
        <f t="shared" si="141"/>
        <v/>
      </c>
      <c r="AJ1008" s="2" t="str">
        <f t="shared" si="142"/>
        <v/>
      </c>
      <c r="AK1008" s="2" t="str">
        <f t="shared" si="143"/>
        <v/>
      </c>
    </row>
    <row r="1009" spans="1:37" x14ac:dyDescent="0.25">
      <c r="A1009">
        <v>1093</v>
      </c>
      <c r="B1009" t="s">
        <v>1119</v>
      </c>
      <c r="C1009" t="s">
        <v>806</v>
      </c>
      <c r="D1009" t="s">
        <v>1064</v>
      </c>
      <c r="E1009" t="s">
        <v>678</v>
      </c>
      <c r="F1009" t="s">
        <v>1107</v>
      </c>
      <c r="G1009" t="s">
        <v>38</v>
      </c>
      <c r="H1009" s="1">
        <v>45036.26462962963</v>
      </c>
      <c r="I1009" s="1">
        <v>45040.26462962963</v>
      </c>
      <c r="J1009" t="s">
        <v>32</v>
      </c>
      <c r="K1009" s="1">
        <v>45061.26462962963</v>
      </c>
      <c r="L1009" t="s">
        <v>39</v>
      </c>
      <c r="N1009" s="4">
        <v>45067.26462962963</v>
      </c>
      <c r="O1009" t="s">
        <v>39</v>
      </c>
      <c r="R1009" s="4">
        <v>45065.26462962963</v>
      </c>
      <c r="T1009">
        <v>0</v>
      </c>
      <c r="AC1009" s="2">
        <f t="shared" si="135"/>
        <v>4</v>
      </c>
      <c r="AD1009" s="2">
        <f t="shared" si="136"/>
        <v>25</v>
      </c>
      <c r="AE1009" s="2">
        <f t="shared" si="137"/>
        <v>21</v>
      </c>
      <c r="AF1009" s="2">
        <f t="shared" si="138"/>
        <v>29</v>
      </c>
      <c r="AG1009" s="2">
        <f t="shared" si="139"/>
        <v>4</v>
      </c>
      <c r="AH1009" s="4">
        <f t="shared" si="140"/>
        <v>45155.26462962963</v>
      </c>
      <c r="AI1009" s="2" t="str">
        <f t="shared" si="141"/>
        <v/>
      </c>
      <c r="AJ1009" s="2" t="str">
        <f t="shared" si="142"/>
        <v/>
      </c>
      <c r="AK1009" s="2" t="str">
        <f t="shared" si="143"/>
        <v/>
      </c>
    </row>
    <row r="1010" spans="1:37" x14ac:dyDescent="0.25">
      <c r="A1010">
        <v>1060</v>
      </c>
      <c r="B1010" t="s">
        <v>1120</v>
      </c>
      <c r="C1010" t="s">
        <v>806</v>
      </c>
      <c r="D1010" t="s">
        <v>1064</v>
      </c>
      <c r="E1010" t="s">
        <v>678</v>
      </c>
      <c r="F1010" t="s">
        <v>1107</v>
      </c>
      <c r="G1010" t="s">
        <v>38</v>
      </c>
      <c r="H1010" s="1">
        <v>45159.180486111109</v>
      </c>
      <c r="I1010" s="1">
        <v>45162.180486111109</v>
      </c>
      <c r="J1010" t="s">
        <v>32</v>
      </c>
      <c r="K1010" s="1">
        <v>45174.180486111109</v>
      </c>
      <c r="L1010" t="s">
        <v>57</v>
      </c>
      <c r="N1010" s="4">
        <v>45180.180486111109</v>
      </c>
      <c r="O1010" t="s">
        <v>57</v>
      </c>
      <c r="P1010" s="4">
        <v>45176.180486111109</v>
      </c>
      <c r="Q1010" s="4">
        <v>45177.180486111109</v>
      </c>
      <c r="R1010" s="4">
        <v>45176.180486111109</v>
      </c>
      <c r="S1010" s="4">
        <v>45181.180486111109</v>
      </c>
      <c r="T1010">
        <v>1</v>
      </c>
      <c r="U1010" s="4">
        <v>45185.180486111109</v>
      </c>
      <c r="V1010" s="4">
        <v>45188.180486111109</v>
      </c>
      <c r="W1010" s="4">
        <v>45190.180486111109</v>
      </c>
      <c r="Z1010" s="4">
        <v>45200.180486111109</v>
      </c>
      <c r="AC1010" s="2">
        <f t="shared" si="135"/>
        <v>3</v>
      </c>
      <c r="AD1010" s="2">
        <f t="shared" si="136"/>
        <v>15</v>
      </c>
      <c r="AE1010" s="2">
        <f t="shared" si="137"/>
        <v>12</v>
      </c>
      <c r="AF1010" s="2">
        <f t="shared" si="138"/>
        <v>17</v>
      </c>
      <c r="AG1010" s="2">
        <f t="shared" si="139"/>
        <v>2</v>
      </c>
      <c r="AH1010" s="4">
        <f t="shared" si="140"/>
        <v>45266.180486111109</v>
      </c>
      <c r="AI1010" s="2">
        <f t="shared" si="141"/>
        <v>4</v>
      </c>
      <c r="AJ1010" s="2">
        <f t="shared" si="142"/>
        <v>24</v>
      </c>
      <c r="AK1010" s="2">
        <f t="shared" si="143"/>
        <v>14</v>
      </c>
    </row>
    <row r="1011" spans="1:37" x14ac:dyDescent="0.25">
      <c r="A1011">
        <v>1059</v>
      </c>
      <c r="B1011" t="s">
        <v>1121</v>
      </c>
      <c r="C1011" t="s">
        <v>806</v>
      </c>
      <c r="D1011" t="s">
        <v>1064</v>
      </c>
      <c r="E1011" t="s">
        <v>678</v>
      </c>
      <c r="F1011" t="s">
        <v>1107</v>
      </c>
      <c r="G1011" t="s">
        <v>38</v>
      </c>
      <c r="H1011" s="1">
        <v>45159.180486111109</v>
      </c>
      <c r="I1011" s="1">
        <v>45162.180486111109</v>
      </c>
      <c r="J1011" t="s">
        <v>32</v>
      </c>
      <c r="K1011" s="1">
        <v>45180.180486111109</v>
      </c>
      <c r="L1011" t="s">
        <v>57</v>
      </c>
      <c r="N1011" s="4">
        <v>45187.180486111109</v>
      </c>
      <c r="O1011" t="s">
        <v>57</v>
      </c>
      <c r="P1011" s="4">
        <v>45182.180486111109</v>
      </c>
      <c r="Q1011" s="4">
        <v>45185.180486111109</v>
      </c>
      <c r="R1011" s="4">
        <v>45183.180486111109</v>
      </c>
      <c r="S1011" s="4">
        <v>45192.180486111109</v>
      </c>
      <c r="T1011">
        <v>1</v>
      </c>
      <c r="U1011" s="4">
        <v>45196.180486111109</v>
      </c>
      <c r="V1011" s="4">
        <v>45197.180486111109</v>
      </c>
      <c r="W1011" s="4">
        <v>45199.180486111109</v>
      </c>
      <c r="Z1011" s="4">
        <v>45211.180486111109</v>
      </c>
      <c r="AC1011" s="2">
        <f t="shared" si="135"/>
        <v>3</v>
      </c>
      <c r="AD1011" s="2">
        <f t="shared" si="136"/>
        <v>21</v>
      </c>
      <c r="AE1011" s="2">
        <f t="shared" si="137"/>
        <v>18</v>
      </c>
      <c r="AF1011" s="2">
        <f t="shared" si="138"/>
        <v>24</v>
      </c>
      <c r="AG1011" s="2">
        <f t="shared" si="139"/>
        <v>3</v>
      </c>
      <c r="AH1011" s="4">
        <f t="shared" si="140"/>
        <v>45273.180486111109</v>
      </c>
      <c r="AI1011" s="2">
        <f t="shared" si="141"/>
        <v>4</v>
      </c>
      <c r="AJ1011" s="2">
        <f t="shared" si="142"/>
        <v>28</v>
      </c>
      <c r="AK1011" s="2">
        <f t="shared" si="143"/>
        <v>16</v>
      </c>
    </row>
    <row r="1012" spans="1:37" x14ac:dyDescent="0.25">
      <c r="A1012">
        <v>1057</v>
      </c>
      <c r="B1012" t="s">
        <v>1122</v>
      </c>
      <c r="C1012" t="s">
        <v>806</v>
      </c>
      <c r="D1012" t="s">
        <v>1064</v>
      </c>
      <c r="E1012" t="s">
        <v>601</v>
      </c>
      <c r="F1012" t="s">
        <v>859</v>
      </c>
      <c r="G1012" t="s">
        <v>38</v>
      </c>
      <c r="H1012" s="1">
        <v>45157.180486111109</v>
      </c>
      <c r="I1012" s="1">
        <v>45158.180486111109</v>
      </c>
      <c r="J1012" t="s">
        <v>32</v>
      </c>
      <c r="K1012" s="1">
        <v>45172.180486111109</v>
      </c>
      <c r="L1012" t="s">
        <v>33</v>
      </c>
      <c r="M1012" t="s">
        <v>67</v>
      </c>
      <c r="T1012">
        <v>0</v>
      </c>
      <c r="Y1012" t="s">
        <v>35</v>
      </c>
      <c r="AC1012" s="2">
        <f t="shared" si="135"/>
        <v>1</v>
      </c>
      <c r="AD1012" s="2">
        <f t="shared" si="136"/>
        <v>15</v>
      </c>
      <c r="AE1012" s="2">
        <f t="shared" si="137"/>
        <v>14</v>
      </c>
      <c r="AF1012" s="2" t="str">
        <f t="shared" si="138"/>
        <v/>
      </c>
      <c r="AG1012" s="2" t="str">
        <f t="shared" si="139"/>
        <v/>
      </c>
      <c r="AH1012" s="4" t="str">
        <f t="shared" si="140"/>
        <v/>
      </c>
      <c r="AI1012" s="2" t="str">
        <f t="shared" si="141"/>
        <v/>
      </c>
      <c r="AJ1012" s="2" t="str">
        <f t="shared" si="142"/>
        <v/>
      </c>
      <c r="AK1012" s="2" t="str">
        <f t="shared" si="143"/>
        <v/>
      </c>
    </row>
    <row r="1013" spans="1:37" x14ac:dyDescent="0.25">
      <c r="A1013">
        <v>1056</v>
      </c>
      <c r="B1013" t="s">
        <v>1123</v>
      </c>
      <c r="C1013" t="s">
        <v>806</v>
      </c>
      <c r="D1013" t="s">
        <v>1064</v>
      </c>
      <c r="E1013" t="s">
        <v>601</v>
      </c>
      <c r="F1013" t="s">
        <v>859</v>
      </c>
      <c r="G1013" t="s">
        <v>38</v>
      </c>
      <c r="H1013" s="1">
        <v>45153.180486111109</v>
      </c>
      <c r="I1013" s="1">
        <v>45157.180486111109</v>
      </c>
      <c r="J1013" t="s">
        <v>32</v>
      </c>
      <c r="K1013" s="1">
        <v>45172.180486111109</v>
      </c>
      <c r="L1013" t="s">
        <v>33</v>
      </c>
      <c r="M1013" t="s">
        <v>67</v>
      </c>
      <c r="R1013" s="4">
        <v>45174.180486111109</v>
      </c>
      <c r="T1013">
        <v>0</v>
      </c>
      <c r="Y1013" t="s">
        <v>35</v>
      </c>
      <c r="AC1013" s="2">
        <f t="shared" si="135"/>
        <v>4</v>
      </c>
      <c r="AD1013" s="2">
        <f t="shared" si="136"/>
        <v>19</v>
      </c>
      <c r="AE1013" s="2">
        <f t="shared" si="137"/>
        <v>15</v>
      </c>
      <c r="AF1013" s="2">
        <f t="shared" si="138"/>
        <v>21</v>
      </c>
      <c r="AG1013" s="2">
        <f t="shared" si="139"/>
        <v>2</v>
      </c>
      <c r="AH1013" s="4">
        <f t="shared" si="140"/>
        <v>45264.180486111109</v>
      </c>
      <c r="AI1013" s="2" t="str">
        <f t="shared" si="141"/>
        <v/>
      </c>
      <c r="AJ1013" s="2" t="str">
        <f t="shared" si="142"/>
        <v/>
      </c>
      <c r="AK1013" s="2" t="str">
        <f t="shared" si="143"/>
        <v/>
      </c>
    </row>
    <row r="1014" spans="1:37" x14ac:dyDescent="0.25">
      <c r="A1014">
        <v>1009</v>
      </c>
      <c r="B1014" t="s">
        <v>1124</v>
      </c>
      <c r="C1014" t="s">
        <v>806</v>
      </c>
      <c r="D1014" t="s">
        <v>1064</v>
      </c>
      <c r="E1014" t="s">
        <v>601</v>
      </c>
      <c r="F1014" t="s">
        <v>859</v>
      </c>
      <c r="G1014" t="s">
        <v>38</v>
      </c>
      <c r="H1014" s="1">
        <v>44916.68855324074</v>
      </c>
      <c r="I1014" s="1">
        <v>44918.68855324074</v>
      </c>
      <c r="J1014" t="s">
        <v>32</v>
      </c>
      <c r="K1014" s="1">
        <v>44925.68855324074</v>
      </c>
      <c r="L1014" t="s">
        <v>33</v>
      </c>
      <c r="M1014" t="s">
        <v>108</v>
      </c>
      <c r="R1014" s="4">
        <v>44928.68855324074</v>
      </c>
      <c r="T1014">
        <v>0</v>
      </c>
      <c r="Y1014" t="s">
        <v>55</v>
      </c>
      <c r="AC1014" s="2">
        <f t="shared" si="135"/>
        <v>2</v>
      </c>
      <c r="AD1014" s="2">
        <f t="shared" si="136"/>
        <v>9</v>
      </c>
      <c r="AE1014" s="2">
        <f t="shared" si="137"/>
        <v>7</v>
      </c>
      <c r="AF1014" s="2">
        <f t="shared" si="138"/>
        <v>12</v>
      </c>
      <c r="AG1014" s="2">
        <f t="shared" si="139"/>
        <v>3</v>
      </c>
      <c r="AH1014" s="4">
        <f t="shared" si="140"/>
        <v>45018.68855324074</v>
      </c>
      <c r="AI1014" s="2" t="str">
        <f t="shared" si="141"/>
        <v/>
      </c>
      <c r="AJ1014" s="2" t="str">
        <f t="shared" si="142"/>
        <v/>
      </c>
      <c r="AK1014" s="2" t="str">
        <f t="shared" si="143"/>
        <v/>
      </c>
    </row>
    <row r="1015" spans="1:37" x14ac:dyDescent="0.25">
      <c r="A1015">
        <v>1008</v>
      </c>
      <c r="B1015" t="s">
        <v>1125</v>
      </c>
      <c r="C1015" t="s">
        <v>806</v>
      </c>
      <c r="D1015" t="s">
        <v>1064</v>
      </c>
      <c r="E1015" t="s">
        <v>601</v>
      </c>
      <c r="F1015" t="s">
        <v>859</v>
      </c>
      <c r="G1015" t="s">
        <v>38</v>
      </c>
      <c r="H1015" s="1">
        <v>44915.68855324074</v>
      </c>
      <c r="I1015" s="1">
        <v>44919.68855324074</v>
      </c>
      <c r="J1015" t="s">
        <v>44</v>
      </c>
      <c r="K1015" s="1"/>
      <c r="T1015">
        <v>0</v>
      </c>
      <c r="AC1015" s="2">
        <f t="shared" si="135"/>
        <v>4</v>
      </c>
      <c r="AD1015" s="2" t="str">
        <f t="shared" si="136"/>
        <v/>
      </c>
      <c r="AE1015" s="2" t="str">
        <f t="shared" si="137"/>
        <v/>
      </c>
      <c r="AF1015" s="2" t="str">
        <f t="shared" si="138"/>
        <v/>
      </c>
      <c r="AG1015" s="2" t="str">
        <f t="shared" si="139"/>
        <v/>
      </c>
      <c r="AH1015" s="4" t="str">
        <f t="shared" si="140"/>
        <v/>
      </c>
      <c r="AI1015" s="2" t="str">
        <f t="shared" si="141"/>
        <v/>
      </c>
      <c r="AJ1015" s="2" t="str">
        <f t="shared" si="142"/>
        <v/>
      </c>
      <c r="AK1015" s="2" t="str">
        <f t="shared" si="143"/>
        <v/>
      </c>
    </row>
    <row r="1016" spans="1:37" x14ac:dyDescent="0.25">
      <c r="A1016">
        <v>987</v>
      </c>
      <c r="B1016" t="s">
        <v>1126</v>
      </c>
      <c r="C1016" t="s">
        <v>806</v>
      </c>
      <c r="D1016" t="s">
        <v>1064</v>
      </c>
      <c r="E1016" t="s">
        <v>601</v>
      </c>
      <c r="F1016" t="s">
        <v>859</v>
      </c>
      <c r="G1016" t="s">
        <v>38</v>
      </c>
      <c r="H1016" s="1">
        <v>44795.241203703707</v>
      </c>
      <c r="I1016" s="1">
        <v>44798.241203703707</v>
      </c>
      <c r="J1016" t="s">
        <v>32</v>
      </c>
      <c r="K1016" s="1">
        <v>44818.241203703707</v>
      </c>
      <c r="L1016" t="s">
        <v>39</v>
      </c>
      <c r="N1016" s="4">
        <v>44824.241203703707</v>
      </c>
      <c r="O1016" t="s">
        <v>39</v>
      </c>
      <c r="R1016" s="4">
        <v>44820.241203703707</v>
      </c>
      <c r="T1016">
        <v>0</v>
      </c>
      <c r="AC1016" s="2">
        <f t="shared" si="135"/>
        <v>3</v>
      </c>
      <c r="AD1016" s="2">
        <f t="shared" si="136"/>
        <v>23</v>
      </c>
      <c r="AE1016" s="2">
        <f t="shared" si="137"/>
        <v>20</v>
      </c>
      <c r="AF1016" s="2">
        <f t="shared" si="138"/>
        <v>25</v>
      </c>
      <c r="AG1016" s="2">
        <f t="shared" si="139"/>
        <v>2</v>
      </c>
      <c r="AH1016" s="4">
        <f t="shared" si="140"/>
        <v>44910.241203703707</v>
      </c>
      <c r="AI1016" s="2" t="str">
        <f t="shared" si="141"/>
        <v/>
      </c>
      <c r="AJ1016" s="2" t="str">
        <f t="shared" si="142"/>
        <v/>
      </c>
      <c r="AK1016" s="2" t="str">
        <f t="shared" si="143"/>
        <v/>
      </c>
    </row>
    <row r="1017" spans="1:37" x14ac:dyDescent="0.25">
      <c r="A1017">
        <v>981</v>
      </c>
      <c r="B1017" t="s">
        <v>1127</v>
      </c>
      <c r="C1017" t="s">
        <v>806</v>
      </c>
      <c r="D1017" t="s">
        <v>1064</v>
      </c>
      <c r="E1017" t="s">
        <v>601</v>
      </c>
      <c r="F1017" t="s">
        <v>859</v>
      </c>
      <c r="G1017" t="s">
        <v>38</v>
      </c>
      <c r="H1017" s="1">
        <v>44794.241203703707</v>
      </c>
      <c r="I1017" s="1">
        <v>44798.241203703707</v>
      </c>
      <c r="J1017" t="s">
        <v>32</v>
      </c>
      <c r="K1017" s="1">
        <v>44820.241203703707</v>
      </c>
      <c r="L1017" t="s">
        <v>39</v>
      </c>
      <c r="N1017" s="4">
        <v>44825.241203703707</v>
      </c>
      <c r="O1017" t="s">
        <v>39</v>
      </c>
      <c r="R1017" s="4">
        <v>44821.241203703707</v>
      </c>
      <c r="T1017">
        <v>0</v>
      </c>
      <c r="AC1017" s="2">
        <f t="shared" si="135"/>
        <v>4</v>
      </c>
      <c r="AD1017" s="2">
        <f t="shared" si="136"/>
        <v>26</v>
      </c>
      <c r="AE1017" s="2">
        <f t="shared" si="137"/>
        <v>22</v>
      </c>
      <c r="AF1017" s="2">
        <f t="shared" si="138"/>
        <v>27</v>
      </c>
      <c r="AG1017" s="2">
        <f t="shared" si="139"/>
        <v>1</v>
      </c>
      <c r="AH1017" s="4">
        <f t="shared" si="140"/>
        <v>44911.241203703707</v>
      </c>
      <c r="AI1017" s="2" t="str">
        <f t="shared" si="141"/>
        <v/>
      </c>
      <c r="AJ1017" s="2" t="str">
        <f t="shared" si="142"/>
        <v/>
      </c>
      <c r="AK1017" s="2" t="str">
        <f t="shared" si="143"/>
        <v/>
      </c>
    </row>
    <row r="1018" spans="1:37" x14ac:dyDescent="0.25">
      <c r="A1018">
        <v>872</v>
      </c>
      <c r="B1018" t="s">
        <v>1128</v>
      </c>
      <c r="C1018" t="s">
        <v>806</v>
      </c>
      <c r="D1018" t="s">
        <v>1064</v>
      </c>
      <c r="E1018" t="s">
        <v>601</v>
      </c>
      <c r="F1018" t="s">
        <v>859</v>
      </c>
      <c r="G1018" t="s">
        <v>38</v>
      </c>
      <c r="H1018" s="1">
        <v>44760.80777777778</v>
      </c>
      <c r="I1018" s="1">
        <v>44764.80777777778</v>
      </c>
      <c r="J1018" t="s">
        <v>32</v>
      </c>
      <c r="K1018" s="1">
        <v>44770.80777777778</v>
      </c>
      <c r="L1018" t="s">
        <v>39</v>
      </c>
      <c r="N1018" s="4">
        <v>44774.80777777778</v>
      </c>
      <c r="O1018" t="s">
        <v>39</v>
      </c>
      <c r="R1018" s="4">
        <v>44772.80777777778</v>
      </c>
      <c r="T1018">
        <v>0</v>
      </c>
      <c r="AC1018" s="2">
        <f t="shared" si="135"/>
        <v>4</v>
      </c>
      <c r="AD1018" s="2">
        <f t="shared" si="136"/>
        <v>10</v>
      </c>
      <c r="AE1018" s="2">
        <f t="shared" si="137"/>
        <v>6</v>
      </c>
      <c r="AF1018" s="2">
        <f t="shared" si="138"/>
        <v>12</v>
      </c>
      <c r="AG1018" s="2">
        <f t="shared" si="139"/>
        <v>2</v>
      </c>
      <c r="AH1018" s="4">
        <f t="shared" si="140"/>
        <v>44862.80777777778</v>
      </c>
      <c r="AI1018" s="2" t="str">
        <f t="shared" si="141"/>
        <v/>
      </c>
      <c r="AJ1018" s="2" t="str">
        <f t="shared" si="142"/>
        <v/>
      </c>
      <c r="AK1018" s="2" t="str">
        <f t="shared" si="143"/>
        <v/>
      </c>
    </row>
    <row r="1019" spans="1:37" x14ac:dyDescent="0.25">
      <c r="A1019">
        <v>760</v>
      </c>
      <c r="B1019" t="s">
        <v>1129</v>
      </c>
      <c r="C1019" t="s">
        <v>806</v>
      </c>
      <c r="D1019" t="s">
        <v>1064</v>
      </c>
      <c r="E1019" t="s">
        <v>601</v>
      </c>
      <c r="F1019" t="s">
        <v>859</v>
      </c>
      <c r="G1019" t="s">
        <v>38</v>
      </c>
      <c r="H1019" s="1">
        <v>44942.883877314816</v>
      </c>
      <c r="I1019" s="1">
        <v>44943.883877314816</v>
      </c>
      <c r="J1019" t="s">
        <v>32</v>
      </c>
      <c r="K1019" s="1">
        <v>44960.883877314816</v>
      </c>
      <c r="L1019" t="s">
        <v>164</v>
      </c>
      <c r="N1019" s="4">
        <v>44964.883877314816</v>
      </c>
      <c r="O1019" t="s">
        <v>164</v>
      </c>
      <c r="R1019" s="4">
        <v>44962.883877314816</v>
      </c>
      <c r="T1019">
        <v>0</v>
      </c>
      <c r="AC1019" s="2">
        <f t="shared" si="135"/>
        <v>1</v>
      </c>
      <c r="AD1019" s="2">
        <f t="shared" si="136"/>
        <v>18</v>
      </c>
      <c r="AE1019" s="2">
        <f t="shared" si="137"/>
        <v>17</v>
      </c>
      <c r="AF1019" s="2">
        <f t="shared" si="138"/>
        <v>20</v>
      </c>
      <c r="AG1019" s="2">
        <f t="shared" si="139"/>
        <v>2</v>
      </c>
      <c r="AH1019" s="4">
        <f t="shared" si="140"/>
        <v>45052.883877314816</v>
      </c>
      <c r="AI1019" s="2" t="str">
        <f t="shared" si="141"/>
        <v/>
      </c>
      <c r="AJ1019" s="2" t="str">
        <f t="shared" si="142"/>
        <v/>
      </c>
      <c r="AK1019" s="2" t="str">
        <f t="shared" si="143"/>
        <v/>
      </c>
    </row>
    <row r="1020" spans="1:37" x14ac:dyDescent="0.25">
      <c r="A1020">
        <v>757</v>
      </c>
      <c r="B1020" t="s">
        <v>1130</v>
      </c>
      <c r="C1020" t="s">
        <v>806</v>
      </c>
      <c r="D1020" t="s">
        <v>1064</v>
      </c>
      <c r="E1020" t="s">
        <v>601</v>
      </c>
      <c r="F1020" t="s">
        <v>859</v>
      </c>
      <c r="G1020" t="s">
        <v>38</v>
      </c>
      <c r="H1020" s="1">
        <v>44943.883877314816</v>
      </c>
      <c r="I1020" s="1">
        <v>44945.883877314816</v>
      </c>
      <c r="J1020" t="s">
        <v>44</v>
      </c>
      <c r="K1020" s="1"/>
      <c r="T1020">
        <v>0</v>
      </c>
      <c r="AC1020" s="2">
        <f t="shared" si="135"/>
        <v>2</v>
      </c>
      <c r="AD1020" s="2" t="str">
        <f t="shared" si="136"/>
        <v/>
      </c>
      <c r="AE1020" s="2" t="str">
        <f t="shared" si="137"/>
        <v/>
      </c>
      <c r="AF1020" s="2" t="str">
        <f t="shared" si="138"/>
        <v/>
      </c>
      <c r="AG1020" s="2" t="str">
        <f t="shared" si="139"/>
        <v/>
      </c>
      <c r="AH1020" s="4" t="str">
        <f t="shared" si="140"/>
        <v/>
      </c>
      <c r="AI1020" s="2" t="str">
        <f t="shared" si="141"/>
        <v/>
      </c>
      <c r="AJ1020" s="2" t="str">
        <f t="shared" si="142"/>
        <v/>
      </c>
      <c r="AK1020" s="2" t="str">
        <f t="shared" si="143"/>
        <v/>
      </c>
    </row>
    <row r="1021" spans="1:37" x14ac:dyDescent="0.25">
      <c r="A1021">
        <v>751</v>
      </c>
      <c r="B1021" t="s">
        <v>1131</v>
      </c>
      <c r="C1021" t="s">
        <v>806</v>
      </c>
      <c r="D1021" t="s">
        <v>1064</v>
      </c>
      <c r="E1021" t="s">
        <v>601</v>
      </c>
      <c r="F1021" t="s">
        <v>859</v>
      </c>
      <c r="G1021" t="s">
        <v>38</v>
      </c>
      <c r="H1021" s="1">
        <v>44937.883877314816</v>
      </c>
      <c r="I1021" s="1">
        <v>44941.883877314816</v>
      </c>
      <c r="J1021" t="s">
        <v>32</v>
      </c>
      <c r="K1021" s="1">
        <v>44962.883877314816</v>
      </c>
      <c r="L1021" t="s">
        <v>39</v>
      </c>
      <c r="N1021" s="4">
        <v>44967.883877314816</v>
      </c>
      <c r="O1021" t="s">
        <v>39</v>
      </c>
      <c r="R1021" s="4">
        <v>44964.883877314816</v>
      </c>
      <c r="T1021">
        <v>0</v>
      </c>
      <c r="AC1021" s="2">
        <f t="shared" si="135"/>
        <v>4</v>
      </c>
      <c r="AD1021" s="2">
        <f t="shared" si="136"/>
        <v>25</v>
      </c>
      <c r="AE1021" s="2">
        <f t="shared" si="137"/>
        <v>21</v>
      </c>
      <c r="AF1021" s="2">
        <f t="shared" si="138"/>
        <v>27</v>
      </c>
      <c r="AG1021" s="2">
        <f t="shared" si="139"/>
        <v>2</v>
      </c>
      <c r="AH1021" s="4">
        <f t="shared" si="140"/>
        <v>45054.883877314816</v>
      </c>
      <c r="AI1021" s="2" t="str">
        <f t="shared" si="141"/>
        <v/>
      </c>
      <c r="AJ1021" s="2" t="str">
        <f t="shared" si="142"/>
        <v/>
      </c>
      <c r="AK1021" s="2" t="str">
        <f t="shared" si="143"/>
        <v/>
      </c>
    </row>
    <row r="1022" spans="1:37" x14ac:dyDescent="0.25">
      <c r="A1022">
        <v>694</v>
      </c>
      <c r="B1022" t="s">
        <v>1132</v>
      </c>
      <c r="C1022" t="s">
        <v>806</v>
      </c>
      <c r="D1022" t="s">
        <v>1064</v>
      </c>
      <c r="E1022" t="s">
        <v>601</v>
      </c>
      <c r="F1022" t="s">
        <v>859</v>
      </c>
      <c r="G1022" t="s">
        <v>38</v>
      </c>
      <c r="H1022" s="1">
        <v>44868.289201388892</v>
      </c>
      <c r="I1022" s="1">
        <v>44870.289201388892</v>
      </c>
      <c r="J1022" t="s">
        <v>32</v>
      </c>
      <c r="K1022" s="1">
        <v>44883.289201388892</v>
      </c>
      <c r="L1022" t="s">
        <v>57</v>
      </c>
      <c r="N1022" s="4">
        <v>44888.289201388892</v>
      </c>
      <c r="O1022" t="s">
        <v>57</v>
      </c>
      <c r="P1022" s="4">
        <v>44884.289201388892</v>
      </c>
      <c r="Q1022" s="4">
        <v>44885.289201388892</v>
      </c>
      <c r="R1022" s="4">
        <v>44886.289201388892</v>
      </c>
      <c r="S1022" s="4">
        <v>44894.289201388892</v>
      </c>
      <c r="T1022">
        <v>1</v>
      </c>
      <c r="U1022" s="4">
        <v>44896.289201388892</v>
      </c>
      <c r="V1022" s="4">
        <v>44897.289201388892</v>
      </c>
      <c r="W1022" s="4">
        <v>44900.289201388892</v>
      </c>
      <c r="Z1022" s="4">
        <v>44910.289201388892</v>
      </c>
      <c r="AC1022" s="2">
        <f t="shared" si="135"/>
        <v>2</v>
      </c>
      <c r="AD1022" s="2">
        <f t="shared" si="136"/>
        <v>15</v>
      </c>
      <c r="AE1022" s="2">
        <f t="shared" si="137"/>
        <v>13</v>
      </c>
      <c r="AF1022" s="2">
        <f t="shared" si="138"/>
        <v>18</v>
      </c>
      <c r="AG1022" s="2">
        <f t="shared" si="139"/>
        <v>3</v>
      </c>
      <c r="AH1022" s="4">
        <f t="shared" si="140"/>
        <v>44976.289201388892</v>
      </c>
      <c r="AI1022" s="2">
        <f t="shared" si="141"/>
        <v>2</v>
      </c>
      <c r="AJ1022" s="2">
        <f t="shared" si="142"/>
        <v>24</v>
      </c>
      <c r="AK1022" s="2">
        <f t="shared" si="143"/>
        <v>14</v>
      </c>
    </row>
    <row r="1023" spans="1:37" x14ac:dyDescent="0.25">
      <c r="A1023">
        <v>650</v>
      </c>
      <c r="B1023" t="s">
        <v>1133</v>
      </c>
      <c r="C1023" t="s">
        <v>806</v>
      </c>
      <c r="D1023" t="s">
        <v>1064</v>
      </c>
      <c r="E1023" t="s">
        <v>601</v>
      </c>
      <c r="F1023" t="s">
        <v>859</v>
      </c>
      <c r="G1023" t="s">
        <v>38</v>
      </c>
      <c r="H1023" s="1">
        <v>44782.760729166665</v>
      </c>
      <c r="I1023" s="1">
        <v>44786.760729166665</v>
      </c>
      <c r="J1023" t="s">
        <v>32</v>
      </c>
      <c r="K1023" s="1">
        <v>44792.760729166665</v>
      </c>
      <c r="L1023" t="s">
        <v>33</v>
      </c>
      <c r="M1023" t="s">
        <v>34</v>
      </c>
      <c r="T1023">
        <v>0</v>
      </c>
      <c r="Y1023" t="s">
        <v>55</v>
      </c>
      <c r="AC1023" s="2">
        <f t="shared" si="135"/>
        <v>4</v>
      </c>
      <c r="AD1023" s="2">
        <f t="shared" si="136"/>
        <v>10</v>
      </c>
      <c r="AE1023" s="2">
        <f t="shared" si="137"/>
        <v>6</v>
      </c>
      <c r="AF1023" s="2" t="str">
        <f t="shared" si="138"/>
        <v/>
      </c>
      <c r="AG1023" s="2" t="str">
        <f t="shared" si="139"/>
        <v/>
      </c>
      <c r="AH1023" s="4" t="str">
        <f t="shared" si="140"/>
        <v/>
      </c>
      <c r="AI1023" s="2" t="str">
        <f t="shared" si="141"/>
        <v/>
      </c>
      <c r="AJ1023" s="2" t="str">
        <f t="shared" si="142"/>
        <v/>
      </c>
      <c r="AK1023" s="2" t="str">
        <f t="shared" si="143"/>
        <v/>
      </c>
    </row>
    <row r="1024" spans="1:37" x14ac:dyDescent="0.25">
      <c r="A1024">
        <v>588</v>
      </c>
      <c r="B1024" t="s">
        <v>1134</v>
      </c>
      <c r="C1024" t="s">
        <v>806</v>
      </c>
      <c r="D1024" t="s">
        <v>1064</v>
      </c>
      <c r="E1024" t="s">
        <v>601</v>
      </c>
      <c r="F1024" t="s">
        <v>859</v>
      </c>
      <c r="G1024" t="s">
        <v>38</v>
      </c>
      <c r="H1024" s="1">
        <v>44894.41333333333</v>
      </c>
      <c r="I1024" s="1">
        <v>44895.41333333333</v>
      </c>
      <c r="J1024" t="s">
        <v>32</v>
      </c>
      <c r="K1024" s="1">
        <v>44908.41333333333</v>
      </c>
      <c r="L1024" t="s">
        <v>33</v>
      </c>
      <c r="M1024" t="s">
        <v>51</v>
      </c>
      <c r="T1024">
        <v>0</v>
      </c>
      <c r="Y1024" t="s">
        <v>55</v>
      </c>
      <c r="AC1024" s="2">
        <f t="shared" si="135"/>
        <v>1</v>
      </c>
      <c r="AD1024" s="2">
        <f t="shared" si="136"/>
        <v>14</v>
      </c>
      <c r="AE1024" s="2">
        <f t="shared" si="137"/>
        <v>13</v>
      </c>
      <c r="AF1024" s="2" t="str">
        <f t="shared" si="138"/>
        <v/>
      </c>
      <c r="AG1024" s="2" t="str">
        <f t="shared" si="139"/>
        <v/>
      </c>
      <c r="AH1024" s="4" t="str">
        <f t="shared" si="140"/>
        <v/>
      </c>
      <c r="AI1024" s="2" t="str">
        <f t="shared" si="141"/>
        <v/>
      </c>
      <c r="AJ1024" s="2" t="str">
        <f t="shared" si="142"/>
        <v/>
      </c>
      <c r="AK1024" s="2" t="str">
        <f t="shared" si="143"/>
        <v/>
      </c>
    </row>
    <row r="1025" spans="1:37" x14ac:dyDescent="0.25">
      <c r="A1025">
        <v>587</v>
      </c>
      <c r="B1025" t="s">
        <v>1135</v>
      </c>
      <c r="C1025" t="s">
        <v>806</v>
      </c>
      <c r="D1025" t="s">
        <v>1064</v>
      </c>
      <c r="E1025" t="s">
        <v>601</v>
      </c>
      <c r="F1025" t="s">
        <v>859</v>
      </c>
      <c r="G1025" t="s">
        <v>38</v>
      </c>
      <c r="H1025" s="1">
        <v>44891.41333333333</v>
      </c>
      <c r="I1025" s="1">
        <v>44895.41333333333</v>
      </c>
      <c r="J1025" t="s">
        <v>32</v>
      </c>
      <c r="K1025" s="1">
        <v>44905.41333333333</v>
      </c>
      <c r="L1025" t="s">
        <v>39</v>
      </c>
      <c r="N1025" s="4">
        <v>44910.41333333333</v>
      </c>
      <c r="O1025" t="s">
        <v>39</v>
      </c>
      <c r="R1025" s="4">
        <v>44907.41333333333</v>
      </c>
      <c r="T1025">
        <v>0</v>
      </c>
      <c r="AC1025" s="2">
        <f t="shared" si="135"/>
        <v>4</v>
      </c>
      <c r="AD1025" s="2">
        <f t="shared" si="136"/>
        <v>14</v>
      </c>
      <c r="AE1025" s="2">
        <f t="shared" si="137"/>
        <v>10</v>
      </c>
      <c r="AF1025" s="2">
        <f t="shared" si="138"/>
        <v>16</v>
      </c>
      <c r="AG1025" s="2">
        <f t="shared" si="139"/>
        <v>2</v>
      </c>
      <c r="AH1025" s="4">
        <f t="shared" si="140"/>
        <v>44997.41333333333</v>
      </c>
      <c r="AI1025" s="2" t="str">
        <f t="shared" si="141"/>
        <v/>
      </c>
      <c r="AJ1025" s="2" t="str">
        <f t="shared" si="142"/>
        <v/>
      </c>
      <c r="AK1025" s="2" t="str">
        <f t="shared" si="143"/>
        <v/>
      </c>
    </row>
    <row r="1026" spans="1:37" x14ac:dyDescent="0.25">
      <c r="A1026">
        <v>583</v>
      </c>
      <c r="B1026" t="s">
        <v>1136</v>
      </c>
      <c r="C1026" t="s">
        <v>806</v>
      </c>
      <c r="D1026" t="s">
        <v>1064</v>
      </c>
      <c r="E1026" t="s">
        <v>601</v>
      </c>
      <c r="F1026" t="s">
        <v>859</v>
      </c>
      <c r="G1026" t="s">
        <v>38</v>
      </c>
      <c r="H1026" s="1">
        <v>44892.41333333333</v>
      </c>
      <c r="I1026" s="1">
        <v>44894.41333333333</v>
      </c>
      <c r="J1026" t="s">
        <v>32</v>
      </c>
      <c r="K1026" s="1">
        <v>44909.41333333333</v>
      </c>
      <c r="L1026" t="s">
        <v>33</v>
      </c>
      <c r="M1026" t="s">
        <v>51</v>
      </c>
      <c r="T1026">
        <v>0</v>
      </c>
      <c r="Y1026" t="s">
        <v>35</v>
      </c>
      <c r="AC1026" s="2">
        <f t="shared" si="135"/>
        <v>2</v>
      </c>
      <c r="AD1026" s="2">
        <f t="shared" si="136"/>
        <v>17</v>
      </c>
      <c r="AE1026" s="2">
        <f t="shared" si="137"/>
        <v>15</v>
      </c>
      <c r="AF1026" s="2" t="str">
        <f t="shared" si="138"/>
        <v/>
      </c>
      <c r="AG1026" s="2" t="str">
        <f t="shared" si="139"/>
        <v/>
      </c>
      <c r="AH1026" s="4" t="str">
        <f t="shared" si="140"/>
        <v/>
      </c>
      <c r="AI1026" s="2" t="str">
        <f t="shared" si="141"/>
        <v/>
      </c>
      <c r="AJ1026" s="2" t="str">
        <f t="shared" si="142"/>
        <v/>
      </c>
      <c r="AK1026" s="2" t="str">
        <f t="shared" si="143"/>
        <v/>
      </c>
    </row>
    <row r="1027" spans="1:37" x14ac:dyDescent="0.25">
      <c r="A1027">
        <v>557</v>
      </c>
      <c r="B1027" t="s">
        <v>1137</v>
      </c>
      <c r="C1027" t="s">
        <v>806</v>
      </c>
      <c r="D1027" t="s">
        <v>1064</v>
      </c>
      <c r="E1027" t="s">
        <v>601</v>
      </c>
      <c r="F1027" t="s">
        <v>859</v>
      </c>
      <c r="G1027" t="s">
        <v>38</v>
      </c>
      <c r="H1027" s="1">
        <v>45086.01053240741</v>
      </c>
      <c r="I1027" s="1">
        <v>45089.01053240741</v>
      </c>
      <c r="J1027" t="s">
        <v>32</v>
      </c>
      <c r="K1027" s="1">
        <v>45100.01053240741</v>
      </c>
      <c r="L1027" t="s">
        <v>39</v>
      </c>
      <c r="N1027" s="4">
        <v>45108.01053240741</v>
      </c>
      <c r="O1027" t="s">
        <v>39</v>
      </c>
      <c r="R1027" s="4">
        <v>45104.01053240741</v>
      </c>
      <c r="T1027">
        <v>0</v>
      </c>
      <c r="AC1027" s="2">
        <f t="shared" ref="AC1027:AC1090" si="144">IF(AND(I1027&lt;&gt;"",H1027&lt;&gt;""), I1027-H1027, "")</f>
        <v>3</v>
      </c>
      <c r="AD1027" s="2">
        <f t="shared" ref="AD1027:AD1090" si="145">IF(AND(K1027&lt;&gt;"",H1027&lt;&gt;""), K1027-H1027, "")</f>
        <v>14</v>
      </c>
      <c r="AE1027" s="2">
        <f t="shared" ref="AE1027:AE1090" si="146">IF(AND(K1027&lt;&gt;"",I1027&lt;&gt;""), K1027-I1027, "")</f>
        <v>11</v>
      </c>
      <c r="AF1027" s="2">
        <f t="shared" ref="AF1027:AF1090" si="147">IF(AND(R1027&lt;&gt;"",H1027&lt;&gt;""), R1027-H1027, "")</f>
        <v>18</v>
      </c>
      <c r="AG1027" s="2">
        <f t="shared" ref="AG1027:AG1090" si="148">IF(AND(R1027&lt;&gt;"",K1027&lt;&gt;""), R1027-K1027, "")</f>
        <v>4</v>
      </c>
      <c r="AH1027" s="4">
        <f t="shared" ref="AH1027:AH1090" si="149">IF(R1027&lt;&gt;"", R1027+90, "")</f>
        <v>45194.01053240741</v>
      </c>
      <c r="AI1027" s="2" t="str">
        <f t="shared" ref="AI1027:AI1090" si="150">IF(AND(U1027&lt;&gt;"",S1027&lt;&gt;""), U1027-S1027, "")</f>
        <v/>
      </c>
      <c r="AJ1027" s="2" t="str">
        <f t="shared" ref="AJ1027:AJ1090" si="151">IF(AND(Z1027&lt;&gt;"",R1027&lt;&gt;""), Z1027-R1027, "")</f>
        <v/>
      </c>
      <c r="AK1027" s="2" t="str">
        <f t="shared" ref="AK1027:AK1090" si="152">IF(AND(W1027&lt;&gt;"",R1027&lt;&gt;""), W1027-R1027, "")</f>
        <v/>
      </c>
    </row>
    <row r="1028" spans="1:37" x14ac:dyDescent="0.25">
      <c r="A1028">
        <v>549</v>
      </c>
      <c r="B1028" t="s">
        <v>1138</v>
      </c>
      <c r="C1028" t="s">
        <v>806</v>
      </c>
      <c r="D1028" t="s">
        <v>1064</v>
      </c>
      <c r="E1028" t="s">
        <v>601</v>
      </c>
      <c r="F1028" t="s">
        <v>859</v>
      </c>
      <c r="G1028" t="s">
        <v>38</v>
      </c>
      <c r="H1028" s="1">
        <v>44956.651087962964</v>
      </c>
      <c r="I1028" s="1">
        <v>44958.651087962964</v>
      </c>
      <c r="J1028" t="s">
        <v>32</v>
      </c>
      <c r="K1028" s="1">
        <v>44980.651087962964</v>
      </c>
      <c r="L1028" t="s">
        <v>33</v>
      </c>
      <c r="M1028" t="s">
        <v>51</v>
      </c>
      <c r="R1028" s="4">
        <v>44982.651087962964</v>
      </c>
      <c r="T1028">
        <v>0</v>
      </c>
      <c r="Y1028" t="s">
        <v>35</v>
      </c>
      <c r="AC1028" s="2">
        <f t="shared" si="144"/>
        <v>2</v>
      </c>
      <c r="AD1028" s="2">
        <f t="shared" si="145"/>
        <v>24</v>
      </c>
      <c r="AE1028" s="2">
        <f t="shared" si="146"/>
        <v>22</v>
      </c>
      <c r="AF1028" s="2">
        <f t="shared" si="147"/>
        <v>26</v>
      </c>
      <c r="AG1028" s="2">
        <f t="shared" si="148"/>
        <v>2</v>
      </c>
      <c r="AH1028" s="4">
        <f t="shared" si="149"/>
        <v>45072.651087962964</v>
      </c>
      <c r="AI1028" s="2" t="str">
        <f t="shared" si="150"/>
        <v/>
      </c>
      <c r="AJ1028" s="2" t="str">
        <f t="shared" si="151"/>
        <v/>
      </c>
      <c r="AK1028" s="2" t="str">
        <f t="shared" si="152"/>
        <v/>
      </c>
    </row>
    <row r="1029" spans="1:37" x14ac:dyDescent="0.25">
      <c r="A1029">
        <v>548</v>
      </c>
      <c r="B1029" t="s">
        <v>1139</v>
      </c>
      <c r="C1029" t="s">
        <v>806</v>
      </c>
      <c r="D1029" t="s">
        <v>1064</v>
      </c>
      <c r="E1029" t="s">
        <v>601</v>
      </c>
      <c r="F1029" t="s">
        <v>859</v>
      </c>
      <c r="G1029" t="s">
        <v>38</v>
      </c>
      <c r="H1029" s="1">
        <v>44960.651087962964</v>
      </c>
      <c r="I1029" s="1">
        <v>44963.651087962964</v>
      </c>
      <c r="J1029" t="s">
        <v>44</v>
      </c>
      <c r="K1029" s="1"/>
      <c r="T1029">
        <v>0</v>
      </c>
      <c r="AC1029" s="2">
        <f t="shared" si="144"/>
        <v>3</v>
      </c>
      <c r="AD1029" s="2" t="str">
        <f t="shared" si="145"/>
        <v/>
      </c>
      <c r="AE1029" s="2" t="str">
        <f t="shared" si="146"/>
        <v/>
      </c>
      <c r="AF1029" s="2" t="str">
        <f t="shared" si="147"/>
        <v/>
      </c>
      <c r="AG1029" s="2" t="str">
        <f t="shared" si="148"/>
        <v/>
      </c>
      <c r="AH1029" s="4" t="str">
        <f t="shared" si="149"/>
        <v/>
      </c>
      <c r="AI1029" s="2" t="str">
        <f t="shared" si="150"/>
        <v/>
      </c>
      <c r="AJ1029" s="2" t="str">
        <f t="shared" si="151"/>
        <v/>
      </c>
      <c r="AK1029" s="2" t="str">
        <f t="shared" si="152"/>
        <v/>
      </c>
    </row>
    <row r="1030" spans="1:37" x14ac:dyDescent="0.25">
      <c r="A1030">
        <v>530</v>
      </c>
      <c r="B1030" t="s">
        <v>1140</v>
      </c>
      <c r="C1030" t="s">
        <v>806</v>
      </c>
      <c r="D1030" t="s">
        <v>1064</v>
      </c>
      <c r="E1030" t="s">
        <v>601</v>
      </c>
      <c r="F1030" t="s">
        <v>859</v>
      </c>
      <c r="G1030" t="s">
        <v>38</v>
      </c>
      <c r="H1030" s="1">
        <v>44608.83390046296</v>
      </c>
      <c r="I1030" s="1">
        <v>44609.83390046296</v>
      </c>
      <c r="J1030" t="s">
        <v>32</v>
      </c>
      <c r="K1030" s="1">
        <v>44618.83390046296</v>
      </c>
      <c r="L1030" t="s">
        <v>57</v>
      </c>
      <c r="N1030" s="4">
        <v>44622.83390046296</v>
      </c>
      <c r="O1030" t="s">
        <v>57</v>
      </c>
      <c r="P1030" s="4">
        <v>44620.83390046296</v>
      </c>
      <c r="Q1030" s="4">
        <v>44624.83390046296</v>
      </c>
      <c r="R1030" s="4">
        <v>44620.83390046296</v>
      </c>
      <c r="S1030" s="4">
        <v>44623.83390046296</v>
      </c>
      <c r="T1030">
        <v>1</v>
      </c>
      <c r="U1030" s="4">
        <v>44624.83390046296</v>
      </c>
      <c r="V1030" s="4">
        <v>44625.83390046296</v>
      </c>
      <c r="W1030" s="4">
        <v>44627.83390046296</v>
      </c>
      <c r="Z1030" s="4">
        <v>44638.83390046296</v>
      </c>
      <c r="AC1030" s="2">
        <f t="shared" si="144"/>
        <v>1</v>
      </c>
      <c r="AD1030" s="2">
        <f t="shared" si="145"/>
        <v>10</v>
      </c>
      <c r="AE1030" s="2">
        <f t="shared" si="146"/>
        <v>9</v>
      </c>
      <c r="AF1030" s="2">
        <f t="shared" si="147"/>
        <v>12</v>
      </c>
      <c r="AG1030" s="2">
        <f t="shared" si="148"/>
        <v>2</v>
      </c>
      <c r="AH1030" s="4">
        <f t="shared" si="149"/>
        <v>44710.83390046296</v>
      </c>
      <c r="AI1030" s="2">
        <f t="shared" si="150"/>
        <v>1</v>
      </c>
      <c r="AJ1030" s="2">
        <f t="shared" si="151"/>
        <v>18</v>
      </c>
      <c r="AK1030" s="2">
        <f t="shared" si="152"/>
        <v>7</v>
      </c>
    </row>
    <row r="1031" spans="1:37" x14ac:dyDescent="0.25">
      <c r="A1031">
        <v>2947</v>
      </c>
      <c r="B1031" t="s">
        <v>1141</v>
      </c>
      <c r="C1031" t="s">
        <v>1142</v>
      </c>
      <c r="D1031" t="s">
        <v>1143</v>
      </c>
      <c r="E1031" t="s">
        <v>96</v>
      </c>
      <c r="F1031" t="s">
        <v>1144</v>
      </c>
      <c r="G1031" t="s">
        <v>98</v>
      </c>
      <c r="H1031" s="1">
        <v>44725.484722222223</v>
      </c>
      <c r="I1031" s="1">
        <v>44729.484722222223</v>
      </c>
      <c r="J1031" t="s">
        <v>32</v>
      </c>
      <c r="K1031" s="1">
        <v>44744.484722222223</v>
      </c>
      <c r="L1031" t="s">
        <v>33</v>
      </c>
      <c r="M1031" t="s">
        <v>92</v>
      </c>
      <c r="T1031">
        <v>0</v>
      </c>
      <c r="Y1031" t="s">
        <v>35</v>
      </c>
      <c r="AC1031" s="2">
        <f t="shared" si="144"/>
        <v>4</v>
      </c>
      <c r="AD1031" s="2">
        <f t="shared" si="145"/>
        <v>19</v>
      </c>
      <c r="AE1031" s="2">
        <f t="shared" si="146"/>
        <v>15</v>
      </c>
      <c r="AF1031" s="2" t="str">
        <f t="shared" si="147"/>
        <v/>
      </c>
      <c r="AG1031" s="2" t="str">
        <f t="shared" si="148"/>
        <v/>
      </c>
      <c r="AH1031" s="4" t="str">
        <f t="shared" si="149"/>
        <v/>
      </c>
      <c r="AI1031" s="2" t="str">
        <f t="shared" si="150"/>
        <v/>
      </c>
      <c r="AJ1031" s="2" t="str">
        <f t="shared" si="151"/>
        <v/>
      </c>
      <c r="AK1031" s="2" t="str">
        <f t="shared" si="152"/>
        <v/>
      </c>
    </row>
    <row r="1032" spans="1:37" x14ac:dyDescent="0.25">
      <c r="A1032">
        <v>2943</v>
      </c>
      <c r="B1032" t="s">
        <v>1145</v>
      </c>
      <c r="C1032" t="s">
        <v>1142</v>
      </c>
      <c r="D1032" t="s">
        <v>1143</v>
      </c>
      <c r="E1032" t="s">
        <v>96</v>
      </c>
      <c r="F1032" t="s">
        <v>1144</v>
      </c>
      <c r="G1032" t="s">
        <v>98</v>
      </c>
      <c r="H1032" s="1">
        <v>44724.484722222223</v>
      </c>
      <c r="I1032" s="1">
        <v>44725.484722222223</v>
      </c>
      <c r="J1032" t="s">
        <v>32</v>
      </c>
      <c r="K1032" s="1">
        <v>44744.484722222223</v>
      </c>
      <c r="L1032" t="s">
        <v>33</v>
      </c>
      <c r="M1032" t="s">
        <v>108</v>
      </c>
      <c r="R1032" s="4">
        <v>44748.484722222223</v>
      </c>
      <c r="T1032">
        <v>0</v>
      </c>
      <c r="Y1032" t="s">
        <v>55</v>
      </c>
      <c r="AC1032" s="2">
        <f t="shared" si="144"/>
        <v>1</v>
      </c>
      <c r="AD1032" s="2">
        <f t="shared" si="145"/>
        <v>20</v>
      </c>
      <c r="AE1032" s="2">
        <f t="shared" si="146"/>
        <v>19</v>
      </c>
      <c r="AF1032" s="2">
        <f t="shared" si="147"/>
        <v>24</v>
      </c>
      <c r="AG1032" s="2">
        <f t="shared" si="148"/>
        <v>4</v>
      </c>
      <c r="AH1032" s="4">
        <f t="shared" si="149"/>
        <v>44838.484722222223</v>
      </c>
      <c r="AI1032" s="2" t="str">
        <f t="shared" si="150"/>
        <v/>
      </c>
      <c r="AJ1032" s="2" t="str">
        <f t="shared" si="151"/>
        <v/>
      </c>
      <c r="AK1032" s="2" t="str">
        <f t="shared" si="152"/>
        <v/>
      </c>
    </row>
    <row r="1033" spans="1:37" x14ac:dyDescent="0.25">
      <c r="A1033">
        <v>2896</v>
      </c>
      <c r="B1033" t="s">
        <v>1146</v>
      </c>
      <c r="C1033" t="s">
        <v>1142</v>
      </c>
      <c r="D1033" t="s">
        <v>1143</v>
      </c>
      <c r="E1033" t="s">
        <v>96</v>
      </c>
      <c r="F1033" t="s">
        <v>1144</v>
      </c>
      <c r="G1033" t="s">
        <v>98</v>
      </c>
      <c r="H1033" s="1">
        <v>44963.681840277779</v>
      </c>
      <c r="I1033" s="1">
        <v>44966.681840277779</v>
      </c>
      <c r="J1033" t="s">
        <v>32</v>
      </c>
      <c r="K1033" s="1">
        <v>44969.681840277779</v>
      </c>
      <c r="L1033" t="s">
        <v>33</v>
      </c>
      <c r="M1033" t="s">
        <v>108</v>
      </c>
      <c r="R1033" s="4">
        <v>44970.681840277779</v>
      </c>
      <c r="T1033">
        <v>0</v>
      </c>
      <c r="Y1033" t="s">
        <v>35</v>
      </c>
      <c r="AC1033" s="2">
        <f t="shared" si="144"/>
        <v>3</v>
      </c>
      <c r="AD1033" s="2">
        <f t="shared" si="145"/>
        <v>6</v>
      </c>
      <c r="AE1033" s="2">
        <f t="shared" si="146"/>
        <v>3</v>
      </c>
      <c r="AF1033" s="2">
        <f t="shared" si="147"/>
        <v>7</v>
      </c>
      <c r="AG1033" s="2">
        <f t="shared" si="148"/>
        <v>1</v>
      </c>
      <c r="AH1033" s="4">
        <f t="shared" si="149"/>
        <v>45060.681840277779</v>
      </c>
      <c r="AI1033" s="2" t="str">
        <f t="shared" si="150"/>
        <v/>
      </c>
      <c r="AJ1033" s="2" t="str">
        <f t="shared" si="151"/>
        <v/>
      </c>
      <c r="AK1033" s="2" t="str">
        <f t="shared" si="152"/>
        <v/>
      </c>
    </row>
    <row r="1034" spans="1:37" x14ac:dyDescent="0.25">
      <c r="A1034">
        <v>2723</v>
      </c>
      <c r="B1034" t="s">
        <v>1147</v>
      </c>
      <c r="C1034" t="s">
        <v>1142</v>
      </c>
      <c r="D1034" t="s">
        <v>1143</v>
      </c>
      <c r="E1034" t="s">
        <v>96</v>
      </c>
      <c r="F1034" t="s">
        <v>1144</v>
      </c>
      <c r="G1034" t="s">
        <v>98</v>
      </c>
      <c r="H1034" s="1">
        <v>45067.24894675926</v>
      </c>
      <c r="I1034" s="1">
        <v>45069.24894675926</v>
      </c>
      <c r="J1034" t="s">
        <v>32</v>
      </c>
      <c r="K1034" s="1">
        <v>45072.24894675926</v>
      </c>
      <c r="L1034" t="s">
        <v>33</v>
      </c>
      <c r="M1034" t="s">
        <v>51</v>
      </c>
      <c r="R1034" s="4">
        <v>45076.24894675926</v>
      </c>
      <c r="T1034">
        <v>0</v>
      </c>
      <c r="Y1034" t="s">
        <v>35</v>
      </c>
      <c r="AC1034" s="2">
        <f t="shared" si="144"/>
        <v>2</v>
      </c>
      <c r="AD1034" s="2">
        <f t="shared" si="145"/>
        <v>5</v>
      </c>
      <c r="AE1034" s="2">
        <f t="shared" si="146"/>
        <v>3</v>
      </c>
      <c r="AF1034" s="2">
        <f t="shared" si="147"/>
        <v>9</v>
      </c>
      <c r="AG1034" s="2">
        <f t="shared" si="148"/>
        <v>4</v>
      </c>
      <c r="AH1034" s="4">
        <f t="shared" si="149"/>
        <v>45166.24894675926</v>
      </c>
      <c r="AI1034" s="2" t="str">
        <f t="shared" si="150"/>
        <v/>
      </c>
      <c r="AJ1034" s="2" t="str">
        <f t="shared" si="151"/>
        <v/>
      </c>
      <c r="AK1034" s="2" t="str">
        <f t="shared" si="152"/>
        <v/>
      </c>
    </row>
    <row r="1035" spans="1:37" x14ac:dyDescent="0.25">
      <c r="A1035">
        <v>2583</v>
      </c>
      <c r="B1035" t="s">
        <v>1148</v>
      </c>
      <c r="C1035" t="s">
        <v>1142</v>
      </c>
      <c r="D1035" t="s">
        <v>1143</v>
      </c>
      <c r="E1035" t="s">
        <v>96</v>
      </c>
      <c r="F1035" t="s">
        <v>1144</v>
      </c>
      <c r="G1035" t="s">
        <v>98</v>
      </c>
      <c r="H1035" s="1">
        <v>44784.038506944446</v>
      </c>
      <c r="I1035" s="1">
        <v>44786.038506944446</v>
      </c>
      <c r="J1035" t="s">
        <v>32</v>
      </c>
      <c r="K1035" s="1">
        <v>44800.038506944446</v>
      </c>
      <c r="L1035" t="s">
        <v>33</v>
      </c>
      <c r="M1035" t="s">
        <v>51</v>
      </c>
      <c r="T1035">
        <v>0</v>
      </c>
      <c r="Y1035" t="s">
        <v>35</v>
      </c>
      <c r="AC1035" s="2">
        <f t="shared" si="144"/>
        <v>2</v>
      </c>
      <c r="AD1035" s="2">
        <f t="shared" si="145"/>
        <v>16</v>
      </c>
      <c r="AE1035" s="2">
        <f t="shared" si="146"/>
        <v>14</v>
      </c>
      <c r="AF1035" s="2" t="str">
        <f t="shared" si="147"/>
        <v/>
      </c>
      <c r="AG1035" s="2" t="str">
        <f t="shared" si="148"/>
        <v/>
      </c>
      <c r="AH1035" s="4" t="str">
        <f t="shared" si="149"/>
        <v/>
      </c>
      <c r="AI1035" s="2" t="str">
        <f t="shared" si="150"/>
        <v/>
      </c>
      <c r="AJ1035" s="2" t="str">
        <f t="shared" si="151"/>
        <v/>
      </c>
      <c r="AK1035" s="2" t="str">
        <f t="shared" si="152"/>
        <v/>
      </c>
    </row>
    <row r="1036" spans="1:37" x14ac:dyDescent="0.25">
      <c r="A1036">
        <v>2581</v>
      </c>
      <c r="B1036" t="s">
        <v>1149</v>
      </c>
      <c r="C1036" t="s">
        <v>1142</v>
      </c>
      <c r="D1036" t="s">
        <v>1143</v>
      </c>
      <c r="E1036" t="s">
        <v>96</v>
      </c>
      <c r="F1036" t="s">
        <v>1144</v>
      </c>
      <c r="G1036" t="s">
        <v>98</v>
      </c>
      <c r="H1036" s="1">
        <v>44787.038506944446</v>
      </c>
      <c r="I1036" s="1">
        <v>44789.038506944446</v>
      </c>
      <c r="J1036" t="s">
        <v>32</v>
      </c>
      <c r="K1036" s="1">
        <v>44805.038506944446</v>
      </c>
      <c r="L1036" t="s">
        <v>33</v>
      </c>
      <c r="M1036" t="s">
        <v>92</v>
      </c>
      <c r="R1036" s="4">
        <v>44807.038506944446</v>
      </c>
      <c r="T1036">
        <v>0</v>
      </c>
      <c r="Y1036" t="s">
        <v>55</v>
      </c>
      <c r="AC1036" s="2">
        <f t="shared" si="144"/>
        <v>2</v>
      </c>
      <c r="AD1036" s="2">
        <f t="shared" si="145"/>
        <v>18</v>
      </c>
      <c r="AE1036" s="2">
        <f t="shared" si="146"/>
        <v>16</v>
      </c>
      <c r="AF1036" s="2">
        <f t="shared" si="147"/>
        <v>20</v>
      </c>
      <c r="AG1036" s="2">
        <f t="shared" si="148"/>
        <v>2</v>
      </c>
      <c r="AH1036" s="4">
        <f t="shared" si="149"/>
        <v>44897.038506944446</v>
      </c>
      <c r="AI1036" s="2" t="str">
        <f t="shared" si="150"/>
        <v/>
      </c>
      <c r="AJ1036" s="2" t="str">
        <f t="shared" si="151"/>
        <v/>
      </c>
      <c r="AK1036" s="2" t="str">
        <f t="shared" si="152"/>
        <v/>
      </c>
    </row>
    <row r="1037" spans="1:37" x14ac:dyDescent="0.25">
      <c r="A1037">
        <v>2377</v>
      </c>
      <c r="B1037" t="s">
        <v>1150</v>
      </c>
      <c r="C1037" t="s">
        <v>1142</v>
      </c>
      <c r="D1037" t="s">
        <v>1143</v>
      </c>
      <c r="E1037" t="s">
        <v>96</v>
      </c>
      <c r="F1037" t="s">
        <v>1144</v>
      </c>
      <c r="G1037" t="s">
        <v>98</v>
      </c>
      <c r="H1037" s="1">
        <v>45032.917395833334</v>
      </c>
      <c r="I1037" s="1">
        <v>45033.917395833334</v>
      </c>
      <c r="J1037" t="s">
        <v>32</v>
      </c>
      <c r="K1037" s="1">
        <v>45051.917395833334</v>
      </c>
      <c r="L1037" t="s">
        <v>33</v>
      </c>
      <c r="M1037" t="s">
        <v>108</v>
      </c>
      <c r="R1037" s="4">
        <v>45054.917395833334</v>
      </c>
      <c r="T1037">
        <v>0</v>
      </c>
      <c r="Y1037" t="s">
        <v>55</v>
      </c>
      <c r="AC1037" s="2">
        <f t="shared" si="144"/>
        <v>1</v>
      </c>
      <c r="AD1037" s="2">
        <f t="shared" si="145"/>
        <v>19</v>
      </c>
      <c r="AE1037" s="2">
        <f t="shared" si="146"/>
        <v>18</v>
      </c>
      <c r="AF1037" s="2">
        <f t="shared" si="147"/>
        <v>22</v>
      </c>
      <c r="AG1037" s="2">
        <f t="shared" si="148"/>
        <v>3</v>
      </c>
      <c r="AH1037" s="4">
        <f t="shared" si="149"/>
        <v>45144.917395833334</v>
      </c>
      <c r="AI1037" s="2" t="str">
        <f t="shared" si="150"/>
        <v/>
      </c>
      <c r="AJ1037" s="2" t="str">
        <f t="shared" si="151"/>
        <v/>
      </c>
      <c r="AK1037" s="2" t="str">
        <f t="shared" si="152"/>
        <v/>
      </c>
    </row>
    <row r="1038" spans="1:37" x14ac:dyDescent="0.25">
      <c r="A1038">
        <v>2254</v>
      </c>
      <c r="B1038" t="s">
        <v>1151</v>
      </c>
      <c r="C1038" t="s">
        <v>1142</v>
      </c>
      <c r="D1038" t="s">
        <v>1143</v>
      </c>
      <c r="E1038" t="s">
        <v>96</v>
      </c>
      <c r="F1038" t="s">
        <v>1144</v>
      </c>
      <c r="G1038" t="s">
        <v>98</v>
      </c>
      <c r="H1038" s="1">
        <v>44783.68608796296</v>
      </c>
      <c r="I1038" s="1">
        <v>44784.68608796296</v>
      </c>
      <c r="J1038" t="s">
        <v>32</v>
      </c>
      <c r="K1038" s="1">
        <v>44798.68608796296</v>
      </c>
      <c r="L1038" t="s">
        <v>33</v>
      </c>
      <c r="M1038" t="s">
        <v>34</v>
      </c>
      <c r="T1038">
        <v>0</v>
      </c>
      <c r="Y1038" t="s">
        <v>55</v>
      </c>
      <c r="AC1038" s="2">
        <f t="shared" si="144"/>
        <v>1</v>
      </c>
      <c r="AD1038" s="2">
        <f t="shared" si="145"/>
        <v>15</v>
      </c>
      <c r="AE1038" s="2">
        <f t="shared" si="146"/>
        <v>14</v>
      </c>
      <c r="AF1038" s="2" t="str">
        <f t="shared" si="147"/>
        <v/>
      </c>
      <c r="AG1038" s="2" t="str">
        <f t="shared" si="148"/>
        <v/>
      </c>
      <c r="AH1038" s="4" t="str">
        <f t="shared" si="149"/>
        <v/>
      </c>
      <c r="AI1038" s="2" t="str">
        <f t="shared" si="150"/>
        <v/>
      </c>
      <c r="AJ1038" s="2" t="str">
        <f t="shared" si="151"/>
        <v/>
      </c>
      <c r="AK1038" s="2" t="str">
        <f t="shared" si="152"/>
        <v/>
      </c>
    </row>
    <row r="1039" spans="1:37" x14ac:dyDescent="0.25">
      <c r="A1039">
        <v>2055</v>
      </c>
      <c r="B1039" t="s">
        <v>1152</v>
      </c>
      <c r="C1039" t="s">
        <v>1142</v>
      </c>
      <c r="D1039" t="s">
        <v>1143</v>
      </c>
      <c r="E1039" t="s">
        <v>96</v>
      </c>
      <c r="F1039" t="s">
        <v>1144</v>
      </c>
      <c r="G1039" t="s">
        <v>98</v>
      </c>
      <c r="H1039" s="1">
        <v>44574.831099537034</v>
      </c>
      <c r="I1039" s="1">
        <v>44577.831099537034</v>
      </c>
      <c r="J1039" t="s">
        <v>32</v>
      </c>
      <c r="K1039" s="1">
        <v>44583.831099537034</v>
      </c>
      <c r="L1039" t="s">
        <v>33</v>
      </c>
      <c r="M1039" t="s">
        <v>34</v>
      </c>
      <c r="T1039">
        <v>0</v>
      </c>
      <c r="Y1039" t="s">
        <v>35</v>
      </c>
      <c r="AC1039" s="2">
        <f t="shared" si="144"/>
        <v>3</v>
      </c>
      <c r="AD1039" s="2">
        <f t="shared" si="145"/>
        <v>9</v>
      </c>
      <c r="AE1039" s="2">
        <f t="shared" si="146"/>
        <v>6</v>
      </c>
      <c r="AF1039" s="2" t="str">
        <f t="shared" si="147"/>
        <v/>
      </c>
      <c r="AG1039" s="2" t="str">
        <f t="shared" si="148"/>
        <v/>
      </c>
      <c r="AH1039" s="4" t="str">
        <f t="shared" si="149"/>
        <v/>
      </c>
      <c r="AI1039" s="2" t="str">
        <f t="shared" si="150"/>
        <v/>
      </c>
      <c r="AJ1039" s="2" t="str">
        <f t="shared" si="151"/>
        <v/>
      </c>
      <c r="AK1039" s="2" t="str">
        <f t="shared" si="152"/>
        <v/>
      </c>
    </row>
    <row r="1040" spans="1:37" x14ac:dyDescent="0.25">
      <c r="A1040">
        <v>1958</v>
      </c>
      <c r="B1040" t="s">
        <v>1153</v>
      </c>
      <c r="C1040" t="s">
        <v>1142</v>
      </c>
      <c r="D1040" t="s">
        <v>1143</v>
      </c>
      <c r="E1040" t="s">
        <v>96</v>
      </c>
      <c r="F1040" t="s">
        <v>1144</v>
      </c>
      <c r="G1040" t="s">
        <v>98</v>
      </c>
      <c r="H1040" s="1">
        <v>44821.042395833334</v>
      </c>
      <c r="I1040" s="1">
        <v>44824.042395833334</v>
      </c>
      <c r="J1040" t="s">
        <v>32</v>
      </c>
      <c r="K1040" s="1">
        <v>44838.042395833334</v>
      </c>
      <c r="L1040" t="s">
        <v>33</v>
      </c>
      <c r="M1040" t="s">
        <v>92</v>
      </c>
      <c r="T1040">
        <v>0</v>
      </c>
      <c r="Y1040" t="s">
        <v>55</v>
      </c>
      <c r="AC1040" s="2">
        <f t="shared" si="144"/>
        <v>3</v>
      </c>
      <c r="AD1040" s="2">
        <f t="shared" si="145"/>
        <v>17</v>
      </c>
      <c r="AE1040" s="2">
        <f t="shared" si="146"/>
        <v>14</v>
      </c>
      <c r="AF1040" s="2" t="str">
        <f t="shared" si="147"/>
        <v/>
      </c>
      <c r="AG1040" s="2" t="str">
        <f t="shared" si="148"/>
        <v/>
      </c>
      <c r="AH1040" s="4" t="str">
        <f t="shared" si="149"/>
        <v/>
      </c>
      <c r="AI1040" s="2" t="str">
        <f t="shared" si="150"/>
        <v/>
      </c>
      <c r="AJ1040" s="2" t="str">
        <f t="shared" si="151"/>
        <v/>
      </c>
      <c r="AK1040" s="2" t="str">
        <f t="shared" si="152"/>
        <v/>
      </c>
    </row>
    <row r="1041" spans="1:37" x14ac:dyDescent="0.25">
      <c r="A1041">
        <v>1957</v>
      </c>
      <c r="B1041" t="s">
        <v>1154</v>
      </c>
      <c r="C1041" t="s">
        <v>1142</v>
      </c>
      <c r="D1041" t="s">
        <v>1143</v>
      </c>
      <c r="E1041" t="s">
        <v>96</v>
      </c>
      <c r="F1041" t="s">
        <v>1144</v>
      </c>
      <c r="G1041" t="s">
        <v>98</v>
      </c>
      <c r="H1041" s="1">
        <v>44817.042395833334</v>
      </c>
      <c r="I1041" s="1">
        <v>44820.042395833334</v>
      </c>
      <c r="J1041" t="s">
        <v>32</v>
      </c>
      <c r="K1041" s="1">
        <v>44839.042395833334</v>
      </c>
      <c r="L1041" t="s">
        <v>33</v>
      </c>
      <c r="M1041" t="s">
        <v>92</v>
      </c>
      <c r="T1041">
        <v>0</v>
      </c>
      <c r="Y1041" t="s">
        <v>35</v>
      </c>
      <c r="AC1041" s="2">
        <f t="shared" si="144"/>
        <v>3</v>
      </c>
      <c r="AD1041" s="2">
        <f t="shared" si="145"/>
        <v>22</v>
      </c>
      <c r="AE1041" s="2">
        <f t="shared" si="146"/>
        <v>19</v>
      </c>
      <c r="AF1041" s="2" t="str">
        <f t="shared" si="147"/>
        <v/>
      </c>
      <c r="AG1041" s="2" t="str">
        <f t="shared" si="148"/>
        <v/>
      </c>
      <c r="AH1041" s="4" t="str">
        <f t="shared" si="149"/>
        <v/>
      </c>
      <c r="AI1041" s="2" t="str">
        <f t="shared" si="150"/>
        <v/>
      </c>
      <c r="AJ1041" s="2" t="str">
        <f t="shared" si="151"/>
        <v/>
      </c>
      <c r="AK1041" s="2" t="str">
        <f t="shared" si="152"/>
        <v/>
      </c>
    </row>
    <row r="1042" spans="1:37" x14ac:dyDescent="0.25">
      <c r="A1042">
        <v>1918</v>
      </c>
      <c r="B1042" t="s">
        <v>1155</v>
      </c>
      <c r="C1042" t="s">
        <v>1142</v>
      </c>
      <c r="D1042" t="s">
        <v>1143</v>
      </c>
      <c r="E1042" t="s">
        <v>96</v>
      </c>
      <c r="F1042" t="s">
        <v>1144</v>
      </c>
      <c r="G1042" t="s">
        <v>98</v>
      </c>
      <c r="H1042" s="1">
        <v>44679.892118055555</v>
      </c>
      <c r="I1042" s="1">
        <v>44683.892118055555</v>
      </c>
      <c r="J1042" t="s">
        <v>32</v>
      </c>
      <c r="K1042" s="1">
        <v>44693.892118055555</v>
      </c>
      <c r="L1042" t="s">
        <v>33</v>
      </c>
      <c r="M1042" t="s">
        <v>51</v>
      </c>
      <c r="T1042">
        <v>0</v>
      </c>
      <c r="Y1042" t="s">
        <v>35</v>
      </c>
      <c r="AC1042" s="2">
        <f t="shared" si="144"/>
        <v>4</v>
      </c>
      <c r="AD1042" s="2">
        <f t="shared" si="145"/>
        <v>14</v>
      </c>
      <c r="AE1042" s="2">
        <f t="shared" si="146"/>
        <v>10</v>
      </c>
      <c r="AF1042" s="2" t="str">
        <f t="shared" si="147"/>
        <v/>
      </c>
      <c r="AG1042" s="2" t="str">
        <f t="shared" si="148"/>
        <v/>
      </c>
      <c r="AH1042" s="4" t="str">
        <f t="shared" si="149"/>
        <v/>
      </c>
      <c r="AI1042" s="2" t="str">
        <f t="shared" si="150"/>
        <v/>
      </c>
      <c r="AJ1042" s="2" t="str">
        <f t="shared" si="151"/>
        <v/>
      </c>
      <c r="AK1042" s="2" t="str">
        <f t="shared" si="152"/>
        <v/>
      </c>
    </row>
    <row r="1043" spans="1:37" x14ac:dyDescent="0.25">
      <c r="A1043">
        <v>1916</v>
      </c>
      <c r="B1043" t="s">
        <v>1156</v>
      </c>
      <c r="C1043" t="s">
        <v>1142</v>
      </c>
      <c r="D1043" t="s">
        <v>1143</v>
      </c>
      <c r="E1043" t="s">
        <v>96</v>
      </c>
      <c r="F1043" t="s">
        <v>1144</v>
      </c>
      <c r="G1043" t="s">
        <v>98</v>
      </c>
      <c r="H1043" s="1">
        <v>44682.892118055555</v>
      </c>
      <c r="I1043" s="1">
        <v>44684.892118055555</v>
      </c>
      <c r="J1043" t="s">
        <v>32</v>
      </c>
      <c r="K1043" s="1">
        <v>44700.892118055555</v>
      </c>
      <c r="L1043" t="s">
        <v>33</v>
      </c>
      <c r="M1043" t="s">
        <v>67</v>
      </c>
      <c r="R1043" s="4">
        <v>44702.892118055555</v>
      </c>
      <c r="T1043">
        <v>0</v>
      </c>
      <c r="Y1043" t="s">
        <v>35</v>
      </c>
      <c r="AC1043" s="2">
        <f t="shared" si="144"/>
        <v>2</v>
      </c>
      <c r="AD1043" s="2">
        <f t="shared" si="145"/>
        <v>18</v>
      </c>
      <c r="AE1043" s="2">
        <f t="shared" si="146"/>
        <v>16</v>
      </c>
      <c r="AF1043" s="2">
        <f t="shared" si="147"/>
        <v>20</v>
      </c>
      <c r="AG1043" s="2">
        <f t="shared" si="148"/>
        <v>2</v>
      </c>
      <c r="AH1043" s="4">
        <f t="shared" si="149"/>
        <v>44792.892118055555</v>
      </c>
      <c r="AI1043" s="2" t="str">
        <f t="shared" si="150"/>
        <v/>
      </c>
      <c r="AJ1043" s="2" t="str">
        <f t="shared" si="151"/>
        <v/>
      </c>
      <c r="AK1043" s="2" t="str">
        <f t="shared" si="152"/>
        <v/>
      </c>
    </row>
    <row r="1044" spans="1:37" x14ac:dyDescent="0.25">
      <c r="A1044">
        <v>1645</v>
      </c>
      <c r="B1044" t="s">
        <v>1157</v>
      </c>
      <c r="C1044" t="s">
        <v>1142</v>
      </c>
      <c r="D1044" t="s">
        <v>1143</v>
      </c>
      <c r="E1044" t="s">
        <v>96</v>
      </c>
      <c r="F1044" t="s">
        <v>1144</v>
      </c>
      <c r="G1044" t="s">
        <v>98</v>
      </c>
      <c r="H1044" s="1">
        <v>44913.661261574074</v>
      </c>
      <c r="I1044" s="1">
        <v>44916.661261574074</v>
      </c>
      <c r="J1044" t="s">
        <v>32</v>
      </c>
      <c r="K1044" s="1">
        <v>44927.661261574074</v>
      </c>
      <c r="L1044" t="s">
        <v>33</v>
      </c>
      <c r="M1044" t="s">
        <v>92</v>
      </c>
      <c r="R1044" s="4">
        <v>44930.661261574074</v>
      </c>
      <c r="T1044">
        <v>0</v>
      </c>
      <c r="Y1044" t="s">
        <v>35</v>
      </c>
      <c r="AC1044" s="2">
        <f t="shared" si="144"/>
        <v>3</v>
      </c>
      <c r="AD1044" s="2">
        <f t="shared" si="145"/>
        <v>14</v>
      </c>
      <c r="AE1044" s="2">
        <f t="shared" si="146"/>
        <v>11</v>
      </c>
      <c r="AF1044" s="2">
        <f t="shared" si="147"/>
        <v>17</v>
      </c>
      <c r="AG1044" s="2">
        <f t="shared" si="148"/>
        <v>3</v>
      </c>
      <c r="AH1044" s="4">
        <f t="shared" si="149"/>
        <v>45020.661261574074</v>
      </c>
      <c r="AI1044" s="2" t="str">
        <f t="shared" si="150"/>
        <v/>
      </c>
      <c r="AJ1044" s="2" t="str">
        <f t="shared" si="151"/>
        <v/>
      </c>
      <c r="AK1044" s="2" t="str">
        <f t="shared" si="152"/>
        <v/>
      </c>
    </row>
    <row r="1045" spans="1:37" x14ac:dyDescent="0.25">
      <c r="A1045">
        <v>1452</v>
      </c>
      <c r="B1045" t="s">
        <v>1158</v>
      </c>
      <c r="C1045" t="s">
        <v>1142</v>
      </c>
      <c r="D1045" t="s">
        <v>1143</v>
      </c>
      <c r="E1045" t="s">
        <v>96</v>
      </c>
      <c r="F1045" t="s">
        <v>1144</v>
      </c>
      <c r="G1045" t="s">
        <v>98</v>
      </c>
      <c r="H1045" s="1">
        <v>45022.57240740741</v>
      </c>
      <c r="I1045" s="1">
        <v>45023.57240740741</v>
      </c>
      <c r="J1045" t="s">
        <v>32</v>
      </c>
      <c r="K1045" s="1">
        <v>45043.57240740741</v>
      </c>
      <c r="L1045" t="s">
        <v>33</v>
      </c>
      <c r="M1045" t="s">
        <v>51</v>
      </c>
      <c r="T1045">
        <v>0</v>
      </c>
      <c r="Y1045" t="s">
        <v>35</v>
      </c>
      <c r="AC1045" s="2">
        <f t="shared" si="144"/>
        <v>1</v>
      </c>
      <c r="AD1045" s="2">
        <f t="shared" si="145"/>
        <v>21</v>
      </c>
      <c r="AE1045" s="2">
        <f t="shared" si="146"/>
        <v>20</v>
      </c>
      <c r="AF1045" s="2" t="str">
        <f t="shared" si="147"/>
        <v/>
      </c>
      <c r="AG1045" s="2" t="str">
        <f t="shared" si="148"/>
        <v/>
      </c>
      <c r="AH1045" s="4" t="str">
        <f t="shared" si="149"/>
        <v/>
      </c>
      <c r="AI1045" s="2" t="str">
        <f t="shared" si="150"/>
        <v/>
      </c>
      <c r="AJ1045" s="2" t="str">
        <f t="shared" si="151"/>
        <v/>
      </c>
      <c r="AK1045" s="2" t="str">
        <f t="shared" si="152"/>
        <v/>
      </c>
    </row>
    <row r="1046" spans="1:37" x14ac:dyDescent="0.25">
      <c r="A1046">
        <v>1273</v>
      </c>
      <c r="B1046" t="s">
        <v>1159</v>
      </c>
      <c r="C1046" t="s">
        <v>1142</v>
      </c>
      <c r="D1046" t="s">
        <v>1143</v>
      </c>
      <c r="E1046" t="s">
        <v>96</v>
      </c>
      <c r="F1046" t="s">
        <v>1144</v>
      </c>
      <c r="G1046" t="s">
        <v>98</v>
      </c>
      <c r="H1046" s="1">
        <v>44710.107928240737</v>
      </c>
      <c r="I1046" s="1">
        <v>44713.107928240737</v>
      </c>
      <c r="J1046" t="s">
        <v>32</v>
      </c>
      <c r="K1046" s="1">
        <v>44722.107928240737</v>
      </c>
      <c r="L1046" t="s">
        <v>33</v>
      </c>
      <c r="M1046" t="s">
        <v>92</v>
      </c>
      <c r="T1046">
        <v>0</v>
      </c>
      <c r="Y1046" t="s">
        <v>35</v>
      </c>
      <c r="AC1046" s="2">
        <f t="shared" si="144"/>
        <v>3</v>
      </c>
      <c r="AD1046" s="2">
        <f t="shared" si="145"/>
        <v>12</v>
      </c>
      <c r="AE1046" s="2">
        <f t="shared" si="146"/>
        <v>9</v>
      </c>
      <c r="AF1046" s="2" t="str">
        <f t="shared" si="147"/>
        <v/>
      </c>
      <c r="AG1046" s="2" t="str">
        <f t="shared" si="148"/>
        <v/>
      </c>
      <c r="AH1046" s="4" t="str">
        <f t="shared" si="149"/>
        <v/>
      </c>
      <c r="AI1046" s="2" t="str">
        <f t="shared" si="150"/>
        <v/>
      </c>
      <c r="AJ1046" s="2" t="str">
        <f t="shared" si="151"/>
        <v/>
      </c>
      <c r="AK1046" s="2" t="str">
        <f t="shared" si="152"/>
        <v/>
      </c>
    </row>
    <row r="1047" spans="1:37" x14ac:dyDescent="0.25">
      <c r="A1047">
        <v>1220</v>
      </c>
      <c r="B1047" t="s">
        <v>1160</v>
      </c>
      <c r="C1047" t="s">
        <v>1142</v>
      </c>
      <c r="D1047" t="s">
        <v>1143</v>
      </c>
      <c r="E1047" t="s">
        <v>96</v>
      </c>
      <c r="F1047" t="s">
        <v>1144</v>
      </c>
      <c r="G1047" t="s">
        <v>98</v>
      </c>
      <c r="H1047" s="1">
        <v>45132.004317129627</v>
      </c>
      <c r="I1047" s="1">
        <v>45135.004317129627</v>
      </c>
      <c r="J1047" t="s">
        <v>32</v>
      </c>
      <c r="K1047" s="1">
        <v>45156.004317129627</v>
      </c>
      <c r="L1047" t="s">
        <v>33</v>
      </c>
      <c r="M1047" t="s">
        <v>92</v>
      </c>
      <c r="T1047">
        <v>0</v>
      </c>
      <c r="Y1047" t="s">
        <v>35</v>
      </c>
      <c r="AC1047" s="2">
        <f t="shared" si="144"/>
        <v>3</v>
      </c>
      <c r="AD1047" s="2">
        <f t="shared" si="145"/>
        <v>24</v>
      </c>
      <c r="AE1047" s="2">
        <f t="shared" si="146"/>
        <v>21</v>
      </c>
      <c r="AF1047" s="2" t="str">
        <f t="shared" si="147"/>
        <v/>
      </c>
      <c r="AG1047" s="2" t="str">
        <f t="shared" si="148"/>
        <v/>
      </c>
      <c r="AH1047" s="4" t="str">
        <f t="shared" si="149"/>
        <v/>
      </c>
      <c r="AI1047" s="2" t="str">
        <f t="shared" si="150"/>
        <v/>
      </c>
      <c r="AJ1047" s="2" t="str">
        <f t="shared" si="151"/>
        <v/>
      </c>
      <c r="AK1047" s="2" t="str">
        <f t="shared" si="152"/>
        <v/>
      </c>
    </row>
    <row r="1048" spans="1:37" x14ac:dyDescent="0.25">
      <c r="A1048">
        <v>1165</v>
      </c>
      <c r="B1048" t="s">
        <v>1161</v>
      </c>
      <c r="C1048" t="s">
        <v>1142</v>
      </c>
      <c r="D1048" t="s">
        <v>1143</v>
      </c>
      <c r="E1048" t="s">
        <v>96</v>
      </c>
      <c r="F1048" t="s">
        <v>1144</v>
      </c>
      <c r="G1048" t="s">
        <v>98</v>
      </c>
      <c r="H1048" s="1">
        <v>44966.866122685184</v>
      </c>
      <c r="I1048" s="1">
        <v>44970.866122685184</v>
      </c>
      <c r="J1048" t="s">
        <v>32</v>
      </c>
      <c r="K1048" s="1">
        <v>44977.866122685184</v>
      </c>
      <c r="L1048" t="s">
        <v>33</v>
      </c>
      <c r="M1048" t="s">
        <v>92</v>
      </c>
      <c r="T1048">
        <v>0</v>
      </c>
      <c r="Y1048" t="s">
        <v>55</v>
      </c>
      <c r="AC1048" s="2">
        <f t="shared" si="144"/>
        <v>4</v>
      </c>
      <c r="AD1048" s="2">
        <f t="shared" si="145"/>
        <v>11</v>
      </c>
      <c r="AE1048" s="2">
        <f t="shared" si="146"/>
        <v>7</v>
      </c>
      <c r="AF1048" s="2" t="str">
        <f t="shared" si="147"/>
        <v/>
      </c>
      <c r="AG1048" s="2" t="str">
        <f t="shared" si="148"/>
        <v/>
      </c>
      <c r="AH1048" s="4" t="str">
        <f t="shared" si="149"/>
        <v/>
      </c>
      <c r="AI1048" s="2" t="str">
        <f t="shared" si="150"/>
        <v/>
      </c>
      <c r="AJ1048" s="2" t="str">
        <f t="shared" si="151"/>
        <v/>
      </c>
      <c r="AK1048" s="2" t="str">
        <f t="shared" si="152"/>
        <v/>
      </c>
    </row>
    <row r="1049" spans="1:37" x14ac:dyDescent="0.25">
      <c r="A1049">
        <v>1089</v>
      </c>
      <c r="B1049" t="s">
        <v>1162</v>
      </c>
      <c r="C1049" t="s">
        <v>1142</v>
      </c>
      <c r="D1049" t="s">
        <v>1143</v>
      </c>
      <c r="E1049" t="s">
        <v>96</v>
      </c>
      <c r="F1049" t="s">
        <v>1144</v>
      </c>
      <c r="G1049" t="s">
        <v>98</v>
      </c>
      <c r="H1049" s="1">
        <v>44892.976215277777</v>
      </c>
      <c r="I1049" s="1">
        <v>44894.976215277777</v>
      </c>
      <c r="J1049" t="s">
        <v>32</v>
      </c>
      <c r="K1049" s="1">
        <v>44917.976215277777</v>
      </c>
      <c r="L1049" t="s">
        <v>33</v>
      </c>
      <c r="M1049" t="s">
        <v>92</v>
      </c>
      <c r="R1049" s="4">
        <v>44920.976215277777</v>
      </c>
      <c r="T1049">
        <v>0</v>
      </c>
      <c r="Y1049" t="s">
        <v>55</v>
      </c>
      <c r="AC1049" s="2">
        <f t="shared" si="144"/>
        <v>2</v>
      </c>
      <c r="AD1049" s="2">
        <f t="shared" si="145"/>
        <v>25</v>
      </c>
      <c r="AE1049" s="2">
        <f t="shared" si="146"/>
        <v>23</v>
      </c>
      <c r="AF1049" s="2">
        <f t="shared" si="147"/>
        <v>28</v>
      </c>
      <c r="AG1049" s="2">
        <f t="shared" si="148"/>
        <v>3</v>
      </c>
      <c r="AH1049" s="4">
        <f t="shared" si="149"/>
        <v>45010.976215277777</v>
      </c>
      <c r="AI1049" s="2" t="str">
        <f t="shared" si="150"/>
        <v/>
      </c>
      <c r="AJ1049" s="2" t="str">
        <f t="shared" si="151"/>
        <v/>
      </c>
      <c r="AK1049" s="2" t="str">
        <f t="shared" si="152"/>
        <v/>
      </c>
    </row>
    <row r="1050" spans="1:37" x14ac:dyDescent="0.25">
      <c r="A1050">
        <v>1050</v>
      </c>
      <c r="B1050" t="s">
        <v>1163</v>
      </c>
      <c r="C1050" t="s">
        <v>1142</v>
      </c>
      <c r="D1050" t="s">
        <v>1143</v>
      </c>
      <c r="E1050" t="s">
        <v>96</v>
      </c>
      <c r="F1050" t="s">
        <v>1144</v>
      </c>
      <c r="G1050" t="s">
        <v>98</v>
      </c>
      <c r="H1050" s="1">
        <v>44886.960578703707</v>
      </c>
      <c r="I1050" s="1">
        <v>44888.960578703707</v>
      </c>
      <c r="J1050" t="s">
        <v>32</v>
      </c>
      <c r="K1050" s="1">
        <v>44900.960578703707</v>
      </c>
      <c r="L1050" t="s">
        <v>33</v>
      </c>
      <c r="M1050" t="s">
        <v>51</v>
      </c>
      <c r="R1050" s="4">
        <v>44904.960578703707</v>
      </c>
      <c r="T1050">
        <v>0</v>
      </c>
      <c r="Y1050" t="s">
        <v>35</v>
      </c>
      <c r="AC1050" s="2">
        <f t="shared" si="144"/>
        <v>2</v>
      </c>
      <c r="AD1050" s="2">
        <f t="shared" si="145"/>
        <v>14</v>
      </c>
      <c r="AE1050" s="2">
        <f t="shared" si="146"/>
        <v>12</v>
      </c>
      <c r="AF1050" s="2">
        <f t="shared" si="147"/>
        <v>18</v>
      </c>
      <c r="AG1050" s="2">
        <f t="shared" si="148"/>
        <v>4</v>
      </c>
      <c r="AH1050" s="4">
        <f t="shared" si="149"/>
        <v>44994.960578703707</v>
      </c>
      <c r="AI1050" s="2" t="str">
        <f t="shared" si="150"/>
        <v/>
      </c>
      <c r="AJ1050" s="2" t="str">
        <f t="shared" si="151"/>
        <v/>
      </c>
      <c r="AK1050" s="2" t="str">
        <f t="shared" si="152"/>
        <v/>
      </c>
    </row>
    <row r="1051" spans="1:37" x14ac:dyDescent="0.25">
      <c r="A1051">
        <v>1029</v>
      </c>
      <c r="B1051" t="s">
        <v>1164</v>
      </c>
      <c r="C1051" t="s">
        <v>1142</v>
      </c>
      <c r="D1051" t="s">
        <v>1143</v>
      </c>
      <c r="E1051" t="s">
        <v>96</v>
      </c>
      <c r="F1051" t="s">
        <v>1144</v>
      </c>
      <c r="G1051" t="s">
        <v>98</v>
      </c>
      <c r="H1051" s="1">
        <v>44954.791134259256</v>
      </c>
      <c r="I1051" s="1">
        <v>44955.791134259256</v>
      </c>
      <c r="J1051" t="s">
        <v>32</v>
      </c>
      <c r="K1051" s="1">
        <v>44966.791134259256</v>
      </c>
      <c r="L1051" t="s">
        <v>33</v>
      </c>
      <c r="M1051" t="s">
        <v>34</v>
      </c>
      <c r="R1051" s="4">
        <v>44968.791134259256</v>
      </c>
      <c r="T1051">
        <v>0</v>
      </c>
      <c r="Y1051" t="s">
        <v>55</v>
      </c>
      <c r="AC1051" s="2">
        <f t="shared" si="144"/>
        <v>1</v>
      </c>
      <c r="AD1051" s="2">
        <f t="shared" si="145"/>
        <v>12</v>
      </c>
      <c r="AE1051" s="2">
        <f t="shared" si="146"/>
        <v>11</v>
      </c>
      <c r="AF1051" s="2">
        <f t="shared" si="147"/>
        <v>14</v>
      </c>
      <c r="AG1051" s="2">
        <f t="shared" si="148"/>
        <v>2</v>
      </c>
      <c r="AH1051" s="4">
        <f t="shared" si="149"/>
        <v>45058.791134259256</v>
      </c>
      <c r="AI1051" s="2" t="str">
        <f t="shared" si="150"/>
        <v/>
      </c>
      <c r="AJ1051" s="2" t="str">
        <f t="shared" si="151"/>
        <v/>
      </c>
      <c r="AK1051" s="2" t="str">
        <f t="shared" si="152"/>
        <v/>
      </c>
    </row>
    <row r="1052" spans="1:37" x14ac:dyDescent="0.25">
      <c r="A1052">
        <v>2942</v>
      </c>
      <c r="B1052" t="s">
        <v>1165</v>
      </c>
      <c r="C1052" t="s">
        <v>1142</v>
      </c>
      <c r="D1052" t="s">
        <v>1166</v>
      </c>
      <c r="E1052" t="s">
        <v>1167</v>
      </c>
      <c r="F1052" t="s">
        <v>1168</v>
      </c>
      <c r="G1052" t="s">
        <v>144</v>
      </c>
      <c r="H1052" s="1">
        <v>44727.484722222223</v>
      </c>
      <c r="I1052" s="1">
        <v>44730.484722222223</v>
      </c>
      <c r="J1052" t="s">
        <v>32</v>
      </c>
      <c r="K1052" s="1">
        <v>44739.484722222223</v>
      </c>
      <c r="L1052" t="s">
        <v>33</v>
      </c>
      <c r="M1052" t="s">
        <v>34</v>
      </c>
      <c r="T1052">
        <v>0</v>
      </c>
      <c r="Y1052" t="s">
        <v>35</v>
      </c>
      <c r="AC1052" s="2">
        <f t="shared" si="144"/>
        <v>3</v>
      </c>
      <c r="AD1052" s="2">
        <f t="shared" si="145"/>
        <v>12</v>
      </c>
      <c r="AE1052" s="2">
        <f t="shared" si="146"/>
        <v>9</v>
      </c>
      <c r="AF1052" s="2" t="str">
        <f t="shared" si="147"/>
        <v/>
      </c>
      <c r="AG1052" s="2" t="str">
        <f t="shared" si="148"/>
        <v/>
      </c>
      <c r="AH1052" s="4" t="str">
        <f t="shared" si="149"/>
        <v/>
      </c>
      <c r="AI1052" s="2" t="str">
        <f t="shared" si="150"/>
        <v/>
      </c>
      <c r="AJ1052" s="2" t="str">
        <f t="shared" si="151"/>
        <v/>
      </c>
      <c r="AK1052" s="2" t="str">
        <f t="shared" si="152"/>
        <v/>
      </c>
    </row>
    <row r="1053" spans="1:37" x14ac:dyDescent="0.25">
      <c r="A1053">
        <v>2900</v>
      </c>
      <c r="B1053" t="s">
        <v>1169</v>
      </c>
      <c r="C1053" t="s">
        <v>1142</v>
      </c>
      <c r="D1053" t="s">
        <v>1166</v>
      </c>
      <c r="E1053" t="s">
        <v>1167</v>
      </c>
      <c r="F1053" t="s">
        <v>1168</v>
      </c>
      <c r="G1053" t="s">
        <v>144</v>
      </c>
      <c r="H1053" s="1">
        <v>44962.681840277779</v>
      </c>
      <c r="I1053" s="1">
        <v>44964.681840277779</v>
      </c>
      <c r="J1053" t="s">
        <v>32</v>
      </c>
      <c r="K1053" s="1">
        <v>44973.681840277779</v>
      </c>
      <c r="L1053" t="s">
        <v>33</v>
      </c>
      <c r="M1053" t="s">
        <v>51</v>
      </c>
      <c r="T1053">
        <v>0</v>
      </c>
      <c r="Y1053" t="s">
        <v>35</v>
      </c>
      <c r="AC1053" s="2">
        <f t="shared" si="144"/>
        <v>2</v>
      </c>
      <c r="AD1053" s="2">
        <f t="shared" si="145"/>
        <v>11</v>
      </c>
      <c r="AE1053" s="2">
        <f t="shared" si="146"/>
        <v>9</v>
      </c>
      <c r="AF1053" s="2" t="str">
        <f t="shared" si="147"/>
        <v/>
      </c>
      <c r="AG1053" s="2" t="str">
        <f t="shared" si="148"/>
        <v/>
      </c>
      <c r="AH1053" s="4" t="str">
        <f t="shared" si="149"/>
        <v/>
      </c>
      <c r="AI1053" s="2" t="str">
        <f t="shared" si="150"/>
        <v/>
      </c>
      <c r="AJ1053" s="2" t="str">
        <f t="shared" si="151"/>
        <v/>
      </c>
      <c r="AK1053" s="2" t="str">
        <f t="shared" si="152"/>
        <v/>
      </c>
    </row>
    <row r="1054" spans="1:37" x14ac:dyDescent="0.25">
      <c r="A1054">
        <v>2584</v>
      </c>
      <c r="B1054" t="s">
        <v>1170</v>
      </c>
      <c r="C1054" t="s">
        <v>1142</v>
      </c>
      <c r="D1054" t="s">
        <v>1166</v>
      </c>
      <c r="E1054" t="s">
        <v>1167</v>
      </c>
      <c r="F1054" t="s">
        <v>1168</v>
      </c>
      <c r="G1054" t="s">
        <v>144</v>
      </c>
      <c r="H1054" s="1">
        <v>44785.038506944446</v>
      </c>
      <c r="I1054" s="1">
        <v>44787.038506944446</v>
      </c>
      <c r="J1054" t="s">
        <v>32</v>
      </c>
      <c r="K1054" s="1">
        <v>44798.038506944446</v>
      </c>
      <c r="L1054" t="s">
        <v>33</v>
      </c>
      <c r="M1054" t="s">
        <v>92</v>
      </c>
      <c r="T1054">
        <v>0</v>
      </c>
      <c r="Y1054" t="s">
        <v>55</v>
      </c>
      <c r="AC1054" s="2">
        <f t="shared" si="144"/>
        <v>2</v>
      </c>
      <c r="AD1054" s="2">
        <f t="shared" si="145"/>
        <v>13</v>
      </c>
      <c r="AE1054" s="2">
        <f t="shared" si="146"/>
        <v>11</v>
      </c>
      <c r="AF1054" s="2" t="str">
        <f t="shared" si="147"/>
        <v/>
      </c>
      <c r="AG1054" s="2" t="str">
        <f t="shared" si="148"/>
        <v/>
      </c>
      <c r="AH1054" s="4" t="str">
        <f t="shared" si="149"/>
        <v/>
      </c>
      <c r="AI1054" s="2" t="str">
        <f t="shared" si="150"/>
        <v/>
      </c>
      <c r="AJ1054" s="2" t="str">
        <f t="shared" si="151"/>
        <v/>
      </c>
      <c r="AK1054" s="2" t="str">
        <f t="shared" si="152"/>
        <v/>
      </c>
    </row>
    <row r="1055" spans="1:37" x14ac:dyDescent="0.25">
      <c r="A1055">
        <v>2582</v>
      </c>
      <c r="B1055" t="s">
        <v>1171</v>
      </c>
      <c r="C1055" t="s">
        <v>1142</v>
      </c>
      <c r="D1055" t="s">
        <v>1166</v>
      </c>
      <c r="E1055" t="s">
        <v>1167</v>
      </c>
      <c r="F1055" t="s">
        <v>1168</v>
      </c>
      <c r="G1055" t="s">
        <v>144</v>
      </c>
      <c r="H1055" s="1">
        <v>44786.038506944446</v>
      </c>
      <c r="I1055" s="1">
        <v>44788.038506944446</v>
      </c>
      <c r="J1055" t="s">
        <v>32</v>
      </c>
      <c r="K1055" s="1">
        <v>44806.038506944446</v>
      </c>
      <c r="L1055" t="s">
        <v>39</v>
      </c>
      <c r="N1055" s="4">
        <v>44812.038506944446</v>
      </c>
      <c r="O1055" t="s">
        <v>39</v>
      </c>
      <c r="R1055" s="4">
        <v>44808.038506944446</v>
      </c>
      <c r="T1055">
        <v>0</v>
      </c>
      <c r="AC1055" s="2">
        <f t="shared" si="144"/>
        <v>2</v>
      </c>
      <c r="AD1055" s="2">
        <f t="shared" si="145"/>
        <v>20</v>
      </c>
      <c r="AE1055" s="2">
        <f t="shared" si="146"/>
        <v>18</v>
      </c>
      <c r="AF1055" s="2">
        <f t="shared" si="147"/>
        <v>22</v>
      </c>
      <c r="AG1055" s="2">
        <f t="shared" si="148"/>
        <v>2</v>
      </c>
      <c r="AH1055" s="4">
        <f t="shared" si="149"/>
        <v>44898.038506944446</v>
      </c>
      <c r="AI1055" s="2" t="str">
        <f t="shared" si="150"/>
        <v/>
      </c>
      <c r="AJ1055" s="2" t="str">
        <f t="shared" si="151"/>
        <v/>
      </c>
      <c r="AK1055" s="2" t="str">
        <f t="shared" si="152"/>
        <v/>
      </c>
    </row>
    <row r="1056" spans="1:37" x14ac:dyDescent="0.25">
      <c r="A1056">
        <v>2415</v>
      </c>
      <c r="B1056" t="s">
        <v>1172</v>
      </c>
      <c r="C1056" t="s">
        <v>1142</v>
      </c>
      <c r="D1056" t="s">
        <v>1166</v>
      </c>
      <c r="E1056" t="s">
        <v>1167</v>
      </c>
      <c r="F1056" t="s">
        <v>1168</v>
      </c>
      <c r="G1056" t="s">
        <v>144</v>
      </c>
      <c r="H1056" s="1">
        <v>45006.608229166668</v>
      </c>
      <c r="I1056" s="1">
        <v>45010.608229166668</v>
      </c>
      <c r="J1056" t="s">
        <v>32</v>
      </c>
      <c r="K1056" s="1">
        <v>45027.608229166668</v>
      </c>
      <c r="L1056" t="s">
        <v>39</v>
      </c>
      <c r="N1056" s="4">
        <v>45031.608229166668</v>
      </c>
      <c r="O1056" t="s">
        <v>39</v>
      </c>
      <c r="R1056" s="4">
        <v>45028.608229166668</v>
      </c>
      <c r="T1056">
        <v>0</v>
      </c>
      <c r="AC1056" s="2">
        <f t="shared" si="144"/>
        <v>4</v>
      </c>
      <c r="AD1056" s="2">
        <f t="shared" si="145"/>
        <v>21</v>
      </c>
      <c r="AE1056" s="2">
        <f t="shared" si="146"/>
        <v>17</v>
      </c>
      <c r="AF1056" s="2">
        <f t="shared" si="147"/>
        <v>22</v>
      </c>
      <c r="AG1056" s="2">
        <f t="shared" si="148"/>
        <v>1</v>
      </c>
      <c r="AH1056" s="4">
        <f t="shared" si="149"/>
        <v>45118.608229166668</v>
      </c>
      <c r="AI1056" s="2" t="str">
        <f t="shared" si="150"/>
        <v/>
      </c>
      <c r="AJ1056" s="2" t="str">
        <f t="shared" si="151"/>
        <v/>
      </c>
      <c r="AK1056" s="2" t="str">
        <f t="shared" si="152"/>
        <v/>
      </c>
    </row>
    <row r="1057" spans="1:37" x14ac:dyDescent="0.25">
      <c r="A1057">
        <v>2412</v>
      </c>
      <c r="B1057" t="s">
        <v>1173</v>
      </c>
      <c r="C1057" t="s">
        <v>1142</v>
      </c>
      <c r="D1057" t="s">
        <v>1166</v>
      </c>
      <c r="E1057" t="s">
        <v>1167</v>
      </c>
      <c r="F1057" t="s">
        <v>1168</v>
      </c>
      <c r="G1057" t="s">
        <v>144</v>
      </c>
      <c r="H1057" s="1">
        <v>45010.608229166668</v>
      </c>
      <c r="I1057" s="1">
        <v>45011.608229166668</v>
      </c>
      <c r="J1057" t="s">
        <v>32</v>
      </c>
      <c r="K1057" s="1">
        <v>45019.608229166668</v>
      </c>
      <c r="L1057" t="s">
        <v>39</v>
      </c>
      <c r="N1057" s="4">
        <v>45027.608229166668</v>
      </c>
      <c r="O1057" t="s">
        <v>39</v>
      </c>
      <c r="R1057" s="4">
        <v>45023.608229166668</v>
      </c>
      <c r="T1057">
        <v>0</v>
      </c>
      <c r="AC1057" s="2">
        <f t="shared" si="144"/>
        <v>1</v>
      </c>
      <c r="AD1057" s="2">
        <f t="shared" si="145"/>
        <v>9</v>
      </c>
      <c r="AE1057" s="2">
        <f t="shared" si="146"/>
        <v>8</v>
      </c>
      <c r="AF1057" s="2">
        <f t="shared" si="147"/>
        <v>13</v>
      </c>
      <c r="AG1057" s="2">
        <f t="shared" si="148"/>
        <v>4</v>
      </c>
      <c r="AH1057" s="4">
        <f t="shared" si="149"/>
        <v>45113.608229166668</v>
      </c>
      <c r="AI1057" s="2" t="str">
        <f t="shared" si="150"/>
        <v/>
      </c>
      <c r="AJ1057" s="2" t="str">
        <f t="shared" si="151"/>
        <v/>
      </c>
      <c r="AK1057" s="2" t="str">
        <f t="shared" si="152"/>
        <v/>
      </c>
    </row>
    <row r="1058" spans="1:37" x14ac:dyDescent="0.25">
      <c r="A1058">
        <v>2374</v>
      </c>
      <c r="B1058" t="s">
        <v>1174</v>
      </c>
      <c r="C1058" t="s">
        <v>1142</v>
      </c>
      <c r="D1058" t="s">
        <v>1166</v>
      </c>
      <c r="E1058" t="s">
        <v>1167</v>
      </c>
      <c r="F1058" t="s">
        <v>1168</v>
      </c>
      <c r="G1058" t="s">
        <v>144</v>
      </c>
      <c r="H1058" s="1">
        <v>45031.917395833334</v>
      </c>
      <c r="I1058" s="1">
        <v>45035.917395833334</v>
      </c>
      <c r="J1058" t="s">
        <v>32</v>
      </c>
      <c r="K1058" s="1">
        <v>45050.917395833334</v>
      </c>
      <c r="L1058" t="s">
        <v>33</v>
      </c>
      <c r="M1058" t="s">
        <v>51</v>
      </c>
      <c r="T1058">
        <v>0</v>
      </c>
      <c r="Y1058" t="s">
        <v>35</v>
      </c>
      <c r="AC1058" s="2">
        <f t="shared" si="144"/>
        <v>4</v>
      </c>
      <c r="AD1058" s="2">
        <f t="shared" si="145"/>
        <v>19</v>
      </c>
      <c r="AE1058" s="2">
        <f t="shared" si="146"/>
        <v>15</v>
      </c>
      <c r="AF1058" s="2" t="str">
        <f t="shared" si="147"/>
        <v/>
      </c>
      <c r="AG1058" s="2" t="str">
        <f t="shared" si="148"/>
        <v/>
      </c>
      <c r="AH1058" s="4" t="str">
        <f t="shared" si="149"/>
        <v/>
      </c>
      <c r="AI1058" s="2" t="str">
        <f t="shared" si="150"/>
        <v/>
      </c>
      <c r="AJ1058" s="2" t="str">
        <f t="shared" si="151"/>
        <v/>
      </c>
      <c r="AK1058" s="2" t="str">
        <f t="shared" si="152"/>
        <v/>
      </c>
    </row>
    <row r="1059" spans="1:37" x14ac:dyDescent="0.25">
      <c r="A1059">
        <v>2339</v>
      </c>
      <c r="B1059" t="s">
        <v>1175</v>
      </c>
      <c r="C1059" t="s">
        <v>1142</v>
      </c>
      <c r="D1059" t="s">
        <v>1166</v>
      </c>
      <c r="E1059" t="s">
        <v>1167</v>
      </c>
      <c r="F1059" t="s">
        <v>1168</v>
      </c>
      <c r="G1059" t="s">
        <v>144</v>
      </c>
      <c r="H1059" s="1">
        <v>44692.386030092595</v>
      </c>
      <c r="I1059" s="1">
        <v>44696.386030092595</v>
      </c>
      <c r="J1059" t="s">
        <v>32</v>
      </c>
      <c r="K1059" s="1">
        <v>44702.386030092595</v>
      </c>
      <c r="L1059" t="s">
        <v>33</v>
      </c>
      <c r="M1059" t="s">
        <v>51</v>
      </c>
      <c r="R1059" s="4">
        <v>44703.386030092595</v>
      </c>
      <c r="T1059">
        <v>0</v>
      </c>
      <c r="Y1059" t="s">
        <v>35</v>
      </c>
      <c r="AC1059" s="2">
        <f t="shared" si="144"/>
        <v>4</v>
      </c>
      <c r="AD1059" s="2">
        <f t="shared" si="145"/>
        <v>10</v>
      </c>
      <c r="AE1059" s="2">
        <f t="shared" si="146"/>
        <v>6</v>
      </c>
      <c r="AF1059" s="2">
        <f t="shared" si="147"/>
        <v>11</v>
      </c>
      <c r="AG1059" s="2">
        <f t="shared" si="148"/>
        <v>1</v>
      </c>
      <c r="AH1059" s="4">
        <f t="shared" si="149"/>
        <v>44793.386030092595</v>
      </c>
      <c r="AI1059" s="2" t="str">
        <f t="shared" si="150"/>
        <v/>
      </c>
      <c r="AJ1059" s="2" t="str">
        <f t="shared" si="151"/>
        <v/>
      </c>
      <c r="AK1059" s="2" t="str">
        <f t="shared" si="152"/>
        <v/>
      </c>
    </row>
    <row r="1060" spans="1:37" x14ac:dyDescent="0.25">
      <c r="A1060">
        <v>2337</v>
      </c>
      <c r="B1060" t="s">
        <v>1176</v>
      </c>
      <c r="C1060" t="s">
        <v>1142</v>
      </c>
      <c r="D1060" t="s">
        <v>1166</v>
      </c>
      <c r="E1060" t="s">
        <v>1167</v>
      </c>
      <c r="F1060" t="s">
        <v>1168</v>
      </c>
      <c r="G1060" t="s">
        <v>144</v>
      </c>
      <c r="H1060" s="1">
        <v>44696.386030092595</v>
      </c>
      <c r="I1060" s="1">
        <v>44698.386030092595</v>
      </c>
      <c r="J1060" t="s">
        <v>32</v>
      </c>
      <c r="K1060" s="1">
        <v>44709.386030092595</v>
      </c>
      <c r="L1060" t="s">
        <v>39</v>
      </c>
      <c r="N1060" s="4">
        <v>44716.386030092595</v>
      </c>
      <c r="O1060" t="s">
        <v>39</v>
      </c>
      <c r="R1060" s="4">
        <v>44713.386030092595</v>
      </c>
      <c r="T1060">
        <v>0</v>
      </c>
      <c r="AC1060" s="2">
        <f t="shared" si="144"/>
        <v>2</v>
      </c>
      <c r="AD1060" s="2">
        <f t="shared" si="145"/>
        <v>13</v>
      </c>
      <c r="AE1060" s="2">
        <f t="shared" si="146"/>
        <v>11</v>
      </c>
      <c r="AF1060" s="2">
        <f t="shared" si="147"/>
        <v>17</v>
      </c>
      <c r="AG1060" s="2">
        <f t="shared" si="148"/>
        <v>4</v>
      </c>
      <c r="AH1060" s="4">
        <f t="shared" si="149"/>
        <v>44803.386030092595</v>
      </c>
      <c r="AI1060" s="2" t="str">
        <f t="shared" si="150"/>
        <v/>
      </c>
      <c r="AJ1060" s="2" t="str">
        <f t="shared" si="151"/>
        <v/>
      </c>
      <c r="AK1060" s="2" t="str">
        <f t="shared" si="152"/>
        <v/>
      </c>
    </row>
    <row r="1061" spans="1:37" x14ac:dyDescent="0.25">
      <c r="A1061">
        <v>2256</v>
      </c>
      <c r="B1061" t="s">
        <v>1177</v>
      </c>
      <c r="C1061" t="s">
        <v>1142</v>
      </c>
      <c r="D1061" t="s">
        <v>1166</v>
      </c>
      <c r="E1061" t="s">
        <v>1167</v>
      </c>
      <c r="F1061" t="s">
        <v>1168</v>
      </c>
      <c r="G1061" t="s">
        <v>144</v>
      </c>
      <c r="H1061" s="1">
        <v>44777.68608796296</v>
      </c>
      <c r="I1061" s="1">
        <v>44781.68608796296</v>
      </c>
      <c r="J1061" t="s">
        <v>32</v>
      </c>
      <c r="K1061" s="1">
        <v>44790.68608796296</v>
      </c>
      <c r="L1061" t="s">
        <v>39</v>
      </c>
      <c r="N1061" s="4">
        <v>44795.68608796296</v>
      </c>
      <c r="O1061" t="s">
        <v>39</v>
      </c>
      <c r="R1061" s="4">
        <v>44793.68608796296</v>
      </c>
      <c r="T1061">
        <v>0</v>
      </c>
      <c r="AC1061" s="2">
        <f t="shared" si="144"/>
        <v>4</v>
      </c>
      <c r="AD1061" s="2">
        <f t="shared" si="145"/>
        <v>13</v>
      </c>
      <c r="AE1061" s="2">
        <f t="shared" si="146"/>
        <v>9</v>
      </c>
      <c r="AF1061" s="2">
        <f t="shared" si="147"/>
        <v>16</v>
      </c>
      <c r="AG1061" s="2">
        <f t="shared" si="148"/>
        <v>3</v>
      </c>
      <c r="AH1061" s="4">
        <f t="shared" si="149"/>
        <v>44883.68608796296</v>
      </c>
      <c r="AI1061" s="2" t="str">
        <f t="shared" si="150"/>
        <v/>
      </c>
      <c r="AJ1061" s="2" t="str">
        <f t="shared" si="151"/>
        <v/>
      </c>
      <c r="AK1061" s="2" t="str">
        <f t="shared" si="152"/>
        <v/>
      </c>
    </row>
    <row r="1062" spans="1:37" x14ac:dyDescent="0.25">
      <c r="A1062">
        <v>2252</v>
      </c>
      <c r="B1062" t="s">
        <v>1178</v>
      </c>
      <c r="C1062" t="s">
        <v>1142</v>
      </c>
      <c r="D1062" t="s">
        <v>1166</v>
      </c>
      <c r="E1062" t="s">
        <v>1167</v>
      </c>
      <c r="F1062" t="s">
        <v>1168</v>
      </c>
      <c r="G1062" t="s">
        <v>144</v>
      </c>
      <c r="H1062" s="1">
        <v>44781.68608796296</v>
      </c>
      <c r="I1062" s="1">
        <v>44782.68608796296</v>
      </c>
      <c r="J1062" t="s">
        <v>32</v>
      </c>
      <c r="K1062" s="1">
        <v>44798.68608796296</v>
      </c>
      <c r="L1062" t="s">
        <v>57</v>
      </c>
      <c r="N1062" s="4">
        <v>44802.68608796296</v>
      </c>
      <c r="O1062" t="s">
        <v>57</v>
      </c>
      <c r="P1062" s="4">
        <v>44799.68608796296</v>
      </c>
      <c r="Q1062" s="4">
        <v>44802.68608796296</v>
      </c>
      <c r="R1062" s="4">
        <v>44801.68608796296</v>
      </c>
      <c r="S1062" s="4">
        <v>44809.68608796296</v>
      </c>
      <c r="T1062">
        <v>1</v>
      </c>
      <c r="U1062" s="4">
        <v>44812.68608796296</v>
      </c>
      <c r="V1062" s="4">
        <v>44813.68608796296</v>
      </c>
      <c r="W1062" s="4">
        <v>44815.68608796296</v>
      </c>
      <c r="Z1062" s="4">
        <v>44833.68608796296</v>
      </c>
      <c r="AC1062" s="2">
        <f t="shared" si="144"/>
        <v>1</v>
      </c>
      <c r="AD1062" s="2">
        <f t="shared" si="145"/>
        <v>17</v>
      </c>
      <c r="AE1062" s="2">
        <f t="shared" si="146"/>
        <v>16</v>
      </c>
      <c r="AF1062" s="2">
        <f t="shared" si="147"/>
        <v>20</v>
      </c>
      <c r="AG1062" s="2">
        <f t="shared" si="148"/>
        <v>3</v>
      </c>
      <c r="AH1062" s="4">
        <f t="shared" si="149"/>
        <v>44891.68608796296</v>
      </c>
      <c r="AI1062" s="2">
        <f t="shared" si="150"/>
        <v>3</v>
      </c>
      <c r="AJ1062" s="2">
        <f t="shared" si="151"/>
        <v>32</v>
      </c>
      <c r="AK1062" s="2">
        <f t="shared" si="152"/>
        <v>14</v>
      </c>
    </row>
    <row r="1063" spans="1:37" x14ac:dyDescent="0.25">
      <c r="A1063">
        <v>2251</v>
      </c>
      <c r="B1063" t="s">
        <v>1179</v>
      </c>
      <c r="C1063" t="s">
        <v>1142</v>
      </c>
      <c r="D1063" t="s">
        <v>1166</v>
      </c>
      <c r="E1063" t="s">
        <v>1167</v>
      </c>
      <c r="F1063" t="s">
        <v>1168</v>
      </c>
      <c r="G1063" t="s">
        <v>144</v>
      </c>
      <c r="H1063" s="1">
        <v>44784.68608796296</v>
      </c>
      <c r="I1063" s="1">
        <v>44785.68608796296</v>
      </c>
      <c r="J1063" t="s">
        <v>32</v>
      </c>
      <c r="K1063" s="1">
        <v>44793.68608796296</v>
      </c>
      <c r="L1063" t="s">
        <v>33</v>
      </c>
      <c r="M1063" t="s">
        <v>51</v>
      </c>
      <c r="T1063">
        <v>0</v>
      </c>
      <c r="Y1063" t="s">
        <v>55</v>
      </c>
      <c r="AC1063" s="2">
        <f t="shared" si="144"/>
        <v>1</v>
      </c>
      <c r="AD1063" s="2">
        <f t="shared" si="145"/>
        <v>9</v>
      </c>
      <c r="AE1063" s="2">
        <f t="shared" si="146"/>
        <v>8</v>
      </c>
      <c r="AF1063" s="2" t="str">
        <f t="shared" si="147"/>
        <v/>
      </c>
      <c r="AG1063" s="2" t="str">
        <f t="shared" si="148"/>
        <v/>
      </c>
      <c r="AH1063" s="4" t="str">
        <f t="shared" si="149"/>
        <v/>
      </c>
      <c r="AI1063" s="2" t="str">
        <f t="shared" si="150"/>
        <v/>
      </c>
      <c r="AJ1063" s="2" t="str">
        <f t="shared" si="151"/>
        <v/>
      </c>
      <c r="AK1063" s="2" t="str">
        <f t="shared" si="152"/>
        <v/>
      </c>
    </row>
    <row r="1064" spans="1:37" x14ac:dyDescent="0.25">
      <c r="A1064">
        <v>1954</v>
      </c>
      <c r="B1064" t="s">
        <v>1180</v>
      </c>
      <c r="C1064" t="s">
        <v>1142</v>
      </c>
      <c r="D1064" t="s">
        <v>1166</v>
      </c>
      <c r="E1064" t="s">
        <v>1167</v>
      </c>
      <c r="F1064" t="s">
        <v>1168</v>
      </c>
      <c r="G1064" t="s">
        <v>144</v>
      </c>
      <c r="H1064" s="1">
        <v>44818.042395833334</v>
      </c>
      <c r="I1064" s="1">
        <v>44820.042395833334</v>
      </c>
      <c r="J1064" t="s">
        <v>32</v>
      </c>
      <c r="K1064" s="1">
        <v>44838.042395833334</v>
      </c>
      <c r="L1064" t="s">
        <v>39</v>
      </c>
      <c r="N1064" s="4">
        <v>44844.042395833334</v>
      </c>
      <c r="O1064" t="s">
        <v>39</v>
      </c>
      <c r="R1064" s="4">
        <v>44841.042395833334</v>
      </c>
      <c r="T1064">
        <v>0</v>
      </c>
      <c r="AC1064" s="2">
        <f t="shared" si="144"/>
        <v>2</v>
      </c>
      <c r="AD1064" s="2">
        <f t="shared" si="145"/>
        <v>20</v>
      </c>
      <c r="AE1064" s="2">
        <f t="shared" si="146"/>
        <v>18</v>
      </c>
      <c r="AF1064" s="2">
        <f t="shared" si="147"/>
        <v>23</v>
      </c>
      <c r="AG1064" s="2">
        <f t="shared" si="148"/>
        <v>3</v>
      </c>
      <c r="AH1064" s="4">
        <f t="shared" si="149"/>
        <v>44931.042395833334</v>
      </c>
      <c r="AI1064" s="2" t="str">
        <f t="shared" si="150"/>
        <v/>
      </c>
      <c r="AJ1064" s="2" t="str">
        <f t="shared" si="151"/>
        <v/>
      </c>
      <c r="AK1064" s="2" t="str">
        <f t="shared" si="152"/>
        <v/>
      </c>
    </row>
    <row r="1065" spans="1:37" x14ac:dyDescent="0.25">
      <c r="A1065">
        <v>1951</v>
      </c>
      <c r="B1065" t="s">
        <v>1181</v>
      </c>
      <c r="C1065" t="s">
        <v>1142</v>
      </c>
      <c r="D1065" t="s">
        <v>1166</v>
      </c>
      <c r="E1065" t="s">
        <v>1167</v>
      </c>
      <c r="F1065" t="s">
        <v>1168</v>
      </c>
      <c r="G1065" t="s">
        <v>144</v>
      </c>
      <c r="H1065" s="1">
        <v>44821.042395833334</v>
      </c>
      <c r="I1065" s="1">
        <v>44823.042395833334</v>
      </c>
      <c r="J1065" t="s">
        <v>32</v>
      </c>
      <c r="K1065" s="1">
        <v>44835.042395833334</v>
      </c>
      <c r="L1065" t="s">
        <v>33</v>
      </c>
      <c r="M1065" t="s">
        <v>34</v>
      </c>
      <c r="T1065">
        <v>0</v>
      </c>
      <c r="Y1065" t="s">
        <v>35</v>
      </c>
      <c r="AC1065" s="2">
        <f t="shared" si="144"/>
        <v>2</v>
      </c>
      <c r="AD1065" s="2">
        <f t="shared" si="145"/>
        <v>14</v>
      </c>
      <c r="AE1065" s="2">
        <f t="shared" si="146"/>
        <v>12</v>
      </c>
      <c r="AF1065" s="2" t="str">
        <f t="shared" si="147"/>
        <v/>
      </c>
      <c r="AG1065" s="2" t="str">
        <f t="shared" si="148"/>
        <v/>
      </c>
      <c r="AH1065" s="4" t="str">
        <f t="shared" si="149"/>
        <v/>
      </c>
      <c r="AI1065" s="2" t="str">
        <f t="shared" si="150"/>
        <v/>
      </c>
      <c r="AJ1065" s="2" t="str">
        <f t="shared" si="151"/>
        <v/>
      </c>
      <c r="AK1065" s="2" t="str">
        <f t="shared" si="152"/>
        <v/>
      </c>
    </row>
    <row r="1066" spans="1:37" x14ac:dyDescent="0.25">
      <c r="A1066">
        <v>1915</v>
      </c>
      <c r="B1066" t="s">
        <v>1182</v>
      </c>
      <c r="C1066" t="s">
        <v>1142</v>
      </c>
      <c r="D1066" t="s">
        <v>1166</v>
      </c>
      <c r="E1066" t="s">
        <v>1167</v>
      </c>
      <c r="F1066" t="s">
        <v>1168</v>
      </c>
      <c r="G1066" t="s">
        <v>144</v>
      </c>
      <c r="H1066" s="1">
        <v>44687.892118055555</v>
      </c>
      <c r="I1066" s="1">
        <v>44688.892118055555</v>
      </c>
      <c r="J1066" t="s">
        <v>32</v>
      </c>
      <c r="K1066" s="1">
        <v>44697.892118055555</v>
      </c>
      <c r="L1066" t="s">
        <v>33</v>
      </c>
      <c r="M1066" t="s">
        <v>34</v>
      </c>
      <c r="R1066" s="4">
        <v>44700.892118055555</v>
      </c>
      <c r="T1066">
        <v>0</v>
      </c>
      <c r="Y1066" t="s">
        <v>35</v>
      </c>
      <c r="AC1066" s="2">
        <f t="shared" si="144"/>
        <v>1</v>
      </c>
      <c r="AD1066" s="2">
        <f t="shared" si="145"/>
        <v>10</v>
      </c>
      <c r="AE1066" s="2">
        <f t="shared" si="146"/>
        <v>9</v>
      </c>
      <c r="AF1066" s="2">
        <f t="shared" si="147"/>
        <v>13</v>
      </c>
      <c r="AG1066" s="2">
        <f t="shared" si="148"/>
        <v>3</v>
      </c>
      <c r="AH1066" s="4">
        <f t="shared" si="149"/>
        <v>44790.892118055555</v>
      </c>
      <c r="AI1066" s="2" t="str">
        <f t="shared" si="150"/>
        <v/>
      </c>
      <c r="AJ1066" s="2" t="str">
        <f t="shared" si="151"/>
        <v/>
      </c>
      <c r="AK1066" s="2" t="str">
        <f t="shared" si="152"/>
        <v/>
      </c>
    </row>
    <row r="1067" spans="1:37" x14ac:dyDescent="0.25">
      <c r="A1067">
        <v>1914</v>
      </c>
      <c r="B1067" t="s">
        <v>1183</v>
      </c>
      <c r="C1067" t="s">
        <v>1142</v>
      </c>
      <c r="D1067" t="s">
        <v>1166</v>
      </c>
      <c r="E1067" t="s">
        <v>1167</v>
      </c>
      <c r="F1067" t="s">
        <v>1168</v>
      </c>
      <c r="G1067" t="s">
        <v>144</v>
      </c>
      <c r="H1067" s="1">
        <v>44683.892118055555</v>
      </c>
      <c r="I1067" s="1">
        <v>44686.892118055555</v>
      </c>
      <c r="J1067" t="s">
        <v>32</v>
      </c>
      <c r="K1067" s="1">
        <v>44691.892118055555</v>
      </c>
      <c r="L1067" t="s">
        <v>164</v>
      </c>
      <c r="N1067" s="4">
        <v>44696.892118055555</v>
      </c>
      <c r="O1067" t="s">
        <v>164</v>
      </c>
      <c r="R1067" s="4">
        <v>44695.892118055555</v>
      </c>
      <c r="T1067">
        <v>0</v>
      </c>
      <c r="AC1067" s="2">
        <f t="shared" si="144"/>
        <v>3</v>
      </c>
      <c r="AD1067" s="2">
        <f t="shared" si="145"/>
        <v>8</v>
      </c>
      <c r="AE1067" s="2">
        <f t="shared" si="146"/>
        <v>5</v>
      </c>
      <c r="AF1067" s="2">
        <f t="shared" si="147"/>
        <v>12</v>
      </c>
      <c r="AG1067" s="2">
        <f t="shared" si="148"/>
        <v>4</v>
      </c>
      <c r="AH1067" s="4">
        <f t="shared" si="149"/>
        <v>44785.892118055555</v>
      </c>
      <c r="AI1067" s="2" t="str">
        <f t="shared" si="150"/>
        <v/>
      </c>
      <c r="AJ1067" s="2" t="str">
        <f t="shared" si="151"/>
        <v/>
      </c>
      <c r="AK1067" s="2" t="str">
        <f t="shared" si="152"/>
        <v/>
      </c>
    </row>
    <row r="1068" spans="1:37" x14ac:dyDescent="0.25">
      <c r="A1068">
        <v>1909</v>
      </c>
      <c r="B1068" t="s">
        <v>1184</v>
      </c>
      <c r="C1068" t="s">
        <v>1142</v>
      </c>
      <c r="D1068" t="s">
        <v>1166</v>
      </c>
      <c r="E1068" t="s">
        <v>1167</v>
      </c>
      <c r="F1068" t="s">
        <v>1168</v>
      </c>
      <c r="G1068" t="s">
        <v>144</v>
      </c>
      <c r="H1068" s="1">
        <v>44994.686469907407</v>
      </c>
      <c r="I1068" s="1">
        <v>44998.686469907407</v>
      </c>
      <c r="J1068" t="s">
        <v>32</v>
      </c>
      <c r="K1068" s="1">
        <v>45013.686469907407</v>
      </c>
      <c r="L1068" t="s">
        <v>33</v>
      </c>
      <c r="M1068" t="s">
        <v>108</v>
      </c>
      <c r="R1068" s="4">
        <v>45015.686469907407</v>
      </c>
      <c r="T1068">
        <v>0</v>
      </c>
      <c r="Y1068" t="s">
        <v>55</v>
      </c>
      <c r="AC1068" s="2">
        <f t="shared" si="144"/>
        <v>4</v>
      </c>
      <c r="AD1068" s="2">
        <f t="shared" si="145"/>
        <v>19</v>
      </c>
      <c r="AE1068" s="2">
        <f t="shared" si="146"/>
        <v>15</v>
      </c>
      <c r="AF1068" s="2">
        <f t="shared" si="147"/>
        <v>21</v>
      </c>
      <c r="AG1068" s="2">
        <f t="shared" si="148"/>
        <v>2</v>
      </c>
      <c r="AH1068" s="4">
        <f t="shared" si="149"/>
        <v>45105.686469907407</v>
      </c>
      <c r="AI1068" s="2" t="str">
        <f t="shared" si="150"/>
        <v/>
      </c>
      <c r="AJ1068" s="2" t="str">
        <f t="shared" si="151"/>
        <v/>
      </c>
      <c r="AK1068" s="2" t="str">
        <f t="shared" si="152"/>
        <v/>
      </c>
    </row>
    <row r="1069" spans="1:37" x14ac:dyDescent="0.25">
      <c r="A1069">
        <v>1905</v>
      </c>
      <c r="B1069" t="s">
        <v>1185</v>
      </c>
      <c r="C1069" t="s">
        <v>1142</v>
      </c>
      <c r="D1069" t="s">
        <v>1166</v>
      </c>
      <c r="E1069" t="s">
        <v>1167</v>
      </c>
      <c r="F1069" t="s">
        <v>1168</v>
      </c>
      <c r="G1069" t="s">
        <v>144</v>
      </c>
      <c r="H1069" s="1">
        <v>44993.686469907407</v>
      </c>
      <c r="I1069" s="1">
        <v>44996.686469907407</v>
      </c>
      <c r="J1069" t="s">
        <v>32</v>
      </c>
      <c r="K1069" s="1">
        <v>45017.686469907407</v>
      </c>
      <c r="L1069" t="s">
        <v>39</v>
      </c>
      <c r="N1069" s="4">
        <v>45022.686469907407</v>
      </c>
      <c r="O1069" t="s">
        <v>39</v>
      </c>
      <c r="R1069" s="4">
        <v>45020.686469907407</v>
      </c>
      <c r="T1069">
        <v>0</v>
      </c>
      <c r="AC1069" s="2">
        <f t="shared" si="144"/>
        <v>3</v>
      </c>
      <c r="AD1069" s="2">
        <f t="shared" si="145"/>
        <v>24</v>
      </c>
      <c r="AE1069" s="2">
        <f t="shared" si="146"/>
        <v>21</v>
      </c>
      <c r="AF1069" s="2">
        <f t="shared" si="147"/>
        <v>27</v>
      </c>
      <c r="AG1069" s="2">
        <f t="shared" si="148"/>
        <v>3</v>
      </c>
      <c r="AH1069" s="4">
        <f t="shared" si="149"/>
        <v>45110.686469907407</v>
      </c>
      <c r="AI1069" s="2" t="str">
        <f t="shared" si="150"/>
        <v/>
      </c>
      <c r="AJ1069" s="2" t="str">
        <f t="shared" si="151"/>
        <v/>
      </c>
      <c r="AK1069" s="2" t="str">
        <f t="shared" si="152"/>
        <v/>
      </c>
    </row>
    <row r="1070" spans="1:37" x14ac:dyDescent="0.25">
      <c r="A1070">
        <v>1777</v>
      </c>
      <c r="B1070" t="s">
        <v>1186</v>
      </c>
      <c r="C1070" t="s">
        <v>1142</v>
      </c>
      <c r="D1070" t="s">
        <v>1166</v>
      </c>
      <c r="E1070" t="s">
        <v>1167</v>
      </c>
      <c r="F1070" t="s">
        <v>1168</v>
      </c>
      <c r="G1070" t="s">
        <v>144</v>
      </c>
      <c r="H1070" s="1">
        <v>44709.825856481482</v>
      </c>
      <c r="I1070" s="1">
        <v>44712.825856481482</v>
      </c>
      <c r="J1070" t="s">
        <v>32</v>
      </c>
      <c r="K1070" s="1">
        <v>44733.825856481482</v>
      </c>
      <c r="L1070" t="s">
        <v>33</v>
      </c>
      <c r="M1070" t="s">
        <v>34</v>
      </c>
      <c r="T1070">
        <v>0</v>
      </c>
      <c r="Y1070" t="s">
        <v>55</v>
      </c>
      <c r="AC1070" s="2">
        <f t="shared" si="144"/>
        <v>3</v>
      </c>
      <c r="AD1070" s="2">
        <f t="shared" si="145"/>
        <v>24</v>
      </c>
      <c r="AE1070" s="2">
        <f t="shared" si="146"/>
        <v>21</v>
      </c>
      <c r="AF1070" s="2" t="str">
        <f t="shared" si="147"/>
        <v/>
      </c>
      <c r="AG1070" s="2" t="str">
        <f t="shared" si="148"/>
        <v/>
      </c>
      <c r="AH1070" s="4" t="str">
        <f t="shared" si="149"/>
        <v/>
      </c>
      <c r="AI1070" s="2" t="str">
        <f t="shared" si="150"/>
        <v/>
      </c>
      <c r="AJ1070" s="2" t="str">
        <f t="shared" si="151"/>
        <v/>
      </c>
      <c r="AK1070" s="2" t="str">
        <f t="shared" si="152"/>
        <v/>
      </c>
    </row>
    <row r="1071" spans="1:37" x14ac:dyDescent="0.25">
      <c r="A1071">
        <v>1649</v>
      </c>
      <c r="B1071" t="s">
        <v>1187</v>
      </c>
      <c r="C1071" t="s">
        <v>1142</v>
      </c>
      <c r="D1071" t="s">
        <v>1166</v>
      </c>
      <c r="E1071" t="s">
        <v>1167</v>
      </c>
      <c r="F1071" t="s">
        <v>1168</v>
      </c>
      <c r="G1071" t="s">
        <v>144</v>
      </c>
      <c r="H1071" s="1">
        <v>44912.661261574074</v>
      </c>
      <c r="I1071" s="1">
        <v>44915.661261574074</v>
      </c>
      <c r="J1071" t="s">
        <v>32</v>
      </c>
      <c r="K1071" s="1">
        <v>44934.661261574074</v>
      </c>
      <c r="L1071" t="s">
        <v>39</v>
      </c>
      <c r="N1071" s="4">
        <v>44939.661261574074</v>
      </c>
      <c r="O1071" t="s">
        <v>39</v>
      </c>
      <c r="R1071" s="4">
        <v>44938.661261574074</v>
      </c>
      <c r="T1071">
        <v>0</v>
      </c>
      <c r="AC1071" s="2">
        <f t="shared" si="144"/>
        <v>3</v>
      </c>
      <c r="AD1071" s="2">
        <f t="shared" si="145"/>
        <v>22</v>
      </c>
      <c r="AE1071" s="2">
        <f t="shared" si="146"/>
        <v>19</v>
      </c>
      <c r="AF1071" s="2">
        <f t="shared" si="147"/>
        <v>26</v>
      </c>
      <c r="AG1071" s="2">
        <f t="shared" si="148"/>
        <v>4</v>
      </c>
      <c r="AH1071" s="4">
        <f t="shared" si="149"/>
        <v>45028.661261574074</v>
      </c>
      <c r="AI1071" s="2" t="str">
        <f t="shared" si="150"/>
        <v/>
      </c>
      <c r="AJ1071" s="2" t="str">
        <f t="shared" si="151"/>
        <v/>
      </c>
      <c r="AK1071" s="2" t="str">
        <f t="shared" si="152"/>
        <v/>
      </c>
    </row>
    <row r="1072" spans="1:37" x14ac:dyDescent="0.25">
      <c r="A1072">
        <v>1591</v>
      </c>
      <c r="B1072" t="s">
        <v>1188</v>
      </c>
      <c r="C1072" t="s">
        <v>1142</v>
      </c>
      <c r="D1072" t="s">
        <v>1166</v>
      </c>
      <c r="E1072" t="s">
        <v>29</v>
      </c>
      <c r="F1072" t="s">
        <v>1189</v>
      </c>
      <c r="G1072" t="s">
        <v>144</v>
      </c>
      <c r="H1072" s="1">
        <v>44993.164201388892</v>
      </c>
      <c r="I1072" s="1">
        <v>44994.164201388892</v>
      </c>
      <c r="J1072" t="s">
        <v>32</v>
      </c>
      <c r="K1072" s="1">
        <v>45013.164201388892</v>
      </c>
      <c r="L1072" t="s">
        <v>33</v>
      </c>
      <c r="M1072" t="s">
        <v>67</v>
      </c>
      <c r="R1072" s="4">
        <v>45015.164201388892</v>
      </c>
      <c r="T1072">
        <v>0</v>
      </c>
      <c r="Y1072" t="s">
        <v>35</v>
      </c>
      <c r="AC1072" s="2">
        <f t="shared" si="144"/>
        <v>1</v>
      </c>
      <c r="AD1072" s="2">
        <f t="shared" si="145"/>
        <v>20</v>
      </c>
      <c r="AE1072" s="2">
        <f t="shared" si="146"/>
        <v>19</v>
      </c>
      <c r="AF1072" s="2">
        <f t="shared" si="147"/>
        <v>22</v>
      </c>
      <c r="AG1072" s="2">
        <f t="shared" si="148"/>
        <v>2</v>
      </c>
      <c r="AH1072" s="4">
        <f t="shared" si="149"/>
        <v>45105.164201388892</v>
      </c>
      <c r="AI1072" s="2" t="str">
        <f t="shared" si="150"/>
        <v/>
      </c>
      <c r="AJ1072" s="2" t="str">
        <f t="shared" si="151"/>
        <v/>
      </c>
      <c r="AK1072" s="2" t="str">
        <f t="shared" si="152"/>
        <v/>
      </c>
    </row>
    <row r="1073" spans="1:37" x14ac:dyDescent="0.25">
      <c r="A1073">
        <v>1531</v>
      </c>
      <c r="B1073" t="s">
        <v>1190</v>
      </c>
      <c r="C1073" t="s">
        <v>1142</v>
      </c>
      <c r="D1073" t="s">
        <v>1166</v>
      </c>
      <c r="E1073" t="s">
        <v>29</v>
      </c>
      <c r="F1073" t="s">
        <v>1189</v>
      </c>
      <c r="G1073" t="s">
        <v>144</v>
      </c>
      <c r="H1073" s="1">
        <v>45057.546423611115</v>
      </c>
      <c r="I1073" s="1">
        <v>45058.546423611115</v>
      </c>
      <c r="J1073" t="s">
        <v>32</v>
      </c>
      <c r="K1073" s="1">
        <v>45072.546423611115</v>
      </c>
      <c r="L1073" t="s">
        <v>33</v>
      </c>
      <c r="M1073" t="s">
        <v>92</v>
      </c>
      <c r="R1073" s="4">
        <v>45075.546423611115</v>
      </c>
      <c r="T1073">
        <v>0</v>
      </c>
      <c r="Y1073" t="s">
        <v>55</v>
      </c>
      <c r="AC1073" s="2">
        <f t="shared" si="144"/>
        <v>1</v>
      </c>
      <c r="AD1073" s="2">
        <f t="shared" si="145"/>
        <v>15</v>
      </c>
      <c r="AE1073" s="2">
        <f t="shared" si="146"/>
        <v>14</v>
      </c>
      <c r="AF1073" s="2">
        <f t="shared" si="147"/>
        <v>18</v>
      </c>
      <c r="AG1073" s="2">
        <f t="shared" si="148"/>
        <v>3</v>
      </c>
      <c r="AH1073" s="4">
        <f t="shared" si="149"/>
        <v>45165.546423611115</v>
      </c>
      <c r="AI1073" s="2" t="str">
        <f t="shared" si="150"/>
        <v/>
      </c>
      <c r="AJ1073" s="2" t="str">
        <f t="shared" si="151"/>
        <v/>
      </c>
      <c r="AK1073" s="2" t="str">
        <f t="shared" si="152"/>
        <v/>
      </c>
    </row>
    <row r="1074" spans="1:37" x14ac:dyDescent="0.25">
      <c r="A1074">
        <v>1510</v>
      </c>
      <c r="B1074" t="s">
        <v>1191</v>
      </c>
      <c r="C1074" t="s">
        <v>1142</v>
      </c>
      <c r="D1074" t="s">
        <v>1166</v>
      </c>
      <c r="E1074" t="s">
        <v>29</v>
      </c>
      <c r="F1074" t="s">
        <v>1189</v>
      </c>
      <c r="G1074" t="s">
        <v>144</v>
      </c>
      <c r="H1074" s="1">
        <v>44759.346215277779</v>
      </c>
      <c r="I1074" s="1">
        <v>44760.346215277779</v>
      </c>
      <c r="J1074" t="s">
        <v>32</v>
      </c>
      <c r="K1074" s="1">
        <v>44778.346215277779</v>
      </c>
      <c r="L1074" t="s">
        <v>57</v>
      </c>
      <c r="N1074" s="4">
        <v>44782.346215277779</v>
      </c>
      <c r="O1074" t="s">
        <v>57</v>
      </c>
      <c r="P1074" s="4">
        <v>44779.346215277779</v>
      </c>
      <c r="Q1074" s="4">
        <v>44783.346215277779</v>
      </c>
      <c r="R1074" s="4">
        <v>44780.346215277779</v>
      </c>
      <c r="S1074" s="4">
        <v>44788.346215277779</v>
      </c>
      <c r="T1074">
        <v>1</v>
      </c>
      <c r="U1074" s="4">
        <v>44789.346215277779</v>
      </c>
      <c r="V1074" s="4">
        <v>44791.346215277779</v>
      </c>
      <c r="W1074" s="4">
        <v>44793.346215277779</v>
      </c>
      <c r="Z1074" s="4">
        <v>44804.346215277779</v>
      </c>
      <c r="AC1074" s="2">
        <f t="shared" si="144"/>
        <v>1</v>
      </c>
      <c r="AD1074" s="2">
        <f t="shared" si="145"/>
        <v>19</v>
      </c>
      <c r="AE1074" s="2">
        <f t="shared" si="146"/>
        <v>18</v>
      </c>
      <c r="AF1074" s="2">
        <f t="shared" si="147"/>
        <v>21</v>
      </c>
      <c r="AG1074" s="2">
        <f t="shared" si="148"/>
        <v>2</v>
      </c>
      <c r="AH1074" s="4">
        <f t="shared" si="149"/>
        <v>44870.346215277779</v>
      </c>
      <c r="AI1074" s="2">
        <f t="shared" si="150"/>
        <v>1</v>
      </c>
      <c r="AJ1074" s="2">
        <f t="shared" si="151"/>
        <v>24</v>
      </c>
      <c r="AK1074" s="2">
        <f t="shared" si="152"/>
        <v>13</v>
      </c>
    </row>
    <row r="1075" spans="1:37" x14ac:dyDescent="0.25">
      <c r="A1075">
        <v>1491</v>
      </c>
      <c r="B1075" t="s">
        <v>1192</v>
      </c>
      <c r="C1075" t="s">
        <v>1142</v>
      </c>
      <c r="D1075" t="s">
        <v>1166</v>
      </c>
      <c r="E1075" t="s">
        <v>29</v>
      </c>
      <c r="F1075" t="s">
        <v>1189</v>
      </c>
      <c r="G1075" t="s">
        <v>144</v>
      </c>
      <c r="H1075" s="1">
        <v>44693.569456018522</v>
      </c>
      <c r="I1075" s="1">
        <v>44697.569456018522</v>
      </c>
      <c r="J1075" t="s">
        <v>32</v>
      </c>
      <c r="K1075" s="1">
        <v>44710.569456018522</v>
      </c>
      <c r="L1075" t="s">
        <v>39</v>
      </c>
      <c r="N1075" s="4">
        <v>44713.569456018522</v>
      </c>
      <c r="O1075" t="s">
        <v>39</v>
      </c>
      <c r="R1075" s="4">
        <v>44711.569456018522</v>
      </c>
      <c r="T1075">
        <v>0</v>
      </c>
      <c r="AC1075" s="2">
        <f t="shared" si="144"/>
        <v>4</v>
      </c>
      <c r="AD1075" s="2">
        <f t="shared" si="145"/>
        <v>17</v>
      </c>
      <c r="AE1075" s="2">
        <f t="shared" si="146"/>
        <v>13</v>
      </c>
      <c r="AF1075" s="2">
        <f t="shared" si="147"/>
        <v>18</v>
      </c>
      <c r="AG1075" s="2">
        <f t="shared" si="148"/>
        <v>1</v>
      </c>
      <c r="AH1075" s="4">
        <f t="shared" si="149"/>
        <v>44801.569456018522</v>
      </c>
      <c r="AI1075" s="2" t="str">
        <f t="shared" si="150"/>
        <v/>
      </c>
      <c r="AJ1075" s="2" t="str">
        <f t="shared" si="151"/>
        <v/>
      </c>
      <c r="AK1075" s="2" t="str">
        <f t="shared" si="152"/>
        <v/>
      </c>
    </row>
    <row r="1076" spans="1:37" x14ac:dyDescent="0.25">
      <c r="A1076">
        <v>1460</v>
      </c>
      <c r="B1076" t="s">
        <v>1193</v>
      </c>
      <c r="C1076" t="s">
        <v>1142</v>
      </c>
      <c r="D1076" t="s">
        <v>1166</v>
      </c>
      <c r="E1076" t="s">
        <v>29</v>
      </c>
      <c r="F1076" t="s">
        <v>1189</v>
      </c>
      <c r="G1076" t="s">
        <v>144</v>
      </c>
      <c r="H1076" s="1">
        <v>45022.57240740741</v>
      </c>
      <c r="I1076" s="1">
        <v>45024.57240740741</v>
      </c>
      <c r="J1076" t="s">
        <v>32</v>
      </c>
      <c r="K1076" s="1">
        <v>45040.57240740741</v>
      </c>
      <c r="L1076" t="s">
        <v>39</v>
      </c>
      <c r="N1076" s="4">
        <v>45045.57240740741</v>
      </c>
      <c r="O1076" t="s">
        <v>39</v>
      </c>
      <c r="R1076" s="4">
        <v>45042.57240740741</v>
      </c>
      <c r="T1076">
        <v>0</v>
      </c>
      <c r="AC1076" s="2">
        <f t="shared" si="144"/>
        <v>2</v>
      </c>
      <c r="AD1076" s="2">
        <f t="shared" si="145"/>
        <v>18</v>
      </c>
      <c r="AE1076" s="2">
        <f t="shared" si="146"/>
        <v>16</v>
      </c>
      <c r="AF1076" s="2">
        <f t="shared" si="147"/>
        <v>20</v>
      </c>
      <c r="AG1076" s="2">
        <f t="shared" si="148"/>
        <v>2</v>
      </c>
      <c r="AH1076" s="4">
        <f t="shared" si="149"/>
        <v>45132.57240740741</v>
      </c>
      <c r="AI1076" s="2" t="str">
        <f t="shared" si="150"/>
        <v/>
      </c>
      <c r="AJ1076" s="2" t="str">
        <f t="shared" si="151"/>
        <v/>
      </c>
      <c r="AK1076" s="2" t="str">
        <f t="shared" si="152"/>
        <v/>
      </c>
    </row>
    <row r="1077" spans="1:37" x14ac:dyDescent="0.25">
      <c r="A1077">
        <v>1456</v>
      </c>
      <c r="B1077" t="s">
        <v>1194</v>
      </c>
      <c r="C1077" t="s">
        <v>1142</v>
      </c>
      <c r="D1077" t="s">
        <v>1166</v>
      </c>
      <c r="E1077" t="s">
        <v>29</v>
      </c>
      <c r="F1077" t="s">
        <v>1189</v>
      </c>
      <c r="G1077" t="s">
        <v>144</v>
      </c>
      <c r="H1077" s="1">
        <v>45020.57240740741</v>
      </c>
      <c r="I1077" s="1">
        <v>45024.57240740741</v>
      </c>
      <c r="J1077" t="s">
        <v>32</v>
      </c>
      <c r="K1077" s="1">
        <v>45040.57240740741</v>
      </c>
      <c r="L1077" t="s">
        <v>57</v>
      </c>
      <c r="N1077" s="4">
        <v>45048.57240740741</v>
      </c>
      <c r="O1077" t="s">
        <v>57</v>
      </c>
      <c r="P1077" s="4">
        <v>45041.57240740741</v>
      </c>
      <c r="Q1077" s="4">
        <v>45044.57240740741</v>
      </c>
      <c r="R1077" s="4">
        <v>45044.57240740741</v>
      </c>
      <c r="S1077" s="4">
        <v>45051.57240740741</v>
      </c>
      <c r="T1077">
        <v>1</v>
      </c>
      <c r="U1077" s="4">
        <v>45054.57240740741</v>
      </c>
      <c r="V1077" s="4">
        <v>45055.57240740741</v>
      </c>
      <c r="W1077" s="4">
        <v>45057.57240740741</v>
      </c>
      <c r="Z1077" s="4">
        <v>45079.57240740741</v>
      </c>
      <c r="AC1077" s="2">
        <f t="shared" si="144"/>
        <v>4</v>
      </c>
      <c r="AD1077" s="2">
        <f t="shared" si="145"/>
        <v>20</v>
      </c>
      <c r="AE1077" s="2">
        <f t="shared" si="146"/>
        <v>16</v>
      </c>
      <c r="AF1077" s="2">
        <f t="shared" si="147"/>
        <v>24</v>
      </c>
      <c r="AG1077" s="2">
        <f t="shared" si="148"/>
        <v>4</v>
      </c>
      <c r="AH1077" s="4">
        <f t="shared" si="149"/>
        <v>45134.57240740741</v>
      </c>
      <c r="AI1077" s="2">
        <f t="shared" si="150"/>
        <v>3</v>
      </c>
      <c r="AJ1077" s="2">
        <f t="shared" si="151"/>
        <v>35</v>
      </c>
      <c r="AK1077" s="2">
        <f t="shared" si="152"/>
        <v>13</v>
      </c>
    </row>
    <row r="1078" spans="1:37" x14ac:dyDescent="0.25">
      <c r="A1078">
        <v>1429</v>
      </c>
      <c r="B1078" t="s">
        <v>1195</v>
      </c>
      <c r="C1078" t="s">
        <v>1142</v>
      </c>
      <c r="D1078" t="s">
        <v>1166</v>
      </c>
      <c r="E1078" t="s">
        <v>29</v>
      </c>
      <c r="F1078" t="s">
        <v>1189</v>
      </c>
      <c r="G1078" t="s">
        <v>144</v>
      </c>
      <c r="H1078" s="1">
        <v>44661.11314814815</v>
      </c>
      <c r="I1078" s="1">
        <v>44662.11314814815</v>
      </c>
      <c r="J1078" t="s">
        <v>32</v>
      </c>
      <c r="K1078" s="1">
        <v>44683.11314814815</v>
      </c>
      <c r="L1078" t="s">
        <v>33</v>
      </c>
      <c r="M1078" t="s">
        <v>108</v>
      </c>
      <c r="R1078" s="4">
        <v>44684.11314814815</v>
      </c>
      <c r="T1078">
        <v>0</v>
      </c>
      <c r="Y1078" t="s">
        <v>55</v>
      </c>
      <c r="AC1078" s="2">
        <f t="shared" si="144"/>
        <v>1</v>
      </c>
      <c r="AD1078" s="2">
        <f t="shared" si="145"/>
        <v>22</v>
      </c>
      <c r="AE1078" s="2">
        <f t="shared" si="146"/>
        <v>21</v>
      </c>
      <c r="AF1078" s="2">
        <f t="shared" si="147"/>
        <v>23</v>
      </c>
      <c r="AG1078" s="2">
        <f t="shared" si="148"/>
        <v>1</v>
      </c>
      <c r="AH1078" s="4">
        <f t="shared" si="149"/>
        <v>44774.11314814815</v>
      </c>
      <c r="AI1078" s="2" t="str">
        <f t="shared" si="150"/>
        <v/>
      </c>
      <c r="AJ1078" s="2" t="str">
        <f t="shared" si="151"/>
        <v/>
      </c>
      <c r="AK1078" s="2" t="str">
        <f t="shared" si="152"/>
        <v/>
      </c>
    </row>
    <row r="1079" spans="1:37" x14ac:dyDescent="0.25">
      <c r="A1079">
        <v>1424</v>
      </c>
      <c r="B1079" t="s">
        <v>1196</v>
      </c>
      <c r="C1079" t="s">
        <v>1142</v>
      </c>
      <c r="D1079" t="s">
        <v>1166</v>
      </c>
      <c r="E1079" t="s">
        <v>29</v>
      </c>
      <c r="F1079" t="s">
        <v>1189</v>
      </c>
      <c r="G1079" t="s">
        <v>144</v>
      </c>
      <c r="H1079" s="1">
        <v>44658.11314814815</v>
      </c>
      <c r="I1079" s="1">
        <v>44660.11314814815</v>
      </c>
      <c r="J1079" t="s">
        <v>32</v>
      </c>
      <c r="K1079" s="1">
        <v>44677.11314814815</v>
      </c>
      <c r="L1079" t="s">
        <v>33</v>
      </c>
      <c r="M1079" t="s">
        <v>92</v>
      </c>
      <c r="T1079">
        <v>0</v>
      </c>
      <c r="Y1079" t="s">
        <v>55</v>
      </c>
      <c r="AC1079" s="2">
        <f t="shared" si="144"/>
        <v>2</v>
      </c>
      <c r="AD1079" s="2">
        <f t="shared" si="145"/>
        <v>19</v>
      </c>
      <c r="AE1079" s="2">
        <f t="shared" si="146"/>
        <v>17</v>
      </c>
      <c r="AF1079" s="2" t="str">
        <f t="shared" si="147"/>
        <v/>
      </c>
      <c r="AG1079" s="2" t="str">
        <f t="shared" si="148"/>
        <v/>
      </c>
      <c r="AH1079" s="4" t="str">
        <f t="shared" si="149"/>
        <v/>
      </c>
      <c r="AI1079" s="2" t="str">
        <f t="shared" si="150"/>
        <v/>
      </c>
      <c r="AJ1079" s="2" t="str">
        <f t="shared" si="151"/>
        <v/>
      </c>
      <c r="AK1079" s="2" t="str">
        <f t="shared" si="152"/>
        <v/>
      </c>
    </row>
    <row r="1080" spans="1:37" x14ac:dyDescent="0.25">
      <c r="A1080">
        <v>1370</v>
      </c>
      <c r="B1080" t="s">
        <v>1197</v>
      </c>
      <c r="C1080" t="s">
        <v>1142</v>
      </c>
      <c r="D1080" t="s">
        <v>1166</v>
      </c>
      <c r="E1080" t="s">
        <v>29</v>
      </c>
      <c r="F1080" t="s">
        <v>1189</v>
      </c>
      <c r="G1080" t="s">
        <v>144</v>
      </c>
      <c r="H1080" s="1">
        <v>44849.163807870369</v>
      </c>
      <c r="I1080" s="1">
        <v>44851.163807870369</v>
      </c>
      <c r="J1080" t="s">
        <v>32</v>
      </c>
      <c r="K1080" s="1">
        <v>44863.163807870369</v>
      </c>
      <c r="L1080" t="s">
        <v>164</v>
      </c>
      <c r="N1080" s="4">
        <v>44871.163807870369</v>
      </c>
      <c r="O1080" t="s">
        <v>164</v>
      </c>
      <c r="R1080" s="4">
        <v>44867.163807870369</v>
      </c>
      <c r="T1080">
        <v>0</v>
      </c>
      <c r="AC1080" s="2">
        <f t="shared" si="144"/>
        <v>2</v>
      </c>
      <c r="AD1080" s="2">
        <f t="shared" si="145"/>
        <v>14</v>
      </c>
      <c r="AE1080" s="2">
        <f t="shared" si="146"/>
        <v>12</v>
      </c>
      <c r="AF1080" s="2">
        <f t="shared" si="147"/>
        <v>18</v>
      </c>
      <c r="AG1080" s="2">
        <f t="shared" si="148"/>
        <v>4</v>
      </c>
      <c r="AH1080" s="4">
        <f t="shared" si="149"/>
        <v>44957.163807870369</v>
      </c>
      <c r="AI1080" s="2" t="str">
        <f t="shared" si="150"/>
        <v/>
      </c>
      <c r="AJ1080" s="2" t="str">
        <f t="shared" si="151"/>
        <v/>
      </c>
      <c r="AK1080" s="2" t="str">
        <f t="shared" si="152"/>
        <v/>
      </c>
    </row>
    <row r="1081" spans="1:37" x14ac:dyDescent="0.25">
      <c r="A1081">
        <v>1367</v>
      </c>
      <c r="B1081" t="s">
        <v>1198</v>
      </c>
      <c r="C1081" t="s">
        <v>1142</v>
      </c>
      <c r="D1081" t="s">
        <v>1166</v>
      </c>
      <c r="E1081" t="s">
        <v>29</v>
      </c>
      <c r="F1081" t="s">
        <v>1189</v>
      </c>
      <c r="G1081" t="s">
        <v>144</v>
      </c>
      <c r="H1081" s="1">
        <v>44849.163807870369</v>
      </c>
      <c r="I1081" s="1">
        <v>44853.163807870369</v>
      </c>
      <c r="J1081" t="s">
        <v>32</v>
      </c>
      <c r="K1081" s="1">
        <v>44866.163807870369</v>
      </c>
      <c r="L1081" t="s">
        <v>33</v>
      </c>
      <c r="M1081" t="s">
        <v>67</v>
      </c>
      <c r="R1081" s="4">
        <v>44867.163807870369</v>
      </c>
      <c r="T1081">
        <v>0</v>
      </c>
      <c r="Y1081" t="s">
        <v>55</v>
      </c>
      <c r="AC1081" s="2">
        <f t="shared" si="144"/>
        <v>4</v>
      </c>
      <c r="AD1081" s="2">
        <f t="shared" si="145"/>
        <v>17</v>
      </c>
      <c r="AE1081" s="2">
        <f t="shared" si="146"/>
        <v>13</v>
      </c>
      <c r="AF1081" s="2">
        <f t="shared" si="147"/>
        <v>18</v>
      </c>
      <c r="AG1081" s="2">
        <f t="shared" si="148"/>
        <v>1</v>
      </c>
      <c r="AH1081" s="4">
        <f t="shared" si="149"/>
        <v>44957.163807870369</v>
      </c>
      <c r="AI1081" s="2" t="str">
        <f t="shared" si="150"/>
        <v/>
      </c>
      <c r="AJ1081" s="2" t="str">
        <f t="shared" si="151"/>
        <v/>
      </c>
      <c r="AK1081" s="2" t="str">
        <f t="shared" si="152"/>
        <v/>
      </c>
    </row>
    <row r="1082" spans="1:37" x14ac:dyDescent="0.25">
      <c r="A1082">
        <v>1312</v>
      </c>
      <c r="B1082" t="s">
        <v>1199</v>
      </c>
      <c r="C1082" t="s">
        <v>1142</v>
      </c>
      <c r="D1082" t="s">
        <v>1166</v>
      </c>
      <c r="E1082" t="s">
        <v>29</v>
      </c>
      <c r="F1082" t="s">
        <v>1189</v>
      </c>
      <c r="G1082" t="s">
        <v>144</v>
      </c>
      <c r="H1082" s="1">
        <v>45149.233067129629</v>
      </c>
      <c r="I1082" s="1">
        <v>45151.233067129629</v>
      </c>
      <c r="J1082" t="s">
        <v>32</v>
      </c>
      <c r="K1082" s="1">
        <v>45170.233067129629</v>
      </c>
      <c r="L1082" t="s">
        <v>33</v>
      </c>
      <c r="M1082" t="s">
        <v>67</v>
      </c>
      <c r="T1082">
        <v>0</v>
      </c>
      <c r="Y1082" t="s">
        <v>55</v>
      </c>
      <c r="AC1082" s="2">
        <f t="shared" si="144"/>
        <v>2</v>
      </c>
      <c r="AD1082" s="2">
        <f t="shared" si="145"/>
        <v>21</v>
      </c>
      <c r="AE1082" s="2">
        <f t="shared" si="146"/>
        <v>19</v>
      </c>
      <c r="AF1082" s="2" t="str">
        <f t="shared" si="147"/>
        <v/>
      </c>
      <c r="AG1082" s="2" t="str">
        <f t="shared" si="148"/>
        <v/>
      </c>
      <c r="AH1082" s="4" t="str">
        <f t="shared" si="149"/>
        <v/>
      </c>
      <c r="AI1082" s="2" t="str">
        <f t="shared" si="150"/>
        <v/>
      </c>
      <c r="AJ1082" s="2" t="str">
        <f t="shared" si="151"/>
        <v/>
      </c>
      <c r="AK1082" s="2" t="str">
        <f t="shared" si="152"/>
        <v/>
      </c>
    </row>
    <row r="1083" spans="1:37" x14ac:dyDescent="0.25">
      <c r="A1083">
        <v>1280</v>
      </c>
      <c r="B1083" t="s">
        <v>1200</v>
      </c>
      <c r="C1083" t="s">
        <v>1142</v>
      </c>
      <c r="D1083" t="s">
        <v>1166</v>
      </c>
      <c r="E1083" t="s">
        <v>29</v>
      </c>
      <c r="F1083" t="s">
        <v>1189</v>
      </c>
      <c r="G1083" t="s">
        <v>144</v>
      </c>
      <c r="H1083" s="1">
        <v>44712.107928240737</v>
      </c>
      <c r="I1083" s="1">
        <v>44713.107928240737</v>
      </c>
      <c r="J1083" t="s">
        <v>32</v>
      </c>
      <c r="K1083" s="1">
        <v>44727.107928240737</v>
      </c>
      <c r="L1083" t="s">
        <v>164</v>
      </c>
      <c r="N1083" s="4">
        <v>44730.107928240737</v>
      </c>
      <c r="O1083" t="s">
        <v>164</v>
      </c>
      <c r="R1083" s="4">
        <v>44728.107928240737</v>
      </c>
      <c r="T1083">
        <v>0</v>
      </c>
      <c r="AC1083" s="2">
        <f t="shared" si="144"/>
        <v>1</v>
      </c>
      <c r="AD1083" s="2">
        <f t="shared" si="145"/>
        <v>15</v>
      </c>
      <c r="AE1083" s="2">
        <f t="shared" si="146"/>
        <v>14</v>
      </c>
      <c r="AF1083" s="2">
        <f t="shared" si="147"/>
        <v>16</v>
      </c>
      <c r="AG1083" s="2">
        <f t="shared" si="148"/>
        <v>1</v>
      </c>
      <c r="AH1083" s="4">
        <f t="shared" si="149"/>
        <v>44818.107928240737</v>
      </c>
      <c r="AI1083" s="2" t="str">
        <f t="shared" si="150"/>
        <v/>
      </c>
      <c r="AJ1083" s="2" t="str">
        <f t="shared" si="151"/>
        <v/>
      </c>
      <c r="AK1083" s="2" t="str">
        <f t="shared" si="152"/>
        <v/>
      </c>
    </row>
    <row r="1084" spans="1:37" x14ac:dyDescent="0.25">
      <c r="A1084">
        <v>1276</v>
      </c>
      <c r="B1084" t="s">
        <v>1201</v>
      </c>
      <c r="C1084" t="s">
        <v>1142</v>
      </c>
      <c r="D1084" t="s">
        <v>1166</v>
      </c>
      <c r="E1084" t="s">
        <v>29</v>
      </c>
      <c r="F1084" t="s">
        <v>1189</v>
      </c>
      <c r="G1084" t="s">
        <v>144</v>
      </c>
      <c r="H1084" s="1">
        <v>44711.107928240737</v>
      </c>
      <c r="I1084" s="1">
        <v>44714.107928240737</v>
      </c>
      <c r="J1084" t="s">
        <v>32</v>
      </c>
      <c r="K1084" s="1">
        <v>44728.107928240737</v>
      </c>
      <c r="L1084" t="s">
        <v>33</v>
      </c>
      <c r="M1084" t="s">
        <v>92</v>
      </c>
      <c r="T1084">
        <v>0</v>
      </c>
      <c r="Y1084" t="s">
        <v>55</v>
      </c>
      <c r="AC1084" s="2">
        <f t="shared" si="144"/>
        <v>3</v>
      </c>
      <c r="AD1084" s="2">
        <f t="shared" si="145"/>
        <v>17</v>
      </c>
      <c r="AE1084" s="2">
        <f t="shared" si="146"/>
        <v>14</v>
      </c>
      <c r="AF1084" s="2" t="str">
        <f t="shared" si="147"/>
        <v/>
      </c>
      <c r="AG1084" s="2" t="str">
        <f t="shared" si="148"/>
        <v/>
      </c>
      <c r="AH1084" s="4" t="str">
        <f t="shared" si="149"/>
        <v/>
      </c>
      <c r="AI1084" s="2" t="str">
        <f t="shared" si="150"/>
        <v/>
      </c>
      <c r="AJ1084" s="2" t="str">
        <f t="shared" si="151"/>
        <v/>
      </c>
      <c r="AK1084" s="2" t="str">
        <f t="shared" si="152"/>
        <v/>
      </c>
    </row>
    <row r="1085" spans="1:37" x14ac:dyDescent="0.25">
      <c r="A1085">
        <v>1214</v>
      </c>
      <c r="B1085" t="s">
        <v>1202</v>
      </c>
      <c r="C1085" t="s">
        <v>1142</v>
      </c>
      <c r="D1085" t="s">
        <v>1166</v>
      </c>
      <c r="E1085" t="s">
        <v>29</v>
      </c>
      <c r="F1085" t="s">
        <v>1189</v>
      </c>
      <c r="G1085" t="s">
        <v>144</v>
      </c>
      <c r="H1085" s="1">
        <v>45133.004317129627</v>
      </c>
      <c r="I1085" s="1">
        <v>45135.004317129627</v>
      </c>
      <c r="J1085" t="s">
        <v>32</v>
      </c>
      <c r="K1085" s="1">
        <v>45141.004317129627</v>
      </c>
      <c r="L1085" t="s">
        <v>39</v>
      </c>
      <c r="N1085" s="4">
        <v>45148.004317129627</v>
      </c>
      <c r="O1085" t="s">
        <v>39</v>
      </c>
      <c r="R1085" s="4">
        <v>45145.004317129627</v>
      </c>
      <c r="T1085">
        <v>0</v>
      </c>
      <c r="AC1085" s="2">
        <f t="shared" si="144"/>
        <v>2</v>
      </c>
      <c r="AD1085" s="2">
        <f t="shared" si="145"/>
        <v>8</v>
      </c>
      <c r="AE1085" s="2">
        <f t="shared" si="146"/>
        <v>6</v>
      </c>
      <c r="AF1085" s="2">
        <f t="shared" si="147"/>
        <v>12</v>
      </c>
      <c r="AG1085" s="2">
        <f t="shared" si="148"/>
        <v>4</v>
      </c>
      <c r="AH1085" s="4">
        <f t="shared" si="149"/>
        <v>45235.004317129627</v>
      </c>
      <c r="AI1085" s="2" t="str">
        <f t="shared" si="150"/>
        <v/>
      </c>
      <c r="AJ1085" s="2" t="str">
        <f t="shared" si="151"/>
        <v/>
      </c>
      <c r="AK1085" s="2" t="str">
        <f t="shared" si="152"/>
        <v/>
      </c>
    </row>
    <row r="1086" spans="1:37" x14ac:dyDescent="0.25">
      <c r="A1086">
        <v>1188</v>
      </c>
      <c r="B1086" t="s">
        <v>1203</v>
      </c>
      <c r="C1086" t="s">
        <v>1142</v>
      </c>
      <c r="D1086" t="s">
        <v>1166</v>
      </c>
      <c r="E1086" t="s">
        <v>29</v>
      </c>
      <c r="F1086" t="s">
        <v>1189</v>
      </c>
      <c r="G1086" t="s">
        <v>144</v>
      </c>
      <c r="H1086" s="1">
        <v>45072.784872685188</v>
      </c>
      <c r="I1086" s="1">
        <v>45074.784872685188</v>
      </c>
      <c r="J1086" t="s">
        <v>32</v>
      </c>
      <c r="K1086" s="1">
        <v>45091.784872685188</v>
      </c>
      <c r="L1086" t="s">
        <v>39</v>
      </c>
      <c r="N1086" s="4">
        <v>45096.784872685188</v>
      </c>
      <c r="O1086" t="s">
        <v>39</v>
      </c>
      <c r="R1086" s="4">
        <v>45092.784872685188</v>
      </c>
      <c r="T1086">
        <v>0</v>
      </c>
      <c r="AC1086" s="2">
        <f t="shared" si="144"/>
        <v>2</v>
      </c>
      <c r="AD1086" s="2">
        <f t="shared" si="145"/>
        <v>19</v>
      </c>
      <c r="AE1086" s="2">
        <f t="shared" si="146"/>
        <v>17</v>
      </c>
      <c r="AF1086" s="2">
        <f t="shared" si="147"/>
        <v>20</v>
      </c>
      <c r="AG1086" s="2">
        <f t="shared" si="148"/>
        <v>1</v>
      </c>
      <c r="AH1086" s="4">
        <f t="shared" si="149"/>
        <v>45182.784872685188</v>
      </c>
      <c r="AI1086" s="2" t="str">
        <f t="shared" si="150"/>
        <v/>
      </c>
      <c r="AJ1086" s="2" t="str">
        <f t="shared" si="151"/>
        <v/>
      </c>
      <c r="AK1086" s="2" t="str">
        <f t="shared" si="152"/>
        <v/>
      </c>
    </row>
    <row r="1087" spans="1:37" x14ac:dyDescent="0.25">
      <c r="A1087">
        <v>1168</v>
      </c>
      <c r="B1087" t="s">
        <v>1204</v>
      </c>
      <c r="C1087" t="s">
        <v>1142</v>
      </c>
      <c r="D1087" t="s">
        <v>1166</v>
      </c>
      <c r="E1087" t="s">
        <v>29</v>
      </c>
      <c r="F1087" t="s">
        <v>1189</v>
      </c>
      <c r="G1087" t="s">
        <v>144</v>
      </c>
      <c r="H1087" s="1">
        <v>44966.866122685184</v>
      </c>
      <c r="I1087" s="1">
        <v>44969.866122685184</v>
      </c>
      <c r="J1087" t="s">
        <v>32</v>
      </c>
      <c r="K1087" s="1">
        <v>44976.866122685184</v>
      </c>
      <c r="L1087" t="s">
        <v>33</v>
      </c>
      <c r="M1087" t="s">
        <v>108</v>
      </c>
      <c r="R1087" s="4">
        <v>44979.866122685184</v>
      </c>
      <c r="T1087">
        <v>0</v>
      </c>
      <c r="Y1087" t="s">
        <v>35</v>
      </c>
      <c r="AC1087" s="2">
        <f t="shared" si="144"/>
        <v>3</v>
      </c>
      <c r="AD1087" s="2">
        <f t="shared" si="145"/>
        <v>10</v>
      </c>
      <c r="AE1087" s="2">
        <f t="shared" si="146"/>
        <v>7</v>
      </c>
      <c r="AF1087" s="2">
        <f t="shared" si="147"/>
        <v>13</v>
      </c>
      <c r="AG1087" s="2">
        <f t="shared" si="148"/>
        <v>3</v>
      </c>
      <c r="AH1087" s="4">
        <f t="shared" si="149"/>
        <v>45069.866122685184</v>
      </c>
      <c r="AI1087" s="2" t="str">
        <f t="shared" si="150"/>
        <v/>
      </c>
      <c r="AJ1087" s="2" t="str">
        <f t="shared" si="151"/>
        <v/>
      </c>
      <c r="AK1087" s="2" t="str">
        <f t="shared" si="152"/>
        <v/>
      </c>
    </row>
    <row r="1088" spans="1:37" x14ac:dyDescent="0.25">
      <c r="A1088">
        <v>1163</v>
      </c>
      <c r="B1088" t="s">
        <v>1205</v>
      </c>
      <c r="C1088" t="s">
        <v>1142</v>
      </c>
      <c r="D1088" t="s">
        <v>1166</v>
      </c>
      <c r="E1088" t="s">
        <v>29</v>
      </c>
      <c r="F1088" t="s">
        <v>1189</v>
      </c>
      <c r="G1088" t="s">
        <v>144</v>
      </c>
      <c r="H1088" s="1">
        <v>44966.866122685184</v>
      </c>
      <c r="I1088" s="1">
        <v>44967.866122685184</v>
      </c>
      <c r="J1088" t="s">
        <v>32</v>
      </c>
      <c r="K1088" s="1">
        <v>44976.866122685184</v>
      </c>
      <c r="L1088" t="s">
        <v>33</v>
      </c>
      <c r="M1088" t="s">
        <v>92</v>
      </c>
      <c r="T1088">
        <v>0</v>
      </c>
      <c r="Y1088" t="s">
        <v>55</v>
      </c>
      <c r="AC1088" s="2">
        <f t="shared" si="144"/>
        <v>1</v>
      </c>
      <c r="AD1088" s="2">
        <f t="shared" si="145"/>
        <v>10</v>
      </c>
      <c r="AE1088" s="2">
        <f t="shared" si="146"/>
        <v>9</v>
      </c>
      <c r="AF1088" s="2" t="str">
        <f t="shared" si="147"/>
        <v/>
      </c>
      <c r="AG1088" s="2" t="str">
        <f t="shared" si="148"/>
        <v/>
      </c>
      <c r="AH1088" s="4" t="str">
        <f t="shared" si="149"/>
        <v/>
      </c>
      <c r="AI1088" s="2" t="str">
        <f t="shared" si="150"/>
        <v/>
      </c>
      <c r="AJ1088" s="2" t="str">
        <f t="shared" si="151"/>
        <v/>
      </c>
      <c r="AK1088" s="2" t="str">
        <f t="shared" si="152"/>
        <v/>
      </c>
    </row>
    <row r="1089" spans="1:37" x14ac:dyDescent="0.25">
      <c r="A1089">
        <v>1135</v>
      </c>
      <c r="B1089" t="s">
        <v>1206</v>
      </c>
      <c r="C1089" t="s">
        <v>1142</v>
      </c>
      <c r="D1089" t="s">
        <v>1166</v>
      </c>
      <c r="E1089" t="s">
        <v>29</v>
      </c>
      <c r="F1089" t="s">
        <v>1189</v>
      </c>
      <c r="G1089" t="s">
        <v>144</v>
      </c>
      <c r="H1089" s="1">
        <v>44635.796018518522</v>
      </c>
      <c r="I1089" s="1">
        <v>44638.796018518522</v>
      </c>
      <c r="J1089" t="s">
        <v>32</v>
      </c>
      <c r="K1089" s="1">
        <v>44651.796018518522</v>
      </c>
      <c r="L1089" t="s">
        <v>39</v>
      </c>
      <c r="N1089" s="4">
        <v>44653.796018518522</v>
      </c>
      <c r="O1089" t="s">
        <v>39</v>
      </c>
      <c r="R1089" s="4">
        <v>44652.796018518522</v>
      </c>
      <c r="T1089">
        <v>0</v>
      </c>
      <c r="AC1089" s="2">
        <f t="shared" si="144"/>
        <v>3</v>
      </c>
      <c r="AD1089" s="2">
        <f t="shared" si="145"/>
        <v>16</v>
      </c>
      <c r="AE1089" s="2">
        <f t="shared" si="146"/>
        <v>13</v>
      </c>
      <c r="AF1089" s="2">
        <f t="shared" si="147"/>
        <v>17</v>
      </c>
      <c r="AG1089" s="2">
        <f t="shared" si="148"/>
        <v>1</v>
      </c>
      <c r="AH1089" s="4">
        <f t="shared" si="149"/>
        <v>44742.796018518522</v>
      </c>
      <c r="AI1089" s="2" t="str">
        <f t="shared" si="150"/>
        <v/>
      </c>
      <c r="AJ1089" s="2" t="str">
        <f t="shared" si="151"/>
        <v/>
      </c>
      <c r="AK1089" s="2" t="str">
        <f t="shared" si="152"/>
        <v/>
      </c>
    </row>
    <row r="1090" spans="1:37" x14ac:dyDescent="0.25">
      <c r="A1090">
        <v>1128</v>
      </c>
      <c r="B1090" t="s">
        <v>1207</v>
      </c>
      <c r="C1090" t="s">
        <v>1142</v>
      </c>
      <c r="D1090" t="s">
        <v>1166</v>
      </c>
      <c r="E1090" t="s">
        <v>29</v>
      </c>
      <c r="F1090" t="s">
        <v>1189</v>
      </c>
      <c r="G1090" t="s">
        <v>144</v>
      </c>
      <c r="H1090" s="1">
        <v>45093.561550925922</v>
      </c>
      <c r="I1090" s="1">
        <v>45096.561550925922</v>
      </c>
      <c r="J1090" t="s">
        <v>32</v>
      </c>
      <c r="K1090" s="1">
        <v>45108.561550925922</v>
      </c>
      <c r="L1090" t="s">
        <v>39</v>
      </c>
      <c r="N1090" s="4">
        <v>45110.561550925922</v>
      </c>
      <c r="O1090" t="s">
        <v>39</v>
      </c>
      <c r="R1090" s="4">
        <v>45109.561550925922</v>
      </c>
      <c r="T1090">
        <v>0</v>
      </c>
      <c r="AC1090" s="2">
        <f t="shared" si="144"/>
        <v>3</v>
      </c>
      <c r="AD1090" s="2">
        <f t="shared" si="145"/>
        <v>15</v>
      </c>
      <c r="AE1090" s="2">
        <f t="shared" si="146"/>
        <v>12</v>
      </c>
      <c r="AF1090" s="2">
        <f t="shared" si="147"/>
        <v>16</v>
      </c>
      <c r="AG1090" s="2">
        <f t="shared" si="148"/>
        <v>1</v>
      </c>
      <c r="AH1090" s="4">
        <f t="shared" si="149"/>
        <v>45199.561550925922</v>
      </c>
      <c r="AI1090" s="2" t="str">
        <f t="shared" si="150"/>
        <v/>
      </c>
      <c r="AJ1090" s="2" t="str">
        <f t="shared" si="151"/>
        <v/>
      </c>
      <c r="AK1090" s="2" t="str">
        <f t="shared" si="152"/>
        <v/>
      </c>
    </row>
    <row r="1091" spans="1:37" x14ac:dyDescent="0.25">
      <c r="A1091">
        <v>1081</v>
      </c>
      <c r="B1091" t="s">
        <v>1208</v>
      </c>
      <c r="C1091" t="s">
        <v>1142</v>
      </c>
      <c r="D1091" t="s">
        <v>1166</v>
      </c>
      <c r="E1091" t="s">
        <v>29</v>
      </c>
      <c r="F1091" t="s">
        <v>1189</v>
      </c>
      <c r="G1091" t="s">
        <v>144</v>
      </c>
      <c r="H1091" s="1">
        <v>44891.976215277777</v>
      </c>
      <c r="I1091" s="1">
        <v>44895.976215277777</v>
      </c>
      <c r="J1091" t="s">
        <v>32</v>
      </c>
      <c r="K1091" s="1">
        <v>44907.976215277777</v>
      </c>
      <c r="L1091" t="s">
        <v>33</v>
      </c>
      <c r="M1091" t="s">
        <v>67</v>
      </c>
      <c r="T1091">
        <v>0</v>
      </c>
      <c r="Y1091" t="s">
        <v>55</v>
      </c>
      <c r="AC1091" s="2">
        <f t="shared" ref="AC1091:AC1154" si="153">IF(AND(I1091&lt;&gt;"",H1091&lt;&gt;""), I1091-H1091, "")</f>
        <v>4</v>
      </c>
      <c r="AD1091" s="2">
        <f t="shared" ref="AD1091:AD1154" si="154">IF(AND(K1091&lt;&gt;"",H1091&lt;&gt;""), K1091-H1091, "")</f>
        <v>16</v>
      </c>
      <c r="AE1091" s="2">
        <f t="shared" ref="AE1091:AE1154" si="155">IF(AND(K1091&lt;&gt;"",I1091&lt;&gt;""), K1091-I1091, "")</f>
        <v>12</v>
      </c>
      <c r="AF1091" s="2" t="str">
        <f t="shared" ref="AF1091:AF1154" si="156">IF(AND(R1091&lt;&gt;"",H1091&lt;&gt;""), R1091-H1091, "")</f>
        <v/>
      </c>
      <c r="AG1091" s="2" t="str">
        <f t="shared" ref="AG1091:AG1154" si="157">IF(AND(R1091&lt;&gt;"",K1091&lt;&gt;""), R1091-K1091, "")</f>
        <v/>
      </c>
      <c r="AH1091" s="4" t="str">
        <f t="shared" ref="AH1091:AH1154" si="158">IF(R1091&lt;&gt;"", R1091+90, "")</f>
        <v/>
      </c>
      <c r="AI1091" s="2" t="str">
        <f t="shared" ref="AI1091:AI1154" si="159">IF(AND(U1091&lt;&gt;"",S1091&lt;&gt;""), U1091-S1091, "")</f>
        <v/>
      </c>
      <c r="AJ1091" s="2" t="str">
        <f t="shared" ref="AJ1091:AJ1154" si="160">IF(AND(Z1091&lt;&gt;"",R1091&lt;&gt;""), Z1091-R1091, "")</f>
        <v/>
      </c>
      <c r="AK1091" s="2" t="str">
        <f t="shared" ref="AK1091:AK1154" si="161">IF(AND(W1091&lt;&gt;"",R1091&lt;&gt;""), W1091-R1091, "")</f>
        <v/>
      </c>
    </row>
    <row r="1092" spans="1:37" x14ac:dyDescent="0.25">
      <c r="A1092">
        <v>1049</v>
      </c>
      <c r="B1092" t="s">
        <v>1209</v>
      </c>
      <c r="C1092" t="s">
        <v>1142</v>
      </c>
      <c r="D1092" t="s">
        <v>1166</v>
      </c>
      <c r="E1092" t="s">
        <v>29</v>
      </c>
      <c r="F1092" t="s">
        <v>1189</v>
      </c>
      <c r="G1092" t="s">
        <v>144</v>
      </c>
      <c r="H1092" s="1">
        <v>44884.960578703707</v>
      </c>
      <c r="I1092" s="1">
        <v>44885.960578703707</v>
      </c>
      <c r="J1092" t="s">
        <v>32</v>
      </c>
      <c r="K1092" s="1">
        <v>44905.960578703707</v>
      </c>
      <c r="L1092" t="s">
        <v>33</v>
      </c>
      <c r="M1092" t="s">
        <v>92</v>
      </c>
      <c r="T1092">
        <v>0</v>
      </c>
      <c r="Y1092" t="s">
        <v>35</v>
      </c>
      <c r="AC1092" s="2">
        <f t="shared" si="153"/>
        <v>1</v>
      </c>
      <c r="AD1092" s="2">
        <f t="shared" si="154"/>
        <v>21</v>
      </c>
      <c r="AE1092" s="2">
        <f t="shared" si="155"/>
        <v>20</v>
      </c>
      <c r="AF1092" s="2" t="str">
        <f t="shared" si="156"/>
        <v/>
      </c>
      <c r="AG1092" s="2" t="str">
        <f t="shared" si="157"/>
        <v/>
      </c>
      <c r="AH1092" s="4" t="str">
        <f t="shared" si="158"/>
        <v/>
      </c>
      <c r="AI1092" s="2" t="str">
        <f t="shared" si="159"/>
        <v/>
      </c>
      <c r="AJ1092" s="2" t="str">
        <f t="shared" si="160"/>
        <v/>
      </c>
      <c r="AK1092" s="2" t="str">
        <f t="shared" si="161"/>
        <v/>
      </c>
    </row>
    <row r="1093" spans="1:37" x14ac:dyDescent="0.25">
      <c r="A1093">
        <v>1044</v>
      </c>
      <c r="B1093" t="s">
        <v>1210</v>
      </c>
      <c r="C1093" t="s">
        <v>1142</v>
      </c>
      <c r="D1093" t="s">
        <v>1166</v>
      </c>
      <c r="E1093" t="s">
        <v>29</v>
      </c>
      <c r="F1093" t="s">
        <v>1189</v>
      </c>
      <c r="G1093" t="s">
        <v>144</v>
      </c>
      <c r="H1093" s="1">
        <v>44886.960578703707</v>
      </c>
      <c r="I1093" s="1">
        <v>44887.960578703707</v>
      </c>
      <c r="J1093" t="s">
        <v>32</v>
      </c>
      <c r="K1093" s="1">
        <v>44908.960578703707</v>
      </c>
      <c r="L1093" t="s">
        <v>39</v>
      </c>
      <c r="N1093" s="4">
        <v>44911.960578703707</v>
      </c>
      <c r="O1093" t="s">
        <v>39</v>
      </c>
      <c r="R1093" s="4">
        <v>44909.960578703707</v>
      </c>
      <c r="T1093">
        <v>0</v>
      </c>
      <c r="AC1093" s="2">
        <f t="shared" si="153"/>
        <v>1</v>
      </c>
      <c r="AD1093" s="2">
        <f t="shared" si="154"/>
        <v>22</v>
      </c>
      <c r="AE1093" s="2">
        <f t="shared" si="155"/>
        <v>21</v>
      </c>
      <c r="AF1093" s="2">
        <f t="shared" si="156"/>
        <v>23</v>
      </c>
      <c r="AG1093" s="2">
        <f t="shared" si="157"/>
        <v>1</v>
      </c>
      <c r="AH1093" s="4">
        <f t="shared" si="158"/>
        <v>44999.960578703707</v>
      </c>
      <c r="AI1093" s="2" t="str">
        <f t="shared" si="159"/>
        <v/>
      </c>
      <c r="AJ1093" s="2" t="str">
        <f t="shared" si="160"/>
        <v/>
      </c>
      <c r="AK1093" s="2" t="str">
        <f t="shared" si="161"/>
        <v/>
      </c>
    </row>
    <row r="1094" spans="1:37" x14ac:dyDescent="0.25">
      <c r="A1094">
        <v>1041</v>
      </c>
      <c r="B1094" t="s">
        <v>1211</v>
      </c>
      <c r="C1094" t="s">
        <v>1142</v>
      </c>
      <c r="D1094" t="s">
        <v>1166</v>
      </c>
      <c r="E1094" t="s">
        <v>29</v>
      </c>
      <c r="F1094" t="s">
        <v>1189</v>
      </c>
      <c r="G1094" t="s">
        <v>144</v>
      </c>
      <c r="H1094" s="1">
        <v>44886.960578703707</v>
      </c>
      <c r="I1094" s="1">
        <v>44888.960578703707</v>
      </c>
      <c r="J1094" t="s">
        <v>32</v>
      </c>
      <c r="K1094" s="1">
        <v>44903.960578703707</v>
      </c>
      <c r="L1094" t="s">
        <v>39</v>
      </c>
      <c r="N1094" s="4">
        <v>44908.960578703707</v>
      </c>
      <c r="O1094" t="s">
        <v>39</v>
      </c>
      <c r="R1094" s="4">
        <v>44905.960578703707</v>
      </c>
      <c r="T1094">
        <v>0</v>
      </c>
      <c r="AC1094" s="2">
        <f t="shared" si="153"/>
        <v>2</v>
      </c>
      <c r="AD1094" s="2">
        <f t="shared" si="154"/>
        <v>17</v>
      </c>
      <c r="AE1094" s="2">
        <f t="shared" si="155"/>
        <v>15</v>
      </c>
      <c r="AF1094" s="2">
        <f t="shared" si="156"/>
        <v>19</v>
      </c>
      <c r="AG1094" s="2">
        <f t="shared" si="157"/>
        <v>2</v>
      </c>
      <c r="AH1094" s="4">
        <f t="shared" si="158"/>
        <v>44995.960578703707</v>
      </c>
      <c r="AI1094" s="2" t="str">
        <f t="shared" si="159"/>
        <v/>
      </c>
      <c r="AJ1094" s="2" t="str">
        <f t="shared" si="160"/>
        <v/>
      </c>
      <c r="AK1094" s="2" t="str">
        <f t="shared" si="161"/>
        <v/>
      </c>
    </row>
    <row r="1095" spans="1:37" x14ac:dyDescent="0.25">
      <c r="A1095">
        <v>1024</v>
      </c>
      <c r="B1095" t="s">
        <v>1212</v>
      </c>
      <c r="C1095" t="s">
        <v>1142</v>
      </c>
      <c r="D1095" t="s">
        <v>1166</v>
      </c>
      <c r="E1095" t="s">
        <v>29</v>
      </c>
      <c r="F1095" t="s">
        <v>1189</v>
      </c>
      <c r="G1095" t="s">
        <v>144</v>
      </c>
      <c r="H1095" s="1">
        <v>44954.791134259256</v>
      </c>
      <c r="I1095" s="1">
        <v>44955.791134259256</v>
      </c>
      <c r="J1095" t="s">
        <v>32</v>
      </c>
      <c r="K1095" s="1">
        <v>44974.791134259256</v>
      </c>
      <c r="L1095" t="s">
        <v>164</v>
      </c>
      <c r="N1095" s="4">
        <v>44982.791134259256</v>
      </c>
      <c r="O1095" t="s">
        <v>164</v>
      </c>
      <c r="R1095" s="4">
        <v>44978.791134259256</v>
      </c>
      <c r="T1095">
        <v>0</v>
      </c>
      <c r="AC1095" s="2">
        <f t="shared" si="153"/>
        <v>1</v>
      </c>
      <c r="AD1095" s="2">
        <f t="shared" si="154"/>
        <v>20</v>
      </c>
      <c r="AE1095" s="2">
        <f t="shared" si="155"/>
        <v>19</v>
      </c>
      <c r="AF1095" s="2">
        <f t="shared" si="156"/>
        <v>24</v>
      </c>
      <c r="AG1095" s="2">
        <f t="shared" si="157"/>
        <v>4</v>
      </c>
      <c r="AH1095" s="4">
        <f t="shared" si="158"/>
        <v>45068.791134259256</v>
      </c>
      <c r="AI1095" s="2" t="str">
        <f t="shared" si="159"/>
        <v/>
      </c>
      <c r="AJ1095" s="2" t="str">
        <f t="shared" si="160"/>
        <v/>
      </c>
      <c r="AK1095" s="2" t="str">
        <f t="shared" si="161"/>
        <v/>
      </c>
    </row>
    <row r="1096" spans="1:37" x14ac:dyDescent="0.25">
      <c r="A1096">
        <v>2950</v>
      </c>
      <c r="B1096" t="s">
        <v>1213</v>
      </c>
      <c r="C1096" t="s">
        <v>1142</v>
      </c>
      <c r="D1096" t="s">
        <v>1214</v>
      </c>
      <c r="E1096" t="s">
        <v>267</v>
      </c>
      <c r="F1096" t="s">
        <v>1215</v>
      </c>
      <c r="G1096" t="s">
        <v>269</v>
      </c>
      <c r="H1096" s="1">
        <v>44726.484722222223</v>
      </c>
      <c r="I1096" s="1">
        <v>44728.484722222223</v>
      </c>
      <c r="J1096" t="s">
        <v>32</v>
      </c>
      <c r="K1096" s="1">
        <v>44739.484722222223</v>
      </c>
      <c r="L1096" t="s">
        <v>33</v>
      </c>
      <c r="M1096" t="s">
        <v>34</v>
      </c>
      <c r="R1096" s="4">
        <v>44741.484722222223</v>
      </c>
      <c r="T1096">
        <v>0</v>
      </c>
      <c r="Y1096" t="s">
        <v>55</v>
      </c>
      <c r="AC1096" s="2">
        <f t="shared" si="153"/>
        <v>2</v>
      </c>
      <c r="AD1096" s="2">
        <f t="shared" si="154"/>
        <v>13</v>
      </c>
      <c r="AE1096" s="2">
        <f t="shared" si="155"/>
        <v>11</v>
      </c>
      <c r="AF1096" s="2">
        <f t="shared" si="156"/>
        <v>15</v>
      </c>
      <c r="AG1096" s="2">
        <f t="shared" si="157"/>
        <v>2</v>
      </c>
      <c r="AH1096" s="4">
        <f t="shared" si="158"/>
        <v>44831.484722222223</v>
      </c>
      <c r="AI1096" s="2" t="str">
        <f t="shared" si="159"/>
        <v/>
      </c>
      <c r="AJ1096" s="2" t="str">
        <f t="shared" si="160"/>
        <v/>
      </c>
      <c r="AK1096" s="2" t="str">
        <f t="shared" si="161"/>
        <v/>
      </c>
    </row>
    <row r="1097" spans="1:37" x14ac:dyDescent="0.25">
      <c r="A1097">
        <v>2893</v>
      </c>
      <c r="B1097" t="s">
        <v>1216</v>
      </c>
      <c r="C1097" t="s">
        <v>1142</v>
      </c>
      <c r="D1097" t="s">
        <v>1214</v>
      </c>
      <c r="E1097" t="s">
        <v>267</v>
      </c>
      <c r="F1097" t="s">
        <v>1215</v>
      </c>
      <c r="G1097" t="s">
        <v>269</v>
      </c>
      <c r="H1097" s="1">
        <v>44962.681840277779</v>
      </c>
      <c r="I1097" s="1">
        <v>44964.681840277779</v>
      </c>
      <c r="J1097" t="s">
        <v>32</v>
      </c>
      <c r="K1097" s="1">
        <v>44980.681840277779</v>
      </c>
      <c r="L1097" t="s">
        <v>33</v>
      </c>
      <c r="M1097" t="s">
        <v>92</v>
      </c>
      <c r="R1097" s="4">
        <v>44981.681840277779</v>
      </c>
      <c r="T1097">
        <v>0</v>
      </c>
      <c r="Y1097" t="s">
        <v>55</v>
      </c>
      <c r="AC1097" s="2">
        <f t="shared" si="153"/>
        <v>2</v>
      </c>
      <c r="AD1097" s="2">
        <f t="shared" si="154"/>
        <v>18</v>
      </c>
      <c r="AE1097" s="2">
        <f t="shared" si="155"/>
        <v>16</v>
      </c>
      <c r="AF1097" s="2">
        <f t="shared" si="156"/>
        <v>19</v>
      </c>
      <c r="AG1097" s="2">
        <f t="shared" si="157"/>
        <v>1</v>
      </c>
      <c r="AH1097" s="4">
        <f t="shared" si="158"/>
        <v>45071.681840277779</v>
      </c>
      <c r="AI1097" s="2" t="str">
        <f t="shared" si="159"/>
        <v/>
      </c>
      <c r="AJ1097" s="2" t="str">
        <f t="shared" si="160"/>
        <v/>
      </c>
      <c r="AK1097" s="2" t="str">
        <f t="shared" si="161"/>
        <v/>
      </c>
    </row>
    <row r="1098" spans="1:37" x14ac:dyDescent="0.25">
      <c r="A1098">
        <v>2588</v>
      </c>
      <c r="B1098" t="s">
        <v>1217</v>
      </c>
      <c r="C1098" t="s">
        <v>1142</v>
      </c>
      <c r="D1098" t="s">
        <v>1214</v>
      </c>
      <c r="E1098" t="s">
        <v>267</v>
      </c>
      <c r="F1098" t="s">
        <v>1215</v>
      </c>
      <c r="G1098" t="s">
        <v>269</v>
      </c>
      <c r="H1098" s="1">
        <v>44782.038506944446</v>
      </c>
      <c r="I1098" s="1">
        <v>44786.038506944446</v>
      </c>
      <c r="J1098" t="s">
        <v>32</v>
      </c>
      <c r="K1098" s="1">
        <v>44796.038506944446</v>
      </c>
      <c r="L1098" t="s">
        <v>39</v>
      </c>
      <c r="N1098" s="4">
        <v>44801.038506944446</v>
      </c>
      <c r="O1098" t="s">
        <v>39</v>
      </c>
      <c r="R1098" s="4">
        <v>44797.038506944446</v>
      </c>
      <c r="T1098">
        <v>0</v>
      </c>
      <c r="AC1098" s="2">
        <f t="shared" si="153"/>
        <v>4</v>
      </c>
      <c r="AD1098" s="2">
        <f t="shared" si="154"/>
        <v>14</v>
      </c>
      <c r="AE1098" s="2">
        <f t="shared" si="155"/>
        <v>10</v>
      </c>
      <c r="AF1098" s="2">
        <f t="shared" si="156"/>
        <v>15</v>
      </c>
      <c r="AG1098" s="2">
        <f t="shared" si="157"/>
        <v>1</v>
      </c>
      <c r="AH1098" s="4">
        <f t="shared" si="158"/>
        <v>44887.038506944446</v>
      </c>
      <c r="AI1098" s="2" t="str">
        <f t="shared" si="159"/>
        <v/>
      </c>
      <c r="AJ1098" s="2" t="str">
        <f t="shared" si="160"/>
        <v/>
      </c>
      <c r="AK1098" s="2" t="str">
        <f t="shared" si="161"/>
        <v/>
      </c>
    </row>
    <row r="1099" spans="1:37" x14ac:dyDescent="0.25">
      <c r="A1099">
        <v>2419</v>
      </c>
      <c r="B1099" t="s">
        <v>1218</v>
      </c>
      <c r="C1099" t="s">
        <v>1142</v>
      </c>
      <c r="D1099" t="s">
        <v>1214</v>
      </c>
      <c r="E1099" t="s">
        <v>267</v>
      </c>
      <c r="F1099" t="s">
        <v>1215</v>
      </c>
      <c r="G1099" t="s">
        <v>269</v>
      </c>
      <c r="H1099" s="1">
        <v>45006.608229166668</v>
      </c>
      <c r="I1099" s="1">
        <v>45009.608229166668</v>
      </c>
      <c r="J1099" t="s">
        <v>32</v>
      </c>
      <c r="K1099" s="1">
        <v>45019.608229166668</v>
      </c>
      <c r="L1099" t="s">
        <v>39</v>
      </c>
      <c r="N1099" s="4">
        <v>45021.608229166668</v>
      </c>
      <c r="O1099" t="s">
        <v>39</v>
      </c>
      <c r="R1099" s="4">
        <v>45020.608229166668</v>
      </c>
      <c r="T1099">
        <v>0</v>
      </c>
      <c r="AC1099" s="2">
        <f t="shared" si="153"/>
        <v>3</v>
      </c>
      <c r="AD1099" s="2">
        <f t="shared" si="154"/>
        <v>13</v>
      </c>
      <c r="AE1099" s="2">
        <f t="shared" si="155"/>
        <v>10</v>
      </c>
      <c r="AF1099" s="2">
        <f t="shared" si="156"/>
        <v>14</v>
      </c>
      <c r="AG1099" s="2">
        <f t="shared" si="157"/>
        <v>1</v>
      </c>
      <c r="AH1099" s="4">
        <f t="shared" si="158"/>
        <v>45110.608229166668</v>
      </c>
      <c r="AI1099" s="2" t="str">
        <f t="shared" si="159"/>
        <v/>
      </c>
      <c r="AJ1099" s="2" t="str">
        <f t="shared" si="160"/>
        <v/>
      </c>
      <c r="AK1099" s="2" t="str">
        <f t="shared" si="161"/>
        <v/>
      </c>
    </row>
    <row r="1100" spans="1:37" x14ac:dyDescent="0.25">
      <c r="A1100">
        <v>2411</v>
      </c>
      <c r="B1100" t="s">
        <v>1219</v>
      </c>
      <c r="C1100" t="s">
        <v>1142</v>
      </c>
      <c r="D1100" t="s">
        <v>1214</v>
      </c>
      <c r="E1100" t="s">
        <v>267</v>
      </c>
      <c r="F1100" t="s">
        <v>1215</v>
      </c>
      <c r="G1100" t="s">
        <v>269</v>
      </c>
      <c r="H1100" s="1">
        <v>45006.608229166668</v>
      </c>
      <c r="I1100" s="1">
        <v>45010.608229166668</v>
      </c>
      <c r="J1100" t="s">
        <v>32</v>
      </c>
      <c r="K1100" s="1">
        <v>45022.608229166668</v>
      </c>
      <c r="L1100" t="s">
        <v>39</v>
      </c>
      <c r="N1100" s="4">
        <v>45027.608229166668</v>
      </c>
      <c r="O1100" t="s">
        <v>39</v>
      </c>
      <c r="R1100" s="4">
        <v>45023.608229166668</v>
      </c>
      <c r="T1100">
        <v>0</v>
      </c>
      <c r="AC1100" s="2">
        <f t="shared" si="153"/>
        <v>4</v>
      </c>
      <c r="AD1100" s="2">
        <f t="shared" si="154"/>
        <v>16</v>
      </c>
      <c r="AE1100" s="2">
        <f t="shared" si="155"/>
        <v>12</v>
      </c>
      <c r="AF1100" s="2">
        <f t="shared" si="156"/>
        <v>17</v>
      </c>
      <c r="AG1100" s="2">
        <f t="shared" si="157"/>
        <v>1</v>
      </c>
      <c r="AH1100" s="4">
        <f t="shared" si="158"/>
        <v>45113.608229166668</v>
      </c>
      <c r="AI1100" s="2" t="str">
        <f t="shared" si="159"/>
        <v/>
      </c>
      <c r="AJ1100" s="2" t="str">
        <f t="shared" si="160"/>
        <v/>
      </c>
      <c r="AK1100" s="2" t="str">
        <f t="shared" si="161"/>
        <v/>
      </c>
    </row>
    <row r="1101" spans="1:37" x14ac:dyDescent="0.25">
      <c r="A1101">
        <v>1960</v>
      </c>
      <c r="B1101" t="s">
        <v>1220</v>
      </c>
      <c r="C1101" t="s">
        <v>1142</v>
      </c>
      <c r="D1101" t="s">
        <v>1214</v>
      </c>
      <c r="E1101" t="s">
        <v>267</v>
      </c>
      <c r="F1101" t="s">
        <v>1215</v>
      </c>
      <c r="G1101" t="s">
        <v>269</v>
      </c>
      <c r="H1101" s="1">
        <v>44819.042395833334</v>
      </c>
      <c r="I1101" s="1">
        <v>44820.042395833334</v>
      </c>
      <c r="J1101" t="s">
        <v>32</v>
      </c>
      <c r="K1101" s="1">
        <v>44837.042395833334</v>
      </c>
      <c r="L1101" t="s">
        <v>39</v>
      </c>
      <c r="N1101" s="4">
        <v>44840.042395833334</v>
      </c>
      <c r="O1101" t="s">
        <v>39</v>
      </c>
      <c r="R1101" s="4">
        <v>44838.042395833334</v>
      </c>
      <c r="T1101">
        <v>0</v>
      </c>
      <c r="AC1101" s="2">
        <f t="shared" si="153"/>
        <v>1</v>
      </c>
      <c r="AD1101" s="2">
        <f t="shared" si="154"/>
        <v>18</v>
      </c>
      <c r="AE1101" s="2">
        <f t="shared" si="155"/>
        <v>17</v>
      </c>
      <c r="AF1101" s="2">
        <f t="shared" si="156"/>
        <v>19</v>
      </c>
      <c r="AG1101" s="2">
        <f t="shared" si="157"/>
        <v>1</v>
      </c>
      <c r="AH1101" s="4">
        <f t="shared" si="158"/>
        <v>44928.042395833334</v>
      </c>
      <c r="AI1101" s="2" t="str">
        <f t="shared" si="159"/>
        <v/>
      </c>
      <c r="AJ1101" s="2" t="str">
        <f t="shared" si="160"/>
        <v/>
      </c>
      <c r="AK1101" s="2" t="str">
        <f t="shared" si="161"/>
        <v/>
      </c>
    </row>
    <row r="1102" spans="1:37" x14ac:dyDescent="0.25">
      <c r="A1102">
        <v>1902</v>
      </c>
      <c r="B1102" t="s">
        <v>1221</v>
      </c>
      <c r="C1102" t="s">
        <v>1142</v>
      </c>
      <c r="D1102" t="s">
        <v>1214</v>
      </c>
      <c r="E1102" t="s">
        <v>267</v>
      </c>
      <c r="F1102" t="s">
        <v>1215</v>
      </c>
      <c r="G1102" t="s">
        <v>269</v>
      </c>
      <c r="H1102" s="1">
        <v>44994.686469907407</v>
      </c>
      <c r="I1102" s="1">
        <v>44996.686469907407</v>
      </c>
      <c r="J1102" t="s">
        <v>32</v>
      </c>
      <c r="K1102" s="1">
        <v>45004.686469907407</v>
      </c>
      <c r="L1102" t="s">
        <v>39</v>
      </c>
      <c r="N1102" s="4">
        <v>45009.686469907407</v>
      </c>
      <c r="O1102" t="s">
        <v>39</v>
      </c>
      <c r="R1102" s="4">
        <v>45007.686469907407</v>
      </c>
      <c r="T1102">
        <v>0</v>
      </c>
      <c r="AC1102" s="2">
        <f t="shared" si="153"/>
        <v>2</v>
      </c>
      <c r="AD1102" s="2">
        <f t="shared" si="154"/>
        <v>10</v>
      </c>
      <c r="AE1102" s="2">
        <f t="shared" si="155"/>
        <v>8</v>
      </c>
      <c r="AF1102" s="2">
        <f t="shared" si="156"/>
        <v>13</v>
      </c>
      <c r="AG1102" s="2">
        <f t="shared" si="157"/>
        <v>3</v>
      </c>
      <c r="AH1102" s="4">
        <f t="shared" si="158"/>
        <v>45097.686469907407</v>
      </c>
      <c r="AI1102" s="2" t="str">
        <f t="shared" si="159"/>
        <v/>
      </c>
      <c r="AJ1102" s="2" t="str">
        <f t="shared" si="160"/>
        <v/>
      </c>
      <c r="AK1102" s="2" t="str">
        <f t="shared" si="161"/>
        <v/>
      </c>
    </row>
    <row r="1103" spans="1:37" x14ac:dyDescent="0.25">
      <c r="A1103">
        <v>1896</v>
      </c>
      <c r="B1103" t="s">
        <v>1222</v>
      </c>
      <c r="C1103" t="s">
        <v>1142</v>
      </c>
      <c r="D1103" t="s">
        <v>1214</v>
      </c>
      <c r="E1103" t="s">
        <v>267</v>
      </c>
      <c r="F1103" t="s">
        <v>1215</v>
      </c>
      <c r="G1103" t="s">
        <v>269</v>
      </c>
      <c r="H1103" s="1">
        <v>44592.278043981481</v>
      </c>
      <c r="I1103" s="1">
        <v>44594.278043981481</v>
      </c>
      <c r="J1103" t="s">
        <v>32</v>
      </c>
      <c r="K1103" s="1">
        <v>44616.278043981481</v>
      </c>
      <c r="L1103" t="s">
        <v>39</v>
      </c>
      <c r="N1103" s="4">
        <v>44621.278043981481</v>
      </c>
      <c r="O1103" t="s">
        <v>39</v>
      </c>
      <c r="R1103" s="4">
        <v>44618.278043981481</v>
      </c>
      <c r="T1103">
        <v>0</v>
      </c>
      <c r="AC1103" s="2">
        <f t="shared" si="153"/>
        <v>2</v>
      </c>
      <c r="AD1103" s="2">
        <f t="shared" si="154"/>
        <v>24</v>
      </c>
      <c r="AE1103" s="2">
        <f t="shared" si="155"/>
        <v>22</v>
      </c>
      <c r="AF1103" s="2">
        <f t="shared" si="156"/>
        <v>26</v>
      </c>
      <c r="AG1103" s="2">
        <f t="shared" si="157"/>
        <v>2</v>
      </c>
      <c r="AH1103" s="4">
        <f t="shared" si="158"/>
        <v>44708.278043981481</v>
      </c>
      <c r="AI1103" s="2" t="str">
        <f t="shared" si="159"/>
        <v/>
      </c>
      <c r="AJ1103" s="2" t="str">
        <f t="shared" si="160"/>
        <v/>
      </c>
      <c r="AK1103" s="2" t="str">
        <f t="shared" si="161"/>
        <v/>
      </c>
    </row>
    <row r="1104" spans="1:37" x14ac:dyDescent="0.25">
      <c r="A1104">
        <v>1891</v>
      </c>
      <c r="B1104" t="s">
        <v>1223</v>
      </c>
      <c r="C1104" t="s">
        <v>1142</v>
      </c>
      <c r="D1104" t="s">
        <v>1214</v>
      </c>
      <c r="E1104" t="s">
        <v>267</v>
      </c>
      <c r="F1104" t="s">
        <v>1215</v>
      </c>
      <c r="G1104" t="s">
        <v>269</v>
      </c>
      <c r="H1104" s="1">
        <v>44591.278043981481</v>
      </c>
      <c r="I1104" s="1">
        <v>44594.278043981481</v>
      </c>
      <c r="J1104" t="s">
        <v>32</v>
      </c>
      <c r="K1104" s="1">
        <v>44613.278043981481</v>
      </c>
      <c r="L1104" t="s">
        <v>39</v>
      </c>
      <c r="N1104" s="4">
        <v>44618.278043981481</v>
      </c>
      <c r="O1104" t="s">
        <v>39</v>
      </c>
      <c r="R1104" s="4">
        <v>44617.278043981481</v>
      </c>
      <c r="T1104">
        <v>0</v>
      </c>
      <c r="AC1104" s="2">
        <f t="shared" si="153"/>
        <v>3</v>
      </c>
      <c r="AD1104" s="2">
        <f t="shared" si="154"/>
        <v>22</v>
      </c>
      <c r="AE1104" s="2">
        <f t="shared" si="155"/>
        <v>19</v>
      </c>
      <c r="AF1104" s="2">
        <f t="shared" si="156"/>
        <v>26</v>
      </c>
      <c r="AG1104" s="2">
        <f t="shared" si="157"/>
        <v>4</v>
      </c>
      <c r="AH1104" s="4">
        <f t="shared" si="158"/>
        <v>44707.278043981481</v>
      </c>
      <c r="AI1104" s="2" t="str">
        <f t="shared" si="159"/>
        <v/>
      </c>
      <c r="AJ1104" s="2" t="str">
        <f t="shared" si="160"/>
        <v/>
      </c>
      <c r="AK1104" s="2" t="str">
        <f t="shared" si="161"/>
        <v/>
      </c>
    </row>
    <row r="1105" spans="1:37" x14ac:dyDescent="0.25">
      <c r="A1105">
        <v>1780</v>
      </c>
      <c r="B1105" t="s">
        <v>1224</v>
      </c>
      <c r="C1105" t="s">
        <v>1142</v>
      </c>
      <c r="D1105" t="s">
        <v>1214</v>
      </c>
      <c r="E1105" t="s">
        <v>267</v>
      </c>
      <c r="F1105" t="s">
        <v>1215</v>
      </c>
      <c r="G1105" t="s">
        <v>269</v>
      </c>
      <c r="H1105" s="1">
        <v>44712.825856481482</v>
      </c>
      <c r="I1105" s="1">
        <v>44713.825856481482</v>
      </c>
      <c r="J1105" t="s">
        <v>32</v>
      </c>
      <c r="K1105" s="1">
        <v>44729.825856481482</v>
      </c>
      <c r="L1105" t="s">
        <v>33</v>
      </c>
      <c r="M1105" t="s">
        <v>51</v>
      </c>
      <c r="T1105">
        <v>0</v>
      </c>
      <c r="Y1105" t="s">
        <v>55</v>
      </c>
      <c r="AC1105" s="2">
        <f t="shared" si="153"/>
        <v>1</v>
      </c>
      <c r="AD1105" s="2">
        <f t="shared" si="154"/>
        <v>17</v>
      </c>
      <c r="AE1105" s="2">
        <f t="shared" si="155"/>
        <v>16</v>
      </c>
      <c r="AF1105" s="2" t="str">
        <f t="shared" si="156"/>
        <v/>
      </c>
      <c r="AG1105" s="2" t="str">
        <f t="shared" si="157"/>
        <v/>
      </c>
      <c r="AH1105" s="4" t="str">
        <f t="shared" si="158"/>
        <v/>
      </c>
      <c r="AI1105" s="2" t="str">
        <f t="shared" si="159"/>
        <v/>
      </c>
      <c r="AJ1105" s="2" t="str">
        <f t="shared" si="160"/>
        <v/>
      </c>
      <c r="AK1105" s="2" t="str">
        <f t="shared" si="161"/>
        <v/>
      </c>
    </row>
    <row r="1106" spans="1:37" x14ac:dyDescent="0.25">
      <c r="A1106">
        <v>1776</v>
      </c>
      <c r="B1106" t="s">
        <v>1225</v>
      </c>
      <c r="C1106" t="s">
        <v>1142</v>
      </c>
      <c r="D1106" t="s">
        <v>1214</v>
      </c>
      <c r="E1106" t="s">
        <v>267</v>
      </c>
      <c r="F1106" t="s">
        <v>1215</v>
      </c>
      <c r="G1106" t="s">
        <v>269</v>
      </c>
      <c r="H1106" s="1">
        <v>44711.825856481482</v>
      </c>
      <c r="I1106" s="1">
        <v>44715.825856481482</v>
      </c>
      <c r="J1106" t="s">
        <v>32</v>
      </c>
      <c r="K1106" s="1">
        <v>44734.825856481482</v>
      </c>
      <c r="L1106" t="s">
        <v>33</v>
      </c>
      <c r="M1106" t="s">
        <v>108</v>
      </c>
      <c r="T1106">
        <v>0</v>
      </c>
      <c r="Y1106" t="s">
        <v>55</v>
      </c>
      <c r="AC1106" s="2">
        <f t="shared" si="153"/>
        <v>4</v>
      </c>
      <c r="AD1106" s="2">
        <f t="shared" si="154"/>
        <v>23</v>
      </c>
      <c r="AE1106" s="2">
        <f t="shared" si="155"/>
        <v>19</v>
      </c>
      <c r="AF1106" s="2" t="str">
        <f t="shared" si="156"/>
        <v/>
      </c>
      <c r="AG1106" s="2" t="str">
        <f t="shared" si="157"/>
        <v/>
      </c>
      <c r="AH1106" s="4" t="str">
        <f t="shared" si="158"/>
        <v/>
      </c>
      <c r="AI1106" s="2" t="str">
        <f t="shared" si="159"/>
        <v/>
      </c>
      <c r="AJ1106" s="2" t="str">
        <f t="shared" si="160"/>
        <v/>
      </c>
      <c r="AK1106" s="2" t="str">
        <f t="shared" si="161"/>
        <v/>
      </c>
    </row>
    <row r="1107" spans="1:37" x14ac:dyDescent="0.25">
      <c r="A1107">
        <v>1748</v>
      </c>
      <c r="B1107" t="s">
        <v>1226</v>
      </c>
      <c r="C1107" t="s">
        <v>1142</v>
      </c>
      <c r="D1107" t="s">
        <v>1214</v>
      </c>
      <c r="E1107" t="s">
        <v>267</v>
      </c>
      <c r="F1107" t="s">
        <v>1215</v>
      </c>
      <c r="G1107" t="s">
        <v>269</v>
      </c>
      <c r="H1107" s="1">
        <v>44947.798078703701</v>
      </c>
      <c r="I1107" s="1">
        <v>44948.798078703701</v>
      </c>
      <c r="J1107" t="s">
        <v>32</v>
      </c>
      <c r="K1107" s="1">
        <v>44962.798078703701</v>
      </c>
      <c r="L1107" t="s">
        <v>57</v>
      </c>
      <c r="N1107" s="4">
        <v>44970.798078703701</v>
      </c>
      <c r="O1107" t="s">
        <v>57</v>
      </c>
      <c r="P1107" s="4">
        <v>44964.798078703701</v>
      </c>
      <c r="Q1107" s="4">
        <v>44967.798078703701</v>
      </c>
      <c r="R1107" s="4">
        <v>44966.798078703701</v>
      </c>
      <c r="S1107" s="4">
        <v>44972.798078703701</v>
      </c>
      <c r="T1107">
        <v>1</v>
      </c>
      <c r="U1107" s="4">
        <v>44974.798078703701</v>
      </c>
      <c r="V1107" s="4">
        <v>44975.798078703701</v>
      </c>
      <c r="W1107" s="4">
        <v>44976.798078703701</v>
      </c>
      <c r="Z1107" s="4">
        <v>44990.798078703701</v>
      </c>
      <c r="AC1107" s="2">
        <f t="shared" si="153"/>
        <v>1</v>
      </c>
      <c r="AD1107" s="2">
        <f t="shared" si="154"/>
        <v>15</v>
      </c>
      <c r="AE1107" s="2">
        <f t="shared" si="155"/>
        <v>14</v>
      </c>
      <c r="AF1107" s="2">
        <f t="shared" si="156"/>
        <v>19</v>
      </c>
      <c r="AG1107" s="2">
        <f t="shared" si="157"/>
        <v>4</v>
      </c>
      <c r="AH1107" s="4">
        <f t="shared" si="158"/>
        <v>45056.798078703701</v>
      </c>
      <c r="AI1107" s="2">
        <f t="shared" si="159"/>
        <v>2</v>
      </c>
      <c r="AJ1107" s="2">
        <f t="shared" si="160"/>
        <v>24</v>
      </c>
      <c r="AK1107" s="2">
        <f t="shared" si="161"/>
        <v>10</v>
      </c>
    </row>
    <row r="1108" spans="1:37" x14ac:dyDescent="0.25">
      <c r="A1108">
        <v>1619</v>
      </c>
      <c r="B1108" t="s">
        <v>1227</v>
      </c>
      <c r="C1108" t="s">
        <v>1142</v>
      </c>
      <c r="D1108" t="s">
        <v>1214</v>
      </c>
      <c r="E1108" t="s">
        <v>267</v>
      </c>
      <c r="F1108" t="s">
        <v>1215</v>
      </c>
      <c r="G1108" t="s">
        <v>269</v>
      </c>
      <c r="H1108" s="1">
        <v>44848.951192129629</v>
      </c>
      <c r="I1108" s="1">
        <v>44852.951192129629</v>
      </c>
      <c r="J1108" t="s">
        <v>32</v>
      </c>
      <c r="K1108" s="1">
        <v>44863.951192129629</v>
      </c>
      <c r="L1108" t="s">
        <v>33</v>
      </c>
      <c r="M1108" t="s">
        <v>67</v>
      </c>
      <c r="R1108" s="4">
        <v>44864.951192129629</v>
      </c>
      <c r="T1108">
        <v>0</v>
      </c>
      <c r="Y1108" t="s">
        <v>55</v>
      </c>
      <c r="AC1108" s="2">
        <f t="shared" si="153"/>
        <v>4</v>
      </c>
      <c r="AD1108" s="2">
        <f t="shared" si="154"/>
        <v>15</v>
      </c>
      <c r="AE1108" s="2">
        <f t="shared" si="155"/>
        <v>11</v>
      </c>
      <c r="AF1108" s="2">
        <f t="shared" si="156"/>
        <v>16</v>
      </c>
      <c r="AG1108" s="2">
        <f t="shared" si="157"/>
        <v>1</v>
      </c>
      <c r="AH1108" s="4">
        <f t="shared" si="158"/>
        <v>44954.951192129629</v>
      </c>
      <c r="AI1108" s="2" t="str">
        <f t="shared" si="159"/>
        <v/>
      </c>
      <c r="AJ1108" s="2" t="str">
        <f t="shared" si="160"/>
        <v/>
      </c>
      <c r="AK1108" s="2" t="str">
        <f t="shared" si="161"/>
        <v/>
      </c>
    </row>
    <row r="1109" spans="1:37" x14ac:dyDescent="0.25">
      <c r="A1109">
        <v>1574</v>
      </c>
      <c r="B1109" t="s">
        <v>1228</v>
      </c>
      <c r="C1109" t="s">
        <v>1142</v>
      </c>
      <c r="D1109" t="s">
        <v>1214</v>
      </c>
      <c r="E1109" t="s">
        <v>267</v>
      </c>
      <c r="F1109" t="s">
        <v>1215</v>
      </c>
      <c r="G1109" t="s">
        <v>269</v>
      </c>
      <c r="H1109" s="1">
        <v>44809.733078703706</v>
      </c>
      <c r="I1109" s="1">
        <v>44810.733078703706</v>
      </c>
      <c r="J1109" t="s">
        <v>32</v>
      </c>
      <c r="K1109" s="1">
        <v>44824.733078703706</v>
      </c>
      <c r="L1109" t="s">
        <v>39</v>
      </c>
      <c r="N1109" s="4">
        <v>44831.733078703706</v>
      </c>
      <c r="O1109" t="s">
        <v>39</v>
      </c>
      <c r="R1109" s="4">
        <v>44828.733078703706</v>
      </c>
      <c r="T1109">
        <v>0</v>
      </c>
      <c r="AC1109" s="2">
        <f t="shared" si="153"/>
        <v>1</v>
      </c>
      <c r="AD1109" s="2">
        <f t="shared" si="154"/>
        <v>15</v>
      </c>
      <c r="AE1109" s="2">
        <f t="shared" si="155"/>
        <v>14</v>
      </c>
      <c r="AF1109" s="2">
        <f t="shared" si="156"/>
        <v>19</v>
      </c>
      <c r="AG1109" s="2">
        <f t="shared" si="157"/>
        <v>4</v>
      </c>
      <c r="AH1109" s="4">
        <f t="shared" si="158"/>
        <v>44918.733078703706</v>
      </c>
      <c r="AI1109" s="2" t="str">
        <f t="shared" si="159"/>
        <v/>
      </c>
      <c r="AJ1109" s="2" t="str">
        <f t="shared" si="160"/>
        <v/>
      </c>
      <c r="AK1109" s="2" t="str">
        <f t="shared" si="161"/>
        <v/>
      </c>
    </row>
    <row r="1110" spans="1:37" x14ac:dyDescent="0.25">
      <c r="A1110">
        <v>1532</v>
      </c>
      <c r="B1110" t="s">
        <v>1229</v>
      </c>
      <c r="C1110" t="s">
        <v>1142</v>
      </c>
      <c r="D1110" t="s">
        <v>1214</v>
      </c>
      <c r="E1110" t="s">
        <v>267</v>
      </c>
      <c r="F1110" t="s">
        <v>1215</v>
      </c>
      <c r="G1110" t="s">
        <v>269</v>
      </c>
      <c r="H1110" s="1">
        <v>45055.546423611115</v>
      </c>
      <c r="I1110" s="1">
        <v>45058.546423611115</v>
      </c>
      <c r="J1110" t="s">
        <v>32</v>
      </c>
      <c r="K1110" s="1">
        <v>45074.546423611115</v>
      </c>
      <c r="L1110" t="s">
        <v>164</v>
      </c>
      <c r="N1110" s="4">
        <v>45077.546423611115</v>
      </c>
      <c r="O1110" t="s">
        <v>164</v>
      </c>
      <c r="R1110" s="4">
        <v>45075.546423611115</v>
      </c>
      <c r="T1110">
        <v>0</v>
      </c>
      <c r="AC1110" s="2">
        <f t="shared" si="153"/>
        <v>3</v>
      </c>
      <c r="AD1110" s="2">
        <f t="shared" si="154"/>
        <v>19</v>
      </c>
      <c r="AE1110" s="2">
        <f t="shared" si="155"/>
        <v>16</v>
      </c>
      <c r="AF1110" s="2">
        <f t="shared" si="156"/>
        <v>20</v>
      </c>
      <c r="AG1110" s="2">
        <f t="shared" si="157"/>
        <v>1</v>
      </c>
      <c r="AH1110" s="4">
        <f t="shared" si="158"/>
        <v>45165.546423611115</v>
      </c>
      <c r="AI1110" s="2" t="str">
        <f t="shared" si="159"/>
        <v/>
      </c>
      <c r="AJ1110" s="2" t="str">
        <f t="shared" si="160"/>
        <v/>
      </c>
      <c r="AK1110" s="2" t="str">
        <f t="shared" si="161"/>
        <v/>
      </c>
    </row>
    <row r="1111" spans="1:37" x14ac:dyDescent="0.25">
      <c r="A1111">
        <v>1459</v>
      </c>
      <c r="B1111" t="s">
        <v>1230</v>
      </c>
      <c r="C1111" t="s">
        <v>1142</v>
      </c>
      <c r="D1111" t="s">
        <v>1214</v>
      </c>
      <c r="E1111" t="s">
        <v>267</v>
      </c>
      <c r="F1111" t="s">
        <v>1215</v>
      </c>
      <c r="G1111" t="s">
        <v>269</v>
      </c>
      <c r="H1111" s="1">
        <v>45023.57240740741</v>
      </c>
      <c r="I1111" s="1">
        <v>45024.57240740741</v>
      </c>
      <c r="J1111" t="s">
        <v>32</v>
      </c>
      <c r="K1111" s="1">
        <v>45040.57240740741</v>
      </c>
      <c r="L1111" t="s">
        <v>33</v>
      </c>
      <c r="M1111" t="s">
        <v>108</v>
      </c>
      <c r="R1111" s="4">
        <v>45044.57240740741</v>
      </c>
      <c r="T1111">
        <v>0</v>
      </c>
      <c r="Y1111" t="s">
        <v>55</v>
      </c>
      <c r="AC1111" s="2">
        <f t="shared" si="153"/>
        <v>1</v>
      </c>
      <c r="AD1111" s="2">
        <f t="shared" si="154"/>
        <v>17</v>
      </c>
      <c r="AE1111" s="2">
        <f t="shared" si="155"/>
        <v>16</v>
      </c>
      <c r="AF1111" s="2">
        <f t="shared" si="156"/>
        <v>21</v>
      </c>
      <c r="AG1111" s="2">
        <f t="shared" si="157"/>
        <v>4</v>
      </c>
      <c r="AH1111" s="4">
        <f t="shared" si="158"/>
        <v>45134.57240740741</v>
      </c>
      <c r="AI1111" s="2" t="str">
        <f t="shared" si="159"/>
        <v/>
      </c>
      <c r="AJ1111" s="2" t="str">
        <f t="shared" si="160"/>
        <v/>
      </c>
      <c r="AK1111" s="2" t="str">
        <f t="shared" si="161"/>
        <v/>
      </c>
    </row>
    <row r="1112" spans="1:37" x14ac:dyDescent="0.25">
      <c r="A1112">
        <v>1453</v>
      </c>
      <c r="B1112" t="s">
        <v>1231</v>
      </c>
      <c r="C1112" t="s">
        <v>1142</v>
      </c>
      <c r="D1112" t="s">
        <v>1214</v>
      </c>
      <c r="E1112" t="s">
        <v>267</v>
      </c>
      <c r="F1112" t="s">
        <v>1215</v>
      </c>
      <c r="G1112" t="s">
        <v>269</v>
      </c>
      <c r="H1112" s="1">
        <v>45022.57240740741</v>
      </c>
      <c r="I1112" s="1">
        <v>45024.57240740741</v>
      </c>
      <c r="J1112" t="s">
        <v>32</v>
      </c>
      <c r="K1112" s="1">
        <v>45033.57240740741</v>
      </c>
      <c r="L1112" t="s">
        <v>39</v>
      </c>
      <c r="N1112" s="4">
        <v>45040.57240740741</v>
      </c>
      <c r="O1112" t="s">
        <v>39</v>
      </c>
      <c r="R1112" s="4">
        <v>45036.57240740741</v>
      </c>
      <c r="T1112">
        <v>0</v>
      </c>
      <c r="AC1112" s="2">
        <f t="shared" si="153"/>
        <v>2</v>
      </c>
      <c r="AD1112" s="2">
        <f t="shared" si="154"/>
        <v>11</v>
      </c>
      <c r="AE1112" s="2">
        <f t="shared" si="155"/>
        <v>9</v>
      </c>
      <c r="AF1112" s="2">
        <f t="shared" si="156"/>
        <v>14</v>
      </c>
      <c r="AG1112" s="2">
        <f t="shared" si="157"/>
        <v>3</v>
      </c>
      <c r="AH1112" s="4">
        <f t="shared" si="158"/>
        <v>45126.57240740741</v>
      </c>
      <c r="AI1112" s="2" t="str">
        <f t="shared" si="159"/>
        <v/>
      </c>
      <c r="AJ1112" s="2" t="str">
        <f t="shared" si="160"/>
        <v/>
      </c>
      <c r="AK1112" s="2" t="str">
        <f t="shared" si="161"/>
        <v/>
      </c>
    </row>
    <row r="1113" spans="1:37" x14ac:dyDescent="0.25">
      <c r="A1113">
        <v>1426</v>
      </c>
      <c r="B1113" t="s">
        <v>1232</v>
      </c>
      <c r="C1113" t="s">
        <v>1142</v>
      </c>
      <c r="D1113" t="s">
        <v>1214</v>
      </c>
      <c r="E1113" t="s">
        <v>1167</v>
      </c>
      <c r="F1113" t="s">
        <v>1168</v>
      </c>
      <c r="G1113" t="s">
        <v>269</v>
      </c>
      <c r="H1113" s="1">
        <v>44657.11314814815</v>
      </c>
      <c r="I1113" s="1">
        <v>44661.11314814815</v>
      </c>
      <c r="J1113" t="s">
        <v>32</v>
      </c>
      <c r="K1113" s="1">
        <v>44674.11314814815</v>
      </c>
      <c r="L1113" t="s">
        <v>33</v>
      </c>
      <c r="M1113" t="s">
        <v>51</v>
      </c>
      <c r="R1113" s="4">
        <v>44678.11314814815</v>
      </c>
      <c r="T1113">
        <v>0</v>
      </c>
      <c r="Y1113" t="s">
        <v>55</v>
      </c>
      <c r="AC1113" s="2">
        <f t="shared" si="153"/>
        <v>4</v>
      </c>
      <c r="AD1113" s="2">
        <f t="shared" si="154"/>
        <v>17</v>
      </c>
      <c r="AE1113" s="2">
        <f t="shared" si="155"/>
        <v>13</v>
      </c>
      <c r="AF1113" s="2">
        <f t="shared" si="156"/>
        <v>21</v>
      </c>
      <c r="AG1113" s="2">
        <f t="shared" si="157"/>
        <v>4</v>
      </c>
      <c r="AH1113" s="4">
        <f t="shared" si="158"/>
        <v>44768.11314814815</v>
      </c>
      <c r="AI1113" s="2" t="str">
        <f t="shared" si="159"/>
        <v/>
      </c>
      <c r="AJ1113" s="2" t="str">
        <f t="shared" si="160"/>
        <v/>
      </c>
      <c r="AK1113" s="2" t="str">
        <f t="shared" si="161"/>
        <v/>
      </c>
    </row>
    <row r="1114" spans="1:37" x14ac:dyDescent="0.25">
      <c r="A1114">
        <v>1316</v>
      </c>
      <c r="B1114" t="s">
        <v>1233</v>
      </c>
      <c r="C1114" t="s">
        <v>1142</v>
      </c>
      <c r="D1114" t="s">
        <v>1214</v>
      </c>
      <c r="E1114" t="s">
        <v>1167</v>
      </c>
      <c r="F1114" t="s">
        <v>1168</v>
      </c>
      <c r="G1114" t="s">
        <v>269</v>
      </c>
      <c r="H1114" s="1">
        <v>45151.233067129629</v>
      </c>
      <c r="I1114" s="1">
        <v>45152.233067129629</v>
      </c>
      <c r="J1114" t="s">
        <v>32</v>
      </c>
      <c r="K1114" s="1">
        <v>45172.233067129629</v>
      </c>
      <c r="L1114" t="s">
        <v>57</v>
      </c>
      <c r="N1114" s="4">
        <v>45178.233067129629</v>
      </c>
      <c r="O1114" t="s">
        <v>57</v>
      </c>
      <c r="P1114" s="4">
        <v>45173.233067129629</v>
      </c>
      <c r="Q1114" s="4">
        <v>45175.233067129629</v>
      </c>
      <c r="R1114" s="4">
        <v>45175.233067129629</v>
      </c>
      <c r="S1114" s="4">
        <v>45182.233067129629</v>
      </c>
      <c r="T1114">
        <v>1</v>
      </c>
      <c r="U1114" s="4">
        <v>45184.233067129629</v>
      </c>
      <c r="V1114" s="4">
        <v>45187.233067129629</v>
      </c>
      <c r="W1114" s="4">
        <v>45188.233067129629</v>
      </c>
      <c r="Z1114" s="4">
        <v>45209.233067129629</v>
      </c>
      <c r="AC1114" s="2">
        <f t="shared" si="153"/>
        <v>1</v>
      </c>
      <c r="AD1114" s="2">
        <f t="shared" si="154"/>
        <v>21</v>
      </c>
      <c r="AE1114" s="2">
        <f t="shared" si="155"/>
        <v>20</v>
      </c>
      <c r="AF1114" s="2">
        <f t="shared" si="156"/>
        <v>24</v>
      </c>
      <c r="AG1114" s="2">
        <f t="shared" si="157"/>
        <v>3</v>
      </c>
      <c r="AH1114" s="4">
        <f t="shared" si="158"/>
        <v>45265.233067129629</v>
      </c>
      <c r="AI1114" s="2">
        <f t="shared" si="159"/>
        <v>2</v>
      </c>
      <c r="AJ1114" s="2">
        <f t="shared" si="160"/>
        <v>34</v>
      </c>
      <c r="AK1114" s="2">
        <f t="shared" si="161"/>
        <v>13</v>
      </c>
    </row>
    <row r="1115" spans="1:37" x14ac:dyDescent="0.25">
      <c r="A1115">
        <v>1314</v>
      </c>
      <c r="B1115" t="s">
        <v>1234</v>
      </c>
      <c r="C1115" t="s">
        <v>1142</v>
      </c>
      <c r="D1115" t="s">
        <v>1214</v>
      </c>
      <c r="E1115" t="s">
        <v>1167</v>
      </c>
      <c r="F1115" t="s">
        <v>1168</v>
      </c>
      <c r="G1115" t="s">
        <v>269</v>
      </c>
      <c r="H1115" s="1">
        <v>45151.233067129629</v>
      </c>
      <c r="I1115" s="1">
        <v>45154.233067129629</v>
      </c>
      <c r="J1115" t="s">
        <v>32</v>
      </c>
      <c r="K1115" s="1">
        <v>45166.233067129629</v>
      </c>
      <c r="L1115" t="s">
        <v>39</v>
      </c>
      <c r="N1115" s="4">
        <v>45174.233067129629</v>
      </c>
      <c r="O1115" t="s">
        <v>39</v>
      </c>
      <c r="R1115" s="4">
        <v>45170.233067129629</v>
      </c>
      <c r="T1115">
        <v>0</v>
      </c>
      <c r="AC1115" s="2">
        <f t="shared" si="153"/>
        <v>3</v>
      </c>
      <c r="AD1115" s="2">
        <f t="shared" si="154"/>
        <v>15</v>
      </c>
      <c r="AE1115" s="2">
        <f t="shared" si="155"/>
        <v>12</v>
      </c>
      <c r="AF1115" s="2">
        <f t="shared" si="156"/>
        <v>19</v>
      </c>
      <c r="AG1115" s="2">
        <f t="shared" si="157"/>
        <v>4</v>
      </c>
      <c r="AH1115" s="4">
        <f t="shared" si="158"/>
        <v>45260.233067129629</v>
      </c>
      <c r="AI1115" s="2" t="str">
        <f t="shared" si="159"/>
        <v/>
      </c>
      <c r="AJ1115" s="2" t="str">
        <f t="shared" si="160"/>
        <v/>
      </c>
      <c r="AK1115" s="2" t="str">
        <f t="shared" si="161"/>
        <v/>
      </c>
    </row>
    <row r="1116" spans="1:37" x14ac:dyDescent="0.25">
      <c r="A1116">
        <v>1275</v>
      </c>
      <c r="B1116" t="s">
        <v>1235</v>
      </c>
      <c r="C1116" t="s">
        <v>1142</v>
      </c>
      <c r="D1116" t="s">
        <v>1214</v>
      </c>
      <c r="E1116" t="s">
        <v>1167</v>
      </c>
      <c r="F1116" t="s">
        <v>1168</v>
      </c>
      <c r="G1116" t="s">
        <v>269</v>
      </c>
      <c r="H1116" s="1">
        <v>44711.107928240737</v>
      </c>
      <c r="I1116" s="1">
        <v>44712.107928240737</v>
      </c>
      <c r="J1116" t="s">
        <v>32</v>
      </c>
      <c r="K1116" s="1">
        <v>44723.107928240737</v>
      </c>
      <c r="L1116" t="s">
        <v>33</v>
      </c>
      <c r="M1116" t="s">
        <v>34</v>
      </c>
      <c r="R1116" s="4">
        <v>44725.107928240737</v>
      </c>
      <c r="T1116">
        <v>0</v>
      </c>
      <c r="Y1116" t="s">
        <v>55</v>
      </c>
      <c r="AC1116" s="2">
        <f t="shared" si="153"/>
        <v>1</v>
      </c>
      <c r="AD1116" s="2">
        <f t="shared" si="154"/>
        <v>12</v>
      </c>
      <c r="AE1116" s="2">
        <f t="shared" si="155"/>
        <v>11</v>
      </c>
      <c r="AF1116" s="2">
        <f t="shared" si="156"/>
        <v>14</v>
      </c>
      <c r="AG1116" s="2">
        <f t="shared" si="157"/>
        <v>2</v>
      </c>
      <c r="AH1116" s="4">
        <f t="shared" si="158"/>
        <v>44815.107928240737</v>
      </c>
      <c r="AI1116" s="2" t="str">
        <f t="shared" si="159"/>
        <v/>
      </c>
      <c r="AJ1116" s="2" t="str">
        <f t="shared" si="160"/>
        <v/>
      </c>
      <c r="AK1116" s="2" t="str">
        <f t="shared" si="161"/>
        <v/>
      </c>
    </row>
    <row r="1117" spans="1:37" x14ac:dyDescent="0.25">
      <c r="A1117">
        <v>1042</v>
      </c>
      <c r="B1117" t="s">
        <v>1236</v>
      </c>
      <c r="C1117" t="s">
        <v>1142</v>
      </c>
      <c r="D1117" t="s">
        <v>1214</v>
      </c>
      <c r="E1117" t="s">
        <v>1167</v>
      </c>
      <c r="F1117" t="s">
        <v>1168</v>
      </c>
      <c r="G1117" t="s">
        <v>269</v>
      </c>
      <c r="H1117" s="1">
        <v>44883.960578703707</v>
      </c>
      <c r="I1117" s="1">
        <v>44886.960578703707</v>
      </c>
      <c r="J1117" t="s">
        <v>32</v>
      </c>
      <c r="K1117" s="1">
        <v>44899.960578703707</v>
      </c>
      <c r="L1117" t="s">
        <v>164</v>
      </c>
      <c r="N1117" s="4">
        <v>44902.960578703707</v>
      </c>
      <c r="O1117" t="s">
        <v>164</v>
      </c>
      <c r="R1117" s="4">
        <v>44900.960578703707</v>
      </c>
      <c r="T1117">
        <v>0</v>
      </c>
      <c r="AC1117" s="2">
        <f t="shared" si="153"/>
        <v>3</v>
      </c>
      <c r="AD1117" s="2">
        <f t="shared" si="154"/>
        <v>16</v>
      </c>
      <c r="AE1117" s="2">
        <f t="shared" si="155"/>
        <v>13</v>
      </c>
      <c r="AF1117" s="2">
        <f t="shared" si="156"/>
        <v>17</v>
      </c>
      <c r="AG1117" s="2">
        <f t="shared" si="157"/>
        <v>1</v>
      </c>
      <c r="AH1117" s="4">
        <f t="shared" si="158"/>
        <v>44990.960578703707</v>
      </c>
      <c r="AI1117" s="2" t="str">
        <f t="shared" si="159"/>
        <v/>
      </c>
      <c r="AJ1117" s="2" t="str">
        <f t="shared" si="160"/>
        <v/>
      </c>
      <c r="AK1117" s="2" t="str">
        <f t="shared" si="161"/>
        <v/>
      </c>
    </row>
    <row r="1118" spans="1:37" x14ac:dyDescent="0.25">
      <c r="A1118">
        <v>1026</v>
      </c>
      <c r="B1118" t="s">
        <v>1237</v>
      </c>
      <c r="C1118" t="s">
        <v>1142</v>
      </c>
      <c r="D1118" t="s">
        <v>1214</v>
      </c>
      <c r="E1118" t="s">
        <v>1167</v>
      </c>
      <c r="F1118" t="s">
        <v>1168</v>
      </c>
      <c r="G1118" t="s">
        <v>269</v>
      </c>
      <c r="H1118" s="1">
        <v>44949.791134259256</v>
      </c>
      <c r="I1118" s="1">
        <v>44953.791134259256</v>
      </c>
      <c r="J1118" t="s">
        <v>32</v>
      </c>
      <c r="K1118" s="1">
        <v>44973.791134259256</v>
      </c>
      <c r="L1118" t="s">
        <v>39</v>
      </c>
      <c r="N1118" s="4">
        <v>44977.791134259256</v>
      </c>
      <c r="O1118" t="s">
        <v>39</v>
      </c>
      <c r="R1118" s="4">
        <v>44975.791134259256</v>
      </c>
      <c r="T1118">
        <v>0</v>
      </c>
      <c r="AC1118" s="2">
        <f t="shared" si="153"/>
        <v>4</v>
      </c>
      <c r="AD1118" s="2">
        <f t="shared" si="154"/>
        <v>24</v>
      </c>
      <c r="AE1118" s="2">
        <f t="shared" si="155"/>
        <v>20</v>
      </c>
      <c r="AF1118" s="2">
        <f t="shared" si="156"/>
        <v>26</v>
      </c>
      <c r="AG1118" s="2">
        <f t="shared" si="157"/>
        <v>2</v>
      </c>
      <c r="AH1118" s="4">
        <f t="shared" si="158"/>
        <v>45065.791134259256</v>
      </c>
      <c r="AI1118" s="2" t="str">
        <f t="shared" si="159"/>
        <v/>
      </c>
      <c r="AJ1118" s="2" t="str">
        <f t="shared" si="160"/>
        <v/>
      </c>
      <c r="AK1118" s="2" t="str">
        <f t="shared" si="161"/>
        <v/>
      </c>
    </row>
    <row r="1119" spans="1:37" x14ac:dyDescent="0.25">
      <c r="A1119">
        <v>2661</v>
      </c>
      <c r="B1119" t="s">
        <v>1238</v>
      </c>
      <c r="C1119" t="s">
        <v>1239</v>
      </c>
      <c r="D1119" t="s">
        <v>1240</v>
      </c>
      <c r="E1119" t="s">
        <v>1241</v>
      </c>
      <c r="F1119" t="s">
        <v>1242</v>
      </c>
      <c r="G1119" t="s">
        <v>269</v>
      </c>
      <c r="H1119" s="1">
        <v>44894.903680555559</v>
      </c>
      <c r="I1119" s="1">
        <v>44897.903680555559</v>
      </c>
      <c r="J1119" t="s">
        <v>32</v>
      </c>
      <c r="K1119" s="1">
        <v>44916.903680555559</v>
      </c>
      <c r="L1119" t="s">
        <v>33</v>
      </c>
      <c r="M1119" t="s">
        <v>67</v>
      </c>
      <c r="R1119" s="4">
        <v>44920.903680555559</v>
      </c>
      <c r="T1119">
        <v>0</v>
      </c>
      <c r="Y1119" t="s">
        <v>55</v>
      </c>
      <c r="AC1119" s="2">
        <f t="shared" si="153"/>
        <v>3</v>
      </c>
      <c r="AD1119" s="2">
        <f t="shared" si="154"/>
        <v>22</v>
      </c>
      <c r="AE1119" s="2">
        <f t="shared" si="155"/>
        <v>19</v>
      </c>
      <c r="AF1119" s="2">
        <f t="shared" si="156"/>
        <v>26</v>
      </c>
      <c r="AG1119" s="2">
        <f t="shared" si="157"/>
        <v>4</v>
      </c>
      <c r="AH1119" s="4">
        <f t="shared" si="158"/>
        <v>45010.903680555559</v>
      </c>
      <c r="AI1119" s="2" t="str">
        <f t="shared" si="159"/>
        <v/>
      </c>
      <c r="AJ1119" s="2" t="str">
        <f t="shared" si="160"/>
        <v/>
      </c>
      <c r="AK1119" s="2" t="str">
        <f t="shared" si="161"/>
        <v/>
      </c>
    </row>
    <row r="1120" spans="1:37" x14ac:dyDescent="0.25">
      <c r="A1120">
        <v>2649</v>
      </c>
      <c r="B1120" t="s">
        <v>1243</v>
      </c>
      <c r="C1120" t="s">
        <v>1239</v>
      </c>
      <c r="D1120" t="s">
        <v>1240</v>
      </c>
      <c r="E1120" t="s">
        <v>1241</v>
      </c>
      <c r="F1120" t="s">
        <v>1242</v>
      </c>
      <c r="G1120" t="s">
        <v>269</v>
      </c>
      <c r="H1120" s="1">
        <v>44587.587569444448</v>
      </c>
      <c r="I1120" s="1">
        <v>44588.587569444448</v>
      </c>
      <c r="J1120" t="s">
        <v>32</v>
      </c>
      <c r="K1120" s="1">
        <v>44604.587569444448</v>
      </c>
      <c r="L1120" t="s">
        <v>33</v>
      </c>
      <c r="M1120" t="s">
        <v>108</v>
      </c>
      <c r="R1120" s="4">
        <v>44607.587569444448</v>
      </c>
      <c r="T1120">
        <v>0</v>
      </c>
      <c r="Y1120" t="s">
        <v>55</v>
      </c>
      <c r="AC1120" s="2">
        <f t="shared" si="153"/>
        <v>1</v>
      </c>
      <c r="AD1120" s="2">
        <f t="shared" si="154"/>
        <v>17</v>
      </c>
      <c r="AE1120" s="2">
        <f t="shared" si="155"/>
        <v>16</v>
      </c>
      <c r="AF1120" s="2">
        <f t="shared" si="156"/>
        <v>20</v>
      </c>
      <c r="AG1120" s="2">
        <f t="shared" si="157"/>
        <v>3</v>
      </c>
      <c r="AH1120" s="4">
        <f t="shared" si="158"/>
        <v>44697.587569444448</v>
      </c>
      <c r="AI1120" s="2" t="str">
        <f t="shared" si="159"/>
        <v/>
      </c>
      <c r="AJ1120" s="2" t="str">
        <f t="shared" si="160"/>
        <v/>
      </c>
      <c r="AK1120" s="2" t="str">
        <f t="shared" si="161"/>
        <v/>
      </c>
    </row>
    <row r="1121" spans="1:37" x14ac:dyDescent="0.25">
      <c r="A1121">
        <v>2643</v>
      </c>
      <c r="B1121" t="s">
        <v>1244</v>
      </c>
      <c r="C1121" t="s">
        <v>1239</v>
      </c>
      <c r="D1121" t="s">
        <v>1240</v>
      </c>
      <c r="E1121" t="s">
        <v>1241</v>
      </c>
      <c r="F1121" t="s">
        <v>1242</v>
      </c>
      <c r="G1121" t="s">
        <v>269</v>
      </c>
      <c r="H1121" s="1">
        <v>44585.587569444448</v>
      </c>
      <c r="I1121" s="1">
        <v>44587.587569444448</v>
      </c>
      <c r="J1121" t="s">
        <v>32</v>
      </c>
      <c r="K1121" s="1">
        <v>44607.587569444448</v>
      </c>
      <c r="L1121" t="s">
        <v>33</v>
      </c>
      <c r="M1121" t="s">
        <v>34</v>
      </c>
      <c r="T1121">
        <v>0</v>
      </c>
      <c r="Y1121" t="s">
        <v>35</v>
      </c>
      <c r="AC1121" s="2">
        <f t="shared" si="153"/>
        <v>2</v>
      </c>
      <c r="AD1121" s="2">
        <f t="shared" si="154"/>
        <v>22</v>
      </c>
      <c r="AE1121" s="2">
        <f t="shared" si="155"/>
        <v>20</v>
      </c>
      <c r="AF1121" s="2" t="str">
        <f t="shared" si="156"/>
        <v/>
      </c>
      <c r="AG1121" s="2" t="str">
        <f t="shared" si="157"/>
        <v/>
      </c>
      <c r="AH1121" s="4" t="str">
        <f t="shared" si="158"/>
        <v/>
      </c>
      <c r="AI1121" s="2" t="str">
        <f t="shared" si="159"/>
        <v/>
      </c>
      <c r="AJ1121" s="2" t="str">
        <f t="shared" si="160"/>
        <v/>
      </c>
      <c r="AK1121" s="2" t="str">
        <f t="shared" si="161"/>
        <v/>
      </c>
    </row>
    <row r="1122" spans="1:37" x14ac:dyDescent="0.25">
      <c r="A1122">
        <v>2642</v>
      </c>
      <c r="B1122" t="s">
        <v>1245</v>
      </c>
      <c r="C1122" t="s">
        <v>1239</v>
      </c>
      <c r="D1122" t="s">
        <v>1240</v>
      </c>
      <c r="E1122" t="s">
        <v>1241</v>
      </c>
      <c r="F1122" t="s">
        <v>1242</v>
      </c>
      <c r="G1122" t="s">
        <v>269</v>
      </c>
      <c r="H1122" s="1">
        <v>44586.587569444448</v>
      </c>
      <c r="I1122" s="1">
        <v>44588.587569444448</v>
      </c>
      <c r="J1122" t="s">
        <v>32</v>
      </c>
      <c r="K1122" s="1">
        <v>44597.587569444448</v>
      </c>
      <c r="L1122" t="s">
        <v>33</v>
      </c>
      <c r="M1122" t="s">
        <v>34</v>
      </c>
      <c r="R1122" s="4">
        <v>44599.587569444448</v>
      </c>
      <c r="T1122">
        <v>0</v>
      </c>
      <c r="Y1122" t="s">
        <v>55</v>
      </c>
      <c r="AC1122" s="2">
        <f t="shared" si="153"/>
        <v>2</v>
      </c>
      <c r="AD1122" s="2">
        <f t="shared" si="154"/>
        <v>11</v>
      </c>
      <c r="AE1122" s="2">
        <f t="shared" si="155"/>
        <v>9</v>
      </c>
      <c r="AF1122" s="2">
        <f t="shared" si="156"/>
        <v>13</v>
      </c>
      <c r="AG1122" s="2">
        <f t="shared" si="157"/>
        <v>2</v>
      </c>
      <c r="AH1122" s="4">
        <f t="shared" si="158"/>
        <v>44689.587569444448</v>
      </c>
      <c r="AI1122" s="2" t="str">
        <f t="shared" si="159"/>
        <v/>
      </c>
      <c r="AJ1122" s="2" t="str">
        <f t="shared" si="160"/>
        <v/>
      </c>
      <c r="AK1122" s="2" t="str">
        <f t="shared" si="161"/>
        <v/>
      </c>
    </row>
    <row r="1123" spans="1:37" x14ac:dyDescent="0.25">
      <c r="A1123">
        <v>2375</v>
      </c>
      <c r="B1123" t="s">
        <v>1246</v>
      </c>
      <c r="C1123" t="s">
        <v>1239</v>
      </c>
      <c r="D1123" t="s">
        <v>1240</v>
      </c>
      <c r="E1123" t="s">
        <v>1241</v>
      </c>
      <c r="F1123" t="s">
        <v>1242</v>
      </c>
      <c r="G1123" t="s">
        <v>269</v>
      </c>
      <c r="H1123" s="1">
        <v>45032.917395833334</v>
      </c>
      <c r="I1123" s="1">
        <v>45033.917395833334</v>
      </c>
      <c r="J1123" t="s">
        <v>32</v>
      </c>
      <c r="K1123" s="1">
        <v>45043.917395833334</v>
      </c>
      <c r="L1123" t="s">
        <v>33</v>
      </c>
      <c r="M1123" t="s">
        <v>51</v>
      </c>
      <c r="T1123">
        <v>0</v>
      </c>
      <c r="Y1123" t="s">
        <v>35</v>
      </c>
      <c r="AC1123" s="2">
        <f t="shared" si="153"/>
        <v>1</v>
      </c>
      <c r="AD1123" s="2">
        <f t="shared" si="154"/>
        <v>11</v>
      </c>
      <c r="AE1123" s="2">
        <f t="shared" si="155"/>
        <v>10</v>
      </c>
      <c r="AF1123" s="2" t="str">
        <f t="shared" si="156"/>
        <v/>
      </c>
      <c r="AG1123" s="2" t="str">
        <f t="shared" si="157"/>
        <v/>
      </c>
      <c r="AH1123" s="4" t="str">
        <f t="shared" si="158"/>
        <v/>
      </c>
      <c r="AI1123" s="2" t="str">
        <f t="shared" si="159"/>
        <v/>
      </c>
      <c r="AJ1123" s="2" t="str">
        <f t="shared" si="160"/>
        <v/>
      </c>
      <c r="AK1123" s="2" t="str">
        <f t="shared" si="161"/>
        <v/>
      </c>
    </row>
    <row r="1124" spans="1:37" x14ac:dyDescent="0.25">
      <c r="A1124">
        <v>2340</v>
      </c>
      <c r="B1124" t="s">
        <v>1247</v>
      </c>
      <c r="C1124" t="s">
        <v>1239</v>
      </c>
      <c r="D1124" t="s">
        <v>1240</v>
      </c>
      <c r="E1124" t="s">
        <v>1241</v>
      </c>
      <c r="F1124" t="s">
        <v>1242</v>
      </c>
      <c r="G1124" t="s">
        <v>269</v>
      </c>
      <c r="H1124" s="1">
        <v>44691.386030092595</v>
      </c>
      <c r="I1124" s="1">
        <v>44694.386030092595</v>
      </c>
      <c r="J1124" t="s">
        <v>32</v>
      </c>
      <c r="K1124" s="1">
        <v>44710.386030092595</v>
      </c>
      <c r="L1124" t="s">
        <v>33</v>
      </c>
      <c r="M1124" t="s">
        <v>92</v>
      </c>
      <c r="R1124" s="4">
        <v>44714.386030092595</v>
      </c>
      <c r="T1124">
        <v>0</v>
      </c>
      <c r="Y1124" t="s">
        <v>35</v>
      </c>
      <c r="AC1124" s="2">
        <f t="shared" si="153"/>
        <v>3</v>
      </c>
      <c r="AD1124" s="2">
        <f t="shared" si="154"/>
        <v>19</v>
      </c>
      <c r="AE1124" s="2">
        <f t="shared" si="155"/>
        <v>16</v>
      </c>
      <c r="AF1124" s="2">
        <f t="shared" si="156"/>
        <v>23</v>
      </c>
      <c r="AG1124" s="2">
        <f t="shared" si="157"/>
        <v>4</v>
      </c>
      <c r="AH1124" s="4">
        <f t="shared" si="158"/>
        <v>44804.386030092595</v>
      </c>
      <c r="AI1124" s="2" t="str">
        <f t="shared" si="159"/>
        <v/>
      </c>
      <c r="AJ1124" s="2" t="str">
        <f t="shared" si="160"/>
        <v/>
      </c>
      <c r="AK1124" s="2" t="str">
        <f t="shared" si="161"/>
        <v/>
      </c>
    </row>
    <row r="1125" spans="1:37" x14ac:dyDescent="0.25">
      <c r="A1125">
        <v>2338</v>
      </c>
      <c r="B1125" t="s">
        <v>1248</v>
      </c>
      <c r="C1125" t="s">
        <v>1239</v>
      </c>
      <c r="D1125" t="s">
        <v>1240</v>
      </c>
      <c r="E1125" t="s">
        <v>1241</v>
      </c>
      <c r="F1125" t="s">
        <v>1242</v>
      </c>
      <c r="G1125" t="s">
        <v>269</v>
      </c>
      <c r="H1125" s="1">
        <v>44693.386030092595</v>
      </c>
      <c r="I1125" s="1">
        <v>44694.386030092595</v>
      </c>
      <c r="J1125" t="s">
        <v>32</v>
      </c>
      <c r="K1125" s="1">
        <v>44714.386030092595</v>
      </c>
      <c r="L1125" t="s">
        <v>33</v>
      </c>
      <c r="M1125" t="s">
        <v>92</v>
      </c>
      <c r="R1125" s="4">
        <v>44715.386030092595</v>
      </c>
      <c r="T1125">
        <v>0</v>
      </c>
      <c r="Y1125" t="s">
        <v>35</v>
      </c>
      <c r="AC1125" s="2">
        <f t="shared" si="153"/>
        <v>1</v>
      </c>
      <c r="AD1125" s="2">
        <f t="shared" si="154"/>
        <v>21</v>
      </c>
      <c r="AE1125" s="2">
        <f t="shared" si="155"/>
        <v>20</v>
      </c>
      <c r="AF1125" s="2">
        <f t="shared" si="156"/>
        <v>22</v>
      </c>
      <c r="AG1125" s="2">
        <f t="shared" si="157"/>
        <v>1</v>
      </c>
      <c r="AH1125" s="4">
        <f t="shared" si="158"/>
        <v>44805.386030092595</v>
      </c>
      <c r="AI1125" s="2" t="str">
        <f t="shared" si="159"/>
        <v/>
      </c>
      <c r="AJ1125" s="2" t="str">
        <f t="shared" si="160"/>
        <v/>
      </c>
      <c r="AK1125" s="2" t="str">
        <f t="shared" si="161"/>
        <v/>
      </c>
    </row>
    <row r="1126" spans="1:37" x14ac:dyDescent="0.25">
      <c r="A1126">
        <v>2259</v>
      </c>
      <c r="B1126" t="s">
        <v>1249</v>
      </c>
      <c r="C1126" t="s">
        <v>1239</v>
      </c>
      <c r="D1126" t="s">
        <v>1240</v>
      </c>
      <c r="E1126" t="s">
        <v>1241</v>
      </c>
      <c r="F1126" t="s">
        <v>1242</v>
      </c>
      <c r="G1126" t="s">
        <v>269</v>
      </c>
      <c r="H1126" s="1">
        <v>44777.68608796296</v>
      </c>
      <c r="I1126" s="1">
        <v>44781.68608796296</v>
      </c>
      <c r="J1126" t="s">
        <v>32</v>
      </c>
      <c r="K1126" s="1">
        <v>44795.68608796296</v>
      </c>
      <c r="L1126" t="s">
        <v>33</v>
      </c>
      <c r="M1126" t="s">
        <v>51</v>
      </c>
      <c r="R1126" s="4">
        <v>44798.68608796296</v>
      </c>
      <c r="T1126">
        <v>0</v>
      </c>
      <c r="Y1126" t="s">
        <v>55</v>
      </c>
      <c r="AC1126" s="2">
        <f t="shared" si="153"/>
        <v>4</v>
      </c>
      <c r="AD1126" s="2">
        <f t="shared" si="154"/>
        <v>18</v>
      </c>
      <c r="AE1126" s="2">
        <f t="shared" si="155"/>
        <v>14</v>
      </c>
      <c r="AF1126" s="2">
        <f t="shared" si="156"/>
        <v>21</v>
      </c>
      <c r="AG1126" s="2">
        <f t="shared" si="157"/>
        <v>3</v>
      </c>
      <c r="AH1126" s="4">
        <f t="shared" si="158"/>
        <v>44888.68608796296</v>
      </c>
      <c r="AI1126" s="2" t="str">
        <f t="shared" si="159"/>
        <v/>
      </c>
      <c r="AJ1126" s="2" t="str">
        <f t="shared" si="160"/>
        <v/>
      </c>
      <c r="AK1126" s="2" t="str">
        <f t="shared" si="161"/>
        <v/>
      </c>
    </row>
    <row r="1127" spans="1:37" x14ac:dyDescent="0.25">
      <c r="A1127">
        <v>2148</v>
      </c>
      <c r="B1127" t="s">
        <v>1250</v>
      </c>
      <c r="C1127" t="s">
        <v>1239</v>
      </c>
      <c r="D1127" t="s">
        <v>1240</v>
      </c>
      <c r="E1127" t="s">
        <v>1241</v>
      </c>
      <c r="F1127" t="s">
        <v>1242</v>
      </c>
      <c r="G1127" t="s">
        <v>269</v>
      </c>
      <c r="H1127" s="1">
        <v>44747.830833333333</v>
      </c>
      <c r="I1127" s="1">
        <v>44748.830833333333</v>
      </c>
      <c r="J1127" t="s">
        <v>32</v>
      </c>
      <c r="K1127" s="1">
        <v>44769.830833333333</v>
      </c>
      <c r="L1127" t="s">
        <v>33</v>
      </c>
      <c r="M1127" t="s">
        <v>34</v>
      </c>
      <c r="R1127" s="4">
        <v>44772.830833333333</v>
      </c>
      <c r="T1127">
        <v>0</v>
      </c>
      <c r="Y1127" t="s">
        <v>55</v>
      </c>
      <c r="AC1127" s="2">
        <f t="shared" si="153"/>
        <v>1</v>
      </c>
      <c r="AD1127" s="2">
        <f t="shared" si="154"/>
        <v>22</v>
      </c>
      <c r="AE1127" s="2">
        <f t="shared" si="155"/>
        <v>21</v>
      </c>
      <c r="AF1127" s="2">
        <f t="shared" si="156"/>
        <v>25</v>
      </c>
      <c r="AG1127" s="2">
        <f t="shared" si="157"/>
        <v>3</v>
      </c>
      <c r="AH1127" s="4">
        <f t="shared" si="158"/>
        <v>44862.830833333333</v>
      </c>
      <c r="AI1127" s="2" t="str">
        <f t="shared" si="159"/>
        <v/>
      </c>
      <c r="AJ1127" s="2" t="str">
        <f t="shared" si="160"/>
        <v/>
      </c>
      <c r="AK1127" s="2" t="str">
        <f t="shared" si="161"/>
        <v/>
      </c>
    </row>
    <row r="1128" spans="1:37" x14ac:dyDescent="0.25">
      <c r="A1128">
        <v>2059</v>
      </c>
      <c r="B1128" t="s">
        <v>1251</v>
      </c>
      <c r="C1128" t="s">
        <v>1239</v>
      </c>
      <c r="D1128" t="s">
        <v>1240</v>
      </c>
      <c r="E1128" t="s">
        <v>1241</v>
      </c>
      <c r="F1128" t="s">
        <v>1242</v>
      </c>
      <c r="G1128" t="s">
        <v>269</v>
      </c>
      <c r="H1128" s="1">
        <v>44572.831099537034</v>
      </c>
      <c r="I1128" s="1">
        <v>44575.831099537034</v>
      </c>
      <c r="J1128" t="s">
        <v>32</v>
      </c>
      <c r="K1128" s="1">
        <v>44593.831099537034</v>
      </c>
      <c r="L1128" t="s">
        <v>33</v>
      </c>
      <c r="M1128" t="s">
        <v>92</v>
      </c>
      <c r="T1128">
        <v>0</v>
      </c>
      <c r="Y1128" t="s">
        <v>55</v>
      </c>
      <c r="AC1128" s="2">
        <f t="shared" si="153"/>
        <v>3</v>
      </c>
      <c r="AD1128" s="2">
        <f t="shared" si="154"/>
        <v>21</v>
      </c>
      <c r="AE1128" s="2">
        <f t="shared" si="155"/>
        <v>18</v>
      </c>
      <c r="AF1128" s="2" t="str">
        <f t="shared" si="156"/>
        <v/>
      </c>
      <c r="AG1128" s="2" t="str">
        <f t="shared" si="157"/>
        <v/>
      </c>
      <c r="AH1128" s="4" t="str">
        <f t="shared" si="158"/>
        <v/>
      </c>
      <c r="AI1128" s="2" t="str">
        <f t="shared" si="159"/>
        <v/>
      </c>
      <c r="AJ1128" s="2" t="str">
        <f t="shared" si="160"/>
        <v/>
      </c>
      <c r="AK1128" s="2" t="str">
        <f t="shared" si="161"/>
        <v/>
      </c>
    </row>
    <row r="1129" spans="1:37" x14ac:dyDescent="0.25">
      <c r="A1129">
        <v>1953</v>
      </c>
      <c r="B1129" t="s">
        <v>1252</v>
      </c>
      <c r="C1129" t="s">
        <v>1239</v>
      </c>
      <c r="D1129" t="s">
        <v>1240</v>
      </c>
      <c r="E1129" t="s">
        <v>1241</v>
      </c>
      <c r="F1129" t="s">
        <v>1242</v>
      </c>
      <c r="G1129" t="s">
        <v>269</v>
      </c>
      <c r="H1129" s="1">
        <v>44817.042395833334</v>
      </c>
      <c r="I1129" s="1">
        <v>44820.042395833334</v>
      </c>
      <c r="J1129" t="s">
        <v>32</v>
      </c>
      <c r="K1129" s="1">
        <v>44842.042395833334</v>
      </c>
      <c r="L1129" t="s">
        <v>33</v>
      </c>
      <c r="M1129" t="s">
        <v>51</v>
      </c>
      <c r="R1129" s="4">
        <v>44843.042395833334</v>
      </c>
      <c r="T1129">
        <v>0</v>
      </c>
      <c r="Y1129" t="s">
        <v>55</v>
      </c>
      <c r="AC1129" s="2">
        <f t="shared" si="153"/>
        <v>3</v>
      </c>
      <c r="AD1129" s="2">
        <f t="shared" si="154"/>
        <v>25</v>
      </c>
      <c r="AE1129" s="2">
        <f t="shared" si="155"/>
        <v>22</v>
      </c>
      <c r="AF1129" s="2">
        <f t="shared" si="156"/>
        <v>26</v>
      </c>
      <c r="AG1129" s="2">
        <f t="shared" si="157"/>
        <v>1</v>
      </c>
      <c r="AH1129" s="4">
        <f t="shared" si="158"/>
        <v>44933.042395833334</v>
      </c>
      <c r="AI1129" s="2" t="str">
        <f t="shared" si="159"/>
        <v/>
      </c>
      <c r="AJ1129" s="2" t="str">
        <f t="shared" si="160"/>
        <v/>
      </c>
      <c r="AK1129" s="2" t="str">
        <f t="shared" si="161"/>
        <v/>
      </c>
    </row>
    <row r="1130" spans="1:37" x14ac:dyDescent="0.25">
      <c r="A1130">
        <v>1917</v>
      </c>
      <c r="B1130" t="s">
        <v>1253</v>
      </c>
      <c r="C1130" t="s">
        <v>1239</v>
      </c>
      <c r="D1130" t="s">
        <v>1240</v>
      </c>
      <c r="E1130" t="s">
        <v>1241</v>
      </c>
      <c r="F1130" t="s">
        <v>1242</v>
      </c>
      <c r="G1130" t="s">
        <v>269</v>
      </c>
      <c r="H1130" s="1">
        <v>44679.892118055555</v>
      </c>
      <c r="I1130" s="1">
        <v>44683.892118055555</v>
      </c>
      <c r="J1130" t="s">
        <v>32</v>
      </c>
      <c r="K1130" s="1">
        <v>44693.892118055555</v>
      </c>
      <c r="L1130" t="s">
        <v>33</v>
      </c>
      <c r="M1130" t="s">
        <v>108</v>
      </c>
      <c r="R1130" s="4">
        <v>44694.892118055555</v>
      </c>
      <c r="T1130">
        <v>0</v>
      </c>
      <c r="Y1130" t="s">
        <v>35</v>
      </c>
      <c r="AC1130" s="2">
        <f t="shared" si="153"/>
        <v>4</v>
      </c>
      <c r="AD1130" s="2">
        <f t="shared" si="154"/>
        <v>14</v>
      </c>
      <c r="AE1130" s="2">
        <f t="shared" si="155"/>
        <v>10</v>
      </c>
      <c r="AF1130" s="2">
        <f t="shared" si="156"/>
        <v>15</v>
      </c>
      <c r="AG1130" s="2">
        <f t="shared" si="157"/>
        <v>1</v>
      </c>
      <c r="AH1130" s="4">
        <f t="shared" si="158"/>
        <v>44784.892118055555</v>
      </c>
      <c r="AI1130" s="2" t="str">
        <f t="shared" si="159"/>
        <v/>
      </c>
      <c r="AJ1130" s="2" t="str">
        <f t="shared" si="160"/>
        <v/>
      </c>
      <c r="AK1130" s="2" t="str">
        <f t="shared" si="161"/>
        <v/>
      </c>
    </row>
    <row r="1131" spans="1:37" x14ac:dyDescent="0.25">
      <c r="A1131">
        <v>1620</v>
      </c>
      <c r="B1131" t="s">
        <v>1254</v>
      </c>
      <c r="C1131" t="s">
        <v>1239</v>
      </c>
      <c r="D1131" t="s">
        <v>1240</v>
      </c>
      <c r="E1131" t="s">
        <v>1241</v>
      </c>
      <c r="F1131" t="s">
        <v>1242</v>
      </c>
      <c r="G1131" t="s">
        <v>269</v>
      </c>
      <c r="H1131" s="1">
        <v>44856.951192129629</v>
      </c>
      <c r="I1131" s="1">
        <v>44857.951192129629</v>
      </c>
      <c r="J1131" t="s">
        <v>32</v>
      </c>
      <c r="K1131" s="1">
        <v>44871.951192129629</v>
      </c>
      <c r="L1131" t="s">
        <v>33</v>
      </c>
      <c r="M1131" t="s">
        <v>51</v>
      </c>
      <c r="R1131" s="4">
        <v>44875.951192129629</v>
      </c>
      <c r="T1131">
        <v>0</v>
      </c>
      <c r="Y1131" t="s">
        <v>35</v>
      </c>
      <c r="AC1131" s="2">
        <f t="shared" si="153"/>
        <v>1</v>
      </c>
      <c r="AD1131" s="2">
        <f t="shared" si="154"/>
        <v>15</v>
      </c>
      <c r="AE1131" s="2">
        <f t="shared" si="155"/>
        <v>14</v>
      </c>
      <c r="AF1131" s="2">
        <f t="shared" si="156"/>
        <v>19</v>
      </c>
      <c r="AG1131" s="2">
        <f t="shared" si="157"/>
        <v>4</v>
      </c>
      <c r="AH1131" s="4">
        <f t="shared" si="158"/>
        <v>44965.951192129629</v>
      </c>
      <c r="AI1131" s="2" t="str">
        <f t="shared" si="159"/>
        <v/>
      </c>
      <c r="AJ1131" s="2" t="str">
        <f t="shared" si="160"/>
        <v/>
      </c>
      <c r="AK1131" s="2" t="str">
        <f t="shared" si="161"/>
        <v/>
      </c>
    </row>
    <row r="1132" spans="1:37" x14ac:dyDescent="0.25">
      <c r="A1132">
        <v>1617</v>
      </c>
      <c r="B1132" t="s">
        <v>1255</v>
      </c>
      <c r="C1132" t="s">
        <v>1239</v>
      </c>
      <c r="D1132" t="s">
        <v>1240</v>
      </c>
      <c r="E1132" t="s">
        <v>1241</v>
      </c>
      <c r="F1132" t="s">
        <v>1242</v>
      </c>
      <c r="G1132" t="s">
        <v>269</v>
      </c>
      <c r="H1132" s="1">
        <v>44852.951192129629</v>
      </c>
      <c r="I1132" s="1">
        <v>44853.951192129629</v>
      </c>
      <c r="J1132" t="s">
        <v>32</v>
      </c>
      <c r="K1132" s="1">
        <v>44873.951192129629</v>
      </c>
      <c r="L1132" t="s">
        <v>33</v>
      </c>
      <c r="M1132" t="s">
        <v>67</v>
      </c>
      <c r="R1132" s="4">
        <v>44875.951192129629</v>
      </c>
      <c r="T1132">
        <v>0</v>
      </c>
      <c r="Y1132" t="s">
        <v>35</v>
      </c>
      <c r="AC1132" s="2">
        <f t="shared" si="153"/>
        <v>1</v>
      </c>
      <c r="AD1132" s="2">
        <f t="shared" si="154"/>
        <v>21</v>
      </c>
      <c r="AE1132" s="2">
        <f t="shared" si="155"/>
        <v>20</v>
      </c>
      <c r="AF1132" s="2">
        <f t="shared" si="156"/>
        <v>23</v>
      </c>
      <c r="AG1132" s="2">
        <f t="shared" si="157"/>
        <v>2</v>
      </c>
      <c r="AH1132" s="4">
        <f t="shared" si="158"/>
        <v>44965.951192129629</v>
      </c>
      <c r="AI1132" s="2" t="str">
        <f t="shared" si="159"/>
        <v/>
      </c>
      <c r="AJ1132" s="2" t="str">
        <f t="shared" si="160"/>
        <v/>
      </c>
      <c r="AK1132" s="2" t="str">
        <f t="shared" si="161"/>
        <v/>
      </c>
    </row>
    <row r="1133" spans="1:37" x14ac:dyDescent="0.25">
      <c r="A1133">
        <v>1614</v>
      </c>
      <c r="B1133" t="s">
        <v>1256</v>
      </c>
      <c r="C1133" t="s">
        <v>1239</v>
      </c>
      <c r="D1133" t="s">
        <v>1240</v>
      </c>
      <c r="E1133" t="s">
        <v>1241</v>
      </c>
      <c r="F1133" t="s">
        <v>1242</v>
      </c>
      <c r="G1133" t="s">
        <v>269</v>
      </c>
      <c r="H1133" s="1">
        <v>44848.951192129629</v>
      </c>
      <c r="I1133" s="1">
        <v>44852.951192129629</v>
      </c>
      <c r="J1133" t="s">
        <v>32</v>
      </c>
      <c r="K1133" s="1">
        <v>44863.951192129629</v>
      </c>
      <c r="L1133" t="s">
        <v>33</v>
      </c>
      <c r="M1133" t="s">
        <v>51</v>
      </c>
      <c r="R1133" s="4">
        <v>44867.951192129629</v>
      </c>
      <c r="T1133">
        <v>0</v>
      </c>
      <c r="Y1133" t="s">
        <v>35</v>
      </c>
      <c r="AC1133" s="2">
        <f t="shared" si="153"/>
        <v>4</v>
      </c>
      <c r="AD1133" s="2">
        <f t="shared" si="154"/>
        <v>15</v>
      </c>
      <c r="AE1133" s="2">
        <f t="shared" si="155"/>
        <v>11</v>
      </c>
      <c r="AF1133" s="2">
        <f t="shared" si="156"/>
        <v>19</v>
      </c>
      <c r="AG1133" s="2">
        <f t="shared" si="157"/>
        <v>4</v>
      </c>
      <c r="AH1133" s="4">
        <f t="shared" si="158"/>
        <v>44957.951192129629</v>
      </c>
      <c r="AI1133" s="2" t="str">
        <f t="shared" si="159"/>
        <v/>
      </c>
      <c r="AJ1133" s="2" t="str">
        <f t="shared" si="160"/>
        <v/>
      </c>
      <c r="AK1133" s="2" t="str">
        <f t="shared" si="161"/>
        <v/>
      </c>
    </row>
    <row r="1134" spans="1:37" x14ac:dyDescent="0.25">
      <c r="A1134">
        <v>1600</v>
      </c>
      <c r="B1134" t="s">
        <v>1257</v>
      </c>
      <c r="C1134" t="s">
        <v>1239</v>
      </c>
      <c r="D1134" t="s">
        <v>1240</v>
      </c>
      <c r="E1134" t="s">
        <v>267</v>
      </c>
      <c r="F1134" t="s">
        <v>1258</v>
      </c>
      <c r="G1134" t="s">
        <v>269</v>
      </c>
      <c r="H1134" s="1">
        <v>44993.164201388892</v>
      </c>
      <c r="I1134" s="1">
        <v>44997.164201388892</v>
      </c>
      <c r="J1134" t="s">
        <v>32</v>
      </c>
      <c r="K1134" s="1">
        <v>45012.164201388892</v>
      </c>
      <c r="L1134" t="s">
        <v>33</v>
      </c>
      <c r="M1134" t="s">
        <v>92</v>
      </c>
      <c r="R1134" s="4">
        <v>45015.164201388892</v>
      </c>
      <c r="T1134">
        <v>0</v>
      </c>
      <c r="Y1134" t="s">
        <v>55</v>
      </c>
      <c r="AC1134" s="2">
        <f t="shared" si="153"/>
        <v>4</v>
      </c>
      <c r="AD1134" s="2">
        <f t="shared" si="154"/>
        <v>19</v>
      </c>
      <c r="AE1134" s="2">
        <f t="shared" si="155"/>
        <v>15</v>
      </c>
      <c r="AF1134" s="2">
        <f t="shared" si="156"/>
        <v>22</v>
      </c>
      <c r="AG1134" s="2">
        <f t="shared" si="157"/>
        <v>3</v>
      </c>
      <c r="AH1134" s="4">
        <f t="shared" si="158"/>
        <v>45105.164201388892</v>
      </c>
      <c r="AI1134" s="2" t="str">
        <f t="shared" si="159"/>
        <v/>
      </c>
      <c r="AJ1134" s="2" t="str">
        <f t="shared" si="160"/>
        <v/>
      </c>
      <c r="AK1134" s="2" t="str">
        <f t="shared" si="161"/>
        <v/>
      </c>
    </row>
    <row r="1135" spans="1:37" x14ac:dyDescent="0.25">
      <c r="A1135">
        <v>1598</v>
      </c>
      <c r="B1135" t="s">
        <v>1259</v>
      </c>
      <c r="C1135" t="s">
        <v>1239</v>
      </c>
      <c r="D1135" t="s">
        <v>1240</v>
      </c>
      <c r="E1135" t="s">
        <v>267</v>
      </c>
      <c r="F1135" t="s">
        <v>1258</v>
      </c>
      <c r="G1135" t="s">
        <v>269</v>
      </c>
      <c r="H1135" s="1">
        <v>44995.164201388892</v>
      </c>
      <c r="I1135" s="1">
        <v>44998.164201388892</v>
      </c>
      <c r="J1135" t="s">
        <v>32</v>
      </c>
      <c r="K1135" s="1">
        <v>45011.164201388892</v>
      </c>
      <c r="L1135" t="s">
        <v>33</v>
      </c>
      <c r="M1135" t="s">
        <v>34</v>
      </c>
      <c r="R1135" s="4">
        <v>45014.164201388892</v>
      </c>
      <c r="T1135">
        <v>0</v>
      </c>
      <c r="Y1135" t="s">
        <v>35</v>
      </c>
      <c r="AC1135" s="2">
        <f t="shared" si="153"/>
        <v>3</v>
      </c>
      <c r="AD1135" s="2">
        <f t="shared" si="154"/>
        <v>16</v>
      </c>
      <c r="AE1135" s="2">
        <f t="shared" si="155"/>
        <v>13</v>
      </c>
      <c r="AF1135" s="2">
        <f t="shared" si="156"/>
        <v>19</v>
      </c>
      <c r="AG1135" s="2">
        <f t="shared" si="157"/>
        <v>3</v>
      </c>
      <c r="AH1135" s="4">
        <f t="shared" si="158"/>
        <v>45104.164201388892</v>
      </c>
      <c r="AI1135" s="2" t="str">
        <f t="shared" si="159"/>
        <v/>
      </c>
      <c r="AJ1135" s="2" t="str">
        <f t="shared" si="160"/>
        <v/>
      </c>
      <c r="AK1135" s="2" t="str">
        <f t="shared" si="161"/>
        <v/>
      </c>
    </row>
    <row r="1136" spans="1:37" x14ac:dyDescent="0.25">
      <c r="A1136">
        <v>1580</v>
      </c>
      <c r="B1136" t="s">
        <v>1260</v>
      </c>
      <c r="C1136" t="s">
        <v>1239</v>
      </c>
      <c r="D1136" t="s">
        <v>1240</v>
      </c>
      <c r="E1136" t="s">
        <v>267</v>
      </c>
      <c r="F1136" t="s">
        <v>1258</v>
      </c>
      <c r="G1136" t="s">
        <v>269</v>
      </c>
      <c r="H1136" s="1">
        <v>44807.733078703706</v>
      </c>
      <c r="I1136" s="1">
        <v>44811.733078703706</v>
      </c>
      <c r="J1136" t="s">
        <v>32</v>
      </c>
      <c r="K1136" s="1">
        <v>44818.733078703706</v>
      </c>
      <c r="L1136" t="s">
        <v>33</v>
      </c>
      <c r="M1136" t="s">
        <v>108</v>
      </c>
      <c r="R1136" s="4">
        <v>44820.733078703706</v>
      </c>
      <c r="T1136">
        <v>0</v>
      </c>
      <c r="Y1136" t="s">
        <v>55</v>
      </c>
      <c r="AC1136" s="2">
        <f t="shared" si="153"/>
        <v>4</v>
      </c>
      <c r="AD1136" s="2">
        <f t="shared" si="154"/>
        <v>11</v>
      </c>
      <c r="AE1136" s="2">
        <f t="shared" si="155"/>
        <v>7</v>
      </c>
      <c r="AF1136" s="2">
        <f t="shared" si="156"/>
        <v>13</v>
      </c>
      <c r="AG1136" s="2">
        <f t="shared" si="157"/>
        <v>2</v>
      </c>
      <c r="AH1136" s="4">
        <f t="shared" si="158"/>
        <v>44910.733078703706</v>
      </c>
      <c r="AI1136" s="2" t="str">
        <f t="shared" si="159"/>
        <v/>
      </c>
      <c r="AJ1136" s="2" t="str">
        <f t="shared" si="160"/>
        <v/>
      </c>
      <c r="AK1136" s="2" t="str">
        <f t="shared" si="161"/>
        <v/>
      </c>
    </row>
    <row r="1137" spans="1:37" x14ac:dyDescent="0.25">
      <c r="A1137">
        <v>1571</v>
      </c>
      <c r="B1137" t="s">
        <v>1261</v>
      </c>
      <c r="C1137" t="s">
        <v>1239</v>
      </c>
      <c r="D1137" t="s">
        <v>1240</v>
      </c>
      <c r="E1137" t="s">
        <v>267</v>
      </c>
      <c r="F1137" t="s">
        <v>1258</v>
      </c>
      <c r="G1137" t="s">
        <v>269</v>
      </c>
      <c r="H1137" s="1">
        <v>44808.733078703706</v>
      </c>
      <c r="I1137" s="1">
        <v>44812.733078703706</v>
      </c>
      <c r="J1137" t="s">
        <v>32</v>
      </c>
      <c r="K1137" s="1">
        <v>44827.733078703706</v>
      </c>
      <c r="L1137" t="s">
        <v>33</v>
      </c>
      <c r="M1137" t="s">
        <v>51</v>
      </c>
      <c r="T1137">
        <v>0</v>
      </c>
      <c r="Y1137" t="s">
        <v>35</v>
      </c>
      <c r="AC1137" s="2">
        <f t="shared" si="153"/>
        <v>4</v>
      </c>
      <c r="AD1137" s="2">
        <f t="shared" si="154"/>
        <v>19</v>
      </c>
      <c r="AE1137" s="2">
        <f t="shared" si="155"/>
        <v>15</v>
      </c>
      <c r="AF1137" s="2" t="str">
        <f t="shared" si="156"/>
        <v/>
      </c>
      <c r="AG1137" s="2" t="str">
        <f t="shared" si="157"/>
        <v/>
      </c>
      <c r="AH1137" s="4" t="str">
        <f t="shared" si="158"/>
        <v/>
      </c>
      <c r="AI1137" s="2" t="str">
        <f t="shared" si="159"/>
        <v/>
      </c>
      <c r="AJ1137" s="2" t="str">
        <f t="shared" si="160"/>
        <v/>
      </c>
      <c r="AK1137" s="2" t="str">
        <f t="shared" si="161"/>
        <v/>
      </c>
    </row>
    <row r="1138" spans="1:37" x14ac:dyDescent="0.25">
      <c r="A1138">
        <v>1537</v>
      </c>
      <c r="B1138" t="s">
        <v>1262</v>
      </c>
      <c r="C1138" t="s">
        <v>1239</v>
      </c>
      <c r="D1138" t="s">
        <v>1240</v>
      </c>
      <c r="E1138" t="s">
        <v>267</v>
      </c>
      <c r="F1138" t="s">
        <v>1258</v>
      </c>
      <c r="G1138" t="s">
        <v>269</v>
      </c>
      <c r="H1138" s="1">
        <v>45050.546423611115</v>
      </c>
      <c r="I1138" s="1">
        <v>45054.546423611115</v>
      </c>
      <c r="J1138" t="s">
        <v>32</v>
      </c>
      <c r="K1138" s="1">
        <v>45065.546423611115</v>
      </c>
      <c r="L1138" t="s">
        <v>33</v>
      </c>
      <c r="M1138" t="s">
        <v>51</v>
      </c>
      <c r="R1138" s="4">
        <v>45068.546423611115</v>
      </c>
      <c r="T1138">
        <v>0</v>
      </c>
      <c r="Y1138" t="s">
        <v>55</v>
      </c>
      <c r="AC1138" s="2">
        <f t="shared" si="153"/>
        <v>4</v>
      </c>
      <c r="AD1138" s="2">
        <f t="shared" si="154"/>
        <v>15</v>
      </c>
      <c r="AE1138" s="2">
        <f t="shared" si="155"/>
        <v>11</v>
      </c>
      <c r="AF1138" s="2">
        <f t="shared" si="156"/>
        <v>18</v>
      </c>
      <c r="AG1138" s="2">
        <f t="shared" si="157"/>
        <v>3</v>
      </c>
      <c r="AH1138" s="4">
        <f t="shared" si="158"/>
        <v>45158.546423611115</v>
      </c>
      <c r="AI1138" s="2" t="str">
        <f t="shared" si="159"/>
        <v/>
      </c>
      <c r="AJ1138" s="2" t="str">
        <f t="shared" si="160"/>
        <v/>
      </c>
      <c r="AK1138" s="2" t="str">
        <f t="shared" si="161"/>
        <v/>
      </c>
    </row>
    <row r="1139" spans="1:37" x14ac:dyDescent="0.25">
      <c r="A1139">
        <v>1535</v>
      </c>
      <c r="B1139" t="s">
        <v>1263</v>
      </c>
      <c r="C1139" t="s">
        <v>1239</v>
      </c>
      <c r="D1139" t="s">
        <v>1240</v>
      </c>
      <c r="E1139" t="s">
        <v>267</v>
      </c>
      <c r="F1139" t="s">
        <v>1258</v>
      </c>
      <c r="G1139" t="s">
        <v>269</v>
      </c>
      <c r="H1139" s="1">
        <v>45056.546423611115</v>
      </c>
      <c r="I1139" s="1">
        <v>45059.546423611115</v>
      </c>
      <c r="J1139" t="s">
        <v>32</v>
      </c>
      <c r="K1139" s="1">
        <v>45071.546423611115</v>
      </c>
      <c r="L1139" t="s">
        <v>33</v>
      </c>
      <c r="M1139" t="s">
        <v>67</v>
      </c>
      <c r="R1139" s="4">
        <v>45073.546423611115</v>
      </c>
      <c r="T1139">
        <v>0</v>
      </c>
      <c r="Y1139" t="s">
        <v>55</v>
      </c>
      <c r="AC1139" s="2">
        <f t="shared" si="153"/>
        <v>3</v>
      </c>
      <c r="AD1139" s="2">
        <f t="shared" si="154"/>
        <v>15</v>
      </c>
      <c r="AE1139" s="2">
        <f t="shared" si="155"/>
        <v>12</v>
      </c>
      <c r="AF1139" s="2">
        <f t="shared" si="156"/>
        <v>17</v>
      </c>
      <c r="AG1139" s="2">
        <f t="shared" si="157"/>
        <v>2</v>
      </c>
      <c r="AH1139" s="4">
        <f t="shared" si="158"/>
        <v>45163.546423611115</v>
      </c>
      <c r="AI1139" s="2" t="str">
        <f t="shared" si="159"/>
        <v/>
      </c>
      <c r="AJ1139" s="2" t="str">
        <f t="shared" si="160"/>
        <v/>
      </c>
      <c r="AK1139" s="2" t="str">
        <f t="shared" si="161"/>
        <v/>
      </c>
    </row>
    <row r="1140" spans="1:37" x14ac:dyDescent="0.25">
      <c r="A1140">
        <v>1496</v>
      </c>
      <c r="B1140" t="s">
        <v>1264</v>
      </c>
      <c r="C1140" t="s">
        <v>1239</v>
      </c>
      <c r="D1140" t="s">
        <v>1240</v>
      </c>
      <c r="E1140" t="s">
        <v>267</v>
      </c>
      <c r="F1140" t="s">
        <v>1258</v>
      </c>
      <c r="G1140" t="s">
        <v>269</v>
      </c>
      <c r="H1140" s="1">
        <v>44695.569456018522</v>
      </c>
      <c r="I1140" s="1">
        <v>44696.569456018522</v>
      </c>
      <c r="J1140" t="s">
        <v>32</v>
      </c>
      <c r="K1140" s="1">
        <v>44704.569456018522</v>
      </c>
      <c r="L1140" t="s">
        <v>33</v>
      </c>
      <c r="M1140" t="s">
        <v>108</v>
      </c>
      <c r="R1140" s="4">
        <v>44708.569456018522</v>
      </c>
      <c r="T1140">
        <v>0</v>
      </c>
      <c r="Y1140" t="s">
        <v>35</v>
      </c>
      <c r="AC1140" s="2">
        <f t="shared" si="153"/>
        <v>1</v>
      </c>
      <c r="AD1140" s="2">
        <f t="shared" si="154"/>
        <v>9</v>
      </c>
      <c r="AE1140" s="2">
        <f t="shared" si="155"/>
        <v>8</v>
      </c>
      <c r="AF1140" s="2">
        <f t="shared" si="156"/>
        <v>13</v>
      </c>
      <c r="AG1140" s="2">
        <f t="shared" si="157"/>
        <v>4</v>
      </c>
      <c r="AH1140" s="4">
        <f t="shared" si="158"/>
        <v>44798.569456018522</v>
      </c>
      <c r="AI1140" s="2" t="str">
        <f t="shared" si="159"/>
        <v/>
      </c>
      <c r="AJ1140" s="2" t="str">
        <f t="shared" si="160"/>
        <v/>
      </c>
      <c r="AK1140" s="2" t="str">
        <f t="shared" si="161"/>
        <v/>
      </c>
    </row>
    <row r="1141" spans="1:37" x14ac:dyDescent="0.25">
      <c r="A1141">
        <v>1493</v>
      </c>
      <c r="B1141" t="s">
        <v>1265</v>
      </c>
      <c r="C1141" t="s">
        <v>1239</v>
      </c>
      <c r="D1141" t="s">
        <v>1240</v>
      </c>
      <c r="E1141" t="s">
        <v>267</v>
      </c>
      <c r="F1141" t="s">
        <v>1258</v>
      </c>
      <c r="G1141" t="s">
        <v>269</v>
      </c>
      <c r="H1141" s="1">
        <v>44697.569456018522</v>
      </c>
      <c r="I1141" s="1">
        <v>44698.569456018522</v>
      </c>
      <c r="J1141" t="s">
        <v>32</v>
      </c>
      <c r="K1141" s="1">
        <v>44708.569456018522</v>
      </c>
      <c r="L1141" t="s">
        <v>33</v>
      </c>
      <c r="M1141" t="s">
        <v>108</v>
      </c>
      <c r="T1141">
        <v>0</v>
      </c>
      <c r="Y1141" t="s">
        <v>35</v>
      </c>
      <c r="AC1141" s="2">
        <f t="shared" si="153"/>
        <v>1</v>
      </c>
      <c r="AD1141" s="2">
        <f t="shared" si="154"/>
        <v>11</v>
      </c>
      <c r="AE1141" s="2">
        <f t="shared" si="155"/>
        <v>10</v>
      </c>
      <c r="AF1141" s="2" t="str">
        <f t="shared" si="156"/>
        <v/>
      </c>
      <c r="AG1141" s="2" t="str">
        <f t="shared" si="157"/>
        <v/>
      </c>
      <c r="AH1141" s="4" t="str">
        <f t="shared" si="158"/>
        <v/>
      </c>
      <c r="AI1141" s="2" t="str">
        <f t="shared" si="159"/>
        <v/>
      </c>
      <c r="AJ1141" s="2" t="str">
        <f t="shared" si="160"/>
        <v/>
      </c>
      <c r="AK1141" s="2" t="str">
        <f t="shared" si="161"/>
        <v/>
      </c>
    </row>
    <row r="1142" spans="1:37" x14ac:dyDescent="0.25">
      <c r="A1142">
        <v>1492</v>
      </c>
      <c r="B1142" t="s">
        <v>1266</v>
      </c>
      <c r="C1142" t="s">
        <v>1239</v>
      </c>
      <c r="D1142" t="s">
        <v>1240</v>
      </c>
      <c r="E1142" t="s">
        <v>267</v>
      </c>
      <c r="F1142" t="s">
        <v>1258</v>
      </c>
      <c r="G1142" t="s">
        <v>269</v>
      </c>
      <c r="H1142" s="1">
        <v>44695.569456018522</v>
      </c>
      <c r="I1142" s="1">
        <v>44699.569456018522</v>
      </c>
      <c r="J1142" t="s">
        <v>32</v>
      </c>
      <c r="K1142" s="1">
        <v>44716.569456018522</v>
      </c>
      <c r="L1142" t="s">
        <v>33</v>
      </c>
      <c r="M1142" t="s">
        <v>34</v>
      </c>
      <c r="R1142" s="4">
        <v>44719.569456018522</v>
      </c>
      <c r="T1142">
        <v>0</v>
      </c>
      <c r="Y1142" t="s">
        <v>35</v>
      </c>
      <c r="AC1142" s="2">
        <f t="shared" si="153"/>
        <v>4</v>
      </c>
      <c r="AD1142" s="2">
        <f t="shared" si="154"/>
        <v>21</v>
      </c>
      <c r="AE1142" s="2">
        <f t="shared" si="155"/>
        <v>17</v>
      </c>
      <c r="AF1142" s="2">
        <f t="shared" si="156"/>
        <v>24</v>
      </c>
      <c r="AG1142" s="2">
        <f t="shared" si="157"/>
        <v>3</v>
      </c>
      <c r="AH1142" s="4">
        <f t="shared" si="158"/>
        <v>44809.569456018522</v>
      </c>
      <c r="AI1142" s="2" t="str">
        <f t="shared" si="159"/>
        <v/>
      </c>
      <c r="AJ1142" s="2" t="str">
        <f t="shared" si="160"/>
        <v/>
      </c>
      <c r="AK1142" s="2" t="str">
        <f t="shared" si="161"/>
        <v/>
      </c>
    </row>
    <row r="1143" spans="1:37" x14ac:dyDescent="0.25">
      <c r="A1143">
        <v>1362</v>
      </c>
      <c r="B1143" t="s">
        <v>1267</v>
      </c>
      <c r="C1143" t="s">
        <v>1239</v>
      </c>
      <c r="D1143" t="s">
        <v>1240</v>
      </c>
      <c r="E1143" t="s">
        <v>267</v>
      </c>
      <c r="F1143" t="s">
        <v>1258</v>
      </c>
      <c r="G1143" t="s">
        <v>269</v>
      </c>
      <c r="H1143" s="1">
        <v>44852.163807870369</v>
      </c>
      <c r="I1143" s="1">
        <v>44853.163807870369</v>
      </c>
      <c r="J1143" t="s">
        <v>32</v>
      </c>
      <c r="K1143" s="1">
        <v>44868.163807870369</v>
      </c>
      <c r="L1143" t="s">
        <v>33</v>
      </c>
      <c r="M1143" t="s">
        <v>92</v>
      </c>
      <c r="T1143">
        <v>0</v>
      </c>
      <c r="Y1143" t="s">
        <v>35</v>
      </c>
      <c r="AC1143" s="2">
        <f t="shared" si="153"/>
        <v>1</v>
      </c>
      <c r="AD1143" s="2">
        <f t="shared" si="154"/>
        <v>16</v>
      </c>
      <c r="AE1143" s="2">
        <f t="shared" si="155"/>
        <v>15</v>
      </c>
      <c r="AF1143" s="2" t="str">
        <f t="shared" si="156"/>
        <v/>
      </c>
      <c r="AG1143" s="2" t="str">
        <f t="shared" si="157"/>
        <v/>
      </c>
      <c r="AH1143" s="4" t="str">
        <f t="shared" si="158"/>
        <v/>
      </c>
      <c r="AI1143" s="2" t="str">
        <f t="shared" si="159"/>
        <v/>
      </c>
      <c r="AJ1143" s="2" t="str">
        <f t="shared" si="160"/>
        <v/>
      </c>
      <c r="AK1143" s="2" t="str">
        <f t="shared" si="161"/>
        <v/>
      </c>
    </row>
    <row r="1144" spans="1:37" x14ac:dyDescent="0.25">
      <c r="A1144">
        <v>1361</v>
      </c>
      <c r="B1144" t="s">
        <v>1268</v>
      </c>
      <c r="C1144" t="s">
        <v>1239</v>
      </c>
      <c r="D1144" t="s">
        <v>1240</v>
      </c>
      <c r="E1144" t="s">
        <v>267</v>
      </c>
      <c r="F1144" t="s">
        <v>1258</v>
      </c>
      <c r="G1144" t="s">
        <v>269</v>
      </c>
      <c r="H1144" s="1">
        <v>44849.163807870369</v>
      </c>
      <c r="I1144" s="1">
        <v>44850.163807870369</v>
      </c>
      <c r="J1144" t="s">
        <v>32</v>
      </c>
      <c r="K1144" s="1">
        <v>44864.163807870369</v>
      </c>
      <c r="L1144" t="s">
        <v>33</v>
      </c>
      <c r="M1144" t="s">
        <v>108</v>
      </c>
      <c r="T1144">
        <v>0</v>
      </c>
      <c r="Y1144" t="s">
        <v>55</v>
      </c>
      <c r="AC1144" s="2">
        <f t="shared" si="153"/>
        <v>1</v>
      </c>
      <c r="AD1144" s="2">
        <f t="shared" si="154"/>
        <v>15</v>
      </c>
      <c r="AE1144" s="2">
        <f t="shared" si="155"/>
        <v>14</v>
      </c>
      <c r="AF1144" s="2" t="str">
        <f t="shared" si="156"/>
        <v/>
      </c>
      <c r="AG1144" s="2" t="str">
        <f t="shared" si="157"/>
        <v/>
      </c>
      <c r="AH1144" s="4" t="str">
        <f t="shared" si="158"/>
        <v/>
      </c>
      <c r="AI1144" s="2" t="str">
        <f t="shared" si="159"/>
        <v/>
      </c>
      <c r="AJ1144" s="2" t="str">
        <f t="shared" si="160"/>
        <v/>
      </c>
      <c r="AK1144" s="2" t="str">
        <f t="shared" si="161"/>
        <v/>
      </c>
    </row>
    <row r="1145" spans="1:37" x14ac:dyDescent="0.25">
      <c r="A1145">
        <v>1218</v>
      </c>
      <c r="B1145" t="s">
        <v>1269</v>
      </c>
      <c r="C1145" t="s">
        <v>1239</v>
      </c>
      <c r="D1145" t="s">
        <v>1240</v>
      </c>
      <c r="E1145" t="s">
        <v>267</v>
      </c>
      <c r="F1145" t="s">
        <v>1258</v>
      </c>
      <c r="G1145" t="s">
        <v>269</v>
      </c>
      <c r="H1145" s="1">
        <v>45135.004317129627</v>
      </c>
      <c r="I1145" s="1">
        <v>45137.004317129627</v>
      </c>
      <c r="J1145" t="s">
        <v>32</v>
      </c>
      <c r="K1145" s="1">
        <v>45154.004317129627</v>
      </c>
      <c r="L1145" t="s">
        <v>33</v>
      </c>
      <c r="M1145" t="s">
        <v>92</v>
      </c>
      <c r="R1145" s="4">
        <v>45156.004317129627</v>
      </c>
      <c r="T1145">
        <v>0</v>
      </c>
      <c r="Y1145" t="s">
        <v>35</v>
      </c>
      <c r="AC1145" s="2">
        <f t="shared" si="153"/>
        <v>2</v>
      </c>
      <c r="AD1145" s="2">
        <f t="shared" si="154"/>
        <v>19</v>
      </c>
      <c r="AE1145" s="2">
        <f t="shared" si="155"/>
        <v>17</v>
      </c>
      <c r="AF1145" s="2">
        <f t="shared" si="156"/>
        <v>21</v>
      </c>
      <c r="AG1145" s="2">
        <f t="shared" si="157"/>
        <v>2</v>
      </c>
      <c r="AH1145" s="4">
        <f t="shared" si="158"/>
        <v>45246.004317129627</v>
      </c>
      <c r="AI1145" s="2" t="str">
        <f t="shared" si="159"/>
        <v/>
      </c>
      <c r="AJ1145" s="2" t="str">
        <f t="shared" si="160"/>
        <v/>
      </c>
      <c r="AK1145" s="2" t="str">
        <f t="shared" si="161"/>
        <v/>
      </c>
    </row>
    <row r="1146" spans="1:37" x14ac:dyDescent="0.25">
      <c r="A1146">
        <v>1190</v>
      </c>
      <c r="B1146" t="s">
        <v>1270</v>
      </c>
      <c r="C1146" t="s">
        <v>1239</v>
      </c>
      <c r="D1146" t="s">
        <v>1240</v>
      </c>
      <c r="E1146" t="s">
        <v>267</v>
      </c>
      <c r="F1146" t="s">
        <v>1258</v>
      </c>
      <c r="G1146" t="s">
        <v>269</v>
      </c>
      <c r="H1146" s="1">
        <v>45072.784872685188</v>
      </c>
      <c r="I1146" s="1">
        <v>45074.784872685188</v>
      </c>
      <c r="J1146" t="s">
        <v>32</v>
      </c>
      <c r="K1146" s="1">
        <v>45086.784872685188</v>
      </c>
      <c r="L1146" t="s">
        <v>33</v>
      </c>
      <c r="M1146" t="s">
        <v>34</v>
      </c>
      <c r="R1146" s="4">
        <v>45087.784872685188</v>
      </c>
      <c r="T1146">
        <v>0</v>
      </c>
      <c r="Y1146" t="s">
        <v>35</v>
      </c>
      <c r="AC1146" s="2">
        <f t="shared" si="153"/>
        <v>2</v>
      </c>
      <c r="AD1146" s="2">
        <f t="shared" si="154"/>
        <v>14</v>
      </c>
      <c r="AE1146" s="2">
        <f t="shared" si="155"/>
        <v>12</v>
      </c>
      <c r="AF1146" s="2">
        <f t="shared" si="156"/>
        <v>15</v>
      </c>
      <c r="AG1146" s="2">
        <f t="shared" si="157"/>
        <v>1</v>
      </c>
      <c r="AH1146" s="4">
        <f t="shared" si="158"/>
        <v>45177.784872685188</v>
      </c>
      <c r="AI1146" s="2" t="str">
        <f t="shared" si="159"/>
        <v/>
      </c>
      <c r="AJ1146" s="2" t="str">
        <f t="shared" si="160"/>
        <v/>
      </c>
      <c r="AK1146" s="2" t="str">
        <f t="shared" si="161"/>
        <v/>
      </c>
    </row>
    <row r="1147" spans="1:37" x14ac:dyDescent="0.25">
      <c r="A1147">
        <v>1187</v>
      </c>
      <c r="B1147" t="s">
        <v>1271</v>
      </c>
      <c r="C1147" t="s">
        <v>1239</v>
      </c>
      <c r="D1147" t="s">
        <v>1240</v>
      </c>
      <c r="E1147" t="s">
        <v>267</v>
      </c>
      <c r="F1147" t="s">
        <v>1258</v>
      </c>
      <c r="G1147" t="s">
        <v>269</v>
      </c>
      <c r="H1147" s="1">
        <v>45077.784872685188</v>
      </c>
      <c r="I1147" s="1">
        <v>45078.784872685188</v>
      </c>
      <c r="J1147" t="s">
        <v>32</v>
      </c>
      <c r="K1147" s="1">
        <v>45087.784872685188</v>
      </c>
      <c r="L1147" t="s">
        <v>33</v>
      </c>
      <c r="M1147" t="s">
        <v>51</v>
      </c>
      <c r="R1147" s="4">
        <v>45091.784872685188</v>
      </c>
      <c r="T1147">
        <v>0</v>
      </c>
      <c r="Y1147" t="s">
        <v>55</v>
      </c>
      <c r="AC1147" s="2">
        <f t="shared" si="153"/>
        <v>1</v>
      </c>
      <c r="AD1147" s="2">
        <f t="shared" si="154"/>
        <v>10</v>
      </c>
      <c r="AE1147" s="2">
        <f t="shared" si="155"/>
        <v>9</v>
      </c>
      <c r="AF1147" s="2">
        <f t="shared" si="156"/>
        <v>14</v>
      </c>
      <c r="AG1147" s="2">
        <f t="shared" si="157"/>
        <v>4</v>
      </c>
      <c r="AH1147" s="4">
        <f t="shared" si="158"/>
        <v>45181.784872685188</v>
      </c>
      <c r="AI1147" s="2" t="str">
        <f t="shared" si="159"/>
        <v/>
      </c>
      <c r="AJ1147" s="2" t="str">
        <f t="shared" si="160"/>
        <v/>
      </c>
      <c r="AK1147" s="2" t="str">
        <f t="shared" si="161"/>
        <v/>
      </c>
    </row>
    <row r="1148" spans="1:37" x14ac:dyDescent="0.25">
      <c r="A1148">
        <v>1121</v>
      </c>
      <c r="B1148" t="s">
        <v>1272</v>
      </c>
      <c r="C1148" t="s">
        <v>1239</v>
      </c>
      <c r="D1148" t="s">
        <v>1240</v>
      </c>
      <c r="E1148" t="s">
        <v>267</v>
      </c>
      <c r="F1148" t="s">
        <v>1258</v>
      </c>
      <c r="G1148" t="s">
        <v>269</v>
      </c>
      <c r="H1148" s="1">
        <v>45098.561550925922</v>
      </c>
      <c r="I1148" s="1">
        <v>45100.561550925922</v>
      </c>
      <c r="J1148" t="s">
        <v>32</v>
      </c>
      <c r="K1148" s="1">
        <v>45108.561550925922</v>
      </c>
      <c r="L1148" t="s">
        <v>33</v>
      </c>
      <c r="M1148" t="s">
        <v>108</v>
      </c>
      <c r="T1148">
        <v>0</v>
      </c>
      <c r="Y1148" t="s">
        <v>35</v>
      </c>
      <c r="AC1148" s="2">
        <f t="shared" si="153"/>
        <v>2</v>
      </c>
      <c r="AD1148" s="2">
        <f t="shared" si="154"/>
        <v>10</v>
      </c>
      <c r="AE1148" s="2">
        <f t="shared" si="155"/>
        <v>8</v>
      </c>
      <c r="AF1148" s="2" t="str">
        <f t="shared" si="156"/>
        <v/>
      </c>
      <c r="AG1148" s="2" t="str">
        <f t="shared" si="157"/>
        <v/>
      </c>
      <c r="AH1148" s="4" t="str">
        <f t="shared" si="158"/>
        <v/>
      </c>
      <c r="AI1148" s="2" t="str">
        <f t="shared" si="159"/>
        <v/>
      </c>
      <c r="AJ1148" s="2" t="str">
        <f t="shared" si="160"/>
        <v/>
      </c>
      <c r="AK1148" s="2" t="str">
        <f t="shared" si="161"/>
        <v/>
      </c>
    </row>
    <row r="1149" spans="1:37" x14ac:dyDescent="0.25">
      <c r="A1149">
        <v>1083</v>
      </c>
      <c r="B1149" t="s">
        <v>1273</v>
      </c>
      <c r="C1149" t="s">
        <v>1239</v>
      </c>
      <c r="D1149" t="s">
        <v>1240</v>
      </c>
      <c r="E1149" t="s">
        <v>267</v>
      </c>
      <c r="F1149" t="s">
        <v>1258</v>
      </c>
      <c r="G1149" t="s">
        <v>269</v>
      </c>
      <c r="H1149" s="1">
        <v>44893.976215277777</v>
      </c>
      <c r="I1149" s="1">
        <v>44897.976215277777</v>
      </c>
      <c r="J1149" t="s">
        <v>32</v>
      </c>
      <c r="K1149" s="1">
        <v>44903.976215277777</v>
      </c>
      <c r="L1149" t="s">
        <v>33</v>
      </c>
      <c r="M1149" t="s">
        <v>108</v>
      </c>
      <c r="T1149">
        <v>0</v>
      </c>
      <c r="Y1149" t="s">
        <v>55</v>
      </c>
      <c r="AC1149" s="2">
        <f t="shared" si="153"/>
        <v>4</v>
      </c>
      <c r="AD1149" s="2">
        <f t="shared" si="154"/>
        <v>10</v>
      </c>
      <c r="AE1149" s="2">
        <f t="shared" si="155"/>
        <v>6</v>
      </c>
      <c r="AF1149" s="2" t="str">
        <f t="shared" si="156"/>
        <v/>
      </c>
      <c r="AG1149" s="2" t="str">
        <f t="shared" si="157"/>
        <v/>
      </c>
      <c r="AH1149" s="4" t="str">
        <f t="shared" si="158"/>
        <v/>
      </c>
      <c r="AI1149" s="2" t="str">
        <f t="shared" si="159"/>
        <v/>
      </c>
      <c r="AJ1149" s="2" t="str">
        <f t="shared" si="160"/>
        <v/>
      </c>
      <c r="AK1149" s="2" t="str">
        <f t="shared" si="161"/>
        <v/>
      </c>
    </row>
    <row r="1150" spans="1:37" x14ac:dyDescent="0.25">
      <c r="A1150">
        <v>2949</v>
      </c>
      <c r="B1150" t="s">
        <v>1274</v>
      </c>
      <c r="C1150" t="s">
        <v>1239</v>
      </c>
      <c r="D1150" t="s">
        <v>1275</v>
      </c>
      <c r="E1150" t="s">
        <v>1276</v>
      </c>
      <c r="F1150" t="s">
        <v>1277</v>
      </c>
      <c r="G1150" t="s">
        <v>31</v>
      </c>
      <c r="H1150" s="1">
        <v>44724.484722222223</v>
      </c>
      <c r="I1150" s="1">
        <v>44727.484722222223</v>
      </c>
      <c r="J1150" t="s">
        <v>32</v>
      </c>
      <c r="K1150" s="1">
        <v>44743.484722222223</v>
      </c>
      <c r="L1150" t="s">
        <v>33</v>
      </c>
      <c r="M1150" t="s">
        <v>92</v>
      </c>
      <c r="R1150" s="4">
        <v>44746.484722222223</v>
      </c>
      <c r="T1150">
        <v>0</v>
      </c>
      <c r="Y1150" t="s">
        <v>35</v>
      </c>
      <c r="AC1150" s="2">
        <f t="shared" si="153"/>
        <v>3</v>
      </c>
      <c r="AD1150" s="2">
        <f t="shared" si="154"/>
        <v>19</v>
      </c>
      <c r="AE1150" s="2">
        <f t="shared" si="155"/>
        <v>16</v>
      </c>
      <c r="AF1150" s="2">
        <f t="shared" si="156"/>
        <v>22</v>
      </c>
      <c r="AG1150" s="2">
        <f t="shared" si="157"/>
        <v>3</v>
      </c>
      <c r="AH1150" s="4">
        <f t="shared" si="158"/>
        <v>44836.484722222223</v>
      </c>
      <c r="AI1150" s="2" t="str">
        <f t="shared" si="159"/>
        <v/>
      </c>
      <c r="AJ1150" s="2" t="str">
        <f t="shared" si="160"/>
        <v/>
      </c>
      <c r="AK1150" s="2" t="str">
        <f t="shared" si="161"/>
        <v/>
      </c>
    </row>
    <row r="1151" spans="1:37" x14ac:dyDescent="0.25">
      <c r="A1151">
        <v>2945</v>
      </c>
      <c r="B1151" t="s">
        <v>1278</v>
      </c>
      <c r="C1151" t="s">
        <v>1239</v>
      </c>
      <c r="D1151" t="s">
        <v>1275</v>
      </c>
      <c r="E1151" t="s">
        <v>1276</v>
      </c>
      <c r="F1151" t="s">
        <v>1277</v>
      </c>
      <c r="G1151" t="s">
        <v>31</v>
      </c>
      <c r="H1151" s="1">
        <v>44724.484722222223</v>
      </c>
      <c r="I1151" s="1">
        <v>44726.484722222223</v>
      </c>
      <c r="J1151" t="s">
        <v>32</v>
      </c>
      <c r="K1151" s="1">
        <v>44747.484722222223</v>
      </c>
      <c r="L1151" t="s">
        <v>39</v>
      </c>
      <c r="N1151" s="4">
        <v>44753.484722222223</v>
      </c>
      <c r="O1151" t="s">
        <v>39</v>
      </c>
      <c r="R1151" s="4">
        <v>44751.484722222223</v>
      </c>
      <c r="T1151">
        <v>0</v>
      </c>
      <c r="AC1151" s="2">
        <f t="shared" si="153"/>
        <v>2</v>
      </c>
      <c r="AD1151" s="2">
        <f t="shared" si="154"/>
        <v>23</v>
      </c>
      <c r="AE1151" s="2">
        <f t="shared" si="155"/>
        <v>21</v>
      </c>
      <c r="AF1151" s="2">
        <f t="shared" si="156"/>
        <v>27</v>
      </c>
      <c r="AG1151" s="2">
        <f t="shared" si="157"/>
        <v>4</v>
      </c>
      <c r="AH1151" s="4">
        <f t="shared" si="158"/>
        <v>44841.484722222223</v>
      </c>
      <c r="AI1151" s="2" t="str">
        <f t="shared" si="159"/>
        <v/>
      </c>
      <c r="AJ1151" s="2" t="str">
        <f t="shared" si="160"/>
        <v/>
      </c>
      <c r="AK1151" s="2" t="str">
        <f t="shared" si="161"/>
        <v/>
      </c>
    </row>
    <row r="1152" spans="1:37" x14ac:dyDescent="0.25">
      <c r="A1152">
        <v>2944</v>
      </c>
      <c r="B1152" t="s">
        <v>1279</v>
      </c>
      <c r="C1152" t="s">
        <v>1239</v>
      </c>
      <c r="D1152" t="s">
        <v>1275</v>
      </c>
      <c r="E1152" t="s">
        <v>1276</v>
      </c>
      <c r="F1152" t="s">
        <v>1277</v>
      </c>
      <c r="G1152" t="s">
        <v>31</v>
      </c>
      <c r="H1152" s="1">
        <v>44726.484722222223</v>
      </c>
      <c r="I1152" s="1">
        <v>44730.484722222223</v>
      </c>
      <c r="J1152" t="s">
        <v>32</v>
      </c>
      <c r="K1152" s="1">
        <v>44738.484722222223</v>
      </c>
      <c r="L1152" t="s">
        <v>164</v>
      </c>
      <c r="N1152" s="4">
        <v>44744.484722222223</v>
      </c>
      <c r="O1152" t="s">
        <v>164</v>
      </c>
      <c r="R1152" s="4">
        <v>44741.484722222223</v>
      </c>
      <c r="T1152">
        <v>0</v>
      </c>
      <c r="AC1152" s="2">
        <f t="shared" si="153"/>
        <v>4</v>
      </c>
      <c r="AD1152" s="2">
        <f t="shared" si="154"/>
        <v>12</v>
      </c>
      <c r="AE1152" s="2">
        <f t="shared" si="155"/>
        <v>8</v>
      </c>
      <c r="AF1152" s="2">
        <f t="shared" si="156"/>
        <v>15</v>
      </c>
      <c r="AG1152" s="2">
        <f t="shared" si="157"/>
        <v>3</v>
      </c>
      <c r="AH1152" s="4">
        <f t="shared" si="158"/>
        <v>44831.484722222223</v>
      </c>
      <c r="AI1152" s="2" t="str">
        <f t="shared" si="159"/>
        <v/>
      </c>
      <c r="AJ1152" s="2" t="str">
        <f t="shared" si="160"/>
        <v/>
      </c>
      <c r="AK1152" s="2" t="str">
        <f t="shared" si="161"/>
        <v/>
      </c>
    </row>
    <row r="1153" spans="1:37" x14ac:dyDescent="0.25">
      <c r="A1153">
        <v>2899</v>
      </c>
      <c r="B1153" t="s">
        <v>1280</v>
      </c>
      <c r="C1153" t="s">
        <v>1239</v>
      </c>
      <c r="D1153" t="s">
        <v>1275</v>
      </c>
      <c r="E1153" t="s">
        <v>1276</v>
      </c>
      <c r="F1153" t="s">
        <v>1277</v>
      </c>
      <c r="G1153" t="s">
        <v>31</v>
      </c>
      <c r="H1153" s="1">
        <v>44963.681840277779</v>
      </c>
      <c r="I1153" s="1">
        <v>44965.681840277779</v>
      </c>
      <c r="J1153" t="s">
        <v>32</v>
      </c>
      <c r="K1153" s="1">
        <v>44985.681840277779</v>
      </c>
      <c r="L1153" t="s">
        <v>39</v>
      </c>
      <c r="N1153" s="4">
        <v>44990.681840277779</v>
      </c>
      <c r="O1153" t="s">
        <v>39</v>
      </c>
      <c r="R1153" s="4">
        <v>44987.681840277779</v>
      </c>
      <c r="T1153">
        <v>0</v>
      </c>
      <c r="AC1153" s="2">
        <f t="shared" si="153"/>
        <v>2</v>
      </c>
      <c r="AD1153" s="2">
        <f t="shared" si="154"/>
        <v>22</v>
      </c>
      <c r="AE1153" s="2">
        <f t="shared" si="155"/>
        <v>20</v>
      </c>
      <c r="AF1153" s="2">
        <f t="shared" si="156"/>
        <v>24</v>
      </c>
      <c r="AG1153" s="2">
        <f t="shared" si="157"/>
        <v>2</v>
      </c>
      <c r="AH1153" s="4">
        <f t="shared" si="158"/>
        <v>45077.681840277779</v>
      </c>
      <c r="AI1153" s="2" t="str">
        <f t="shared" si="159"/>
        <v/>
      </c>
      <c r="AJ1153" s="2" t="str">
        <f t="shared" si="160"/>
        <v/>
      </c>
      <c r="AK1153" s="2" t="str">
        <f t="shared" si="161"/>
        <v/>
      </c>
    </row>
    <row r="1154" spans="1:37" x14ac:dyDescent="0.25">
      <c r="A1154">
        <v>2898</v>
      </c>
      <c r="B1154" t="s">
        <v>1281</v>
      </c>
      <c r="C1154" t="s">
        <v>1239</v>
      </c>
      <c r="D1154" t="s">
        <v>1275</v>
      </c>
      <c r="E1154" t="s">
        <v>1276</v>
      </c>
      <c r="F1154" t="s">
        <v>1277</v>
      </c>
      <c r="G1154" t="s">
        <v>31</v>
      </c>
      <c r="H1154" s="1">
        <v>44960.681840277779</v>
      </c>
      <c r="I1154" s="1">
        <v>44963.681840277779</v>
      </c>
      <c r="J1154" t="s">
        <v>32</v>
      </c>
      <c r="K1154" s="1">
        <v>44974.681840277779</v>
      </c>
      <c r="L1154" t="s">
        <v>39</v>
      </c>
      <c r="N1154" s="4">
        <v>44979.681840277779</v>
      </c>
      <c r="O1154" t="s">
        <v>39</v>
      </c>
      <c r="R1154" s="4">
        <v>44976.681840277779</v>
      </c>
      <c r="T1154">
        <v>0</v>
      </c>
      <c r="AC1154" s="2">
        <f t="shared" si="153"/>
        <v>3</v>
      </c>
      <c r="AD1154" s="2">
        <f t="shared" si="154"/>
        <v>14</v>
      </c>
      <c r="AE1154" s="2">
        <f t="shared" si="155"/>
        <v>11</v>
      </c>
      <c r="AF1154" s="2">
        <f t="shared" si="156"/>
        <v>16</v>
      </c>
      <c r="AG1154" s="2">
        <f t="shared" si="157"/>
        <v>2</v>
      </c>
      <c r="AH1154" s="4">
        <f t="shared" si="158"/>
        <v>45066.681840277779</v>
      </c>
      <c r="AI1154" s="2" t="str">
        <f t="shared" si="159"/>
        <v/>
      </c>
      <c r="AJ1154" s="2" t="str">
        <f t="shared" si="160"/>
        <v/>
      </c>
      <c r="AK1154" s="2" t="str">
        <f t="shared" si="161"/>
        <v/>
      </c>
    </row>
    <row r="1155" spans="1:37" x14ac:dyDescent="0.25">
      <c r="A1155">
        <v>2727</v>
      </c>
      <c r="B1155" t="s">
        <v>1282</v>
      </c>
      <c r="C1155" t="s">
        <v>1239</v>
      </c>
      <c r="D1155" t="s">
        <v>1275</v>
      </c>
      <c r="E1155" t="s">
        <v>1276</v>
      </c>
      <c r="F1155" t="s">
        <v>1277</v>
      </c>
      <c r="G1155" t="s">
        <v>31</v>
      </c>
      <c r="H1155" s="1">
        <v>45063.24894675926</v>
      </c>
      <c r="I1155" s="1">
        <v>45065.24894675926</v>
      </c>
      <c r="J1155" t="s">
        <v>32</v>
      </c>
      <c r="K1155" s="1">
        <v>45084.24894675926</v>
      </c>
      <c r="L1155" t="s">
        <v>39</v>
      </c>
      <c r="N1155" s="4">
        <v>45087.24894675926</v>
      </c>
      <c r="O1155" t="s">
        <v>39</v>
      </c>
      <c r="R1155" s="4">
        <v>45086.24894675926</v>
      </c>
      <c r="T1155">
        <v>0</v>
      </c>
      <c r="AC1155" s="2">
        <f t="shared" ref="AC1155:AC1218" si="162">IF(AND(I1155&lt;&gt;"",H1155&lt;&gt;""), I1155-H1155, "")</f>
        <v>2</v>
      </c>
      <c r="AD1155" s="2">
        <f t="shared" ref="AD1155:AD1218" si="163">IF(AND(K1155&lt;&gt;"",H1155&lt;&gt;""), K1155-H1155, "")</f>
        <v>21</v>
      </c>
      <c r="AE1155" s="2">
        <f t="shared" ref="AE1155:AE1218" si="164">IF(AND(K1155&lt;&gt;"",I1155&lt;&gt;""), K1155-I1155, "")</f>
        <v>19</v>
      </c>
      <c r="AF1155" s="2">
        <f t="shared" ref="AF1155:AF1218" si="165">IF(AND(R1155&lt;&gt;"",H1155&lt;&gt;""), R1155-H1155, "")</f>
        <v>23</v>
      </c>
      <c r="AG1155" s="2">
        <f t="shared" ref="AG1155:AG1218" si="166">IF(AND(R1155&lt;&gt;"",K1155&lt;&gt;""), R1155-K1155, "")</f>
        <v>2</v>
      </c>
      <c r="AH1155" s="4">
        <f t="shared" ref="AH1155:AH1218" si="167">IF(R1155&lt;&gt;"", R1155+90, "")</f>
        <v>45176.24894675926</v>
      </c>
      <c r="AI1155" s="2" t="str">
        <f t="shared" ref="AI1155:AI1218" si="168">IF(AND(U1155&lt;&gt;"",S1155&lt;&gt;""), U1155-S1155, "")</f>
        <v/>
      </c>
      <c r="AJ1155" s="2" t="str">
        <f t="shared" ref="AJ1155:AJ1218" si="169">IF(AND(Z1155&lt;&gt;"",R1155&lt;&gt;""), Z1155-R1155, "")</f>
        <v/>
      </c>
      <c r="AK1155" s="2" t="str">
        <f t="shared" ref="AK1155:AK1218" si="170">IF(AND(W1155&lt;&gt;"",R1155&lt;&gt;""), W1155-R1155, "")</f>
        <v/>
      </c>
    </row>
    <row r="1156" spans="1:37" x14ac:dyDescent="0.25">
      <c r="A1156">
        <v>2722</v>
      </c>
      <c r="B1156" t="s">
        <v>1283</v>
      </c>
      <c r="C1156" t="s">
        <v>1239</v>
      </c>
      <c r="D1156" t="s">
        <v>1275</v>
      </c>
      <c r="E1156" t="s">
        <v>1276</v>
      </c>
      <c r="F1156" t="s">
        <v>1277</v>
      </c>
      <c r="G1156" t="s">
        <v>31</v>
      </c>
      <c r="H1156" s="1">
        <v>45061.24894675926</v>
      </c>
      <c r="I1156" s="1">
        <v>45065.24894675926</v>
      </c>
      <c r="J1156" t="s">
        <v>32</v>
      </c>
      <c r="K1156" s="1">
        <v>45075.24894675926</v>
      </c>
      <c r="L1156" t="s">
        <v>33</v>
      </c>
      <c r="M1156" t="s">
        <v>51</v>
      </c>
      <c r="T1156">
        <v>0</v>
      </c>
      <c r="Y1156" t="s">
        <v>35</v>
      </c>
      <c r="AC1156" s="2">
        <f t="shared" si="162"/>
        <v>4</v>
      </c>
      <c r="AD1156" s="2">
        <f t="shared" si="163"/>
        <v>14</v>
      </c>
      <c r="AE1156" s="2">
        <f t="shared" si="164"/>
        <v>10</v>
      </c>
      <c r="AF1156" s="2" t="str">
        <f t="shared" si="165"/>
        <v/>
      </c>
      <c r="AG1156" s="2" t="str">
        <f t="shared" si="166"/>
        <v/>
      </c>
      <c r="AH1156" s="4" t="str">
        <f t="shared" si="167"/>
        <v/>
      </c>
      <c r="AI1156" s="2" t="str">
        <f t="shared" si="168"/>
        <v/>
      </c>
      <c r="AJ1156" s="2" t="str">
        <f t="shared" si="169"/>
        <v/>
      </c>
      <c r="AK1156" s="2" t="str">
        <f t="shared" si="170"/>
        <v/>
      </c>
    </row>
    <row r="1157" spans="1:37" x14ac:dyDescent="0.25">
      <c r="A1157">
        <v>2646</v>
      </c>
      <c r="B1157" t="s">
        <v>1284</v>
      </c>
      <c r="C1157" t="s">
        <v>1239</v>
      </c>
      <c r="D1157" t="s">
        <v>1275</v>
      </c>
      <c r="E1157" t="s">
        <v>1276</v>
      </c>
      <c r="F1157" t="s">
        <v>1277</v>
      </c>
      <c r="G1157" t="s">
        <v>31</v>
      </c>
      <c r="H1157" s="1">
        <v>44586.587569444448</v>
      </c>
      <c r="I1157" s="1">
        <v>44587.587569444448</v>
      </c>
      <c r="J1157" t="s">
        <v>32</v>
      </c>
      <c r="K1157" s="1">
        <v>44601.587569444448</v>
      </c>
      <c r="L1157" t="s">
        <v>57</v>
      </c>
      <c r="N1157" s="4">
        <v>44607.587569444448</v>
      </c>
      <c r="O1157" t="s">
        <v>57</v>
      </c>
      <c r="P1157" s="4">
        <v>44603.587569444448</v>
      </c>
      <c r="Q1157" s="4">
        <v>44606.587569444448</v>
      </c>
      <c r="R1157" s="4">
        <v>44603.587569444448</v>
      </c>
      <c r="S1157" s="4">
        <v>44607.587569444448</v>
      </c>
      <c r="T1157">
        <v>1</v>
      </c>
      <c r="U1157" s="4">
        <v>44608.587569444448</v>
      </c>
      <c r="V1157" s="4">
        <v>44610.587569444448</v>
      </c>
      <c r="W1157" s="4">
        <v>44612.587569444448</v>
      </c>
      <c r="Z1157" s="4">
        <v>44624.587569444448</v>
      </c>
      <c r="AC1157" s="2">
        <f t="shared" si="162"/>
        <v>1</v>
      </c>
      <c r="AD1157" s="2">
        <f t="shared" si="163"/>
        <v>15</v>
      </c>
      <c r="AE1157" s="2">
        <f t="shared" si="164"/>
        <v>14</v>
      </c>
      <c r="AF1157" s="2">
        <f t="shared" si="165"/>
        <v>17</v>
      </c>
      <c r="AG1157" s="2">
        <f t="shared" si="166"/>
        <v>2</v>
      </c>
      <c r="AH1157" s="4">
        <f t="shared" si="167"/>
        <v>44693.587569444448</v>
      </c>
      <c r="AI1157" s="2">
        <f t="shared" si="168"/>
        <v>1</v>
      </c>
      <c r="AJ1157" s="2">
        <f t="shared" si="169"/>
        <v>21</v>
      </c>
      <c r="AK1157" s="2">
        <f t="shared" si="170"/>
        <v>9</v>
      </c>
    </row>
    <row r="1158" spans="1:37" x14ac:dyDescent="0.25">
      <c r="A1158">
        <v>2586</v>
      </c>
      <c r="B1158" t="s">
        <v>1285</v>
      </c>
      <c r="C1158" t="s">
        <v>1239</v>
      </c>
      <c r="D1158" t="s">
        <v>1275</v>
      </c>
      <c r="E1158" t="s">
        <v>1276</v>
      </c>
      <c r="F1158" t="s">
        <v>1277</v>
      </c>
      <c r="G1158" t="s">
        <v>31</v>
      </c>
      <c r="H1158" s="1">
        <v>44784.038506944446</v>
      </c>
      <c r="I1158" s="1">
        <v>44786.038506944446</v>
      </c>
      <c r="J1158" t="s">
        <v>32</v>
      </c>
      <c r="K1158" s="1">
        <v>44797.038506944446</v>
      </c>
      <c r="L1158" t="s">
        <v>33</v>
      </c>
      <c r="M1158" t="s">
        <v>51</v>
      </c>
      <c r="R1158" s="4">
        <v>44800.038506944446</v>
      </c>
      <c r="T1158">
        <v>0</v>
      </c>
      <c r="Y1158" t="s">
        <v>55</v>
      </c>
      <c r="AC1158" s="2">
        <f t="shared" si="162"/>
        <v>2</v>
      </c>
      <c r="AD1158" s="2">
        <f t="shared" si="163"/>
        <v>13</v>
      </c>
      <c r="AE1158" s="2">
        <f t="shared" si="164"/>
        <v>11</v>
      </c>
      <c r="AF1158" s="2">
        <f t="shared" si="165"/>
        <v>16</v>
      </c>
      <c r="AG1158" s="2">
        <f t="shared" si="166"/>
        <v>3</v>
      </c>
      <c r="AH1158" s="4">
        <f t="shared" si="167"/>
        <v>44890.038506944446</v>
      </c>
      <c r="AI1158" s="2" t="str">
        <f t="shared" si="168"/>
        <v/>
      </c>
      <c r="AJ1158" s="2" t="str">
        <f t="shared" si="169"/>
        <v/>
      </c>
      <c r="AK1158" s="2" t="str">
        <f t="shared" si="170"/>
        <v/>
      </c>
    </row>
    <row r="1159" spans="1:37" x14ac:dyDescent="0.25">
      <c r="A1159">
        <v>2414</v>
      </c>
      <c r="B1159" t="s">
        <v>1286</v>
      </c>
      <c r="C1159" t="s">
        <v>1239</v>
      </c>
      <c r="D1159" t="s">
        <v>1275</v>
      </c>
      <c r="E1159" t="s">
        <v>1276</v>
      </c>
      <c r="F1159" t="s">
        <v>1277</v>
      </c>
      <c r="G1159" t="s">
        <v>31</v>
      </c>
      <c r="H1159" s="1">
        <v>45008.608229166668</v>
      </c>
      <c r="I1159" s="1">
        <v>45012.608229166668</v>
      </c>
      <c r="J1159" t="s">
        <v>32</v>
      </c>
      <c r="K1159" s="1">
        <v>45032.608229166668</v>
      </c>
      <c r="L1159" t="s">
        <v>33</v>
      </c>
      <c r="M1159" t="s">
        <v>34</v>
      </c>
      <c r="T1159">
        <v>0</v>
      </c>
      <c r="Y1159" t="s">
        <v>35</v>
      </c>
      <c r="AC1159" s="2">
        <f t="shared" si="162"/>
        <v>4</v>
      </c>
      <c r="AD1159" s="2">
        <f t="shared" si="163"/>
        <v>24</v>
      </c>
      <c r="AE1159" s="2">
        <f t="shared" si="164"/>
        <v>20</v>
      </c>
      <c r="AF1159" s="2" t="str">
        <f t="shared" si="165"/>
        <v/>
      </c>
      <c r="AG1159" s="2" t="str">
        <f t="shared" si="166"/>
        <v/>
      </c>
      <c r="AH1159" s="4" t="str">
        <f t="shared" si="167"/>
        <v/>
      </c>
      <c r="AI1159" s="2" t="str">
        <f t="shared" si="168"/>
        <v/>
      </c>
      <c r="AJ1159" s="2" t="str">
        <f t="shared" si="169"/>
        <v/>
      </c>
      <c r="AK1159" s="2" t="str">
        <f t="shared" si="170"/>
        <v/>
      </c>
    </row>
    <row r="1160" spans="1:37" x14ac:dyDescent="0.25">
      <c r="A1160">
        <v>2145</v>
      </c>
      <c r="B1160" t="s">
        <v>1287</v>
      </c>
      <c r="C1160" t="s">
        <v>1239</v>
      </c>
      <c r="D1160" t="s">
        <v>1275</v>
      </c>
      <c r="E1160" t="s">
        <v>1276</v>
      </c>
      <c r="F1160" t="s">
        <v>1277</v>
      </c>
      <c r="G1160" t="s">
        <v>31</v>
      </c>
      <c r="H1160" s="1">
        <v>44747.830833333333</v>
      </c>
      <c r="I1160" s="1">
        <v>44749.830833333333</v>
      </c>
      <c r="J1160" t="s">
        <v>32</v>
      </c>
      <c r="K1160" s="1">
        <v>44767.830833333333</v>
      </c>
      <c r="L1160" t="s">
        <v>33</v>
      </c>
      <c r="M1160" t="s">
        <v>92</v>
      </c>
      <c r="R1160" s="4">
        <v>44768.830833333333</v>
      </c>
      <c r="T1160">
        <v>0</v>
      </c>
      <c r="Y1160" t="s">
        <v>35</v>
      </c>
      <c r="AC1160" s="2">
        <f t="shared" si="162"/>
        <v>2</v>
      </c>
      <c r="AD1160" s="2">
        <f t="shared" si="163"/>
        <v>20</v>
      </c>
      <c r="AE1160" s="2">
        <f t="shared" si="164"/>
        <v>18</v>
      </c>
      <c r="AF1160" s="2">
        <f t="shared" si="165"/>
        <v>21</v>
      </c>
      <c r="AG1160" s="2">
        <f t="shared" si="166"/>
        <v>1</v>
      </c>
      <c r="AH1160" s="4">
        <f t="shared" si="167"/>
        <v>44858.830833333333</v>
      </c>
      <c r="AI1160" s="2" t="str">
        <f t="shared" si="168"/>
        <v/>
      </c>
      <c r="AJ1160" s="2" t="str">
        <f t="shared" si="169"/>
        <v/>
      </c>
      <c r="AK1160" s="2" t="str">
        <f t="shared" si="170"/>
        <v/>
      </c>
    </row>
    <row r="1161" spans="1:37" x14ac:dyDescent="0.25">
      <c r="A1161">
        <v>1912</v>
      </c>
      <c r="B1161" t="s">
        <v>1288</v>
      </c>
      <c r="C1161" t="s">
        <v>1239</v>
      </c>
      <c r="D1161" t="s">
        <v>1275</v>
      </c>
      <c r="E1161" t="s">
        <v>1276</v>
      </c>
      <c r="F1161" t="s">
        <v>1277</v>
      </c>
      <c r="G1161" t="s">
        <v>31</v>
      </c>
      <c r="H1161" s="1">
        <v>44684.892118055555</v>
      </c>
      <c r="I1161" s="1">
        <v>44685.892118055555</v>
      </c>
      <c r="J1161" t="s">
        <v>32</v>
      </c>
      <c r="K1161" s="1">
        <v>44696.892118055555</v>
      </c>
      <c r="L1161" t="s">
        <v>33</v>
      </c>
      <c r="M1161" t="s">
        <v>108</v>
      </c>
      <c r="R1161" s="4">
        <v>44697.892118055555</v>
      </c>
      <c r="T1161">
        <v>0</v>
      </c>
      <c r="Y1161" t="s">
        <v>35</v>
      </c>
      <c r="AC1161" s="2">
        <f t="shared" si="162"/>
        <v>1</v>
      </c>
      <c r="AD1161" s="2">
        <f t="shared" si="163"/>
        <v>12</v>
      </c>
      <c r="AE1161" s="2">
        <f t="shared" si="164"/>
        <v>11</v>
      </c>
      <c r="AF1161" s="2">
        <f t="shared" si="165"/>
        <v>13</v>
      </c>
      <c r="AG1161" s="2">
        <f t="shared" si="166"/>
        <v>1</v>
      </c>
      <c r="AH1161" s="4">
        <f t="shared" si="167"/>
        <v>44787.892118055555</v>
      </c>
      <c r="AI1161" s="2" t="str">
        <f t="shared" si="168"/>
        <v/>
      </c>
      <c r="AJ1161" s="2" t="str">
        <f t="shared" si="169"/>
        <v/>
      </c>
      <c r="AK1161" s="2" t="str">
        <f t="shared" si="170"/>
        <v/>
      </c>
    </row>
    <row r="1162" spans="1:37" x14ac:dyDescent="0.25">
      <c r="A1162">
        <v>1908</v>
      </c>
      <c r="B1162" t="s">
        <v>1289</v>
      </c>
      <c r="C1162" t="s">
        <v>1239</v>
      </c>
      <c r="D1162" t="s">
        <v>1275</v>
      </c>
      <c r="E1162" t="s">
        <v>1276</v>
      </c>
      <c r="F1162" t="s">
        <v>1277</v>
      </c>
      <c r="G1162" t="s">
        <v>31</v>
      </c>
      <c r="H1162" s="1">
        <v>44995.686469907407</v>
      </c>
      <c r="I1162" s="1">
        <v>44998.686469907407</v>
      </c>
      <c r="J1162" t="s">
        <v>32</v>
      </c>
      <c r="K1162" s="1">
        <v>45014.686469907407</v>
      </c>
      <c r="L1162" t="s">
        <v>33</v>
      </c>
      <c r="M1162" t="s">
        <v>34</v>
      </c>
      <c r="T1162">
        <v>0</v>
      </c>
      <c r="Y1162" t="s">
        <v>35</v>
      </c>
      <c r="AC1162" s="2">
        <f t="shared" si="162"/>
        <v>3</v>
      </c>
      <c r="AD1162" s="2">
        <f t="shared" si="163"/>
        <v>19</v>
      </c>
      <c r="AE1162" s="2">
        <f t="shared" si="164"/>
        <v>16</v>
      </c>
      <c r="AF1162" s="2" t="str">
        <f t="shared" si="165"/>
        <v/>
      </c>
      <c r="AG1162" s="2" t="str">
        <f t="shared" si="166"/>
        <v/>
      </c>
      <c r="AH1162" s="4" t="str">
        <f t="shared" si="167"/>
        <v/>
      </c>
      <c r="AI1162" s="2" t="str">
        <f t="shared" si="168"/>
        <v/>
      </c>
      <c r="AJ1162" s="2" t="str">
        <f t="shared" si="169"/>
        <v/>
      </c>
      <c r="AK1162" s="2" t="str">
        <f t="shared" si="170"/>
        <v/>
      </c>
    </row>
    <row r="1163" spans="1:37" x14ac:dyDescent="0.25">
      <c r="A1163">
        <v>1741</v>
      </c>
      <c r="B1163" t="s">
        <v>1290</v>
      </c>
      <c r="C1163" t="s">
        <v>1239</v>
      </c>
      <c r="D1163" t="s">
        <v>1275</v>
      </c>
      <c r="E1163" t="s">
        <v>1276</v>
      </c>
      <c r="F1163" t="s">
        <v>1277</v>
      </c>
      <c r="G1163" t="s">
        <v>31</v>
      </c>
      <c r="H1163" s="1">
        <v>44946.798078703701</v>
      </c>
      <c r="I1163" s="1">
        <v>44949.798078703701</v>
      </c>
      <c r="J1163" t="s">
        <v>32</v>
      </c>
      <c r="K1163" s="1">
        <v>44968.798078703701</v>
      </c>
      <c r="L1163" t="s">
        <v>33</v>
      </c>
      <c r="M1163" t="s">
        <v>92</v>
      </c>
      <c r="R1163" s="4">
        <v>44970.798078703701</v>
      </c>
      <c r="T1163">
        <v>0</v>
      </c>
      <c r="Y1163" t="s">
        <v>55</v>
      </c>
      <c r="AC1163" s="2">
        <f t="shared" si="162"/>
        <v>3</v>
      </c>
      <c r="AD1163" s="2">
        <f t="shared" si="163"/>
        <v>22</v>
      </c>
      <c r="AE1163" s="2">
        <f t="shared" si="164"/>
        <v>19</v>
      </c>
      <c r="AF1163" s="2">
        <f t="shared" si="165"/>
        <v>24</v>
      </c>
      <c r="AG1163" s="2">
        <f t="shared" si="166"/>
        <v>2</v>
      </c>
      <c r="AH1163" s="4">
        <f t="shared" si="167"/>
        <v>45060.798078703701</v>
      </c>
      <c r="AI1163" s="2" t="str">
        <f t="shared" si="168"/>
        <v/>
      </c>
      <c r="AJ1163" s="2" t="str">
        <f t="shared" si="169"/>
        <v/>
      </c>
      <c r="AK1163" s="2" t="str">
        <f t="shared" si="170"/>
        <v/>
      </c>
    </row>
    <row r="1164" spans="1:37" x14ac:dyDescent="0.25">
      <c r="A1164">
        <v>1611</v>
      </c>
      <c r="B1164" t="s">
        <v>1291</v>
      </c>
      <c r="C1164" t="s">
        <v>1239</v>
      </c>
      <c r="D1164" t="s">
        <v>1275</v>
      </c>
      <c r="E1164" t="s">
        <v>1276</v>
      </c>
      <c r="F1164" t="s">
        <v>1277</v>
      </c>
      <c r="G1164" t="s">
        <v>31</v>
      </c>
      <c r="H1164" s="1">
        <v>44851.951192129629</v>
      </c>
      <c r="I1164" s="1">
        <v>44854.951192129629</v>
      </c>
      <c r="J1164" t="s">
        <v>32</v>
      </c>
      <c r="K1164" s="1">
        <v>44870.951192129629</v>
      </c>
      <c r="L1164" t="s">
        <v>33</v>
      </c>
      <c r="M1164" t="s">
        <v>67</v>
      </c>
      <c r="R1164" s="4">
        <v>44872.951192129629</v>
      </c>
      <c r="T1164">
        <v>0</v>
      </c>
      <c r="Y1164" t="s">
        <v>55</v>
      </c>
      <c r="AC1164" s="2">
        <f t="shared" si="162"/>
        <v>3</v>
      </c>
      <c r="AD1164" s="2">
        <f t="shared" si="163"/>
        <v>19</v>
      </c>
      <c r="AE1164" s="2">
        <f t="shared" si="164"/>
        <v>16</v>
      </c>
      <c r="AF1164" s="2">
        <f t="shared" si="165"/>
        <v>21</v>
      </c>
      <c r="AG1164" s="2">
        <f t="shared" si="166"/>
        <v>2</v>
      </c>
      <c r="AH1164" s="4">
        <f t="shared" si="167"/>
        <v>44962.951192129629</v>
      </c>
      <c r="AI1164" s="2" t="str">
        <f t="shared" si="168"/>
        <v/>
      </c>
      <c r="AJ1164" s="2" t="str">
        <f t="shared" si="169"/>
        <v/>
      </c>
      <c r="AK1164" s="2" t="str">
        <f t="shared" si="170"/>
        <v/>
      </c>
    </row>
    <row r="1165" spans="1:37" x14ac:dyDescent="0.25">
      <c r="A1165">
        <v>1540</v>
      </c>
      <c r="B1165" t="s">
        <v>1292</v>
      </c>
      <c r="C1165" t="s">
        <v>1239</v>
      </c>
      <c r="D1165" t="s">
        <v>1275</v>
      </c>
      <c r="E1165" t="s">
        <v>1276</v>
      </c>
      <c r="F1165" t="s">
        <v>1277</v>
      </c>
      <c r="G1165" t="s">
        <v>31</v>
      </c>
      <c r="H1165" s="1">
        <v>45053.546423611115</v>
      </c>
      <c r="I1165" s="1">
        <v>45056.546423611115</v>
      </c>
      <c r="J1165" t="s">
        <v>32</v>
      </c>
      <c r="K1165" s="1">
        <v>45069.546423611115</v>
      </c>
      <c r="L1165" t="s">
        <v>39</v>
      </c>
      <c r="N1165" s="4">
        <v>45073.546423611115</v>
      </c>
      <c r="O1165" t="s">
        <v>39</v>
      </c>
      <c r="R1165" s="4">
        <v>45072.546423611115</v>
      </c>
      <c r="T1165">
        <v>0</v>
      </c>
      <c r="AC1165" s="2">
        <f t="shared" si="162"/>
        <v>3</v>
      </c>
      <c r="AD1165" s="2">
        <f t="shared" si="163"/>
        <v>16</v>
      </c>
      <c r="AE1165" s="2">
        <f t="shared" si="164"/>
        <v>13</v>
      </c>
      <c r="AF1165" s="2">
        <f t="shared" si="165"/>
        <v>19</v>
      </c>
      <c r="AG1165" s="2">
        <f t="shared" si="166"/>
        <v>3</v>
      </c>
      <c r="AH1165" s="4">
        <f t="shared" si="167"/>
        <v>45162.546423611115</v>
      </c>
      <c r="AI1165" s="2" t="str">
        <f t="shared" si="168"/>
        <v/>
      </c>
      <c r="AJ1165" s="2" t="str">
        <f t="shared" si="169"/>
        <v/>
      </c>
      <c r="AK1165" s="2" t="str">
        <f t="shared" si="170"/>
        <v/>
      </c>
    </row>
    <row r="1166" spans="1:37" x14ac:dyDescent="0.25">
      <c r="A1166">
        <v>1508</v>
      </c>
      <c r="B1166" t="s">
        <v>1293</v>
      </c>
      <c r="C1166" t="s">
        <v>1239</v>
      </c>
      <c r="D1166" t="s">
        <v>1275</v>
      </c>
      <c r="E1166" t="s">
        <v>1276</v>
      </c>
      <c r="F1166" t="s">
        <v>1277</v>
      </c>
      <c r="G1166" t="s">
        <v>31</v>
      </c>
      <c r="H1166" s="1">
        <v>44756.346215277779</v>
      </c>
      <c r="I1166" s="1">
        <v>44757.346215277779</v>
      </c>
      <c r="J1166" t="s">
        <v>32</v>
      </c>
      <c r="K1166" s="1">
        <v>44777.346215277779</v>
      </c>
      <c r="L1166" t="s">
        <v>33</v>
      </c>
      <c r="M1166" t="s">
        <v>51</v>
      </c>
      <c r="T1166">
        <v>0</v>
      </c>
      <c r="Y1166" t="s">
        <v>55</v>
      </c>
      <c r="AC1166" s="2">
        <f t="shared" si="162"/>
        <v>1</v>
      </c>
      <c r="AD1166" s="2">
        <f t="shared" si="163"/>
        <v>21</v>
      </c>
      <c r="AE1166" s="2">
        <f t="shared" si="164"/>
        <v>20</v>
      </c>
      <c r="AF1166" s="2" t="str">
        <f t="shared" si="165"/>
        <v/>
      </c>
      <c r="AG1166" s="2" t="str">
        <f t="shared" si="166"/>
        <v/>
      </c>
      <c r="AH1166" s="4" t="str">
        <f t="shared" si="167"/>
        <v/>
      </c>
      <c r="AI1166" s="2" t="str">
        <f t="shared" si="168"/>
        <v/>
      </c>
      <c r="AJ1166" s="2" t="str">
        <f t="shared" si="169"/>
        <v/>
      </c>
      <c r="AK1166" s="2" t="str">
        <f t="shared" si="170"/>
        <v/>
      </c>
    </row>
    <row r="1167" spans="1:37" x14ac:dyDescent="0.25">
      <c r="A1167">
        <v>1505</v>
      </c>
      <c r="B1167" t="s">
        <v>1294</v>
      </c>
      <c r="C1167" t="s">
        <v>1239</v>
      </c>
      <c r="D1167" t="s">
        <v>1275</v>
      </c>
      <c r="E1167" t="s">
        <v>1276</v>
      </c>
      <c r="F1167" t="s">
        <v>1277</v>
      </c>
      <c r="G1167" t="s">
        <v>31</v>
      </c>
      <c r="H1167" s="1">
        <v>44756.346215277779</v>
      </c>
      <c r="I1167" s="1">
        <v>44759.346215277779</v>
      </c>
      <c r="J1167" t="s">
        <v>32</v>
      </c>
      <c r="K1167" s="1">
        <v>44774.346215277779</v>
      </c>
      <c r="L1167" t="s">
        <v>33</v>
      </c>
      <c r="M1167" t="s">
        <v>67</v>
      </c>
      <c r="R1167" s="4">
        <v>44776.346215277779</v>
      </c>
      <c r="T1167">
        <v>0</v>
      </c>
      <c r="Y1167" t="s">
        <v>35</v>
      </c>
      <c r="AC1167" s="2">
        <f t="shared" si="162"/>
        <v>3</v>
      </c>
      <c r="AD1167" s="2">
        <f t="shared" si="163"/>
        <v>18</v>
      </c>
      <c r="AE1167" s="2">
        <f t="shared" si="164"/>
        <v>15</v>
      </c>
      <c r="AF1167" s="2">
        <f t="shared" si="165"/>
        <v>20</v>
      </c>
      <c r="AG1167" s="2">
        <f t="shared" si="166"/>
        <v>2</v>
      </c>
      <c r="AH1167" s="4">
        <f t="shared" si="167"/>
        <v>44866.346215277779</v>
      </c>
      <c r="AI1167" s="2" t="str">
        <f t="shared" si="168"/>
        <v/>
      </c>
      <c r="AJ1167" s="2" t="str">
        <f t="shared" si="169"/>
        <v/>
      </c>
      <c r="AK1167" s="2" t="str">
        <f t="shared" si="170"/>
        <v/>
      </c>
    </row>
    <row r="1168" spans="1:37" x14ac:dyDescent="0.25">
      <c r="A1168">
        <v>1500</v>
      </c>
      <c r="B1168" t="s">
        <v>1295</v>
      </c>
      <c r="C1168" t="s">
        <v>1239</v>
      </c>
      <c r="D1168" t="s">
        <v>1275</v>
      </c>
      <c r="E1168" t="s">
        <v>1276</v>
      </c>
      <c r="F1168" t="s">
        <v>1277</v>
      </c>
      <c r="G1168" t="s">
        <v>31</v>
      </c>
      <c r="H1168" s="1">
        <v>44694.569456018522</v>
      </c>
      <c r="I1168" s="1">
        <v>44698.569456018522</v>
      </c>
      <c r="J1168" t="s">
        <v>32</v>
      </c>
      <c r="K1168" s="1">
        <v>44709.569456018522</v>
      </c>
      <c r="L1168" t="s">
        <v>33</v>
      </c>
      <c r="M1168" t="s">
        <v>67</v>
      </c>
      <c r="R1168" s="4">
        <v>44711.569456018522</v>
      </c>
      <c r="T1168">
        <v>0</v>
      </c>
      <c r="Y1168" t="s">
        <v>35</v>
      </c>
      <c r="AC1168" s="2">
        <f t="shared" si="162"/>
        <v>4</v>
      </c>
      <c r="AD1168" s="2">
        <f t="shared" si="163"/>
        <v>15</v>
      </c>
      <c r="AE1168" s="2">
        <f t="shared" si="164"/>
        <v>11</v>
      </c>
      <c r="AF1168" s="2">
        <f t="shared" si="165"/>
        <v>17</v>
      </c>
      <c r="AG1168" s="2">
        <f t="shared" si="166"/>
        <v>2</v>
      </c>
      <c r="AH1168" s="4">
        <f t="shared" si="167"/>
        <v>44801.569456018522</v>
      </c>
      <c r="AI1168" s="2" t="str">
        <f t="shared" si="168"/>
        <v/>
      </c>
      <c r="AJ1168" s="2" t="str">
        <f t="shared" si="169"/>
        <v/>
      </c>
      <c r="AK1168" s="2" t="str">
        <f t="shared" si="170"/>
        <v/>
      </c>
    </row>
    <row r="1169" spans="1:37" x14ac:dyDescent="0.25">
      <c r="A1169">
        <v>1499</v>
      </c>
      <c r="B1169" t="s">
        <v>1296</v>
      </c>
      <c r="C1169" t="s">
        <v>1239</v>
      </c>
      <c r="D1169" t="s">
        <v>1275</v>
      </c>
      <c r="E1169" t="s">
        <v>1276</v>
      </c>
      <c r="F1169" t="s">
        <v>1277</v>
      </c>
      <c r="G1169" t="s">
        <v>31</v>
      </c>
      <c r="H1169" s="1">
        <v>44698.569456018522</v>
      </c>
      <c r="I1169" s="1">
        <v>44700.569456018522</v>
      </c>
      <c r="J1169" t="s">
        <v>32</v>
      </c>
      <c r="K1169" s="1">
        <v>44709.569456018522</v>
      </c>
      <c r="L1169" t="s">
        <v>33</v>
      </c>
      <c r="M1169" t="s">
        <v>108</v>
      </c>
      <c r="R1169" s="4">
        <v>44711.569456018522</v>
      </c>
      <c r="T1169">
        <v>0</v>
      </c>
      <c r="Y1169" t="s">
        <v>55</v>
      </c>
      <c r="AC1169" s="2">
        <f t="shared" si="162"/>
        <v>2</v>
      </c>
      <c r="AD1169" s="2">
        <f t="shared" si="163"/>
        <v>11</v>
      </c>
      <c r="AE1169" s="2">
        <f t="shared" si="164"/>
        <v>9</v>
      </c>
      <c r="AF1169" s="2">
        <f t="shared" si="165"/>
        <v>13</v>
      </c>
      <c r="AG1169" s="2">
        <f t="shared" si="166"/>
        <v>2</v>
      </c>
      <c r="AH1169" s="4">
        <f t="shared" si="167"/>
        <v>44801.569456018522</v>
      </c>
      <c r="AI1169" s="2" t="str">
        <f t="shared" si="168"/>
        <v/>
      </c>
      <c r="AJ1169" s="2" t="str">
        <f t="shared" si="169"/>
        <v/>
      </c>
      <c r="AK1169" s="2" t="str">
        <f t="shared" si="170"/>
        <v/>
      </c>
    </row>
    <row r="1170" spans="1:37" x14ac:dyDescent="0.25">
      <c r="A1170">
        <v>1451</v>
      </c>
      <c r="B1170" t="s">
        <v>1297</v>
      </c>
      <c r="C1170" t="s">
        <v>1239</v>
      </c>
      <c r="D1170" t="s">
        <v>1275</v>
      </c>
      <c r="E1170" t="s">
        <v>1276</v>
      </c>
      <c r="F1170" t="s">
        <v>1277</v>
      </c>
      <c r="G1170" t="s">
        <v>31</v>
      </c>
      <c r="H1170" s="1">
        <v>45024.57240740741</v>
      </c>
      <c r="I1170" s="1">
        <v>45027.57240740741</v>
      </c>
      <c r="J1170" t="s">
        <v>32</v>
      </c>
      <c r="K1170" s="1">
        <v>45041.57240740741</v>
      </c>
      <c r="L1170" t="s">
        <v>33</v>
      </c>
      <c r="M1170" t="s">
        <v>108</v>
      </c>
      <c r="R1170" s="4">
        <v>45045.57240740741</v>
      </c>
      <c r="T1170">
        <v>0</v>
      </c>
      <c r="Y1170" t="s">
        <v>35</v>
      </c>
      <c r="AC1170" s="2">
        <f t="shared" si="162"/>
        <v>3</v>
      </c>
      <c r="AD1170" s="2">
        <f t="shared" si="163"/>
        <v>17</v>
      </c>
      <c r="AE1170" s="2">
        <f t="shared" si="164"/>
        <v>14</v>
      </c>
      <c r="AF1170" s="2">
        <f t="shared" si="165"/>
        <v>21</v>
      </c>
      <c r="AG1170" s="2">
        <f t="shared" si="166"/>
        <v>4</v>
      </c>
      <c r="AH1170" s="4">
        <f t="shared" si="167"/>
        <v>45135.57240740741</v>
      </c>
      <c r="AI1170" s="2" t="str">
        <f t="shared" si="168"/>
        <v/>
      </c>
      <c r="AJ1170" s="2" t="str">
        <f t="shared" si="169"/>
        <v/>
      </c>
      <c r="AK1170" s="2" t="str">
        <f t="shared" si="170"/>
        <v/>
      </c>
    </row>
    <row r="1171" spans="1:37" x14ac:dyDescent="0.25">
      <c r="A1171">
        <v>1366</v>
      </c>
      <c r="B1171" t="s">
        <v>1298</v>
      </c>
      <c r="C1171" t="s">
        <v>1239</v>
      </c>
      <c r="D1171" t="s">
        <v>1275</v>
      </c>
      <c r="E1171" t="s">
        <v>1276</v>
      </c>
      <c r="F1171" t="s">
        <v>1277</v>
      </c>
      <c r="G1171" t="s">
        <v>31</v>
      </c>
      <c r="H1171" s="1">
        <v>44854.163807870369</v>
      </c>
      <c r="I1171" s="1">
        <v>44855.163807870369</v>
      </c>
      <c r="J1171" t="s">
        <v>32</v>
      </c>
      <c r="K1171" s="1">
        <v>44865.163807870369</v>
      </c>
      <c r="L1171" t="s">
        <v>33</v>
      </c>
      <c r="M1171" t="s">
        <v>34</v>
      </c>
      <c r="R1171" s="4">
        <v>44867.163807870369</v>
      </c>
      <c r="T1171">
        <v>0</v>
      </c>
      <c r="Y1171" t="s">
        <v>55</v>
      </c>
      <c r="AC1171" s="2">
        <f t="shared" si="162"/>
        <v>1</v>
      </c>
      <c r="AD1171" s="2">
        <f t="shared" si="163"/>
        <v>11</v>
      </c>
      <c r="AE1171" s="2">
        <f t="shared" si="164"/>
        <v>10</v>
      </c>
      <c r="AF1171" s="2">
        <f t="shared" si="165"/>
        <v>13</v>
      </c>
      <c r="AG1171" s="2">
        <f t="shared" si="166"/>
        <v>2</v>
      </c>
      <c r="AH1171" s="4">
        <f t="shared" si="167"/>
        <v>44957.163807870369</v>
      </c>
      <c r="AI1171" s="2" t="str">
        <f t="shared" si="168"/>
        <v/>
      </c>
      <c r="AJ1171" s="2" t="str">
        <f t="shared" si="169"/>
        <v/>
      </c>
      <c r="AK1171" s="2" t="str">
        <f t="shared" si="170"/>
        <v/>
      </c>
    </row>
    <row r="1172" spans="1:37" x14ac:dyDescent="0.25">
      <c r="A1172">
        <v>1319</v>
      </c>
      <c r="B1172" t="s">
        <v>1299</v>
      </c>
      <c r="C1172" t="s">
        <v>1239</v>
      </c>
      <c r="D1172" t="s">
        <v>1275</v>
      </c>
      <c r="E1172" t="s">
        <v>1276</v>
      </c>
      <c r="F1172" t="s">
        <v>1277</v>
      </c>
      <c r="G1172" t="s">
        <v>31</v>
      </c>
      <c r="H1172" s="1">
        <v>45147.233067129629</v>
      </c>
      <c r="I1172" s="1">
        <v>45151.233067129629</v>
      </c>
      <c r="J1172" t="s">
        <v>32</v>
      </c>
      <c r="K1172" s="1">
        <v>45165.233067129629</v>
      </c>
      <c r="L1172" t="s">
        <v>33</v>
      </c>
      <c r="M1172" t="s">
        <v>67</v>
      </c>
      <c r="R1172" s="4">
        <v>45169.233067129629</v>
      </c>
      <c r="T1172">
        <v>0</v>
      </c>
      <c r="Y1172" t="s">
        <v>35</v>
      </c>
      <c r="AC1172" s="2">
        <f t="shared" si="162"/>
        <v>4</v>
      </c>
      <c r="AD1172" s="2">
        <f t="shared" si="163"/>
        <v>18</v>
      </c>
      <c r="AE1172" s="2">
        <f t="shared" si="164"/>
        <v>14</v>
      </c>
      <c r="AF1172" s="2">
        <f t="shared" si="165"/>
        <v>22</v>
      </c>
      <c r="AG1172" s="2">
        <f t="shared" si="166"/>
        <v>4</v>
      </c>
      <c r="AH1172" s="4">
        <f t="shared" si="167"/>
        <v>45259.233067129629</v>
      </c>
      <c r="AI1172" s="2" t="str">
        <f t="shared" si="168"/>
        <v/>
      </c>
      <c r="AJ1172" s="2" t="str">
        <f t="shared" si="169"/>
        <v/>
      </c>
      <c r="AK1172" s="2" t="str">
        <f t="shared" si="170"/>
        <v/>
      </c>
    </row>
    <row r="1173" spans="1:37" x14ac:dyDescent="0.25">
      <c r="A1173">
        <v>1311</v>
      </c>
      <c r="B1173" t="s">
        <v>1300</v>
      </c>
      <c r="C1173" t="s">
        <v>1239</v>
      </c>
      <c r="D1173" t="s">
        <v>1275</v>
      </c>
      <c r="E1173" t="s">
        <v>1276</v>
      </c>
      <c r="F1173" t="s">
        <v>1277</v>
      </c>
      <c r="G1173" t="s">
        <v>31</v>
      </c>
      <c r="H1173" s="1">
        <v>45150.233067129629</v>
      </c>
      <c r="I1173" s="1">
        <v>45151.233067129629</v>
      </c>
      <c r="J1173" t="s">
        <v>32</v>
      </c>
      <c r="K1173" s="1">
        <v>45165.233067129629</v>
      </c>
      <c r="L1173" t="s">
        <v>33</v>
      </c>
      <c r="M1173" t="s">
        <v>67</v>
      </c>
      <c r="T1173">
        <v>0</v>
      </c>
      <c r="Y1173" t="s">
        <v>35</v>
      </c>
      <c r="AC1173" s="2">
        <f t="shared" si="162"/>
        <v>1</v>
      </c>
      <c r="AD1173" s="2">
        <f t="shared" si="163"/>
        <v>15</v>
      </c>
      <c r="AE1173" s="2">
        <f t="shared" si="164"/>
        <v>14</v>
      </c>
      <c r="AF1173" s="2" t="str">
        <f t="shared" si="165"/>
        <v/>
      </c>
      <c r="AG1173" s="2" t="str">
        <f t="shared" si="166"/>
        <v/>
      </c>
      <c r="AH1173" s="4" t="str">
        <f t="shared" si="167"/>
        <v/>
      </c>
      <c r="AI1173" s="2" t="str">
        <f t="shared" si="168"/>
        <v/>
      </c>
      <c r="AJ1173" s="2" t="str">
        <f t="shared" si="169"/>
        <v/>
      </c>
      <c r="AK1173" s="2" t="str">
        <f t="shared" si="170"/>
        <v/>
      </c>
    </row>
    <row r="1174" spans="1:37" x14ac:dyDescent="0.25">
      <c r="A1174">
        <v>1279</v>
      </c>
      <c r="B1174" t="s">
        <v>1301</v>
      </c>
      <c r="C1174" t="s">
        <v>1239</v>
      </c>
      <c r="D1174" t="s">
        <v>1275</v>
      </c>
      <c r="E1174" t="s">
        <v>1276</v>
      </c>
      <c r="F1174" t="s">
        <v>1277</v>
      </c>
      <c r="G1174" t="s">
        <v>31</v>
      </c>
      <c r="H1174" s="1">
        <v>44712.107928240737</v>
      </c>
      <c r="I1174" s="1">
        <v>44715.107928240737</v>
      </c>
      <c r="J1174" t="s">
        <v>32</v>
      </c>
      <c r="K1174" s="1">
        <v>44723.107928240737</v>
      </c>
      <c r="L1174" t="s">
        <v>33</v>
      </c>
      <c r="M1174" t="s">
        <v>34</v>
      </c>
      <c r="R1174" s="4">
        <v>44725.107928240737</v>
      </c>
      <c r="T1174">
        <v>0</v>
      </c>
      <c r="Y1174" t="s">
        <v>55</v>
      </c>
      <c r="AC1174" s="2">
        <f t="shared" si="162"/>
        <v>3</v>
      </c>
      <c r="AD1174" s="2">
        <f t="shared" si="163"/>
        <v>11</v>
      </c>
      <c r="AE1174" s="2">
        <f t="shared" si="164"/>
        <v>8</v>
      </c>
      <c r="AF1174" s="2">
        <f t="shared" si="165"/>
        <v>13</v>
      </c>
      <c r="AG1174" s="2">
        <f t="shared" si="166"/>
        <v>2</v>
      </c>
      <c r="AH1174" s="4">
        <f t="shared" si="167"/>
        <v>44815.107928240737</v>
      </c>
      <c r="AI1174" s="2" t="str">
        <f t="shared" si="168"/>
        <v/>
      </c>
      <c r="AJ1174" s="2" t="str">
        <f t="shared" si="169"/>
        <v/>
      </c>
      <c r="AK1174" s="2" t="str">
        <f t="shared" si="170"/>
        <v/>
      </c>
    </row>
    <row r="1175" spans="1:37" x14ac:dyDescent="0.25">
      <c r="A1175">
        <v>1169</v>
      </c>
      <c r="B1175" t="s">
        <v>1302</v>
      </c>
      <c r="C1175" t="s">
        <v>1239</v>
      </c>
      <c r="D1175" t="s">
        <v>1275</v>
      </c>
      <c r="E1175" t="s">
        <v>1276</v>
      </c>
      <c r="F1175" t="s">
        <v>1277</v>
      </c>
      <c r="G1175" t="s">
        <v>31</v>
      </c>
      <c r="H1175" s="1">
        <v>44968.866122685184</v>
      </c>
      <c r="I1175" s="1">
        <v>44972.866122685184</v>
      </c>
      <c r="J1175" t="s">
        <v>32</v>
      </c>
      <c r="K1175" s="1">
        <v>44985.866122685184</v>
      </c>
      <c r="L1175" t="s">
        <v>33</v>
      </c>
      <c r="M1175" t="s">
        <v>67</v>
      </c>
      <c r="T1175">
        <v>0</v>
      </c>
      <c r="Y1175" t="s">
        <v>35</v>
      </c>
      <c r="AC1175" s="2">
        <f t="shared" si="162"/>
        <v>4</v>
      </c>
      <c r="AD1175" s="2">
        <f t="shared" si="163"/>
        <v>17</v>
      </c>
      <c r="AE1175" s="2">
        <f t="shared" si="164"/>
        <v>13</v>
      </c>
      <c r="AF1175" s="2" t="str">
        <f t="shared" si="165"/>
        <v/>
      </c>
      <c r="AG1175" s="2" t="str">
        <f t="shared" si="166"/>
        <v/>
      </c>
      <c r="AH1175" s="4" t="str">
        <f t="shared" si="167"/>
        <v/>
      </c>
      <c r="AI1175" s="2" t="str">
        <f t="shared" si="168"/>
        <v/>
      </c>
      <c r="AJ1175" s="2" t="str">
        <f t="shared" si="169"/>
        <v/>
      </c>
      <c r="AK1175" s="2" t="str">
        <f t="shared" si="170"/>
        <v/>
      </c>
    </row>
    <row r="1176" spans="1:37" x14ac:dyDescent="0.25">
      <c r="A1176">
        <v>1166</v>
      </c>
      <c r="B1176" t="s">
        <v>1303</v>
      </c>
      <c r="C1176" t="s">
        <v>1239</v>
      </c>
      <c r="D1176" t="s">
        <v>1275</v>
      </c>
      <c r="E1176" t="s">
        <v>1276</v>
      </c>
      <c r="F1176" t="s">
        <v>1277</v>
      </c>
      <c r="G1176" t="s">
        <v>31</v>
      </c>
      <c r="H1176" s="1">
        <v>44964.866122685184</v>
      </c>
      <c r="I1176" s="1">
        <v>44968.866122685184</v>
      </c>
      <c r="J1176" t="s">
        <v>32</v>
      </c>
      <c r="K1176" s="1">
        <v>44981.866122685184</v>
      </c>
      <c r="L1176" t="s">
        <v>39</v>
      </c>
      <c r="N1176" s="4">
        <v>44986.866122685184</v>
      </c>
      <c r="O1176" t="s">
        <v>39</v>
      </c>
      <c r="R1176" s="4">
        <v>44983.866122685184</v>
      </c>
      <c r="T1176">
        <v>0</v>
      </c>
      <c r="AC1176" s="2">
        <f t="shared" si="162"/>
        <v>4</v>
      </c>
      <c r="AD1176" s="2">
        <f t="shared" si="163"/>
        <v>17</v>
      </c>
      <c r="AE1176" s="2">
        <f t="shared" si="164"/>
        <v>13</v>
      </c>
      <c r="AF1176" s="2">
        <f t="shared" si="165"/>
        <v>19</v>
      </c>
      <c r="AG1176" s="2">
        <f t="shared" si="166"/>
        <v>2</v>
      </c>
      <c r="AH1176" s="4">
        <f t="shared" si="167"/>
        <v>45073.866122685184</v>
      </c>
      <c r="AI1176" s="2" t="str">
        <f t="shared" si="168"/>
        <v/>
      </c>
      <c r="AJ1176" s="2" t="str">
        <f t="shared" si="169"/>
        <v/>
      </c>
      <c r="AK1176" s="2" t="str">
        <f t="shared" si="170"/>
        <v/>
      </c>
    </row>
    <row r="1177" spans="1:37" x14ac:dyDescent="0.25">
      <c r="A1177">
        <v>1137</v>
      </c>
      <c r="B1177" t="s">
        <v>1304</v>
      </c>
      <c r="C1177" t="s">
        <v>1239</v>
      </c>
      <c r="D1177" t="s">
        <v>1275</v>
      </c>
      <c r="E1177" t="s">
        <v>1276</v>
      </c>
      <c r="F1177" t="s">
        <v>1277</v>
      </c>
      <c r="G1177" t="s">
        <v>31</v>
      </c>
      <c r="H1177" s="1">
        <v>44635.796018518522</v>
      </c>
      <c r="I1177" s="1">
        <v>44637.796018518522</v>
      </c>
      <c r="J1177" t="s">
        <v>32</v>
      </c>
      <c r="K1177" s="1">
        <v>44647.796018518522</v>
      </c>
      <c r="L1177" t="s">
        <v>39</v>
      </c>
      <c r="N1177" s="4">
        <v>44650.796018518522</v>
      </c>
      <c r="O1177" t="s">
        <v>39</v>
      </c>
      <c r="R1177" s="4">
        <v>44649.796018518522</v>
      </c>
      <c r="T1177">
        <v>0</v>
      </c>
      <c r="AC1177" s="2">
        <f t="shared" si="162"/>
        <v>2</v>
      </c>
      <c r="AD1177" s="2">
        <f t="shared" si="163"/>
        <v>12</v>
      </c>
      <c r="AE1177" s="2">
        <f t="shared" si="164"/>
        <v>10</v>
      </c>
      <c r="AF1177" s="2">
        <f t="shared" si="165"/>
        <v>14</v>
      </c>
      <c r="AG1177" s="2">
        <f t="shared" si="166"/>
        <v>2</v>
      </c>
      <c r="AH1177" s="4">
        <f t="shared" si="167"/>
        <v>44739.796018518522</v>
      </c>
      <c r="AI1177" s="2" t="str">
        <f t="shared" si="168"/>
        <v/>
      </c>
      <c r="AJ1177" s="2" t="str">
        <f t="shared" si="169"/>
        <v/>
      </c>
      <c r="AK1177" s="2" t="str">
        <f t="shared" si="170"/>
        <v/>
      </c>
    </row>
    <row r="1178" spans="1:37" x14ac:dyDescent="0.25">
      <c r="A1178">
        <v>1133</v>
      </c>
      <c r="B1178" t="s">
        <v>1305</v>
      </c>
      <c r="C1178" t="s">
        <v>1239</v>
      </c>
      <c r="D1178" t="s">
        <v>1275</v>
      </c>
      <c r="E1178" t="s">
        <v>1276</v>
      </c>
      <c r="F1178" t="s">
        <v>1277</v>
      </c>
      <c r="G1178" t="s">
        <v>31</v>
      </c>
      <c r="H1178" s="1">
        <v>44634.796018518522</v>
      </c>
      <c r="I1178" s="1">
        <v>44636.796018518522</v>
      </c>
      <c r="J1178" t="s">
        <v>32</v>
      </c>
      <c r="K1178" s="1">
        <v>44649.796018518522</v>
      </c>
      <c r="L1178" t="s">
        <v>39</v>
      </c>
      <c r="N1178" s="4">
        <v>44653.796018518522</v>
      </c>
      <c r="O1178" t="s">
        <v>39</v>
      </c>
      <c r="R1178" s="4">
        <v>44652.796018518522</v>
      </c>
      <c r="T1178">
        <v>0</v>
      </c>
      <c r="AC1178" s="2">
        <f t="shared" si="162"/>
        <v>2</v>
      </c>
      <c r="AD1178" s="2">
        <f t="shared" si="163"/>
        <v>15</v>
      </c>
      <c r="AE1178" s="2">
        <f t="shared" si="164"/>
        <v>13</v>
      </c>
      <c r="AF1178" s="2">
        <f t="shared" si="165"/>
        <v>18</v>
      </c>
      <c r="AG1178" s="2">
        <f t="shared" si="166"/>
        <v>3</v>
      </c>
      <c r="AH1178" s="4">
        <f t="shared" si="167"/>
        <v>44742.796018518522</v>
      </c>
      <c r="AI1178" s="2" t="str">
        <f t="shared" si="168"/>
        <v/>
      </c>
      <c r="AJ1178" s="2" t="str">
        <f t="shared" si="169"/>
        <v/>
      </c>
      <c r="AK1178" s="2" t="str">
        <f t="shared" si="170"/>
        <v/>
      </c>
    </row>
    <row r="1179" spans="1:37" x14ac:dyDescent="0.25">
      <c r="A1179">
        <v>1125</v>
      </c>
      <c r="B1179" t="s">
        <v>1306</v>
      </c>
      <c r="C1179" t="s">
        <v>1239</v>
      </c>
      <c r="D1179" t="s">
        <v>1275</v>
      </c>
      <c r="E1179" t="s">
        <v>1276</v>
      </c>
      <c r="F1179" t="s">
        <v>1277</v>
      </c>
      <c r="G1179" t="s">
        <v>31</v>
      </c>
      <c r="H1179" s="1">
        <v>45097.561550925922</v>
      </c>
      <c r="I1179" s="1">
        <v>45099.561550925922</v>
      </c>
      <c r="J1179" t="s">
        <v>32</v>
      </c>
      <c r="K1179" s="1">
        <v>45109.561550925922</v>
      </c>
      <c r="L1179" t="s">
        <v>57</v>
      </c>
      <c r="N1179" s="4">
        <v>45115.561550925922</v>
      </c>
      <c r="O1179" t="s">
        <v>57</v>
      </c>
      <c r="P1179" s="4">
        <v>45110.561550925922</v>
      </c>
      <c r="Q1179" s="4">
        <v>45113.561550925922</v>
      </c>
      <c r="R1179" s="4">
        <v>45112.561550925922</v>
      </c>
      <c r="S1179" s="4">
        <v>45114.561550925922</v>
      </c>
      <c r="T1179">
        <v>1</v>
      </c>
      <c r="U1179" s="4">
        <v>45116.561550925922</v>
      </c>
      <c r="V1179" s="4">
        <v>45118.561550925922</v>
      </c>
      <c r="W1179" s="4">
        <v>45119.561550925922</v>
      </c>
      <c r="Z1179" s="4">
        <v>45135.561550925922</v>
      </c>
      <c r="AC1179" s="2">
        <f t="shared" si="162"/>
        <v>2</v>
      </c>
      <c r="AD1179" s="2">
        <f t="shared" si="163"/>
        <v>12</v>
      </c>
      <c r="AE1179" s="2">
        <f t="shared" si="164"/>
        <v>10</v>
      </c>
      <c r="AF1179" s="2">
        <f t="shared" si="165"/>
        <v>15</v>
      </c>
      <c r="AG1179" s="2">
        <f t="shared" si="166"/>
        <v>3</v>
      </c>
      <c r="AH1179" s="4">
        <f t="shared" si="167"/>
        <v>45202.561550925922</v>
      </c>
      <c r="AI1179" s="2">
        <f t="shared" si="168"/>
        <v>2</v>
      </c>
      <c r="AJ1179" s="2">
        <f t="shared" si="169"/>
        <v>23</v>
      </c>
      <c r="AK1179" s="2">
        <f t="shared" si="170"/>
        <v>7</v>
      </c>
    </row>
    <row r="1180" spans="1:37" x14ac:dyDescent="0.25">
      <c r="A1180">
        <v>1124</v>
      </c>
      <c r="B1180" t="s">
        <v>1307</v>
      </c>
      <c r="C1180" t="s">
        <v>1239</v>
      </c>
      <c r="D1180" t="s">
        <v>1275</v>
      </c>
      <c r="E1180" t="s">
        <v>29</v>
      </c>
      <c r="F1180" t="s">
        <v>1308</v>
      </c>
      <c r="G1180" t="s">
        <v>31</v>
      </c>
      <c r="H1180" s="1">
        <v>45096.561550925922</v>
      </c>
      <c r="I1180" s="1">
        <v>45099.561550925922</v>
      </c>
      <c r="J1180" t="s">
        <v>32</v>
      </c>
      <c r="K1180" s="1">
        <v>45105.561550925922</v>
      </c>
      <c r="L1180" t="s">
        <v>33</v>
      </c>
      <c r="M1180" t="s">
        <v>34</v>
      </c>
      <c r="T1180">
        <v>0</v>
      </c>
      <c r="Y1180" t="s">
        <v>55</v>
      </c>
      <c r="AC1180" s="2">
        <f t="shared" si="162"/>
        <v>3</v>
      </c>
      <c r="AD1180" s="2">
        <f t="shared" si="163"/>
        <v>9</v>
      </c>
      <c r="AE1180" s="2">
        <f t="shared" si="164"/>
        <v>6</v>
      </c>
      <c r="AF1180" s="2" t="str">
        <f t="shared" si="165"/>
        <v/>
      </c>
      <c r="AG1180" s="2" t="str">
        <f t="shared" si="166"/>
        <v/>
      </c>
      <c r="AH1180" s="4" t="str">
        <f t="shared" si="167"/>
        <v/>
      </c>
      <c r="AI1180" s="2" t="str">
        <f t="shared" si="168"/>
        <v/>
      </c>
      <c r="AJ1180" s="2" t="str">
        <f t="shared" si="169"/>
        <v/>
      </c>
      <c r="AK1180" s="2" t="str">
        <f t="shared" si="170"/>
        <v/>
      </c>
    </row>
    <row r="1181" spans="1:37" x14ac:dyDescent="0.25">
      <c r="A1181">
        <v>1090</v>
      </c>
      <c r="B1181" t="s">
        <v>1309</v>
      </c>
      <c r="C1181" t="s">
        <v>1239</v>
      </c>
      <c r="D1181" t="s">
        <v>1275</v>
      </c>
      <c r="E1181" t="s">
        <v>29</v>
      </c>
      <c r="F1181" t="s">
        <v>1308</v>
      </c>
      <c r="G1181" t="s">
        <v>31</v>
      </c>
      <c r="H1181" s="1">
        <v>44891.976215277777</v>
      </c>
      <c r="I1181" s="1">
        <v>44893.976215277777</v>
      </c>
      <c r="J1181" t="s">
        <v>32</v>
      </c>
      <c r="K1181" s="1">
        <v>44914.976215277777</v>
      </c>
      <c r="L1181" t="s">
        <v>39</v>
      </c>
      <c r="N1181" s="4">
        <v>44921.976215277777</v>
      </c>
      <c r="O1181" t="s">
        <v>39</v>
      </c>
      <c r="R1181" s="4">
        <v>44917.976215277777</v>
      </c>
      <c r="T1181">
        <v>0</v>
      </c>
      <c r="AC1181" s="2">
        <f t="shared" si="162"/>
        <v>2</v>
      </c>
      <c r="AD1181" s="2">
        <f t="shared" si="163"/>
        <v>23</v>
      </c>
      <c r="AE1181" s="2">
        <f t="shared" si="164"/>
        <v>21</v>
      </c>
      <c r="AF1181" s="2">
        <f t="shared" si="165"/>
        <v>26</v>
      </c>
      <c r="AG1181" s="2">
        <f t="shared" si="166"/>
        <v>3</v>
      </c>
      <c r="AH1181" s="4">
        <f t="shared" si="167"/>
        <v>45007.976215277777</v>
      </c>
      <c r="AI1181" s="2" t="str">
        <f t="shared" si="168"/>
        <v/>
      </c>
      <c r="AJ1181" s="2" t="str">
        <f t="shared" si="169"/>
        <v/>
      </c>
      <c r="AK1181" s="2" t="str">
        <f t="shared" si="170"/>
        <v/>
      </c>
    </row>
    <row r="1182" spans="1:37" x14ac:dyDescent="0.25">
      <c r="A1182">
        <v>1086</v>
      </c>
      <c r="B1182" t="s">
        <v>1310</v>
      </c>
      <c r="C1182" t="s">
        <v>1239</v>
      </c>
      <c r="D1182" t="s">
        <v>1275</v>
      </c>
      <c r="E1182" t="s">
        <v>29</v>
      </c>
      <c r="F1182" t="s">
        <v>1308</v>
      </c>
      <c r="G1182" t="s">
        <v>31</v>
      </c>
      <c r="H1182" s="1">
        <v>44893.976215277777</v>
      </c>
      <c r="I1182" s="1">
        <v>44896.976215277777</v>
      </c>
      <c r="J1182" t="s">
        <v>32</v>
      </c>
      <c r="K1182" s="1">
        <v>44906.976215277777</v>
      </c>
      <c r="L1182" t="s">
        <v>33</v>
      </c>
      <c r="M1182" t="s">
        <v>67</v>
      </c>
      <c r="T1182">
        <v>0</v>
      </c>
      <c r="Y1182" t="s">
        <v>35</v>
      </c>
      <c r="AC1182" s="2">
        <f t="shared" si="162"/>
        <v>3</v>
      </c>
      <c r="AD1182" s="2">
        <f t="shared" si="163"/>
        <v>13</v>
      </c>
      <c r="AE1182" s="2">
        <f t="shared" si="164"/>
        <v>10</v>
      </c>
      <c r="AF1182" s="2" t="str">
        <f t="shared" si="165"/>
        <v/>
      </c>
      <c r="AG1182" s="2" t="str">
        <f t="shared" si="166"/>
        <v/>
      </c>
      <c r="AH1182" s="4" t="str">
        <f t="shared" si="167"/>
        <v/>
      </c>
      <c r="AI1182" s="2" t="str">
        <f t="shared" si="168"/>
        <v/>
      </c>
      <c r="AJ1182" s="2" t="str">
        <f t="shared" si="169"/>
        <v/>
      </c>
      <c r="AK1182" s="2" t="str">
        <f t="shared" si="170"/>
        <v/>
      </c>
    </row>
    <row r="1183" spans="1:37" x14ac:dyDescent="0.25">
      <c r="A1183">
        <v>1045</v>
      </c>
      <c r="B1183" t="s">
        <v>1311</v>
      </c>
      <c r="C1183" t="s">
        <v>1239</v>
      </c>
      <c r="D1183" t="s">
        <v>1275</v>
      </c>
      <c r="E1183" t="s">
        <v>29</v>
      </c>
      <c r="F1183" t="s">
        <v>1308</v>
      </c>
      <c r="G1183" t="s">
        <v>31</v>
      </c>
      <c r="H1183" s="1">
        <v>44886.960578703707</v>
      </c>
      <c r="I1183" s="1">
        <v>44888.960578703707</v>
      </c>
      <c r="J1183" t="s">
        <v>32</v>
      </c>
      <c r="K1183" s="1">
        <v>44902.960578703707</v>
      </c>
      <c r="L1183" t="s">
        <v>33</v>
      </c>
      <c r="M1183" t="s">
        <v>67</v>
      </c>
      <c r="R1183" s="4">
        <v>44906.960578703707</v>
      </c>
      <c r="T1183">
        <v>0</v>
      </c>
      <c r="Y1183" t="s">
        <v>55</v>
      </c>
      <c r="AC1183" s="2">
        <f t="shared" si="162"/>
        <v>2</v>
      </c>
      <c r="AD1183" s="2">
        <f t="shared" si="163"/>
        <v>16</v>
      </c>
      <c r="AE1183" s="2">
        <f t="shared" si="164"/>
        <v>14</v>
      </c>
      <c r="AF1183" s="2">
        <f t="shared" si="165"/>
        <v>20</v>
      </c>
      <c r="AG1183" s="2">
        <f t="shared" si="166"/>
        <v>4</v>
      </c>
      <c r="AH1183" s="4">
        <f t="shared" si="167"/>
        <v>44996.960578703707</v>
      </c>
      <c r="AI1183" s="2" t="str">
        <f t="shared" si="168"/>
        <v/>
      </c>
      <c r="AJ1183" s="2" t="str">
        <f t="shared" si="169"/>
        <v/>
      </c>
      <c r="AK1183" s="2" t="str">
        <f t="shared" si="170"/>
        <v/>
      </c>
    </row>
    <row r="1184" spans="1:37" x14ac:dyDescent="0.25">
      <c r="A1184">
        <v>1025</v>
      </c>
      <c r="B1184" t="s">
        <v>1312</v>
      </c>
      <c r="C1184" t="s">
        <v>1239</v>
      </c>
      <c r="D1184" t="s">
        <v>1275</v>
      </c>
      <c r="E1184" t="s">
        <v>29</v>
      </c>
      <c r="F1184" t="s">
        <v>1308</v>
      </c>
      <c r="G1184" t="s">
        <v>31</v>
      </c>
      <c r="H1184" s="1">
        <v>44954.791134259256</v>
      </c>
      <c r="I1184" s="1">
        <v>44957.791134259256</v>
      </c>
      <c r="J1184" t="s">
        <v>32</v>
      </c>
      <c r="K1184" s="1">
        <v>44965.791134259256</v>
      </c>
      <c r="L1184" t="s">
        <v>164</v>
      </c>
      <c r="N1184" s="4">
        <v>44968.791134259256</v>
      </c>
      <c r="O1184" t="s">
        <v>164</v>
      </c>
      <c r="R1184" s="4">
        <v>44967.791134259256</v>
      </c>
      <c r="T1184">
        <v>0</v>
      </c>
      <c r="AC1184" s="2">
        <f t="shared" si="162"/>
        <v>3</v>
      </c>
      <c r="AD1184" s="2">
        <f t="shared" si="163"/>
        <v>11</v>
      </c>
      <c r="AE1184" s="2">
        <f t="shared" si="164"/>
        <v>8</v>
      </c>
      <c r="AF1184" s="2">
        <f t="shared" si="165"/>
        <v>13</v>
      </c>
      <c r="AG1184" s="2">
        <f t="shared" si="166"/>
        <v>2</v>
      </c>
      <c r="AH1184" s="4">
        <f t="shared" si="167"/>
        <v>45057.791134259256</v>
      </c>
      <c r="AI1184" s="2" t="str">
        <f t="shared" si="168"/>
        <v/>
      </c>
      <c r="AJ1184" s="2" t="str">
        <f t="shared" si="169"/>
        <v/>
      </c>
      <c r="AK1184" s="2" t="str">
        <f t="shared" si="170"/>
        <v/>
      </c>
    </row>
    <row r="1185" spans="1:37" x14ac:dyDescent="0.25">
      <c r="A1185">
        <v>1021</v>
      </c>
      <c r="B1185" t="s">
        <v>1313</v>
      </c>
      <c r="C1185" t="s">
        <v>1239</v>
      </c>
      <c r="D1185" t="s">
        <v>1275</v>
      </c>
      <c r="E1185" t="s">
        <v>29</v>
      </c>
      <c r="F1185" t="s">
        <v>1308</v>
      </c>
      <c r="G1185" t="s">
        <v>31</v>
      </c>
      <c r="H1185" s="1">
        <v>44955.791134259256</v>
      </c>
      <c r="I1185" s="1">
        <v>44956.791134259256</v>
      </c>
      <c r="J1185" t="s">
        <v>32</v>
      </c>
      <c r="K1185" s="1">
        <v>44973.791134259256</v>
      </c>
      <c r="L1185" t="s">
        <v>33</v>
      </c>
      <c r="M1185" t="s">
        <v>108</v>
      </c>
      <c r="R1185" s="4">
        <v>44975.791134259256</v>
      </c>
      <c r="T1185">
        <v>0</v>
      </c>
      <c r="Y1185" t="s">
        <v>35</v>
      </c>
      <c r="AC1185" s="2">
        <f t="shared" si="162"/>
        <v>1</v>
      </c>
      <c r="AD1185" s="2">
        <f t="shared" si="163"/>
        <v>18</v>
      </c>
      <c r="AE1185" s="2">
        <f t="shared" si="164"/>
        <v>17</v>
      </c>
      <c r="AF1185" s="2">
        <f t="shared" si="165"/>
        <v>20</v>
      </c>
      <c r="AG1185" s="2">
        <f t="shared" si="166"/>
        <v>2</v>
      </c>
      <c r="AH1185" s="4">
        <f t="shared" si="167"/>
        <v>45065.791134259256</v>
      </c>
      <c r="AI1185" s="2" t="str">
        <f t="shared" si="168"/>
        <v/>
      </c>
      <c r="AJ1185" s="2" t="str">
        <f t="shared" si="169"/>
        <v/>
      </c>
      <c r="AK1185" s="2" t="str">
        <f t="shared" si="170"/>
        <v/>
      </c>
    </row>
    <row r="1186" spans="1:37" x14ac:dyDescent="0.25">
      <c r="A1186">
        <v>2894</v>
      </c>
      <c r="B1186" t="s">
        <v>1314</v>
      </c>
      <c r="C1186" t="s">
        <v>1239</v>
      </c>
      <c r="D1186" t="s">
        <v>1315</v>
      </c>
      <c r="E1186" t="s">
        <v>1167</v>
      </c>
      <c r="F1186" t="s">
        <v>1316</v>
      </c>
      <c r="G1186" t="s">
        <v>38</v>
      </c>
      <c r="H1186" s="1">
        <v>44959.681840277779</v>
      </c>
      <c r="I1186" s="1">
        <v>44961.681840277779</v>
      </c>
      <c r="J1186" t="s">
        <v>32</v>
      </c>
      <c r="K1186" s="1">
        <v>44972.681840277779</v>
      </c>
      <c r="L1186" t="s">
        <v>57</v>
      </c>
      <c r="N1186" s="4">
        <v>44977.681840277779</v>
      </c>
      <c r="O1186" t="s">
        <v>57</v>
      </c>
      <c r="P1186" s="4">
        <v>44974.681840277779</v>
      </c>
      <c r="Q1186" s="4">
        <v>44977.681840277779</v>
      </c>
      <c r="R1186" s="4">
        <v>44974.681840277779</v>
      </c>
      <c r="S1186" s="4">
        <v>44977.681840277779</v>
      </c>
      <c r="T1186">
        <v>1</v>
      </c>
      <c r="U1186" s="4">
        <v>44980.681840277779</v>
      </c>
      <c r="V1186" s="4">
        <v>44981.681840277779</v>
      </c>
      <c r="W1186" s="4">
        <v>44983.681840277779</v>
      </c>
      <c r="Z1186" s="4">
        <v>44997.681840277779</v>
      </c>
      <c r="AC1186" s="2">
        <f t="shared" si="162"/>
        <v>2</v>
      </c>
      <c r="AD1186" s="2">
        <f t="shared" si="163"/>
        <v>13</v>
      </c>
      <c r="AE1186" s="2">
        <f t="shared" si="164"/>
        <v>11</v>
      </c>
      <c r="AF1186" s="2">
        <f t="shared" si="165"/>
        <v>15</v>
      </c>
      <c r="AG1186" s="2">
        <f t="shared" si="166"/>
        <v>2</v>
      </c>
      <c r="AH1186" s="4">
        <f t="shared" si="167"/>
        <v>45064.681840277779</v>
      </c>
      <c r="AI1186" s="2">
        <f t="shared" si="168"/>
        <v>3</v>
      </c>
      <c r="AJ1186" s="2">
        <f t="shared" si="169"/>
        <v>23</v>
      </c>
      <c r="AK1186" s="2">
        <f t="shared" si="170"/>
        <v>9</v>
      </c>
    </row>
    <row r="1187" spans="1:37" x14ac:dyDescent="0.25">
      <c r="A1187">
        <v>2891</v>
      </c>
      <c r="B1187" t="s">
        <v>1317</v>
      </c>
      <c r="C1187" t="s">
        <v>1239</v>
      </c>
      <c r="D1187" t="s">
        <v>1315</v>
      </c>
      <c r="E1187" t="s">
        <v>1167</v>
      </c>
      <c r="F1187" t="s">
        <v>1316</v>
      </c>
      <c r="G1187" t="s">
        <v>38</v>
      </c>
      <c r="H1187" s="1">
        <v>44962.681840277779</v>
      </c>
      <c r="I1187" s="1">
        <v>44963.681840277779</v>
      </c>
      <c r="J1187" t="s">
        <v>32</v>
      </c>
      <c r="K1187" s="1">
        <v>44972.681840277779</v>
      </c>
      <c r="L1187" t="s">
        <v>39</v>
      </c>
      <c r="N1187" s="4">
        <v>44974.681840277779</v>
      </c>
      <c r="O1187" t="s">
        <v>39</v>
      </c>
      <c r="R1187" s="4">
        <v>44973.681840277779</v>
      </c>
      <c r="T1187">
        <v>0</v>
      </c>
      <c r="AC1187" s="2">
        <f t="shared" si="162"/>
        <v>1</v>
      </c>
      <c r="AD1187" s="2">
        <f t="shared" si="163"/>
        <v>10</v>
      </c>
      <c r="AE1187" s="2">
        <f t="shared" si="164"/>
        <v>9</v>
      </c>
      <c r="AF1187" s="2">
        <f t="shared" si="165"/>
        <v>11</v>
      </c>
      <c r="AG1187" s="2">
        <f t="shared" si="166"/>
        <v>1</v>
      </c>
      <c r="AH1187" s="4">
        <f t="shared" si="167"/>
        <v>45063.681840277779</v>
      </c>
      <c r="AI1187" s="2" t="str">
        <f t="shared" si="168"/>
        <v/>
      </c>
      <c r="AJ1187" s="2" t="str">
        <f t="shared" si="169"/>
        <v/>
      </c>
      <c r="AK1187" s="2" t="str">
        <f t="shared" si="170"/>
        <v/>
      </c>
    </row>
    <row r="1188" spans="1:37" x14ac:dyDescent="0.25">
      <c r="A1188">
        <v>2729</v>
      </c>
      <c r="B1188" t="s">
        <v>1318</v>
      </c>
      <c r="C1188" t="s">
        <v>1239</v>
      </c>
      <c r="D1188" t="s">
        <v>1315</v>
      </c>
      <c r="E1188" t="s">
        <v>1167</v>
      </c>
      <c r="F1188" t="s">
        <v>1316</v>
      </c>
      <c r="G1188" t="s">
        <v>38</v>
      </c>
      <c r="H1188" s="1">
        <v>45067.24894675926</v>
      </c>
      <c r="I1188" s="1">
        <v>45068.24894675926</v>
      </c>
      <c r="J1188" t="s">
        <v>32</v>
      </c>
      <c r="K1188" s="1">
        <v>45087.24894675926</v>
      </c>
      <c r="L1188" t="s">
        <v>33</v>
      </c>
      <c r="M1188" t="s">
        <v>51</v>
      </c>
      <c r="R1188" s="4">
        <v>45089.24894675926</v>
      </c>
      <c r="T1188">
        <v>0</v>
      </c>
      <c r="Y1188" t="s">
        <v>35</v>
      </c>
      <c r="AC1188" s="2">
        <f t="shared" si="162"/>
        <v>1</v>
      </c>
      <c r="AD1188" s="2">
        <f t="shared" si="163"/>
        <v>20</v>
      </c>
      <c r="AE1188" s="2">
        <f t="shared" si="164"/>
        <v>19</v>
      </c>
      <c r="AF1188" s="2">
        <f t="shared" si="165"/>
        <v>22</v>
      </c>
      <c r="AG1188" s="2">
        <f t="shared" si="166"/>
        <v>2</v>
      </c>
      <c r="AH1188" s="4">
        <f t="shared" si="167"/>
        <v>45179.24894675926</v>
      </c>
      <c r="AI1188" s="2" t="str">
        <f t="shared" si="168"/>
        <v/>
      </c>
      <c r="AJ1188" s="2" t="str">
        <f t="shared" si="169"/>
        <v/>
      </c>
      <c r="AK1188" s="2" t="str">
        <f t="shared" si="170"/>
        <v/>
      </c>
    </row>
    <row r="1189" spans="1:37" x14ac:dyDescent="0.25">
      <c r="A1189">
        <v>2668</v>
      </c>
      <c r="B1189" t="s">
        <v>1319</v>
      </c>
      <c r="C1189" t="s">
        <v>1239</v>
      </c>
      <c r="D1189" t="s">
        <v>1315</v>
      </c>
      <c r="E1189" t="s">
        <v>1167</v>
      </c>
      <c r="F1189" t="s">
        <v>1316</v>
      </c>
      <c r="G1189" t="s">
        <v>38</v>
      </c>
      <c r="H1189" s="1">
        <v>44897.903680555559</v>
      </c>
      <c r="I1189" s="1">
        <v>44899.903680555559</v>
      </c>
      <c r="J1189" t="s">
        <v>32</v>
      </c>
      <c r="K1189" s="1">
        <v>44915.903680555559</v>
      </c>
      <c r="L1189" t="s">
        <v>33</v>
      </c>
      <c r="M1189" t="s">
        <v>92</v>
      </c>
      <c r="T1189">
        <v>0</v>
      </c>
      <c r="Y1189" t="s">
        <v>35</v>
      </c>
      <c r="AC1189" s="2">
        <f t="shared" si="162"/>
        <v>2</v>
      </c>
      <c r="AD1189" s="2">
        <f t="shared" si="163"/>
        <v>18</v>
      </c>
      <c r="AE1189" s="2">
        <f t="shared" si="164"/>
        <v>16</v>
      </c>
      <c r="AF1189" s="2" t="str">
        <f t="shared" si="165"/>
        <v/>
      </c>
      <c r="AG1189" s="2" t="str">
        <f t="shared" si="166"/>
        <v/>
      </c>
      <c r="AH1189" s="4" t="str">
        <f t="shared" si="167"/>
        <v/>
      </c>
      <c r="AI1189" s="2" t="str">
        <f t="shared" si="168"/>
        <v/>
      </c>
      <c r="AJ1189" s="2" t="str">
        <f t="shared" si="169"/>
        <v/>
      </c>
      <c r="AK1189" s="2" t="str">
        <f t="shared" si="170"/>
        <v/>
      </c>
    </row>
    <row r="1190" spans="1:37" x14ac:dyDescent="0.25">
      <c r="A1190">
        <v>2662</v>
      </c>
      <c r="B1190" t="s">
        <v>1320</v>
      </c>
      <c r="C1190" t="s">
        <v>1239</v>
      </c>
      <c r="D1190" t="s">
        <v>1315</v>
      </c>
      <c r="E1190" t="s">
        <v>1167</v>
      </c>
      <c r="F1190" t="s">
        <v>1316</v>
      </c>
      <c r="G1190" t="s">
        <v>38</v>
      </c>
      <c r="H1190" s="1">
        <v>44900.903680555559</v>
      </c>
      <c r="I1190" s="1">
        <v>44901.903680555559</v>
      </c>
      <c r="J1190" t="s">
        <v>32</v>
      </c>
      <c r="K1190" s="1">
        <v>44906.903680555559</v>
      </c>
      <c r="L1190" t="s">
        <v>33</v>
      </c>
      <c r="M1190" t="s">
        <v>34</v>
      </c>
      <c r="R1190" s="4">
        <v>44907.903680555559</v>
      </c>
      <c r="T1190">
        <v>0</v>
      </c>
      <c r="Y1190" t="s">
        <v>55</v>
      </c>
      <c r="AC1190" s="2">
        <f t="shared" si="162"/>
        <v>1</v>
      </c>
      <c r="AD1190" s="2">
        <f t="shared" si="163"/>
        <v>6</v>
      </c>
      <c r="AE1190" s="2">
        <f t="shared" si="164"/>
        <v>5</v>
      </c>
      <c r="AF1190" s="2">
        <f t="shared" si="165"/>
        <v>7</v>
      </c>
      <c r="AG1190" s="2">
        <f t="shared" si="166"/>
        <v>1</v>
      </c>
      <c r="AH1190" s="4">
        <f t="shared" si="167"/>
        <v>44997.903680555559</v>
      </c>
      <c r="AI1190" s="2" t="str">
        <f t="shared" si="168"/>
        <v/>
      </c>
      <c r="AJ1190" s="2" t="str">
        <f t="shared" si="169"/>
        <v/>
      </c>
      <c r="AK1190" s="2" t="str">
        <f t="shared" si="170"/>
        <v/>
      </c>
    </row>
    <row r="1191" spans="1:37" x14ac:dyDescent="0.25">
      <c r="A1191">
        <v>2650</v>
      </c>
      <c r="B1191" t="s">
        <v>1321</v>
      </c>
      <c r="C1191" t="s">
        <v>1239</v>
      </c>
      <c r="D1191" t="s">
        <v>1315</v>
      </c>
      <c r="E1191" t="s">
        <v>1167</v>
      </c>
      <c r="F1191" t="s">
        <v>1316</v>
      </c>
      <c r="G1191" t="s">
        <v>38</v>
      </c>
      <c r="H1191" s="1">
        <v>44583.587569444448</v>
      </c>
      <c r="I1191" s="1">
        <v>44587.587569444448</v>
      </c>
      <c r="J1191" t="s">
        <v>32</v>
      </c>
      <c r="K1191" s="1">
        <v>44605.587569444448</v>
      </c>
      <c r="L1191" t="s">
        <v>33</v>
      </c>
      <c r="M1191" t="s">
        <v>92</v>
      </c>
      <c r="T1191">
        <v>0</v>
      </c>
      <c r="Y1191" t="s">
        <v>55</v>
      </c>
      <c r="AC1191" s="2">
        <f t="shared" si="162"/>
        <v>4</v>
      </c>
      <c r="AD1191" s="2">
        <f t="shared" si="163"/>
        <v>22</v>
      </c>
      <c r="AE1191" s="2">
        <f t="shared" si="164"/>
        <v>18</v>
      </c>
      <c r="AF1191" s="2" t="str">
        <f t="shared" si="165"/>
        <v/>
      </c>
      <c r="AG1191" s="2" t="str">
        <f t="shared" si="166"/>
        <v/>
      </c>
      <c r="AH1191" s="4" t="str">
        <f t="shared" si="167"/>
        <v/>
      </c>
      <c r="AI1191" s="2" t="str">
        <f t="shared" si="168"/>
        <v/>
      </c>
      <c r="AJ1191" s="2" t="str">
        <f t="shared" si="169"/>
        <v/>
      </c>
      <c r="AK1191" s="2" t="str">
        <f t="shared" si="170"/>
        <v/>
      </c>
    </row>
    <row r="1192" spans="1:37" x14ac:dyDescent="0.25">
      <c r="A1192">
        <v>2378</v>
      </c>
      <c r="B1192" t="s">
        <v>1322</v>
      </c>
      <c r="C1192" t="s">
        <v>1239</v>
      </c>
      <c r="D1192" t="s">
        <v>1315</v>
      </c>
      <c r="E1192" t="s">
        <v>1167</v>
      </c>
      <c r="F1192" t="s">
        <v>1316</v>
      </c>
      <c r="G1192" t="s">
        <v>38</v>
      </c>
      <c r="H1192" s="1">
        <v>45027.917395833334</v>
      </c>
      <c r="I1192" s="1">
        <v>45031.917395833334</v>
      </c>
      <c r="J1192" t="s">
        <v>32</v>
      </c>
      <c r="K1192" s="1">
        <v>45047.917395833334</v>
      </c>
      <c r="L1192" t="s">
        <v>39</v>
      </c>
      <c r="N1192" s="4">
        <v>45053.917395833334</v>
      </c>
      <c r="O1192" t="s">
        <v>39</v>
      </c>
      <c r="R1192" s="4">
        <v>45049.917395833334</v>
      </c>
      <c r="T1192">
        <v>0</v>
      </c>
      <c r="AC1192" s="2">
        <f t="shared" si="162"/>
        <v>4</v>
      </c>
      <c r="AD1192" s="2">
        <f t="shared" si="163"/>
        <v>20</v>
      </c>
      <c r="AE1192" s="2">
        <f t="shared" si="164"/>
        <v>16</v>
      </c>
      <c r="AF1192" s="2">
        <f t="shared" si="165"/>
        <v>22</v>
      </c>
      <c r="AG1192" s="2">
        <f t="shared" si="166"/>
        <v>2</v>
      </c>
      <c r="AH1192" s="4">
        <f t="shared" si="167"/>
        <v>45139.917395833334</v>
      </c>
      <c r="AI1192" s="2" t="str">
        <f t="shared" si="168"/>
        <v/>
      </c>
      <c r="AJ1192" s="2" t="str">
        <f t="shared" si="169"/>
        <v/>
      </c>
      <c r="AK1192" s="2" t="str">
        <f t="shared" si="170"/>
        <v/>
      </c>
    </row>
    <row r="1193" spans="1:37" x14ac:dyDescent="0.25">
      <c r="A1193">
        <v>2373</v>
      </c>
      <c r="B1193" t="s">
        <v>1323</v>
      </c>
      <c r="C1193" t="s">
        <v>1239</v>
      </c>
      <c r="D1193" t="s">
        <v>1315</v>
      </c>
      <c r="E1193" t="s">
        <v>1167</v>
      </c>
      <c r="F1193" t="s">
        <v>1316</v>
      </c>
      <c r="G1193" t="s">
        <v>38</v>
      </c>
      <c r="H1193" s="1">
        <v>45030.917395833334</v>
      </c>
      <c r="I1193" s="1">
        <v>45033.917395833334</v>
      </c>
      <c r="J1193" t="s">
        <v>32</v>
      </c>
      <c r="K1193" s="1">
        <v>45046.917395833334</v>
      </c>
      <c r="L1193" t="s">
        <v>33</v>
      </c>
      <c r="M1193" t="s">
        <v>51</v>
      </c>
      <c r="R1193" s="4">
        <v>45049.917395833334</v>
      </c>
      <c r="T1193">
        <v>0</v>
      </c>
      <c r="Y1193" t="s">
        <v>35</v>
      </c>
      <c r="AC1193" s="2">
        <f t="shared" si="162"/>
        <v>3</v>
      </c>
      <c r="AD1193" s="2">
        <f t="shared" si="163"/>
        <v>16</v>
      </c>
      <c r="AE1193" s="2">
        <f t="shared" si="164"/>
        <v>13</v>
      </c>
      <c r="AF1193" s="2">
        <f t="shared" si="165"/>
        <v>19</v>
      </c>
      <c r="AG1193" s="2">
        <f t="shared" si="166"/>
        <v>3</v>
      </c>
      <c r="AH1193" s="4">
        <f t="shared" si="167"/>
        <v>45139.917395833334</v>
      </c>
      <c r="AI1193" s="2" t="str">
        <f t="shared" si="168"/>
        <v/>
      </c>
      <c r="AJ1193" s="2" t="str">
        <f t="shared" si="169"/>
        <v/>
      </c>
      <c r="AK1193" s="2" t="str">
        <f t="shared" si="170"/>
        <v/>
      </c>
    </row>
    <row r="1194" spans="1:37" x14ac:dyDescent="0.25">
      <c r="A1194">
        <v>2258</v>
      </c>
      <c r="B1194" t="s">
        <v>1324</v>
      </c>
      <c r="C1194" t="s">
        <v>1239</v>
      </c>
      <c r="D1194" t="s">
        <v>1315</v>
      </c>
      <c r="E1194" t="s">
        <v>1167</v>
      </c>
      <c r="F1194" t="s">
        <v>1316</v>
      </c>
      <c r="G1194" t="s">
        <v>38</v>
      </c>
      <c r="H1194" s="1">
        <v>44780.68608796296</v>
      </c>
      <c r="I1194" s="1">
        <v>44781.68608796296</v>
      </c>
      <c r="J1194" t="s">
        <v>32</v>
      </c>
      <c r="K1194" s="1">
        <v>44801.68608796296</v>
      </c>
      <c r="L1194" t="s">
        <v>33</v>
      </c>
      <c r="M1194" t="s">
        <v>67</v>
      </c>
      <c r="T1194">
        <v>0</v>
      </c>
      <c r="Y1194" t="s">
        <v>55</v>
      </c>
      <c r="AC1194" s="2">
        <f t="shared" si="162"/>
        <v>1</v>
      </c>
      <c r="AD1194" s="2">
        <f t="shared" si="163"/>
        <v>21</v>
      </c>
      <c r="AE1194" s="2">
        <f t="shared" si="164"/>
        <v>20</v>
      </c>
      <c r="AF1194" s="2" t="str">
        <f t="shared" si="165"/>
        <v/>
      </c>
      <c r="AG1194" s="2" t="str">
        <f t="shared" si="166"/>
        <v/>
      </c>
      <c r="AH1194" s="4" t="str">
        <f t="shared" si="167"/>
        <v/>
      </c>
      <c r="AI1194" s="2" t="str">
        <f t="shared" si="168"/>
        <v/>
      </c>
      <c r="AJ1194" s="2" t="str">
        <f t="shared" si="169"/>
        <v/>
      </c>
      <c r="AK1194" s="2" t="str">
        <f t="shared" si="170"/>
        <v/>
      </c>
    </row>
    <row r="1195" spans="1:37" x14ac:dyDescent="0.25">
      <c r="A1195">
        <v>2257</v>
      </c>
      <c r="B1195" t="s">
        <v>1325</v>
      </c>
      <c r="C1195" t="s">
        <v>1239</v>
      </c>
      <c r="D1195" t="s">
        <v>1315</v>
      </c>
      <c r="E1195" t="s">
        <v>1167</v>
      </c>
      <c r="F1195" t="s">
        <v>1316</v>
      </c>
      <c r="G1195" t="s">
        <v>38</v>
      </c>
      <c r="H1195" s="1">
        <v>44781.68608796296</v>
      </c>
      <c r="I1195" s="1">
        <v>44782.68608796296</v>
      </c>
      <c r="J1195" t="s">
        <v>32</v>
      </c>
      <c r="K1195" s="1">
        <v>44796.68608796296</v>
      </c>
      <c r="L1195" t="s">
        <v>57</v>
      </c>
      <c r="N1195" s="4">
        <v>44801.68608796296</v>
      </c>
      <c r="O1195" t="s">
        <v>57</v>
      </c>
      <c r="P1195" s="4">
        <v>44797.68608796296</v>
      </c>
      <c r="Q1195" s="4">
        <v>44798.68608796296</v>
      </c>
      <c r="R1195" s="4">
        <v>44799.68608796296</v>
      </c>
      <c r="S1195" s="4">
        <v>44802.68608796296</v>
      </c>
      <c r="T1195">
        <v>1</v>
      </c>
      <c r="U1195" s="4">
        <v>44806.68608796296</v>
      </c>
      <c r="V1195" s="4">
        <v>44809.68608796296</v>
      </c>
      <c r="W1195" s="4">
        <v>44810.68608796296</v>
      </c>
      <c r="Z1195" s="4">
        <v>44822.68608796296</v>
      </c>
      <c r="AC1195" s="2">
        <f t="shared" si="162"/>
        <v>1</v>
      </c>
      <c r="AD1195" s="2">
        <f t="shared" si="163"/>
        <v>15</v>
      </c>
      <c r="AE1195" s="2">
        <f t="shared" si="164"/>
        <v>14</v>
      </c>
      <c r="AF1195" s="2">
        <f t="shared" si="165"/>
        <v>18</v>
      </c>
      <c r="AG1195" s="2">
        <f t="shared" si="166"/>
        <v>3</v>
      </c>
      <c r="AH1195" s="4">
        <f t="shared" si="167"/>
        <v>44889.68608796296</v>
      </c>
      <c r="AI1195" s="2">
        <f t="shared" si="168"/>
        <v>4</v>
      </c>
      <c r="AJ1195" s="2">
        <f t="shared" si="169"/>
        <v>23</v>
      </c>
      <c r="AK1195" s="2">
        <f t="shared" si="170"/>
        <v>11</v>
      </c>
    </row>
    <row r="1196" spans="1:37" x14ac:dyDescent="0.25">
      <c r="A1196">
        <v>2051</v>
      </c>
      <c r="B1196" t="s">
        <v>1326</v>
      </c>
      <c r="C1196" t="s">
        <v>1239</v>
      </c>
      <c r="D1196" t="s">
        <v>1315</v>
      </c>
      <c r="E1196" t="s">
        <v>1167</v>
      </c>
      <c r="F1196" t="s">
        <v>1316</v>
      </c>
      <c r="G1196" t="s">
        <v>38</v>
      </c>
      <c r="H1196" s="1">
        <v>44577.831099537034</v>
      </c>
      <c r="I1196" s="1">
        <v>44578.831099537034</v>
      </c>
      <c r="J1196" t="s">
        <v>32</v>
      </c>
      <c r="K1196" s="1">
        <v>44585.831099537034</v>
      </c>
      <c r="L1196" t="s">
        <v>39</v>
      </c>
      <c r="N1196" s="4">
        <v>44591.831099537034</v>
      </c>
      <c r="O1196" t="s">
        <v>39</v>
      </c>
      <c r="R1196" s="4">
        <v>44588.831099537034</v>
      </c>
      <c r="T1196">
        <v>0</v>
      </c>
      <c r="AC1196" s="2">
        <f t="shared" si="162"/>
        <v>1</v>
      </c>
      <c r="AD1196" s="2">
        <f t="shared" si="163"/>
        <v>8</v>
      </c>
      <c r="AE1196" s="2">
        <f t="shared" si="164"/>
        <v>7</v>
      </c>
      <c r="AF1196" s="2">
        <f t="shared" si="165"/>
        <v>11</v>
      </c>
      <c r="AG1196" s="2">
        <f t="shared" si="166"/>
        <v>3</v>
      </c>
      <c r="AH1196" s="4">
        <f t="shared" si="167"/>
        <v>44678.831099537034</v>
      </c>
      <c r="AI1196" s="2" t="str">
        <f t="shared" si="168"/>
        <v/>
      </c>
      <c r="AJ1196" s="2" t="str">
        <f t="shared" si="169"/>
        <v/>
      </c>
      <c r="AK1196" s="2" t="str">
        <f t="shared" si="170"/>
        <v/>
      </c>
    </row>
    <row r="1197" spans="1:37" x14ac:dyDescent="0.25">
      <c r="A1197">
        <v>1959</v>
      </c>
      <c r="B1197" t="s">
        <v>1327</v>
      </c>
      <c r="C1197" t="s">
        <v>1239</v>
      </c>
      <c r="D1197" t="s">
        <v>1315</v>
      </c>
      <c r="E1197" t="s">
        <v>1167</v>
      </c>
      <c r="F1197" t="s">
        <v>1316</v>
      </c>
      <c r="G1197" t="s">
        <v>38</v>
      </c>
      <c r="H1197" s="1">
        <v>44815.042395833334</v>
      </c>
      <c r="I1197" s="1">
        <v>44819.042395833334</v>
      </c>
      <c r="J1197" t="s">
        <v>32</v>
      </c>
      <c r="K1197" s="1">
        <v>44842.042395833334</v>
      </c>
      <c r="L1197" t="s">
        <v>164</v>
      </c>
      <c r="N1197" s="4">
        <v>44847.042395833334</v>
      </c>
      <c r="O1197" t="s">
        <v>164</v>
      </c>
      <c r="R1197" s="4">
        <v>44846.042395833334</v>
      </c>
      <c r="T1197">
        <v>0</v>
      </c>
      <c r="AC1197" s="2">
        <f t="shared" si="162"/>
        <v>4</v>
      </c>
      <c r="AD1197" s="2">
        <f t="shared" si="163"/>
        <v>27</v>
      </c>
      <c r="AE1197" s="2">
        <f t="shared" si="164"/>
        <v>23</v>
      </c>
      <c r="AF1197" s="2">
        <f t="shared" si="165"/>
        <v>31</v>
      </c>
      <c r="AG1197" s="2">
        <f t="shared" si="166"/>
        <v>4</v>
      </c>
      <c r="AH1197" s="4">
        <f t="shared" si="167"/>
        <v>44936.042395833334</v>
      </c>
      <c r="AI1197" s="2" t="str">
        <f t="shared" si="168"/>
        <v/>
      </c>
      <c r="AJ1197" s="2" t="str">
        <f t="shared" si="169"/>
        <v/>
      </c>
      <c r="AK1197" s="2" t="str">
        <f t="shared" si="170"/>
        <v/>
      </c>
    </row>
    <row r="1198" spans="1:37" x14ac:dyDescent="0.25">
      <c r="A1198">
        <v>1904</v>
      </c>
      <c r="B1198" t="s">
        <v>1328</v>
      </c>
      <c r="C1198" t="s">
        <v>1239</v>
      </c>
      <c r="D1198" t="s">
        <v>1315</v>
      </c>
      <c r="E1198" t="s">
        <v>1167</v>
      </c>
      <c r="F1198" t="s">
        <v>1316</v>
      </c>
      <c r="G1198" t="s">
        <v>38</v>
      </c>
      <c r="H1198" s="1">
        <v>44995.686469907407</v>
      </c>
      <c r="I1198" s="1">
        <v>44997.686469907407</v>
      </c>
      <c r="J1198" t="s">
        <v>32</v>
      </c>
      <c r="K1198" s="1">
        <v>45016.686469907407</v>
      </c>
      <c r="L1198" t="s">
        <v>33</v>
      </c>
      <c r="M1198" t="s">
        <v>92</v>
      </c>
      <c r="T1198">
        <v>0</v>
      </c>
      <c r="Y1198" t="s">
        <v>55</v>
      </c>
      <c r="AC1198" s="2">
        <f t="shared" si="162"/>
        <v>2</v>
      </c>
      <c r="AD1198" s="2">
        <f t="shared" si="163"/>
        <v>21</v>
      </c>
      <c r="AE1198" s="2">
        <f t="shared" si="164"/>
        <v>19</v>
      </c>
      <c r="AF1198" s="2" t="str">
        <f t="shared" si="165"/>
        <v/>
      </c>
      <c r="AG1198" s="2" t="str">
        <f t="shared" si="166"/>
        <v/>
      </c>
      <c r="AH1198" s="4" t="str">
        <f t="shared" si="167"/>
        <v/>
      </c>
      <c r="AI1198" s="2" t="str">
        <f t="shared" si="168"/>
        <v/>
      </c>
      <c r="AJ1198" s="2" t="str">
        <f t="shared" si="169"/>
        <v/>
      </c>
      <c r="AK1198" s="2" t="str">
        <f t="shared" si="170"/>
        <v/>
      </c>
    </row>
    <row r="1199" spans="1:37" x14ac:dyDescent="0.25">
      <c r="A1199">
        <v>1895</v>
      </c>
      <c r="B1199" t="s">
        <v>1329</v>
      </c>
      <c r="C1199" t="s">
        <v>1239</v>
      </c>
      <c r="D1199" t="s">
        <v>1315</v>
      </c>
      <c r="E1199" t="s">
        <v>1167</v>
      </c>
      <c r="F1199" t="s">
        <v>1316</v>
      </c>
      <c r="G1199" t="s">
        <v>38</v>
      </c>
      <c r="H1199" s="1">
        <v>44593.278043981481</v>
      </c>
      <c r="I1199" s="1">
        <v>44596.278043981481</v>
      </c>
      <c r="J1199" t="s">
        <v>32</v>
      </c>
      <c r="K1199" s="1">
        <v>44607.278043981481</v>
      </c>
      <c r="L1199" t="s">
        <v>33</v>
      </c>
      <c r="M1199" t="s">
        <v>92</v>
      </c>
      <c r="T1199">
        <v>0</v>
      </c>
      <c r="Y1199" t="s">
        <v>55</v>
      </c>
      <c r="AC1199" s="2">
        <f t="shared" si="162"/>
        <v>3</v>
      </c>
      <c r="AD1199" s="2">
        <f t="shared" si="163"/>
        <v>14</v>
      </c>
      <c r="AE1199" s="2">
        <f t="shared" si="164"/>
        <v>11</v>
      </c>
      <c r="AF1199" s="2" t="str">
        <f t="shared" si="165"/>
        <v/>
      </c>
      <c r="AG1199" s="2" t="str">
        <f t="shared" si="166"/>
        <v/>
      </c>
      <c r="AH1199" s="4" t="str">
        <f t="shared" si="167"/>
        <v/>
      </c>
      <c r="AI1199" s="2" t="str">
        <f t="shared" si="168"/>
        <v/>
      </c>
      <c r="AJ1199" s="2" t="str">
        <f t="shared" si="169"/>
        <v/>
      </c>
      <c r="AK1199" s="2" t="str">
        <f t="shared" si="170"/>
        <v/>
      </c>
    </row>
    <row r="1200" spans="1:37" x14ac:dyDescent="0.25">
      <c r="A1200">
        <v>1774</v>
      </c>
      <c r="B1200" t="s">
        <v>1330</v>
      </c>
      <c r="C1200" t="s">
        <v>1239</v>
      </c>
      <c r="D1200" t="s">
        <v>1315</v>
      </c>
      <c r="E1200" t="s">
        <v>1167</v>
      </c>
      <c r="F1200" t="s">
        <v>1316</v>
      </c>
      <c r="G1200" t="s">
        <v>38</v>
      </c>
      <c r="H1200" s="1">
        <v>44712.825856481482</v>
      </c>
      <c r="I1200" s="1">
        <v>44716.825856481482</v>
      </c>
      <c r="J1200" t="s">
        <v>32</v>
      </c>
      <c r="K1200" s="1">
        <v>44729.825856481482</v>
      </c>
      <c r="L1200" t="s">
        <v>33</v>
      </c>
      <c r="M1200" t="s">
        <v>67</v>
      </c>
      <c r="T1200">
        <v>0</v>
      </c>
      <c r="Y1200" t="s">
        <v>55</v>
      </c>
      <c r="AC1200" s="2">
        <f t="shared" si="162"/>
        <v>4</v>
      </c>
      <c r="AD1200" s="2">
        <f t="shared" si="163"/>
        <v>17</v>
      </c>
      <c r="AE1200" s="2">
        <f t="shared" si="164"/>
        <v>13</v>
      </c>
      <c r="AF1200" s="2" t="str">
        <f t="shared" si="165"/>
        <v/>
      </c>
      <c r="AG1200" s="2" t="str">
        <f t="shared" si="166"/>
        <v/>
      </c>
      <c r="AH1200" s="4" t="str">
        <f t="shared" si="167"/>
        <v/>
      </c>
      <c r="AI1200" s="2" t="str">
        <f t="shared" si="168"/>
        <v/>
      </c>
      <c r="AJ1200" s="2" t="str">
        <f t="shared" si="169"/>
        <v/>
      </c>
      <c r="AK1200" s="2" t="str">
        <f t="shared" si="170"/>
        <v/>
      </c>
    </row>
    <row r="1201" spans="1:37" x14ac:dyDescent="0.25">
      <c r="A1201">
        <v>1743</v>
      </c>
      <c r="B1201" t="s">
        <v>1331</v>
      </c>
      <c r="C1201" t="s">
        <v>1239</v>
      </c>
      <c r="D1201" t="s">
        <v>1315</v>
      </c>
      <c r="E1201" t="s">
        <v>1167</v>
      </c>
      <c r="F1201" t="s">
        <v>1316</v>
      </c>
      <c r="G1201" t="s">
        <v>38</v>
      </c>
      <c r="H1201" s="1">
        <v>44948.798078703701</v>
      </c>
      <c r="I1201" s="1">
        <v>44949.798078703701</v>
      </c>
      <c r="J1201" t="s">
        <v>32</v>
      </c>
      <c r="K1201" s="1">
        <v>44964.798078703701</v>
      </c>
      <c r="L1201" t="s">
        <v>39</v>
      </c>
      <c r="N1201" s="4">
        <v>44967.798078703701</v>
      </c>
      <c r="O1201" t="s">
        <v>39</v>
      </c>
      <c r="R1201" s="4">
        <v>44966.798078703701</v>
      </c>
      <c r="T1201">
        <v>0</v>
      </c>
      <c r="AC1201" s="2">
        <f t="shared" si="162"/>
        <v>1</v>
      </c>
      <c r="AD1201" s="2">
        <f t="shared" si="163"/>
        <v>16</v>
      </c>
      <c r="AE1201" s="2">
        <f t="shared" si="164"/>
        <v>15</v>
      </c>
      <c r="AF1201" s="2">
        <f t="shared" si="165"/>
        <v>18</v>
      </c>
      <c r="AG1201" s="2">
        <f t="shared" si="166"/>
        <v>2</v>
      </c>
      <c r="AH1201" s="4">
        <f t="shared" si="167"/>
        <v>45056.798078703701</v>
      </c>
      <c r="AI1201" s="2" t="str">
        <f t="shared" si="168"/>
        <v/>
      </c>
      <c r="AJ1201" s="2" t="str">
        <f t="shared" si="169"/>
        <v/>
      </c>
      <c r="AK1201" s="2" t="str">
        <f t="shared" si="170"/>
        <v/>
      </c>
    </row>
    <row r="1202" spans="1:37" x14ac:dyDescent="0.25">
      <c r="A1202">
        <v>1648</v>
      </c>
      <c r="B1202" t="s">
        <v>1332</v>
      </c>
      <c r="C1202" t="s">
        <v>1239</v>
      </c>
      <c r="D1202" t="s">
        <v>1315</v>
      </c>
      <c r="E1202" t="s">
        <v>1167</v>
      </c>
      <c r="F1202" t="s">
        <v>1316</v>
      </c>
      <c r="G1202" t="s">
        <v>38</v>
      </c>
      <c r="H1202" s="1">
        <v>44914.661261574074</v>
      </c>
      <c r="I1202" s="1">
        <v>44915.661261574074</v>
      </c>
      <c r="J1202" t="s">
        <v>32</v>
      </c>
      <c r="K1202" s="1">
        <v>44935.661261574074</v>
      </c>
      <c r="L1202" t="s">
        <v>33</v>
      </c>
      <c r="M1202" t="s">
        <v>67</v>
      </c>
      <c r="T1202">
        <v>0</v>
      </c>
      <c r="Y1202" t="s">
        <v>55</v>
      </c>
      <c r="AC1202" s="2">
        <f t="shared" si="162"/>
        <v>1</v>
      </c>
      <c r="AD1202" s="2">
        <f t="shared" si="163"/>
        <v>21</v>
      </c>
      <c r="AE1202" s="2">
        <f t="shared" si="164"/>
        <v>20</v>
      </c>
      <c r="AF1202" s="2" t="str">
        <f t="shared" si="165"/>
        <v/>
      </c>
      <c r="AG1202" s="2" t="str">
        <f t="shared" si="166"/>
        <v/>
      </c>
      <c r="AH1202" s="4" t="str">
        <f t="shared" si="167"/>
        <v/>
      </c>
      <c r="AI1202" s="2" t="str">
        <f t="shared" si="168"/>
        <v/>
      </c>
      <c r="AJ1202" s="2" t="str">
        <f t="shared" si="169"/>
        <v/>
      </c>
      <c r="AK1202" s="2" t="str">
        <f t="shared" si="170"/>
        <v/>
      </c>
    </row>
    <row r="1203" spans="1:37" x14ac:dyDescent="0.25">
      <c r="A1203">
        <v>1643</v>
      </c>
      <c r="B1203" t="s">
        <v>1333</v>
      </c>
      <c r="C1203" t="s">
        <v>1239</v>
      </c>
      <c r="D1203" t="s">
        <v>1315</v>
      </c>
      <c r="E1203" t="s">
        <v>1167</v>
      </c>
      <c r="F1203" t="s">
        <v>1316</v>
      </c>
      <c r="G1203" t="s">
        <v>38</v>
      </c>
      <c r="H1203" s="1">
        <v>44917.661261574074</v>
      </c>
      <c r="I1203" s="1">
        <v>44919.661261574074</v>
      </c>
      <c r="J1203" t="s">
        <v>32</v>
      </c>
      <c r="K1203" s="1">
        <v>44928.661261574074</v>
      </c>
      <c r="L1203" t="s">
        <v>57</v>
      </c>
      <c r="N1203" s="4">
        <v>44931.661261574074</v>
      </c>
      <c r="O1203" t="s">
        <v>57</v>
      </c>
      <c r="P1203" s="4">
        <v>44930.661261574074</v>
      </c>
      <c r="Q1203" s="4">
        <v>44933.661261574074</v>
      </c>
      <c r="R1203" s="4">
        <v>44930.661261574074</v>
      </c>
      <c r="S1203" s="4">
        <v>44935.661261574074</v>
      </c>
      <c r="T1203">
        <v>1</v>
      </c>
      <c r="U1203" s="4">
        <v>44938.661261574074</v>
      </c>
      <c r="V1203" s="4">
        <v>44939.661261574074</v>
      </c>
      <c r="W1203" s="4">
        <v>44940.661261574074</v>
      </c>
      <c r="Z1203" s="4">
        <v>44954.661261574074</v>
      </c>
      <c r="AC1203" s="2">
        <f t="shared" si="162"/>
        <v>2</v>
      </c>
      <c r="AD1203" s="2">
        <f t="shared" si="163"/>
        <v>11</v>
      </c>
      <c r="AE1203" s="2">
        <f t="shared" si="164"/>
        <v>9</v>
      </c>
      <c r="AF1203" s="2">
        <f t="shared" si="165"/>
        <v>13</v>
      </c>
      <c r="AG1203" s="2">
        <f t="shared" si="166"/>
        <v>2</v>
      </c>
      <c r="AH1203" s="4">
        <f t="shared" si="167"/>
        <v>45020.661261574074</v>
      </c>
      <c r="AI1203" s="2">
        <f t="shared" si="168"/>
        <v>3</v>
      </c>
      <c r="AJ1203" s="2">
        <f t="shared" si="169"/>
        <v>24</v>
      </c>
      <c r="AK1203" s="2">
        <f t="shared" si="170"/>
        <v>10</v>
      </c>
    </row>
    <row r="1204" spans="1:37" x14ac:dyDescent="0.25">
      <c r="A1204">
        <v>1618</v>
      </c>
      <c r="B1204" t="s">
        <v>1334</v>
      </c>
      <c r="C1204" t="s">
        <v>1239</v>
      </c>
      <c r="D1204" t="s">
        <v>1315</v>
      </c>
      <c r="E1204" t="s">
        <v>1167</v>
      </c>
      <c r="F1204" t="s">
        <v>1316</v>
      </c>
      <c r="G1204" t="s">
        <v>38</v>
      </c>
      <c r="H1204" s="1">
        <v>44850.951192129629</v>
      </c>
      <c r="I1204" s="1">
        <v>44854.951192129629</v>
      </c>
      <c r="J1204" t="s">
        <v>32</v>
      </c>
      <c r="K1204" s="1">
        <v>44871.951192129629</v>
      </c>
      <c r="L1204" t="s">
        <v>33</v>
      </c>
      <c r="M1204" t="s">
        <v>67</v>
      </c>
      <c r="T1204">
        <v>0</v>
      </c>
      <c r="Y1204" t="s">
        <v>55</v>
      </c>
      <c r="AC1204" s="2">
        <f t="shared" si="162"/>
        <v>4</v>
      </c>
      <c r="AD1204" s="2">
        <f t="shared" si="163"/>
        <v>21</v>
      </c>
      <c r="AE1204" s="2">
        <f t="shared" si="164"/>
        <v>17</v>
      </c>
      <c r="AF1204" s="2" t="str">
        <f t="shared" si="165"/>
        <v/>
      </c>
      <c r="AG1204" s="2" t="str">
        <f t="shared" si="166"/>
        <v/>
      </c>
      <c r="AH1204" s="4" t="str">
        <f t="shared" si="167"/>
        <v/>
      </c>
      <c r="AI1204" s="2" t="str">
        <f t="shared" si="168"/>
        <v/>
      </c>
      <c r="AJ1204" s="2" t="str">
        <f t="shared" si="169"/>
        <v/>
      </c>
      <c r="AK1204" s="2" t="str">
        <f t="shared" si="170"/>
        <v/>
      </c>
    </row>
    <row r="1205" spans="1:37" x14ac:dyDescent="0.25">
      <c r="A1205">
        <v>1593</v>
      </c>
      <c r="B1205" t="s">
        <v>1335</v>
      </c>
      <c r="C1205" t="s">
        <v>1239</v>
      </c>
      <c r="D1205" t="s">
        <v>1315</v>
      </c>
      <c r="E1205" t="s">
        <v>1167</v>
      </c>
      <c r="F1205" t="s">
        <v>1316</v>
      </c>
      <c r="G1205" t="s">
        <v>38</v>
      </c>
      <c r="H1205" s="1">
        <v>44996.164201388892</v>
      </c>
      <c r="I1205" s="1">
        <v>44997.164201388892</v>
      </c>
      <c r="J1205" t="s">
        <v>32</v>
      </c>
      <c r="K1205" s="1">
        <v>45011.164201388892</v>
      </c>
      <c r="L1205" t="s">
        <v>164</v>
      </c>
      <c r="N1205" s="4">
        <v>45019.164201388892</v>
      </c>
      <c r="O1205" t="s">
        <v>164</v>
      </c>
      <c r="R1205" s="4">
        <v>45015.164201388892</v>
      </c>
      <c r="T1205">
        <v>0</v>
      </c>
      <c r="AC1205" s="2">
        <f t="shared" si="162"/>
        <v>1</v>
      </c>
      <c r="AD1205" s="2">
        <f t="shared" si="163"/>
        <v>15</v>
      </c>
      <c r="AE1205" s="2">
        <f t="shared" si="164"/>
        <v>14</v>
      </c>
      <c r="AF1205" s="2">
        <f t="shared" si="165"/>
        <v>19</v>
      </c>
      <c r="AG1205" s="2">
        <f t="shared" si="166"/>
        <v>4</v>
      </c>
      <c r="AH1205" s="4">
        <f t="shared" si="167"/>
        <v>45105.164201388892</v>
      </c>
      <c r="AI1205" s="2" t="str">
        <f t="shared" si="168"/>
        <v/>
      </c>
      <c r="AJ1205" s="2" t="str">
        <f t="shared" si="169"/>
        <v/>
      </c>
      <c r="AK1205" s="2" t="str">
        <f t="shared" si="170"/>
        <v/>
      </c>
    </row>
    <row r="1206" spans="1:37" x14ac:dyDescent="0.25">
      <c r="A1206">
        <v>1536</v>
      </c>
      <c r="B1206" t="s">
        <v>1336</v>
      </c>
      <c r="C1206" t="s">
        <v>1239</v>
      </c>
      <c r="D1206" t="s">
        <v>1315</v>
      </c>
      <c r="E1206" t="s">
        <v>1167</v>
      </c>
      <c r="F1206" t="s">
        <v>1316</v>
      </c>
      <c r="G1206" t="s">
        <v>38</v>
      </c>
      <c r="H1206" s="1">
        <v>45055.546423611115</v>
      </c>
      <c r="I1206" s="1">
        <v>45057.546423611115</v>
      </c>
      <c r="J1206" t="s">
        <v>32</v>
      </c>
      <c r="K1206" s="1">
        <v>45075.546423611115</v>
      </c>
      <c r="L1206" t="s">
        <v>33</v>
      </c>
      <c r="M1206" t="s">
        <v>108</v>
      </c>
      <c r="T1206">
        <v>0</v>
      </c>
      <c r="Y1206" t="s">
        <v>35</v>
      </c>
      <c r="AC1206" s="2">
        <f t="shared" si="162"/>
        <v>2</v>
      </c>
      <c r="AD1206" s="2">
        <f t="shared" si="163"/>
        <v>20</v>
      </c>
      <c r="AE1206" s="2">
        <f t="shared" si="164"/>
        <v>18</v>
      </c>
      <c r="AF1206" s="2" t="str">
        <f t="shared" si="165"/>
        <v/>
      </c>
      <c r="AG1206" s="2" t="str">
        <f t="shared" si="166"/>
        <v/>
      </c>
      <c r="AH1206" s="4" t="str">
        <f t="shared" si="167"/>
        <v/>
      </c>
      <c r="AI1206" s="2" t="str">
        <f t="shared" si="168"/>
        <v/>
      </c>
      <c r="AJ1206" s="2" t="str">
        <f t="shared" si="169"/>
        <v/>
      </c>
      <c r="AK1206" s="2" t="str">
        <f t="shared" si="170"/>
        <v/>
      </c>
    </row>
    <row r="1207" spans="1:37" x14ac:dyDescent="0.25">
      <c r="A1207">
        <v>1502</v>
      </c>
      <c r="B1207" t="s">
        <v>1337</v>
      </c>
      <c r="C1207" t="s">
        <v>1239</v>
      </c>
      <c r="D1207" t="s">
        <v>1315</v>
      </c>
      <c r="E1207" t="s">
        <v>1167</v>
      </c>
      <c r="F1207" t="s">
        <v>1316</v>
      </c>
      <c r="G1207" t="s">
        <v>38</v>
      </c>
      <c r="H1207" s="1">
        <v>44759.346215277779</v>
      </c>
      <c r="I1207" s="1">
        <v>44760.346215277779</v>
      </c>
      <c r="J1207" t="s">
        <v>32</v>
      </c>
      <c r="K1207" s="1">
        <v>44767.346215277779</v>
      </c>
      <c r="L1207" t="s">
        <v>33</v>
      </c>
      <c r="M1207" t="s">
        <v>34</v>
      </c>
      <c r="T1207">
        <v>0</v>
      </c>
      <c r="Y1207" t="s">
        <v>55</v>
      </c>
      <c r="AC1207" s="2">
        <f t="shared" si="162"/>
        <v>1</v>
      </c>
      <c r="AD1207" s="2">
        <f t="shared" si="163"/>
        <v>8</v>
      </c>
      <c r="AE1207" s="2">
        <f t="shared" si="164"/>
        <v>7</v>
      </c>
      <c r="AF1207" s="2" t="str">
        <f t="shared" si="165"/>
        <v/>
      </c>
      <c r="AG1207" s="2" t="str">
        <f t="shared" si="166"/>
        <v/>
      </c>
      <c r="AH1207" s="4" t="str">
        <f t="shared" si="167"/>
        <v/>
      </c>
      <c r="AI1207" s="2" t="str">
        <f t="shared" si="168"/>
        <v/>
      </c>
      <c r="AJ1207" s="2" t="str">
        <f t="shared" si="169"/>
        <v/>
      </c>
      <c r="AK1207" s="2" t="str">
        <f t="shared" si="170"/>
        <v/>
      </c>
    </row>
    <row r="1208" spans="1:37" x14ac:dyDescent="0.25">
      <c r="A1208">
        <v>1501</v>
      </c>
      <c r="B1208" t="s">
        <v>1338</v>
      </c>
      <c r="C1208" t="s">
        <v>1239</v>
      </c>
      <c r="D1208" t="s">
        <v>1315</v>
      </c>
      <c r="E1208" t="s">
        <v>1167</v>
      </c>
      <c r="F1208" t="s">
        <v>1316</v>
      </c>
      <c r="G1208" t="s">
        <v>38</v>
      </c>
      <c r="H1208" s="1">
        <v>44753.346215277779</v>
      </c>
      <c r="I1208" s="1">
        <v>44757.346215277779</v>
      </c>
      <c r="J1208" t="s">
        <v>32</v>
      </c>
      <c r="K1208" s="1">
        <v>44778.346215277779</v>
      </c>
      <c r="L1208" t="s">
        <v>33</v>
      </c>
      <c r="M1208" t="s">
        <v>67</v>
      </c>
      <c r="R1208" s="4">
        <v>44780.346215277779</v>
      </c>
      <c r="T1208">
        <v>0</v>
      </c>
      <c r="Y1208" t="s">
        <v>55</v>
      </c>
      <c r="AC1208" s="2">
        <f t="shared" si="162"/>
        <v>4</v>
      </c>
      <c r="AD1208" s="2">
        <f t="shared" si="163"/>
        <v>25</v>
      </c>
      <c r="AE1208" s="2">
        <f t="shared" si="164"/>
        <v>21</v>
      </c>
      <c r="AF1208" s="2">
        <f t="shared" si="165"/>
        <v>27</v>
      </c>
      <c r="AG1208" s="2">
        <f t="shared" si="166"/>
        <v>2</v>
      </c>
      <c r="AH1208" s="4">
        <f t="shared" si="167"/>
        <v>44870.346215277779</v>
      </c>
      <c r="AI1208" s="2" t="str">
        <f t="shared" si="168"/>
        <v/>
      </c>
      <c r="AJ1208" s="2" t="str">
        <f t="shared" si="169"/>
        <v/>
      </c>
      <c r="AK1208" s="2" t="str">
        <f t="shared" si="170"/>
        <v/>
      </c>
    </row>
    <row r="1209" spans="1:37" x14ac:dyDescent="0.25">
      <c r="A1209">
        <v>1495</v>
      </c>
      <c r="B1209" t="s">
        <v>1339</v>
      </c>
      <c r="C1209" t="s">
        <v>1239</v>
      </c>
      <c r="D1209" t="s">
        <v>1315</v>
      </c>
      <c r="E1209" t="s">
        <v>1167</v>
      </c>
      <c r="F1209" t="s">
        <v>1316</v>
      </c>
      <c r="G1209" t="s">
        <v>38</v>
      </c>
      <c r="H1209" s="1">
        <v>44695.569456018522</v>
      </c>
      <c r="I1209" s="1">
        <v>44697.569456018522</v>
      </c>
      <c r="J1209" t="s">
        <v>32</v>
      </c>
      <c r="K1209" s="1">
        <v>44712.569456018522</v>
      </c>
      <c r="L1209" t="s">
        <v>33</v>
      </c>
      <c r="M1209" t="s">
        <v>34</v>
      </c>
      <c r="R1209" s="4">
        <v>44715.569456018522</v>
      </c>
      <c r="T1209">
        <v>0</v>
      </c>
      <c r="Y1209" t="s">
        <v>55</v>
      </c>
      <c r="AC1209" s="2">
        <f t="shared" si="162"/>
        <v>2</v>
      </c>
      <c r="AD1209" s="2">
        <f t="shared" si="163"/>
        <v>17</v>
      </c>
      <c r="AE1209" s="2">
        <f t="shared" si="164"/>
        <v>15</v>
      </c>
      <c r="AF1209" s="2">
        <f t="shared" si="165"/>
        <v>20</v>
      </c>
      <c r="AG1209" s="2">
        <f t="shared" si="166"/>
        <v>3</v>
      </c>
      <c r="AH1209" s="4">
        <f t="shared" si="167"/>
        <v>44805.569456018522</v>
      </c>
      <c r="AI1209" s="2" t="str">
        <f t="shared" si="168"/>
        <v/>
      </c>
      <c r="AJ1209" s="2" t="str">
        <f t="shared" si="169"/>
        <v/>
      </c>
      <c r="AK1209" s="2" t="str">
        <f t="shared" si="170"/>
        <v/>
      </c>
    </row>
    <row r="1210" spans="1:37" x14ac:dyDescent="0.25">
      <c r="A1210">
        <v>1458</v>
      </c>
      <c r="B1210" t="s">
        <v>1340</v>
      </c>
      <c r="C1210" t="s">
        <v>1239</v>
      </c>
      <c r="D1210" t="s">
        <v>1315</v>
      </c>
      <c r="E1210" t="s">
        <v>1167</v>
      </c>
      <c r="F1210" t="s">
        <v>1316</v>
      </c>
      <c r="G1210" t="s">
        <v>38</v>
      </c>
      <c r="H1210" s="1">
        <v>45024.57240740741</v>
      </c>
      <c r="I1210" s="1">
        <v>45025.57240740741</v>
      </c>
      <c r="J1210" t="s">
        <v>32</v>
      </c>
      <c r="K1210" s="1">
        <v>45038.57240740741</v>
      </c>
      <c r="L1210" t="s">
        <v>33</v>
      </c>
      <c r="M1210" t="s">
        <v>67</v>
      </c>
      <c r="T1210">
        <v>0</v>
      </c>
      <c r="Y1210" t="s">
        <v>35</v>
      </c>
      <c r="AC1210" s="2">
        <f t="shared" si="162"/>
        <v>1</v>
      </c>
      <c r="AD1210" s="2">
        <f t="shared" si="163"/>
        <v>14</v>
      </c>
      <c r="AE1210" s="2">
        <f t="shared" si="164"/>
        <v>13</v>
      </c>
      <c r="AF1210" s="2" t="str">
        <f t="shared" si="165"/>
        <v/>
      </c>
      <c r="AG1210" s="2" t="str">
        <f t="shared" si="166"/>
        <v/>
      </c>
      <c r="AH1210" s="4" t="str">
        <f t="shared" si="167"/>
        <v/>
      </c>
      <c r="AI1210" s="2" t="str">
        <f t="shared" si="168"/>
        <v/>
      </c>
      <c r="AJ1210" s="2" t="str">
        <f t="shared" si="169"/>
        <v/>
      </c>
      <c r="AK1210" s="2" t="str">
        <f t="shared" si="170"/>
        <v/>
      </c>
    </row>
    <row r="1211" spans="1:37" x14ac:dyDescent="0.25">
      <c r="A1211">
        <v>1455</v>
      </c>
      <c r="B1211" t="s">
        <v>1341</v>
      </c>
      <c r="C1211" t="s">
        <v>1239</v>
      </c>
      <c r="D1211" t="s">
        <v>1315</v>
      </c>
      <c r="E1211" t="s">
        <v>1167</v>
      </c>
      <c r="F1211" t="s">
        <v>1316</v>
      </c>
      <c r="G1211" t="s">
        <v>38</v>
      </c>
      <c r="H1211" s="1">
        <v>45024.57240740741</v>
      </c>
      <c r="I1211" s="1">
        <v>45027.57240740741</v>
      </c>
      <c r="J1211" t="s">
        <v>32</v>
      </c>
      <c r="K1211" s="1">
        <v>45038.57240740741</v>
      </c>
      <c r="L1211" t="s">
        <v>33</v>
      </c>
      <c r="M1211" t="s">
        <v>108</v>
      </c>
      <c r="T1211">
        <v>0</v>
      </c>
      <c r="Y1211" t="s">
        <v>55</v>
      </c>
      <c r="AC1211" s="2">
        <f t="shared" si="162"/>
        <v>3</v>
      </c>
      <c r="AD1211" s="2">
        <f t="shared" si="163"/>
        <v>14</v>
      </c>
      <c r="AE1211" s="2">
        <f t="shared" si="164"/>
        <v>11</v>
      </c>
      <c r="AF1211" s="2" t="str">
        <f t="shared" si="165"/>
        <v/>
      </c>
      <c r="AG1211" s="2" t="str">
        <f t="shared" si="166"/>
        <v/>
      </c>
      <c r="AH1211" s="4" t="str">
        <f t="shared" si="167"/>
        <v/>
      </c>
      <c r="AI1211" s="2" t="str">
        <f t="shared" si="168"/>
        <v/>
      </c>
      <c r="AJ1211" s="2" t="str">
        <f t="shared" si="169"/>
        <v/>
      </c>
      <c r="AK1211" s="2" t="str">
        <f t="shared" si="170"/>
        <v/>
      </c>
    </row>
    <row r="1212" spans="1:37" x14ac:dyDescent="0.25">
      <c r="A1212">
        <v>1427</v>
      </c>
      <c r="B1212" t="s">
        <v>1342</v>
      </c>
      <c r="C1212" t="s">
        <v>1239</v>
      </c>
      <c r="D1212" t="s">
        <v>1315</v>
      </c>
      <c r="E1212" t="s">
        <v>1167</v>
      </c>
      <c r="F1212" t="s">
        <v>1316</v>
      </c>
      <c r="G1212" t="s">
        <v>38</v>
      </c>
      <c r="H1212" s="1">
        <v>44660.11314814815</v>
      </c>
      <c r="I1212" s="1">
        <v>44662.11314814815</v>
      </c>
      <c r="J1212" t="s">
        <v>32</v>
      </c>
      <c r="K1212" s="1">
        <v>44672.11314814815</v>
      </c>
      <c r="L1212" t="s">
        <v>33</v>
      </c>
      <c r="M1212" t="s">
        <v>51</v>
      </c>
      <c r="T1212">
        <v>0</v>
      </c>
      <c r="Y1212" t="s">
        <v>55</v>
      </c>
      <c r="AC1212" s="2">
        <f t="shared" si="162"/>
        <v>2</v>
      </c>
      <c r="AD1212" s="2">
        <f t="shared" si="163"/>
        <v>12</v>
      </c>
      <c r="AE1212" s="2">
        <f t="shared" si="164"/>
        <v>10</v>
      </c>
      <c r="AF1212" s="2" t="str">
        <f t="shared" si="165"/>
        <v/>
      </c>
      <c r="AG1212" s="2" t="str">
        <f t="shared" si="166"/>
        <v/>
      </c>
      <c r="AH1212" s="4" t="str">
        <f t="shared" si="167"/>
        <v/>
      </c>
      <c r="AI1212" s="2" t="str">
        <f t="shared" si="168"/>
        <v/>
      </c>
      <c r="AJ1212" s="2" t="str">
        <f t="shared" si="169"/>
        <v/>
      </c>
      <c r="AK1212" s="2" t="str">
        <f t="shared" si="170"/>
        <v/>
      </c>
    </row>
    <row r="1213" spans="1:37" x14ac:dyDescent="0.25">
      <c r="A1213">
        <v>1421</v>
      </c>
      <c r="B1213" t="s">
        <v>1343</v>
      </c>
      <c r="C1213" t="s">
        <v>1239</v>
      </c>
      <c r="D1213" t="s">
        <v>1315</v>
      </c>
      <c r="E1213" t="s">
        <v>1167</v>
      </c>
      <c r="F1213" t="s">
        <v>1316</v>
      </c>
      <c r="G1213" t="s">
        <v>38</v>
      </c>
      <c r="H1213" s="1">
        <v>44658.11314814815</v>
      </c>
      <c r="I1213" s="1">
        <v>44660.11314814815</v>
      </c>
      <c r="J1213" t="s">
        <v>32</v>
      </c>
      <c r="K1213" s="1">
        <v>44677.11314814815</v>
      </c>
      <c r="L1213" t="s">
        <v>57</v>
      </c>
      <c r="N1213" s="4">
        <v>44683.11314814815</v>
      </c>
      <c r="O1213" t="s">
        <v>57</v>
      </c>
      <c r="P1213" s="4">
        <v>44679.11314814815</v>
      </c>
      <c r="Q1213" s="4">
        <v>44682.11314814815</v>
      </c>
      <c r="R1213" s="4">
        <v>44680.11314814815</v>
      </c>
      <c r="S1213" s="4">
        <v>44682.11314814815</v>
      </c>
      <c r="T1213">
        <v>1</v>
      </c>
      <c r="U1213" s="4">
        <v>44683.11314814815</v>
      </c>
      <c r="V1213" s="4">
        <v>44686.11314814815</v>
      </c>
      <c r="W1213" s="4">
        <v>44689.11314814815</v>
      </c>
      <c r="Z1213" s="4">
        <v>44698.11314814815</v>
      </c>
      <c r="AC1213" s="2">
        <f t="shared" si="162"/>
        <v>2</v>
      </c>
      <c r="AD1213" s="2">
        <f t="shared" si="163"/>
        <v>19</v>
      </c>
      <c r="AE1213" s="2">
        <f t="shared" si="164"/>
        <v>17</v>
      </c>
      <c r="AF1213" s="2">
        <f t="shared" si="165"/>
        <v>22</v>
      </c>
      <c r="AG1213" s="2">
        <f t="shared" si="166"/>
        <v>3</v>
      </c>
      <c r="AH1213" s="4">
        <f t="shared" si="167"/>
        <v>44770.11314814815</v>
      </c>
      <c r="AI1213" s="2">
        <f t="shared" si="168"/>
        <v>1</v>
      </c>
      <c r="AJ1213" s="2">
        <f t="shared" si="169"/>
        <v>18</v>
      </c>
      <c r="AK1213" s="2">
        <f t="shared" si="170"/>
        <v>9</v>
      </c>
    </row>
    <row r="1214" spans="1:37" x14ac:dyDescent="0.25">
      <c r="A1214">
        <v>1363</v>
      </c>
      <c r="B1214" t="s">
        <v>1344</v>
      </c>
      <c r="C1214" t="s">
        <v>1239</v>
      </c>
      <c r="D1214" t="s">
        <v>1315</v>
      </c>
      <c r="E1214" t="s">
        <v>1167</v>
      </c>
      <c r="F1214" t="s">
        <v>1316</v>
      </c>
      <c r="G1214" t="s">
        <v>38</v>
      </c>
      <c r="H1214" s="1">
        <v>44850.163807870369</v>
      </c>
      <c r="I1214" s="1">
        <v>44854.163807870369</v>
      </c>
      <c r="J1214" t="s">
        <v>32</v>
      </c>
      <c r="K1214" s="1">
        <v>44873.163807870369</v>
      </c>
      <c r="L1214" t="s">
        <v>33</v>
      </c>
      <c r="M1214" t="s">
        <v>108</v>
      </c>
      <c r="R1214" s="4">
        <v>44877.163807870369</v>
      </c>
      <c r="T1214">
        <v>0</v>
      </c>
      <c r="Y1214" t="s">
        <v>55</v>
      </c>
      <c r="AC1214" s="2">
        <f t="shared" si="162"/>
        <v>4</v>
      </c>
      <c r="AD1214" s="2">
        <f t="shared" si="163"/>
        <v>23</v>
      </c>
      <c r="AE1214" s="2">
        <f t="shared" si="164"/>
        <v>19</v>
      </c>
      <c r="AF1214" s="2">
        <f t="shared" si="165"/>
        <v>27</v>
      </c>
      <c r="AG1214" s="2">
        <f t="shared" si="166"/>
        <v>4</v>
      </c>
      <c r="AH1214" s="4">
        <f t="shared" si="167"/>
        <v>44967.163807870369</v>
      </c>
      <c r="AI1214" s="2" t="str">
        <f t="shared" si="168"/>
        <v/>
      </c>
      <c r="AJ1214" s="2" t="str">
        <f t="shared" si="169"/>
        <v/>
      </c>
      <c r="AK1214" s="2" t="str">
        <f t="shared" si="170"/>
        <v/>
      </c>
    </row>
    <row r="1215" spans="1:37" x14ac:dyDescent="0.25">
      <c r="A1215">
        <v>1318</v>
      </c>
      <c r="B1215" t="s">
        <v>1345</v>
      </c>
      <c r="C1215" t="s">
        <v>1239</v>
      </c>
      <c r="D1215" t="s">
        <v>1315</v>
      </c>
      <c r="E1215" t="s">
        <v>1167</v>
      </c>
      <c r="F1215" t="s">
        <v>1316</v>
      </c>
      <c r="G1215" t="s">
        <v>38</v>
      </c>
      <c r="H1215" s="1">
        <v>45152.233067129629</v>
      </c>
      <c r="I1215" s="1">
        <v>45153.233067129629</v>
      </c>
      <c r="J1215" t="s">
        <v>32</v>
      </c>
      <c r="K1215" s="1">
        <v>45160.233067129629</v>
      </c>
      <c r="L1215" t="s">
        <v>33</v>
      </c>
      <c r="M1215" t="s">
        <v>51</v>
      </c>
      <c r="R1215" s="4">
        <v>45162.233067129629</v>
      </c>
      <c r="T1215">
        <v>0</v>
      </c>
      <c r="Y1215" t="s">
        <v>35</v>
      </c>
      <c r="AC1215" s="2">
        <f t="shared" si="162"/>
        <v>1</v>
      </c>
      <c r="AD1215" s="2">
        <f t="shared" si="163"/>
        <v>8</v>
      </c>
      <c r="AE1215" s="2">
        <f t="shared" si="164"/>
        <v>7</v>
      </c>
      <c r="AF1215" s="2">
        <f t="shared" si="165"/>
        <v>10</v>
      </c>
      <c r="AG1215" s="2">
        <f t="shared" si="166"/>
        <v>2</v>
      </c>
      <c r="AH1215" s="4">
        <f t="shared" si="167"/>
        <v>45252.233067129629</v>
      </c>
      <c r="AI1215" s="2" t="str">
        <f t="shared" si="168"/>
        <v/>
      </c>
      <c r="AJ1215" s="2" t="str">
        <f t="shared" si="169"/>
        <v/>
      </c>
      <c r="AK1215" s="2" t="str">
        <f t="shared" si="170"/>
        <v/>
      </c>
    </row>
    <row r="1216" spans="1:37" x14ac:dyDescent="0.25">
      <c r="A1216">
        <v>1277</v>
      </c>
      <c r="B1216" t="s">
        <v>1346</v>
      </c>
      <c r="C1216" t="s">
        <v>1239</v>
      </c>
      <c r="D1216" t="s">
        <v>1315</v>
      </c>
      <c r="E1216" t="s">
        <v>1167</v>
      </c>
      <c r="F1216" t="s">
        <v>1316</v>
      </c>
      <c r="G1216" t="s">
        <v>38</v>
      </c>
      <c r="H1216" s="1">
        <v>44713.107928240737</v>
      </c>
      <c r="I1216" s="1">
        <v>44716.107928240737</v>
      </c>
      <c r="J1216" t="s">
        <v>32</v>
      </c>
      <c r="K1216" s="1">
        <v>44734.107928240737</v>
      </c>
      <c r="L1216" t="s">
        <v>33</v>
      </c>
      <c r="M1216" t="s">
        <v>34</v>
      </c>
      <c r="R1216" s="4">
        <v>44738.107928240737</v>
      </c>
      <c r="T1216">
        <v>0</v>
      </c>
      <c r="Y1216" t="s">
        <v>35</v>
      </c>
      <c r="AC1216" s="2">
        <f t="shared" si="162"/>
        <v>3</v>
      </c>
      <c r="AD1216" s="2">
        <f t="shared" si="163"/>
        <v>21</v>
      </c>
      <c r="AE1216" s="2">
        <f t="shared" si="164"/>
        <v>18</v>
      </c>
      <c r="AF1216" s="2">
        <f t="shared" si="165"/>
        <v>25</v>
      </c>
      <c r="AG1216" s="2">
        <f t="shared" si="166"/>
        <v>4</v>
      </c>
      <c r="AH1216" s="4">
        <f t="shared" si="167"/>
        <v>44828.107928240737</v>
      </c>
      <c r="AI1216" s="2" t="str">
        <f t="shared" si="168"/>
        <v/>
      </c>
      <c r="AJ1216" s="2" t="str">
        <f t="shared" si="169"/>
        <v/>
      </c>
      <c r="AK1216" s="2" t="str">
        <f t="shared" si="170"/>
        <v/>
      </c>
    </row>
    <row r="1217" spans="1:37" x14ac:dyDescent="0.25">
      <c r="A1217">
        <v>1271</v>
      </c>
      <c r="B1217" t="s">
        <v>1347</v>
      </c>
      <c r="C1217" t="s">
        <v>1239</v>
      </c>
      <c r="D1217" t="s">
        <v>1315</v>
      </c>
      <c r="E1217" t="s">
        <v>1167</v>
      </c>
      <c r="F1217" t="s">
        <v>1316</v>
      </c>
      <c r="G1217" t="s">
        <v>38</v>
      </c>
      <c r="H1217" s="1">
        <v>44714.107928240737</v>
      </c>
      <c r="I1217" s="1">
        <v>44716.107928240737</v>
      </c>
      <c r="J1217" t="s">
        <v>32</v>
      </c>
      <c r="K1217" s="1">
        <v>44732.107928240737</v>
      </c>
      <c r="L1217" t="s">
        <v>33</v>
      </c>
      <c r="M1217" t="s">
        <v>34</v>
      </c>
      <c r="R1217" s="4">
        <v>44734.107928240737</v>
      </c>
      <c r="T1217">
        <v>0</v>
      </c>
      <c r="Y1217" t="s">
        <v>55</v>
      </c>
      <c r="AC1217" s="2">
        <f t="shared" si="162"/>
        <v>2</v>
      </c>
      <c r="AD1217" s="2">
        <f t="shared" si="163"/>
        <v>18</v>
      </c>
      <c r="AE1217" s="2">
        <f t="shared" si="164"/>
        <v>16</v>
      </c>
      <c r="AF1217" s="2">
        <f t="shared" si="165"/>
        <v>20</v>
      </c>
      <c r="AG1217" s="2">
        <f t="shared" si="166"/>
        <v>2</v>
      </c>
      <c r="AH1217" s="4">
        <f t="shared" si="167"/>
        <v>44824.107928240737</v>
      </c>
      <c r="AI1217" s="2" t="str">
        <f t="shared" si="168"/>
        <v/>
      </c>
      <c r="AJ1217" s="2" t="str">
        <f t="shared" si="169"/>
        <v/>
      </c>
      <c r="AK1217" s="2" t="str">
        <f t="shared" si="170"/>
        <v/>
      </c>
    </row>
    <row r="1218" spans="1:37" x14ac:dyDescent="0.25">
      <c r="A1218">
        <v>1217</v>
      </c>
      <c r="B1218" t="s">
        <v>1348</v>
      </c>
      <c r="C1218" t="s">
        <v>1239</v>
      </c>
      <c r="D1218" t="s">
        <v>1315</v>
      </c>
      <c r="E1218" t="s">
        <v>1167</v>
      </c>
      <c r="F1218" t="s">
        <v>1316</v>
      </c>
      <c r="G1218" t="s">
        <v>38</v>
      </c>
      <c r="H1218" s="1">
        <v>45132.004317129627</v>
      </c>
      <c r="I1218" s="1">
        <v>45133.004317129627</v>
      </c>
      <c r="J1218" t="s">
        <v>32</v>
      </c>
      <c r="K1218" s="1">
        <v>45143.004317129627</v>
      </c>
      <c r="L1218" t="s">
        <v>57</v>
      </c>
      <c r="N1218" s="4">
        <v>45147.004317129627</v>
      </c>
      <c r="O1218" t="s">
        <v>57</v>
      </c>
      <c r="P1218" s="4">
        <v>45144.004317129627</v>
      </c>
      <c r="Q1218" s="4">
        <v>45147.004317129627</v>
      </c>
      <c r="R1218" s="4">
        <v>45144.004317129627</v>
      </c>
      <c r="S1218" s="4">
        <v>45149.004317129627</v>
      </c>
      <c r="T1218">
        <v>1</v>
      </c>
      <c r="U1218" s="4">
        <v>45152.004317129627</v>
      </c>
      <c r="V1218" s="4">
        <v>45155.004317129627</v>
      </c>
      <c r="W1218" s="4">
        <v>45156.004317129627</v>
      </c>
      <c r="Z1218" s="4">
        <v>45172.004317129627</v>
      </c>
      <c r="AC1218" s="2">
        <f t="shared" si="162"/>
        <v>1</v>
      </c>
      <c r="AD1218" s="2">
        <f t="shared" si="163"/>
        <v>11</v>
      </c>
      <c r="AE1218" s="2">
        <f t="shared" si="164"/>
        <v>10</v>
      </c>
      <c r="AF1218" s="2">
        <f t="shared" si="165"/>
        <v>12</v>
      </c>
      <c r="AG1218" s="2">
        <f t="shared" si="166"/>
        <v>1</v>
      </c>
      <c r="AH1218" s="4">
        <f t="shared" si="167"/>
        <v>45234.004317129627</v>
      </c>
      <c r="AI1218" s="2">
        <f t="shared" si="168"/>
        <v>3</v>
      </c>
      <c r="AJ1218" s="2">
        <f t="shared" si="169"/>
        <v>28</v>
      </c>
      <c r="AK1218" s="2">
        <f t="shared" si="170"/>
        <v>12</v>
      </c>
    </row>
    <row r="1219" spans="1:37" x14ac:dyDescent="0.25">
      <c r="A1219">
        <v>1184</v>
      </c>
      <c r="B1219" t="s">
        <v>1349</v>
      </c>
      <c r="C1219" t="s">
        <v>1239</v>
      </c>
      <c r="D1219" t="s">
        <v>1315</v>
      </c>
      <c r="E1219" t="s">
        <v>1167</v>
      </c>
      <c r="F1219" t="s">
        <v>1316</v>
      </c>
      <c r="G1219" t="s">
        <v>38</v>
      </c>
      <c r="H1219" s="1">
        <v>45071.784872685188</v>
      </c>
      <c r="I1219" s="1">
        <v>45074.784872685188</v>
      </c>
      <c r="J1219" t="s">
        <v>32</v>
      </c>
      <c r="K1219" s="1">
        <v>45089.784872685188</v>
      </c>
      <c r="L1219" t="s">
        <v>33</v>
      </c>
      <c r="M1219" t="s">
        <v>51</v>
      </c>
      <c r="R1219" s="4">
        <v>45091.784872685188</v>
      </c>
      <c r="T1219">
        <v>0</v>
      </c>
      <c r="Y1219" t="s">
        <v>55</v>
      </c>
      <c r="AC1219" s="2">
        <f t="shared" ref="AC1219:AC1282" si="171">IF(AND(I1219&lt;&gt;"",H1219&lt;&gt;""), I1219-H1219, "")</f>
        <v>3</v>
      </c>
      <c r="AD1219" s="2">
        <f t="shared" ref="AD1219:AD1282" si="172">IF(AND(K1219&lt;&gt;"",H1219&lt;&gt;""), K1219-H1219, "")</f>
        <v>18</v>
      </c>
      <c r="AE1219" s="2">
        <f t="shared" ref="AE1219:AE1282" si="173">IF(AND(K1219&lt;&gt;"",I1219&lt;&gt;""), K1219-I1219, "")</f>
        <v>15</v>
      </c>
      <c r="AF1219" s="2">
        <f t="shared" ref="AF1219:AF1282" si="174">IF(AND(R1219&lt;&gt;"",H1219&lt;&gt;""), R1219-H1219, "")</f>
        <v>20</v>
      </c>
      <c r="AG1219" s="2">
        <f t="shared" ref="AG1219:AG1282" si="175">IF(AND(R1219&lt;&gt;"",K1219&lt;&gt;""), R1219-K1219, "")</f>
        <v>2</v>
      </c>
      <c r="AH1219" s="4">
        <f t="shared" ref="AH1219:AH1282" si="176">IF(R1219&lt;&gt;"", R1219+90, "")</f>
        <v>45181.784872685188</v>
      </c>
      <c r="AI1219" s="2" t="str">
        <f t="shared" ref="AI1219:AI1282" si="177">IF(AND(U1219&lt;&gt;"",S1219&lt;&gt;""), U1219-S1219, "")</f>
        <v/>
      </c>
      <c r="AJ1219" s="2" t="str">
        <f t="shared" ref="AJ1219:AJ1282" si="178">IF(AND(Z1219&lt;&gt;"",R1219&lt;&gt;""), Z1219-R1219, "")</f>
        <v/>
      </c>
      <c r="AK1219" s="2" t="str">
        <f t="shared" ref="AK1219:AK1282" si="179">IF(AND(W1219&lt;&gt;"",R1219&lt;&gt;""), W1219-R1219, "")</f>
        <v/>
      </c>
    </row>
    <row r="1220" spans="1:37" x14ac:dyDescent="0.25">
      <c r="A1220">
        <v>1183</v>
      </c>
      <c r="B1220" t="s">
        <v>1350</v>
      </c>
      <c r="C1220" t="s">
        <v>1239</v>
      </c>
      <c r="D1220" t="s">
        <v>1315</v>
      </c>
      <c r="E1220" t="s">
        <v>601</v>
      </c>
      <c r="F1220" t="s">
        <v>1351</v>
      </c>
      <c r="G1220" t="s">
        <v>38</v>
      </c>
      <c r="H1220" s="1">
        <v>45071.784872685188</v>
      </c>
      <c r="I1220" s="1">
        <v>45074.784872685188</v>
      </c>
      <c r="J1220" t="s">
        <v>32</v>
      </c>
      <c r="K1220" s="1">
        <v>45081.784872685188</v>
      </c>
      <c r="L1220" t="s">
        <v>33</v>
      </c>
      <c r="M1220" t="s">
        <v>108</v>
      </c>
      <c r="R1220" s="4">
        <v>45085.784872685188</v>
      </c>
      <c r="T1220">
        <v>0</v>
      </c>
      <c r="Y1220" t="s">
        <v>55</v>
      </c>
      <c r="AC1220" s="2">
        <f t="shared" si="171"/>
        <v>3</v>
      </c>
      <c r="AD1220" s="2">
        <f t="shared" si="172"/>
        <v>10</v>
      </c>
      <c r="AE1220" s="2">
        <f t="shared" si="173"/>
        <v>7</v>
      </c>
      <c r="AF1220" s="2">
        <f t="shared" si="174"/>
        <v>14</v>
      </c>
      <c r="AG1220" s="2">
        <f t="shared" si="175"/>
        <v>4</v>
      </c>
      <c r="AH1220" s="4">
        <f t="shared" si="176"/>
        <v>45175.784872685188</v>
      </c>
      <c r="AI1220" s="2" t="str">
        <f t="shared" si="177"/>
        <v/>
      </c>
      <c r="AJ1220" s="2" t="str">
        <f t="shared" si="178"/>
        <v/>
      </c>
      <c r="AK1220" s="2" t="str">
        <f t="shared" si="179"/>
        <v/>
      </c>
    </row>
    <row r="1221" spans="1:37" x14ac:dyDescent="0.25">
      <c r="A1221">
        <v>1181</v>
      </c>
      <c r="B1221" t="s">
        <v>1352</v>
      </c>
      <c r="C1221" t="s">
        <v>1239</v>
      </c>
      <c r="D1221" t="s">
        <v>1315</v>
      </c>
      <c r="E1221" t="s">
        <v>601</v>
      </c>
      <c r="F1221" t="s">
        <v>1351</v>
      </c>
      <c r="G1221" t="s">
        <v>38</v>
      </c>
      <c r="H1221" s="1">
        <v>45076.784872685188</v>
      </c>
      <c r="I1221" s="1">
        <v>45079.784872685188</v>
      </c>
      <c r="J1221" t="s">
        <v>32</v>
      </c>
      <c r="K1221" s="1">
        <v>45083.784872685188</v>
      </c>
      <c r="L1221" t="s">
        <v>39</v>
      </c>
      <c r="N1221" s="4">
        <v>45087.784872685188</v>
      </c>
      <c r="O1221" t="s">
        <v>39</v>
      </c>
      <c r="R1221" s="4">
        <v>45084.784872685188</v>
      </c>
      <c r="T1221">
        <v>0</v>
      </c>
      <c r="AC1221" s="2">
        <f t="shared" si="171"/>
        <v>3</v>
      </c>
      <c r="AD1221" s="2">
        <f t="shared" si="172"/>
        <v>7</v>
      </c>
      <c r="AE1221" s="2">
        <f t="shared" si="173"/>
        <v>4</v>
      </c>
      <c r="AF1221" s="2">
        <f t="shared" si="174"/>
        <v>8</v>
      </c>
      <c r="AG1221" s="2">
        <f t="shared" si="175"/>
        <v>1</v>
      </c>
      <c r="AH1221" s="4">
        <f t="shared" si="176"/>
        <v>45174.784872685188</v>
      </c>
      <c r="AI1221" s="2" t="str">
        <f t="shared" si="177"/>
        <v/>
      </c>
      <c r="AJ1221" s="2" t="str">
        <f t="shared" si="178"/>
        <v/>
      </c>
      <c r="AK1221" s="2" t="str">
        <f t="shared" si="179"/>
        <v/>
      </c>
    </row>
    <row r="1222" spans="1:37" x14ac:dyDescent="0.25">
      <c r="A1222">
        <v>1167</v>
      </c>
      <c r="B1222" t="s">
        <v>1353</v>
      </c>
      <c r="C1222" t="s">
        <v>1239</v>
      </c>
      <c r="D1222" t="s">
        <v>1315</v>
      </c>
      <c r="E1222" t="s">
        <v>601</v>
      </c>
      <c r="F1222" t="s">
        <v>1351</v>
      </c>
      <c r="G1222" t="s">
        <v>38</v>
      </c>
      <c r="H1222" s="1">
        <v>44964.866122685184</v>
      </c>
      <c r="I1222" s="1">
        <v>44967.866122685184</v>
      </c>
      <c r="J1222" t="s">
        <v>32</v>
      </c>
      <c r="K1222" s="1">
        <v>44985.866122685184</v>
      </c>
      <c r="L1222" t="s">
        <v>33</v>
      </c>
      <c r="M1222" t="s">
        <v>108</v>
      </c>
      <c r="R1222" s="4">
        <v>44986.866122685184</v>
      </c>
      <c r="T1222">
        <v>0</v>
      </c>
      <c r="Y1222" t="s">
        <v>55</v>
      </c>
      <c r="AC1222" s="2">
        <f t="shared" si="171"/>
        <v>3</v>
      </c>
      <c r="AD1222" s="2">
        <f t="shared" si="172"/>
        <v>21</v>
      </c>
      <c r="AE1222" s="2">
        <f t="shared" si="173"/>
        <v>18</v>
      </c>
      <c r="AF1222" s="2">
        <f t="shared" si="174"/>
        <v>22</v>
      </c>
      <c r="AG1222" s="2">
        <f t="shared" si="175"/>
        <v>1</v>
      </c>
      <c r="AH1222" s="4">
        <f t="shared" si="176"/>
        <v>45076.866122685184</v>
      </c>
      <c r="AI1222" s="2" t="str">
        <f t="shared" si="177"/>
        <v/>
      </c>
      <c r="AJ1222" s="2" t="str">
        <f t="shared" si="178"/>
        <v/>
      </c>
      <c r="AK1222" s="2" t="str">
        <f t="shared" si="179"/>
        <v/>
      </c>
    </row>
    <row r="1223" spans="1:37" x14ac:dyDescent="0.25">
      <c r="A1223">
        <v>1162</v>
      </c>
      <c r="B1223" t="s">
        <v>1354</v>
      </c>
      <c r="C1223" t="s">
        <v>1239</v>
      </c>
      <c r="D1223" t="s">
        <v>1315</v>
      </c>
      <c r="E1223" t="s">
        <v>601</v>
      </c>
      <c r="F1223" t="s">
        <v>1351</v>
      </c>
      <c r="G1223" t="s">
        <v>38</v>
      </c>
      <c r="H1223" s="1">
        <v>44967.866122685184</v>
      </c>
      <c r="I1223" s="1">
        <v>44968.866122685184</v>
      </c>
      <c r="J1223" t="s">
        <v>32</v>
      </c>
      <c r="K1223" s="1">
        <v>44976.866122685184</v>
      </c>
      <c r="L1223" t="s">
        <v>33</v>
      </c>
      <c r="M1223" t="s">
        <v>67</v>
      </c>
      <c r="T1223">
        <v>0</v>
      </c>
      <c r="Y1223" t="s">
        <v>35</v>
      </c>
      <c r="AC1223" s="2">
        <f t="shared" si="171"/>
        <v>1</v>
      </c>
      <c r="AD1223" s="2">
        <f t="shared" si="172"/>
        <v>9</v>
      </c>
      <c r="AE1223" s="2">
        <f t="shared" si="173"/>
        <v>8</v>
      </c>
      <c r="AF1223" s="2" t="str">
        <f t="shared" si="174"/>
        <v/>
      </c>
      <c r="AG1223" s="2" t="str">
        <f t="shared" si="175"/>
        <v/>
      </c>
      <c r="AH1223" s="4" t="str">
        <f t="shared" si="176"/>
        <v/>
      </c>
      <c r="AI1223" s="2" t="str">
        <f t="shared" si="177"/>
        <v/>
      </c>
      <c r="AJ1223" s="2" t="str">
        <f t="shared" si="178"/>
        <v/>
      </c>
      <c r="AK1223" s="2" t="str">
        <f t="shared" si="179"/>
        <v/>
      </c>
    </row>
    <row r="1224" spans="1:37" x14ac:dyDescent="0.25">
      <c r="A1224">
        <v>1132</v>
      </c>
      <c r="B1224" t="s">
        <v>1355</v>
      </c>
      <c r="C1224" t="s">
        <v>1239</v>
      </c>
      <c r="D1224" t="s">
        <v>1315</v>
      </c>
      <c r="E1224" t="s">
        <v>601</v>
      </c>
      <c r="F1224" t="s">
        <v>1351</v>
      </c>
      <c r="G1224" t="s">
        <v>38</v>
      </c>
      <c r="H1224" s="1">
        <v>44635.796018518522</v>
      </c>
      <c r="I1224" s="1">
        <v>44637.796018518522</v>
      </c>
      <c r="J1224" t="s">
        <v>32</v>
      </c>
      <c r="K1224" s="1">
        <v>44656.796018518522</v>
      </c>
      <c r="L1224" t="s">
        <v>57</v>
      </c>
      <c r="N1224" s="4">
        <v>44660.796018518522</v>
      </c>
      <c r="O1224" t="s">
        <v>57</v>
      </c>
      <c r="P1224" s="4">
        <v>44658.796018518522</v>
      </c>
      <c r="Q1224" s="4">
        <v>44662.796018518522</v>
      </c>
      <c r="R1224" s="4">
        <v>44657.796018518522</v>
      </c>
      <c r="S1224" s="4">
        <v>44667.796018518522</v>
      </c>
      <c r="T1224">
        <v>1</v>
      </c>
      <c r="U1224" s="4">
        <v>44669.796018518522</v>
      </c>
      <c r="V1224" s="4">
        <v>44671.796018518522</v>
      </c>
      <c r="W1224" s="4">
        <v>44674.796018518522</v>
      </c>
      <c r="Z1224" s="4">
        <v>44686.796018518522</v>
      </c>
      <c r="AC1224" s="2">
        <f t="shared" si="171"/>
        <v>2</v>
      </c>
      <c r="AD1224" s="2">
        <f t="shared" si="172"/>
        <v>21</v>
      </c>
      <c r="AE1224" s="2">
        <f t="shared" si="173"/>
        <v>19</v>
      </c>
      <c r="AF1224" s="2">
        <f t="shared" si="174"/>
        <v>22</v>
      </c>
      <c r="AG1224" s="2">
        <f t="shared" si="175"/>
        <v>1</v>
      </c>
      <c r="AH1224" s="4">
        <f t="shared" si="176"/>
        <v>44747.796018518522</v>
      </c>
      <c r="AI1224" s="2">
        <f t="shared" si="177"/>
        <v>2</v>
      </c>
      <c r="AJ1224" s="2">
        <f t="shared" si="178"/>
        <v>29</v>
      </c>
      <c r="AK1224" s="2">
        <f t="shared" si="179"/>
        <v>17</v>
      </c>
    </row>
    <row r="1225" spans="1:37" x14ac:dyDescent="0.25">
      <c r="A1225">
        <v>1087</v>
      </c>
      <c r="B1225" t="s">
        <v>1356</v>
      </c>
      <c r="C1225" t="s">
        <v>1239</v>
      </c>
      <c r="D1225" t="s">
        <v>1315</v>
      </c>
      <c r="E1225" t="s">
        <v>601</v>
      </c>
      <c r="F1225" t="s">
        <v>1351</v>
      </c>
      <c r="G1225" t="s">
        <v>38</v>
      </c>
      <c r="H1225" s="1">
        <v>44894.976215277777</v>
      </c>
      <c r="I1225" s="1">
        <v>44896.976215277777</v>
      </c>
      <c r="J1225" t="s">
        <v>32</v>
      </c>
      <c r="K1225" s="1">
        <v>44903.976215277777</v>
      </c>
      <c r="L1225" t="s">
        <v>57</v>
      </c>
      <c r="N1225" s="4">
        <v>44909.976215277777</v>
      </c>
      <c r="O1225" t="s">
        <v>57</v>
      </c>
      <c r="P1225" s="4">
        <v>44904.976215277777</v>
      </c>
      <c r="Q1225" s="4">
        <v>44908.976215277777</v>
      </c>
      <c r="R1225" s="4">
        <v>44906.976215277777</v>
      </c>
      <c r="S1225" s="4">
        <v>44911.976215277777</v>
      </c>
      <c r="T1225">
        <v>1</v>
      </c>
      <c r="U1225" s="4">
        <v>44914.976215277777</v>
      </c>
      <c r="V1225" s="4">
        <v>44915.976215277777</v>
      </c>
      <c r="W1225" s="4">
        <v>44916.976215277777</v>
      </c>
      <c r="Z1225" s="4">
        <v>44936.976215277777</v>
      </c>
      <c r="AC1225" s="2">
        <f t="shared" si="171"/>
        <v>2</v>
      </c>
      <c r="AD1225" s="2">
        <f t="shared" si="172"/>
        <v>9</v>
      </c>
      <c r="AE1225" s="2">
        <f t="shared" si="173"/>
        <v>7</v>
      </c>
      <c r="AF1225" s="2">
        <f t="shared" si="174"/>
        <v>12</v>
      </c>
      <c r="AG1225" s="2">
        <f t="shared" si="175"/>
        <v>3</v>
      </c>
      <c r="AH1225" s="4">
        <f t="shared" si="176"/>
        <v>44996.976215277777</v>
      </c>
      <c r="AI1225" s="2">
        <f t="shared" si="177"/>
        <v>3</v>
      </c>
      <c r="AJ1225" s="2">
        <f t="shared" si="178"/>
        <v>30</v>
      </c>
      <c r="AK1225" s="2">
        <f t="shared" si="179"/>
        <v>10</v>
      </c>
    </row>
    <row r="1226" spans="1:37" x14ac:dyDescent="0.25">
      <c r="A1226">
        <v>1048</v>
      </c>
      <c r="B1226" t="s">
        <v>1357</v>
      </c>
      <c r="C1226" t="s">
        <v>1239</v>
      </c>
      <c r="D1226" t="s">
        <v>1315</v>
      </c>
      <c r="E1226" t="s">
        <v>601</v>
      </c>
      <c r="F1226" t="s">
        <v>1351</v>
      </c>
      <c r="G1226" t="s">
        <v>38</v>
      </c>
      <c r="H1226" s="1">
        <v>44882.960578703707</v>
      </c>
      <c r="I1226" s="1">
        <v>44886.960578703707</v>
      </c>
      <c r="J1226" t="s">
        <v>32</v>
      </c>
      <c r="K1226" s="1">
        <v>44902.960578703707</v>
      </c>
      <c r="L1226" t="s">
        <v>33</v>
      </c>
      <c r="M1226" t="s">
        <v>34</v>
      </c>
      <c r="T1226">
        <v>0</v>
      </c>
      <c r="Y1226" t="s">
        <v>55</v>
      </c>
      <c r="AC1226" s="2">
        <f t="shared" si="171"/>
        <v>4</v>
      </c>
      <c r="AD1226" s="2">
        <f t="shared" si="172"/>
        <v>20</v>
      </c>
      <c r="AE1226" s="2">
        <f t="shared" si="173"/>
        <v>16</v>
      </c>
      <c r="AF1226" s="2" t="str">
        <f t="shared" si="174"/>
        <v/>
      </c>
      <c r="AG1226" s="2" t="str">
        <f t="shared" si="175"/>
        <v/>
      </c>
      <c r="AH1226" s="4" t="str">
        <f t="shared" si="176"/>
        <v/>
      </c>
      <c r="AI1226" s="2" t="str">
        <f t="shared" si="177"/>
        <v/>
      </c>
      <c r="AJ1226" s="2" t="str">
        <f t="shared" si="178"/>
        <v/>
      </c>
      <c r="AK1226" s="2" t="str">
        <f t="shared" si="179"/>
        <v/>
      </c>
    </row>
    <row r="1227" spans="1:37" x14ac:dyDescent="0.25">
      <c r="A1227">
        <v>1043</v>
      </c>
      <c r="B1227" t="s">
        <v>1358</v>
      </c>
      <c r="C1227" t="s">
        <v>1239</v>
      </c>
      <c r="D1227" t="s">
        <v>1315</v>
      </c>
      <c r="E1227" t="s">
        <v>601</v>
      </c>
      <c r="F1227" t="s">
        <v>1351</v>
      </c>
      <c r="G1227" t="s">
        <v>38</v>
      </c>
      <c r="H1227" s="1">
        <v>44882.960578703707</v>
      </c>
      <c r="I1227" s="1">
        <v>44886.960578703707</v>
      </c>
      <c r="J1227" t="s">
        <v>32</v>
      </c>
      <c r="K1227" s="1">
        <v>44898.960578703707</v>
      </c>
      <c r="L1227" t="s">
        <v>39</v>
      </c>
      <c r="N1227" s="4">
        <v>44902.960578703707</v>
      </c>
      <c r="O1227" t="s">
        <v>39</v>
      </c>
      <c r="R1227" s="4">
        <v>44901.960578703707</v>
      </c>
      <c r="T1227">
        <v>0</v>
      </c>
      <c r="AC1227" s="2">
        <f t="shared" si="171"/>
        <v>4</v>
      </c>
      <c r="AD1227" s="2">
        <f t="shared" si="172"/>
        <v>16</v>
      </c>
      <c r="AE1227" s="2">
        <f t="shared" si="173"/>
        <v>12</v>
      </c>
      <c r="AF1227" s="2">
        <f t="shared" si="174"/>
        <v>19</v>
      </c>
      <c r="AG1227" s="2">
        <f t="shared" si="175"/>
        <v>3</v>
      </c>
      <c r="AH1227" s="4">
        <f t="shared" si="176"/>
        <v>44991.960578703707</v>
      </c>
      <c r="AI1227" s="2" t="str">
        <f t="shared" si="177"/>
        <v/>
      </c>
      <c r="AJ1227" s="2" t="str">
        <f t="shared" si="178"/>
        <v/>
      </c>
      <c r="AK1227" s="2" t="str">
        <f t="shared" si="179"/>
        <v/>
      </c>
    </row>
    <row r="1228" spans="1:37" x14ac:dyDescent="0.25">
      <c r="A1228">
        <v>1028</v>
      </c>
      <c r="B1228" t="s">
        <v>1359</v>
      </c>
      <c r="C1228" t="s">
        <v>1239</v>
      </c>
      <c r="D1228" t="s">
        <v>1315</v>
      </c>
      <c r="E1228" t="s">
        <v>601</v>
      </c>
      <c r="F1228" t="s">
        <v>1351</v>
      </c>
      <c r="G1228" t="s">
        <v>38</v>
      </c>
      <c r="H1228" s="1">
        <v>44952.791134259256</v>
      </c>
      <c r="I1228" s="1">
        <v>44953.791134259256</v>
      </c>
      <c r="J1228" t="s">
        <v>32</v>
      </c>
      <c r="K1228" s="1">
        <v>44968.791134259256</v>
      </c>
      <c r="L1228" t="s">
        <v>33</v>
      </c>
      <c r="M1228" t="s">
        <v>67</v>
      </c>
      <c r="R1228" s="4">
        <v>44970.791134259256</v>
      </c>
      <c r="T1228">
        <v>0</v>
      </c>
      <c r="Y1228" t="s">
        <v>35</v>
      </c>
      <c r="AC1228" s="2">
        <f t="shared" si="171"/>
        <v>1</v>
      </c>
      <c r="AD1228" s="2">
        <f t="shared" si="172"/>
        <v>16</v>
      </c>
      <c r="AE1228" s="2">
        <f t="shared" si="173"/>
        <v>15</v>
      </c>
      <c r="AF1228" s="2">
        <f t="shared" si="174"/>
        <v>18</v>
      </c>
      <c r="AG1228" s="2">
        <f t="shared" si="175"/>
        <v>2</v>
      </c>
      <c r="AH1228" s="4">
        <f t="shared" si="176"/>
        <v>45060.791134259256</v>
      </c>
      <c r="AI1228" s="2" t="str">
        <f t="shared" si="177"/>
        <v/>
      </c>
      <c r="AJ1228" s="2" t="str">
        <f t="shared" si="178"/>
        <v/>
      </c>
      <c r="AK1228" s="2" t="str">
        <f t="shared" si="179"/>
        <v/>
      </c>
    </row>
    <row r="1229" spans="1:37" x14ac:dyDescent="0.25">
      <c r="A1229">
        <v>1027</v>
      </c>
      <c r="B1229" t="s">
        <v>1360</v>
      </c>
      <c r="C1229" t="s">
        <v>1239</v>
      </c>
      <c r="D1229" t="s">
        <v>1315</v>
      </c>
      <c r="E1229" t="s">
        <v>601</v>
      </c>
      <c r="F1229" t="s">
        <v>1351</v>
      </c>
      <c r="G1229" t="s">
        <v>38</v>
      </c>
      <c r="H1229" s="1">
        <v>44951.791134259256</v>
      </c>
      <c r="I1229" s="1">
        <v>44953.791134259256</v>
      </c>
      <c r="J1229" t="s">
        <v>32</v>
      </c>
      <c r="K1229" s="1">
        <v>44960.791134259256</v>
      </c>
      <c r="L1229" t="s">
        <v>57</v>
      </c>
      <c r="N1229" s="4">
        <v>44965.791134259256</v>
      </c>
      <c r="O1229" t="s">
        <v>57</v>
      </c>
      <c r="P1229" s="4">
        <v>44962.791134259256</v>
      </c>
      <c r="Q1229" s="4">
        <v>44964.791134259256</v>
      </c>
      <c r="R1229" s="4">
        <v>44963.791134259256</v>
      </c>
      <c r="S1229" s="4">
        <v>44969.791134259256</v>
      </c>
      <c r="T1229">
        <v>1</v>
      </c>
      <c r="U1229" s="4">
        <v>44972.791134259256</v>
      </c>
      <c r="V1229" s="4">
        <v>44973.791134259256</v>
      </c>
      <c r="W1229" s="4">
        <v>44975.791134259256</v>
      </c>
      <c r="Z1229" s="4">
        <v>44991.791134259256</v>
      </c>
      <c r="AC1229" s="2">
        <f t="shared" si="171"/>
        <v>2</v>
      </c>
      <c r="AD1229" s="2">
        <f t="shared" si="172"/>
        <v>9</v>
      </c>
      <c r="AE1229" s="2">
        <f t="shared" si="173"/>
        <v>7</v>
      </c>
      <c r="AF1229" s="2">
        <f t="shared" si="174"/>
        <v>12</v>
      </c>
      <c r="AG1229" s="2">
        <f t="shared" si="175"/>
        <v>3</v>
      </c>
      <c r="AH1229" s="4">
        <f t="shared" si="176"/>
        <v>45053.791134259256</v>
      </c>
      <c r="AI1229" s="2">
        <f t="shared" si="177"/>
        <v>3</v>
      </c>
      <c r="AJ1229" s="2">
        <f t="shared" si="178"/>
        <v>28</v>
      </c>
      <c r="AK1229" s="2">
        <f t="shared" si="179"/>
        <v>12</v>
      </c>
    </row>
    <row r="1230" spans="1:37" x14ac:dyDescent="0.25">
      <c r="A1230">
        <v>2993</v>
      </c>
      <c r="B1230" t="s">
        <v>1361</v>
      </c>
      <c r="C1230" t="s">
        <v>1362</v>
      </c>
      <c r="D1230" t="s">
        <v>1363</v>
      </c>
      <c r="E1230" t="s">
        <v>96</v>
      </c>
      <c r="F1230" t="s">
        <v>1364</v>
      </c>
      <c r="G1230" t="s">
        <v>98</v>
      </c>
      <c r="H1230" s="1">
        <v>44985.039479166669</v>
      </c>
      <c r="I1230" s="1">
        <v>44988.039479166669</v>
      </c>
      <c r="J1230" t="s">
        <v>32</v>
      </c>
      <c r="K1230" s="1">
        <v>45009.039479166669</v>
      </c>
      <c r="L1230" t="s">
        <v>33</v>
      </c>
      <c r="M1230" t="s">
        <v>67</v>
      </c>
      <c r="R1230" s="4">
        <v>45011.039479166669</v>
      </c>
      <c r="T1230">
        <v>0</v>
      </c>
      <c r="Y1230" t="s">
        <v>35</v>
      </c>
      <c r="AC1230" s="2">
        <f t="shared" si="171"/>
        <v>3</v>
      </c>
      <c r="AD1230" s="2">
        <f t="shared" si="172"/>
        <v>24</v>
      </c>
      <c r="AE1230" s="2">
        <f t="shared" si="173"/>
        <v>21</v>
      </c>
      <c r="AF1230" s="2">
        <f t="shared" si="174"/>
        <v>26</v>
      </c>
      <c r="AG1230" s="2">
        <f t="shared" si="175"/>
        <v>2</v>
      </c>
      <c r="AH1230" s="4">
        <f t="shared" si="176"/>
        <v>45101.039479166669</v>
      </c>
      <c r="AI1230" s="2" t="str">
        <f t="shared" si="177"/>
        <v/>
      </c>
      <c r="AJ1230" s="2" t="str">
        <f t="shared" si="178"/>
        <v/>
      </c>
      <c r="AK1230" s="2" t="str">
        <f t="shared" si="179"/>
        <v/>
      </c>
    </row>
    <row r="1231" spans="1:37" x14ac:dyDescent="0.25">
      <c r="A1231">
        <v>2830</v>
      </c>
      <c r="B1231" t="s">
        <v>1365</v>
      </c>
      <c r="C1231" t="s">
        <v>1362</v>
      </c>
      <c r="D1231" t="s">
        <v>1363</v>
      </c>
      <c r="E1231" t="s">
        <v>96</v>
      </c>
      <c r="F1231" t="s">
        <v>1364</v>
      </c>
      <c r="G1231" t="s">
        <v>98</v>
      </c>
      <c r="H1231" s="1">
        <v>44568.055902777778</v>
      </c>
      <c r="I1231" s="1">
        <v>44569.055902777778</v>
      </c>
      <c r="J1231" t="s">
        <v>32</v>
      </c>
      <c r="K1231" s="1">
        <v>44578.055902777778</v>
      </c>
      <c r="L1231" t="s">
        <v>33</v>
      </c>
      <c r="M1231" t="s">
        <v>67</v>
      </c>
      <c r="R1231" s="4">
        <v>44579.055902777778</v>
      </c>
      <c r="T1231">
        <v>0</v>
      </c>
      <c r="Y1231" t="s">
        <v>35</v>
      </c>
      <c r="AC1231" s="2">
        <f t="shared" si="171"/>
        <v>1</v>
      </c>
      <c r="AD1231" s="2">
        <f t="shared" si="172"/>
        <v>10</v>
      </c>
      <c r="AE1231" s="2">
        <f t="shared" si="173"/>
        <v>9</v>
      </c>
      <c r="AF1231" s="2">
        <f t="shared" si="174"/>
        <v>11</v>
      </c>
      <c r="AG1231" s="2">
        <f t="shared" si="175"/>
        <v>1</v>
      </c>
      <c r="AH1231" s="4">
        <f t="shared" si="176"/>
        <v>44669.055902777778</v>
      </c>
      <c r="AI1231" s="2" t="str">
        <f t="shared" si="177"/>
        <v/>
      </c>
      <c r="AJ1231" s="2" t="str">
        <f t="shared" si="178"/>
        <v/>
      </c>
      <c r="AK1231" s="2" t="str">
        <f t="shared" si="179"/>
        <v/>
      </c>
    </row>
    <row r="1232" spans="1:37" x14ac:dyDescent="0.25">
      <c r="A1232">
        <v>2801</v>
      </c>
      <c r="B1232" t="s">
        <v>1366</v>
      </c>
      <c r="C1232" t="s">
        <v>1362</v>
      </c>
      <c r="D1232" t="s">
        <v>1363</v>
      </c>
      <c r="E1232" t="s">
        <v>96</v>
      </c>
      <c r="F1232" t="s">
        <v>1364</v>
      </c>
      <c r="G1232" t="s">
        <v>98</v>
      </c>
      <c r="H1232" s="1">
        <v>45081.778425925928</v>
      </c>
      <c r="I1232" s="1">
        <v>45084.778425925928</v>
      </c>
      <c r="J1232" t="s">
        <v>32</v>
      </c>
      <c r="K1232" s="1">
        <v>45096.778425925928</v>
      </c>
      <c r="L1232" t="s">
        <v>33</v>
      </c>
      <c r="M1232" t="s">
        <v>108</v>
      </c>
      <c r="T1232">
        <v>0</v>
      </c>
      <c r="Y1232" t="s">
        <v>35</v>
      </c>
      <c r="AC1232" s="2">
        <f t="shared" si="171"/>
        <v>3</v>
      </c>
      <c r="AD1232" s="2">
        <f t="shared" si="172"/>
        <v>15</v>
      </c>
      <c r="AE1232" s="2">
        <f t="shared" si="173"/>
        <v>12</v>
      </c>
      <c r="AF1232" s="2" t="str">
        <f t="shared" si="174"/>
        <v/>
      </c>
      <c r="AG1232" s="2" t="str">
        <f t="shared" si="175"/>
        <v/>
      </c>
      <c r="AH1232" s="4" t="str">
        <f t="shared" si="176"/>
        <v/>
      </c>
      <c r="AI1232" s="2" t="str">
        <f t="shared" si="177"/>
        <v/>
      </c>
      <c r="AJ1232" s="2" t="str">
        <f t="shared" si="178"/>
        <v/>
      </c>
      <c r="AK1232" s="2" t="str">
        <f t="shared" si="179"/>
        <v/>
      </c>
    </row>
    <row r="1233" spans="1:37" x14ac:dyDescent="0.25">
      <c r="A1233">
        <v>2767</v>
      </c>
      <c r="B1233" t="s">
        <v>1367</v>
      </c>
      <c r="C1233" t="s">
        <v>1362</v>
      </c>
      <c r="D1233" t="s">
        <v>1363</v>
      </c>
      <c r="E1233" t="s">
        <v>96</v>
      </c>
      <c r="F1233" t="s">
        <v>1364</v>
      </c>
      <c r="G1233" t="s">
        <v>98</v>
      </c>
      <c r="H1233" s="1">
        <v>44809.301701388889</v>
      </c>
      <c r="I1233" s="1">
        <v>44812.301701388889</v>
      </c>
      <c r="J1233" t="s">
        <v>32</v>
      </c>
      <c r="K1233" s="1">
        <v>44825.301701388889</v>
      </c>
      <c r="L1233" t="s">
        <v>33</v>
      </c>
      <c r="M1233" t="s">
        <v>51</v>
      </c>
      <c r="T1233">
        <v>0</v>
      </c>
      <c r="Y1233" t="s">
        <v>35</v>
      </c>
      <c r="AC1233" s="2">
        <f t="shared" si="171"/>
        <v>3</v>
      </c>
      <c r="AD1233" s="2">
        <f t="shared" si="172"/>
        <v>16</v>
      </c>
      <c r="AE1233" s="2">
        <f t="shared" si="173"/>
        <v>13</v>
      </c>
      <c r="AF1233" s="2" t="str">
        <f t="shared" si="174"/>
        <v/>
      </c>
      <c r="AG1233" s="2" t="str">
        <f t="shared" si="175"/>
        <v/>
      </c>
      <c r="AH1233" s="4" t="str">
        <f t="shared" si="176"/>
        <v/>
      </c>
      <c r="AI1233" s="2" t="str">
        <f t="shared" si="177"/>
        <v/>
      </c>
      <c r="AJ1233" s="2" t="str">
        <f t="shared" si="178"/>
        <v/>
      </c>
      <c r="AK1233" s="2" t="str">
        <f t="shared" si="179"/>
        <v/>
      </c>
    </row>
    <row r="1234" spans="1:37" x14ac:dyDescent="0.25">
      <c r="A1234">
        <v>2762</v>
      </c>
      <c r="B1234" t="s">
        <v>1368</v>
      </c>
      <c r="C1234" t="s">
        <v>1362</v>
      </c>
      <c r="D1234" t="s">
        <v>1363</v>
      </c>
      <c r="E1234" t="s">
        <v>96</v>
      </c>
      <c r="F1234" t="s">
        <v>1364</v>
      </c>
      <c r="G1234" t="s">
        <v>98</v>
      </c>
      <c r="H1234" s="1">
        <v>44807.301701388889</v>
      </c>
      <c r="I1234" s="1">
        <v>44809.301701388889</v>
      </c>
      <c r="J1234" t="s">
        <v>32</v>
      </c>
      <c r="K1234" s="1">
        <v>44816.301701388889</v>
      </c>
      <c r="L1234" t="s">
        <v>33</v>
      </c>
      <c r="M1234" t="s">
        <v>34</v>
      </c>
      <c r="R1234" s="4">
        <v>44818.301701388889</v>
      </c>
      <c r="T1234">
        <v>0</v>
      </c>
      <c r="Y1234" t="s">
        <v>35</v>
      </c>
      <c r="AC1234" s="2">
        <f t="shared" si="171"/>
        <v>2</v>
      </c>
      <c r="AD1234" s="2">
        <f t="shared" si="172"/>
        <v>9</v>
      </c>
      <c r="AE1234" s="2">
        <f t="shared" si="173"/>
        <v>7</v>
      </c>
      <c r="AF1234" s="2">
        <f t="shared" si="174"/>
        <v>11</v>
      </c>
      <c r="AG1234" s="2">
        <f t="shared" si="175"/>
        <v>2</v>
      </c>
      <c r="AH1234" s="4">
        <f t="shared" si="176"/>
        <v>44908.301701388889</v>
      </c>
      <c r="AI1234" s="2" t="str">
        <f t="shared" si="177"/>
        <v/>
      </c>
      <c r="AJ1234" s="2" t="str">
        <f t="shared" si="178"/>
        <v/>
      </c>
      <c r="AK1234" s="2" t="str">
        <f t="shared" si="179"/>
        <v/>
      </c>
    </row>
    <row r="1235" spans="1:37" x14ac:dyDescent="0.25">
      <c r="A1235">
        <v>2629</v>
      </c>
      <c r="B1235" t="s">
        <v>1369</v>
      </c>
      <c r="C1235" t="s">
        <v>1362</v>
      </c>
      <c r="D1235" t="s">
        <v>1363</v>
      </c>
      <c r="E1235" t="s">
        <v>96</v>
      </c>
      <c r="F1235" t="s">
        <v>1364</v>
      </c>
      <c r="G1235" t="s">
        <v>98</v>
      </c>
      <c r="H1235" s="1">
        <v>45097.668356481481</v>
      </c>
      <c r="I1235" s="1">
        <v>45100.668356481481</v>
      </c>
      <c r="J1235" t="s">
        <v>32</v>
      </c>
      <c r="K1235" s="1">
        <v>45119.668356481481</v>
      </c>
      <c r="L1235" t="s">
        <v>33</v>
      </c>
      <c r="M1235" t="s">
        <v>34</v>
      </c>
      <c r="R1235" s="4">
        <v>45121.668356481481</v>
      </c>
      <c r="T1235">
        <v>0</v>
      </c>
      <c r="Y1235" t="s">
        <v>35</v>
      </c>
      <c r="AC1235" s="2">
        <f t="shared" si="171"/>
        <v>3</v>
      </c>
      <c r="AD1235" s="2">
        <f t="shared" si="172"/>
        <v>22</v>
      </c>
      <c r="AE1235" s="2">
        <f t="shared" si="173"/>
        <v>19</v>
      </c>
      <c r="AF1235" s="2">
        <f t="shared" si="174"/>
        <v>24</v>
      </c>
      <c r="AG1235" s="2">
        <f t="shared" si="175"/>
        <v>2</v>
      </c>
      <c r="AH1235" s="4">
        <f t="shared" si="176"/>
        <v>45211.668356481481</v>
      </c>
      <c r="AI1235" s="2" t="str">
        <f t="shared" si="177"/>
        <v/>
      </c>
      <c r="AJ1235" s="2" t="str">
        <f t="shared" si="178"/>
        <v/>
      </c>
      <c r="AK1235" s="2" t="str">
        <f t="shared" si="179"/>
        <v/>
      </c>
    </row>
    <row r="1236" spans="1:37" x14ac:dyDescent="0.25">
      <c r="A1236">
        <v>2486</v>
      </c>
      <c r="B1236" t="s">
        <v>1370</v>
      </c>
      <c r="C1236" t="s">
        <v>1362</v>
      </c>
      <c r="D1236" t="s">
        <v>1363</v>
      </c>
      <c r="E1236" t="s">
        <v>96</v>
      </c>
      <c r="F1236" t="s">
        <v>1364</v>
      </c>
      <c r="G1236" t="s">
        <v>98</v>
      </c>
      <c r="H1236" s="1">
        <v>44972.901273148149</v>
      </c>
      <c r="I1236" s="1">
        <v>44975.901273148149</v>
      </c>
      <c r="J1236" t="s">
        <v>32</v>
      </c>
      <c r="K1236" s="1">
        <v>44981.901273148149</v>
      </c>
      <c r="L1236" t="s">
        <v>33</v>
      </c>
      <c r="M1236" t="s">
        <v>34</v>
      </c>
      <c r="R1236" s="4">
        <v>44982.901273148149</v>
      </c>
      <c r="T1236">
        <v>0</v>
      </c>
      <c r="Y1236" t="s">
        <v>35</v>
      </c>
      <c r="AC1236" s="2">
        <f t="shared" si="171"/>
        <v>3</v>
      </c>
      <c r="AD1236" s="2">
        <f t="shared" si="172"/>
        <v>9</v>
      </c>
      <c r="AE1236" s="2">
        <f t="shared" si="173"/>
        <v>6</v>
      </c>
      <c r="AF1236" s="2">
        <f t="shared" si="174"/>
        <v>10</v>
      </c>
      <c r="AG1236" s="2">
        <f t="shared" si="175"/>
        <v>1</v>
      </c>
      <c r="AH1236" s="4">
        <f t="shared" si="176"/>
        <v>45072.901273148149</v>
      </c>
      <c r="AI1236" s="2" t="str">
        <f t="shared" si="177"/>
        <v/>
      </c>
      <c r="AJ1236" s="2" t="str">
        <f t="shared" si="178"/>
        <v/>
      </c>
      <c r="AK1236" s="2" t="str">
        <f t="shared" si="179"/>
        <v/>
      </c>
    </row>
    <row r="1237" spans="1:37" x14ac:dyDescent="0.25">
      <c r="A1237">
        <v>2482</v>
      </c>
      <c r="B1237" t="s">
        <v>1371</v>
      </c>
      <c r="C1237" t="s">
        <v>1362</v>
      </c>
      <c r="D1237" t="s">
        <v>1363</v>
      </c>
      <c r="E1237" t="s">
        <v>96</v>
      </c>
      <c r="F1237" t="s">
        <v>1364</v>
      </c>
      <c r="G1237" t="s">
        <v>98</v>
      </c>
      <c r="H1237" s="1">
        <v>44974.901273148149</v>
      </c>
      <c r="I1237" s="1">
        <v>44976.901273148149</v>
      </c>
      <c r="J1237" t="s">
        <v>32</v>
      </c>
      <c r="K1237" s="1">
        <v>44982.901273148149</v>
      </c>
      <c r="L1237" t="s">
        <v>33</v>
      </c>
      <c r="M1237" t="s">
        <v>51</v>
      </c>
      <c r="R1237" s="4">
        <v>44984.901273148149</v>
      </c>
      <c r="T1237">
        <v>0</v>
      </c>
      <c r="Y1237" t="s">
        <v>35</v>
      </c>
      <c r="AC1237" s="2">
        <f t="shared" si="171"/>
        <v>2</v>
      </c>
      <c r="AD1237" s="2">
        <f t="shared" si="172"/>
        <v>8</v>
      </c>
      <c r="AE1237" s="2">
        <f t="shared" si="173"/>
        <v>6</v>
      </c>
      <c r="AF1237" s="2">
        <f t="shared" si="174"/>
        <v>10</v>
      </c>
      <c r="AG1237" s="2">
        <f t="shared" si="175"/>
        <v>2</v>
      </c>
      <c r="AH1237" s="4">
        <f t="shared" si="176"/>
        <v>45074.901273148149</v>
      </c>
      <c r="AI1237" s="2" t="str">
        <f t="shared" si="177"/>
        <v/>
      </c>
      <c r="AJ1237" s="2" t="str">
        <f t="shared" si="178"/>
        <v/>
      </c>
      <c r="AK1237" s="2" t="str">
        <f t="shared" si="179"/>
        <v/>
      </c>
    </row>
    <row r="1238" spans="1:37" x14ac:dyDescent="0.25">
      <c r="A1238">
        <v>1874</v>
      </c>
      <c r="B1238" t="s">
        <v>1372</v>
      </c>
      <c r="C1238" t="s">
        <v>1362</v>
      </c>
      <c r="D1238" t="s">
        <v>1363</v>
      </c>
      <c r="E1238" t="s">
        <v>96</v>
      </c>
      <c r="F1238" t="s">
        <v>1364</v>
      </c>
      <c r="G1238" t="s">
        <v>98</v>
      </c>
      <c r="H1238" s="1">
        <v>44576.732974537037</v>
      </c>
      <c r="I1238" s="1">
        <v>44578.732974537037</v>
      </c>
      <c r="J1238" t="s">
        <v>32</v>
      </c>
      <c r="K1238" s="1">
        <v>44599.732974537037</v>
      </c>
      <c r="L1238" t="s">
        <v>33</v>
      </c>
      <c r="M1238" t="s">
        <v>51</v>
      </c>
      <c r="T1238">
        <v>0</v>
      </c>
      <c r="Y1238" t="s">
        <v>55</v>
      </c>
      <c r="AC1238" s="2">
        <f t="shared" si="171"/>
        <v>2</v>
      </c>
      <c r="AD1238" s="2">
        <f t="shared" si="172"/>
        <v>23</v>
      </c>
      <c r="AE1238" s="2">
        <f t="shared" si="173"/>
        <v>21</v>
      </c>
      <c r="AF1238" s="2" t="str">
        <f t="shared" si="174"/>
        <v/>
      </c>
      <c r="AG1238" s="2" t="str">
        <f t="shared" si="175"/>
        <v/>
      </c>
      <c r="AH1238" s="4" t="str">
        <f t="shared" si="176"/>
        <v/>
      </c>
      <c r="AI1238" s="2" t="str">
        <f t="shared" si="177"/>
        <v/>
      </c>
      <c r="AJ1238" s="2" t="str">
        <f t="shared" si="178"/>
        <v/>
      </c>
      <c r="AK1238" s="2" t="str">
        <f t="shared" si="179"/>
        <v/>
      </c>
    </row>
    <row r="1239" spans="1:37" x14ac:dyDescent="0.25">
      <c r="A1239">
        <v>1692</v>
      </c>
      <c r="B1239" t="s">
        <v>1373</v>
      </c>
      <c r="C1239" t="s">
        <v>1362</v>
      </c>
      <c r="D1239" t="s">
        <v>1363</v>
      </c>
      <c r="E1239" t="s">
        <v>96</v>
      </c>
      <c r="F1239" t="s">
        <v>1364</v>
      </c>
      <c r="G1239" t="s">
        <v>98</v>
      </c>
      <c r="H1239" s="1">
        <v>44980.764687499999</v>
      </c>
      <c r="I1239" s="1">
        <v>44983.764687499999</v>
      </c>
      <c r="J1239" t="s">
        <v>32</v>
      </c>
      <c r="K1239" s="1">
        <v>44995.764687499999</v>
      </c>
      <c r="L1239" t="s">
        <v>33</v>
      </c>
      <c r="M1239" t="s">
        <v>108</v>
      </c>
      <c r="R1239" s="4">
        <v>44996.764687499999</v>
      </c>
      <c r="T1239">
        <v>0</v>
      </c>
      <c r="Y1239" t="s">
        <v>55</v>
      </c>
      <c r="AC1239" s="2">
        <f t="shared" si="171"/>
        <v>3</v>
      </c>
      <c r="AD1239" s="2">
        <f t="shared" si="172"/>
        <v>15</v>
      </c>
      <c r="AE1239" s="2">
        <f t="shared" si="173"/>
        <v>12</v>
      </c>
      <c r="AF1239" s="2">
        <f t="shared" si="174"/>
        <v>16</v>
      </c>
      <c r="AG1239" s="2">
        <f t="shared" si="175"/>
        <v>1</v>
      </c>
      <c r="AH1239" s="4">
        <f t="shared" si="176"/>
        <v>45086.764687499999</v>
      </c>
      <c r="AI1239" s="2" t="str">
        <f t="shared" si="177"/>
        <v/>
      </c>
      <c r="AJ1239" s="2" t="str">
        <f t="shared" si="178"/>
        <v/>
      </c>
      <c r="AK1239" s="2" t="str">
        <f t="shared" si="179"/>
        <v/>
      </c>
    </row>
    <row r="1240" spans="1:37" x14ac:dyDescent="0.25">
      <c r="A1240">
        <v>1551</v>
      </c>
      <c r="B1240" t="s">
        <v>1374</v>
      </c>
      <c r="C1240" t="s">
        <v>1362</v>
      </c>
      <c r="D1240" t="s">
        <v>1363</v>
      </c>
      <c r="E1240" t="s">
        <v>96</v>
      </c>
      <c r="F1240" t="s">
        <v>1364</v>
      </c>
      <c r="G1240" t="s">
        <v>98</v>
      </c>
      <c r="H1240" s="1">
        <v>44903.597222222219</v>
      </c>
      <c r="I1240" s="1">
        <v>44905.597222222219</v>
      </c>
      <c r="J1240" t="s">
        <v>32</v>
      </c>
      <c r="K1240" s="1">
        <v>44917.597222222219</v>
      </c>
      <c r="L1240" t="s">
        <v>33</v>
      </c>
      <c r="M1240" t="s">
        <v>108</v>
      </c>
      <c r="T1240">
        <v>0</v>
      </c>
      <c r="Y1240" t="s">
        <v>35</v>
      </c>
      <c r="AC1240" s="2">
        <f t="shared" si="171"/>
        <v>2</v>
      </c>
      <c r="AD1240" s="2">
        <f t="shared" si="172"/>
        <v>14</v>
      </c>
      <c r="AE1240" s="2">
        <f t="shared" si="173"/>
        <v>12</v>
      </c>
      <c r="AF1240" s="2" t="str">
        <f t="shared" si="174"/>
        <v/>
      </c>
      <c r="AG1240" s="2" t="str">
        <f t="shared" si="175"/>
        <v/>
      </c>
      <c r="AH1240" s="4" t="str">
        <f t="shared" si="176"/>
        <v/>
      </c>
      <c r="AI1240" s="2" t="str">
        <f t="shared" si="177"/>
        <v/>
      </c>
      <c r="AJ1240" s="2" t="str">
        <f t="shared" si="178"/>
        <v/>
      </c>
      <c r="AK1240" s="2" t="str">
        <f t="shared" si="179"/>
        <v/>
      </c>
    </row>
    <row r="1241" spans="1:37" x14ac:dyDescent="0.25">
      <c r="A1241">
        <v>1489</v>
      </c>
      <c r="B1241" t="s">
        <v>1375</v>
      </c>
      <c r="C1241" t="s">
        <v>1362</v>
      </c>
      <c r="D1241" t="s">
        <v>1363</v>
      </c>
      <c r="E1241" t="s">
        <v>96</v>
      </c>
      <c r="F1241" t="s">
        <v>1364</v>
      </c>
      <c r="G1241" t="s">
        <v>98</v>
      </c>
      <c r="H1241" s="1">
        <v>45113.542164351849</v>
      </c>
      <c r="I1241" s="1">
        <v>45114.542164351849</v>
      </c>
      <c r="J1241" t="s">
        <v>32</v>
      </c>
      <c r="K1241" s="1">
        <v>45133.542164351849</v>
      </c>
      <c r="L1241" t="s">
        <v>33</v>
      </c>
      <c r="M1241" t="s">
        <v>34</v>
      </c>
      <c r="T1241">
        <v>0</v>
      </c>
      <c r="Y1241" t="s">
        <v>35</v>
      </c>
      <c r="AC1241" s="2">
        <f t="shared" si="171"/>
        <v>1</v>
      </c>
      <c r="AD1241" s="2">
        <f t="shared" si="172"/>
        <v>20</v>
      </c>
      <c r="AE1241" s="2">
        <f t="shared" si="173"/>
        <v>19</v>
      </c>
      <c r="AF1241" s="2" t="str">
        <f t="shared" si="174"/>
        <v/>
      </c>
      <c r="AG1241" s="2" t="str">
        <f t="shared" si="175"/>
        <v/>
      </c>
      <c r="AH1241" s="4" t="str">
        <f t="shared" si="176"/>
        <v/>
      </c>
      <c r="AI1241" s="2" t="str">
        <f t="shared" si="177"/>
        <v/>
      </c>
      <c r="AJ1241" s="2" t="str">
        <f t="shared" si="178"/>
        <v/>
      </c>
      <c r="AK1241" s="2" t="str">
        <f t="shared" si="179"/>
        <v/>
      </c>
    </row>
    <row r="1242" spans="1:37" x14ac:dyDescent="0.25">
      <c r="A1242">
        <v>1486</v>
      </c>
      <c r="B1242" t="s">
        <v>1376</v>
      </c>
      <c r="C1242" t="s">
        <v>1362</v>
      </c>
      <c r="D1242" t="s">
        <v>1363</v>
      </c>
      <c r="E1242" t="s">
        <v>96</v>
      </c>
      <c r="F1242" t="s">
        <v>1364</v>
      </c>
      <c r="G1242" t="s">
        <v>98</v>
      </c>
      <c r="H1242" s="1">
        <v>45111.542164351849</v>
      </c>
      <c r="I1242" s="1">
        <v>45114.542164351849</v>
      </c>
      <c r="J1242" t="s">
        <v>32</v>
      </c>
      <c r="K1242" s="1">
        <v>45128.542164351849</v>
      </c>
      <c r="L1242" t="s">
        <v>33</v>
      </c>
      <c r="M1242" t="s">
        <v>108</v>
      </c>
      <c r="R1242" s="4">
        <v>45131.542164351849</v>
      </c>
      <c r="T1242">
        <v>0</v>
      </c>
      <c r="Y1242" t="s">
        <v>55</v>
      </c>
      <c r="AC1242" s="2">
        <f t="shared" si="171"/>
        <v>3</v>
      </c>
      <c r="AD1242" s="2">
        <f t="shared" si="172"/>
        <v>17</v>
      </c>
      <c r="AE1242" s="2">
        <f t="shared" si="173"/>
        <v>14</v>
      </c>
      <c r="AF1242" s="2">
        <f t="shared" si="174"/>
        <v>20</v>
      </c>
      <c r="AG1242" s="2">
        <f t="shared" si="175"/>
        <v>3</v>
      </c>
      <c r="AH1242" s="4">
        <f t="shared" si="176"/>
        <v>45221.542164351849</v>
      </c>
      <c r="AI1242" s="2" t="str">
        <f t="shared" si="177"/>
        <v/>
      </c>
      <c r="AJ1242" s="2" t="str">
        <f t="shared" si="178"/>
        <v/>
      </c>
      <c r="AK1242" s="2" t="str">
        <f t="shared" si="179"/>
        <v/>
      </c>
    </row>
    <row r="1243" spans="1:37" x14ac:dyDescent="0.25">
      <c r="A1243">
        <v>1481</v>
      </c>
      <c r="B1243" t="s">
        <v>1377</v>
      </c>
      <c r="C1243" t="s">
        <v>1362</v>
      </c>
      <c r="D1243" t="s">
        <v>1363</v>
      </c>
      <c r="E1243" t="s">
        <v>96</v>
      </c>
      <c r="F1243" t="s">
        <v>1364</v>
      </c>
      <c r="G1243" t="s">
        <v>98</v>
      </c>
      <c r="H1243" s="1">
        <v>45113.542164351849</v>
      </c>
      <c r="I1243" s="1">
        <v>45117.542164351849</v>
      </c>
      <c r="J1243" t="s">
        <v>32</v>
      </c>
      <c r="K1243" s="1">
        <v>45128.542164351849</v>
      </c>
      <c r="L1243" t="s">
        <v>33</v>
      </c>
      <c r="M1243" t="s">
        <v>34</v>
      </c>
      <c r="R1243" s="4">
        <v>45130.542164351849</v>
      </c>
      <c r="T1243">
        <v>0</v>
      </c>
      <c r="Y1243" t="s">
        <v>35</v>
      </c>
      <c r="AC1243" s="2">
        <f t="shared" si="171"/>
        <v>4</v>
      </c>
      <c r="AD1243" s="2">
        <f t="shared" si="172"/>
        <v>15</v>
      </c>
      <c r="AE1243" s="2">
        <f t="shared" si="173"/>
        <v>11</v>
      </c>
      <c r="AF1243" s="2">
        <f t="shared" si="174"/>
        <v>17</v>
      </c>
      <c r="AG1243" s="2">
        <f t="shared" si="175"/>
        <v>2</v>
      </c>
      <c r="AH1243" s="4">
        <f t="shared" si="176"/>
        <v>45220.542164351849</v>
      </c>
      <c r="AI1243" s="2" t="str">
        <f t="shared" si="177"/>
        <v/>
      </c>
      <c r="AJ1243" s="2" t="str">
        <f t="shared" si="178"/>
        <v/>
      </c>
      <c r="AK1243" s="2" t="str">
        <f t="shared" si="179"/>
        <v/>
      </c>
    </row>
    <row r="1244" spans="1:37" x14ac:dyDescent="0.25">
      <c r="A1244">
        <v>1466</v>
      </c>
      <c r="B1244" t="s">
        <v>1378</v>
      </c>
      <c r="C1244" t="s">
        <v>1362</v>
      </c>
      <c r="D1244" t="s">
        <v>1363</v>
      </c>
      <c r="E1244" t="s">
        <v>96</v>
      </c>
      <c r="F1244" t="s">
        <v>1364</v>
      </c>
      <c r="G1244" t="s">
        <v>98</v>
      </c>
      <c r="H1244" s="1">
        <v>45002.141805555555</v>
      </c>
      <c r="I1244" s="1">
        <v>45005.141805555555</v>
      </c>
      <c r="J1244" t="s">
        <v>32</v>
      </c>
      <c r="K1244" s="1">
        <v>45021.141805555555</v>
      </c>
      <c r="L1244" t="s">
        <v>33</v>
      </c>
      <c r="M1244" t="s">
        <v>51</v>
      </c>
      <c r="R1244" s="4">
        <v>45024.141805555555</v>
      </c>
      <c r="T1244">
        <v>0</v>
      </c>
      <c r="Y1244" t="s">
        <v>55</v>
      </c>
      <c r="AC1244" s="2">
        <f t="shared" si="171"/>
        <v>3</v>
      </c>
      <c r="AD1244" s="2">
        <f t="shared" si="172"/>
        <v>19</v>
      </c>
      <c r="AE1244" s="2">
        <f t="shared" si="173"/>
        <v>16</v>
      </c>
      <c r="AF1244" s="2">
        <f t="shared" si="174"/>
        <v>22</v>
      </c>
      <c r="AG1244" s="2">
        <f t="shared" si="175"/>
        <v>3</v>
      </c>
      <c r="AH1244" s="4">
        <f t="shared" si="176"/>
        <v>45114.141805555555</v>
      </c>
      <c r="AI1244" s="2" t="str">
        <f t="shared" si="177"/>
        <v/>
      </c>
      <c r="AJ1244" s="2" t="str">
        <f t="shared" si="178"/>
        <v/>
      </c>
      <c r="AK1244" s="2" t="str">
        <f t="shared" si="179"/>
        <v/>
      </c>
    </row>
    <row r="1245" spans="1:37" x14ac:dyDescent="0.25">
      <c r="A1245">
        <v>1359</v>
      </c>
      <c r="B1245" t="s">
        <v>1379</v>
      </c>
      <c r="C1245" t="s">
        <v>1362</v>
      </c>
      <c r="D1245" t="s">
        <v>1363</v>
      </c>
      <c r="E1245" t="s">
        <v>96</v>
      </c>
      <c r="F1245" t="s">
        <v>1364</v>
      </c>
      <c r="G1245" t="s">
        <v>98</v>
      </c>
      <c r="H1245" s="1">
        <v>44766.055451388886</v>
      </c>
      <c r="I1245" s="1">
        <v>44770.055451388886</v>
      </c>
      <c r="J1245" t="s">
        <v>32</v>
      </c>
      <c r="K1245" s="1">
        <v>44786.055451388886</v>
      </c>
      <c r="L1245" t="s">
        <v>33</v>
      </c>
      <c r="M1245" t="s">
        <v>34</v>
      </c>
      <c r="T1245">
        <v>0</v>
      </c>
      <c r="Y1245" t="s">
        <v>35</v>
      </c>
      <c r="AC1245" s="2">
        <f t="shared" si="171"/>
        <v>4</v>
      </c>
      <c r="AD1245" s="2">
        <f t="shared" si="172"/>
        <v>20</v>
      </c>
      <c r="AE1245" s="2">
        <f t="shared" si="173"/>
        <v>16</v>
      </c>
      <c r="AF1245" s="2" t="str">
        <f t="shared" si="174"/>
        <v/>
      </c>
      <c r="AG1245" s="2" t="str">
        <f t="shared" si="175"/>
        <v/>
      </c>
      <c r="AH1245" s="4" t="str">
        <f t="shared" si="176"/>
        <v/>
      </c>
      <c r="AI1245" s="2" t="str">
        <f t="shared" si="177"/>
        <v/>
      </c>
      <c r="AJ1245" s="2" t="str">
        <f t="shared" si="178"/>
        <v/>
      </c>
      <c r="AK1245" s="2" t="str">
        <f t="shared" si="179"/>
        <v/>
      </c>
    </row>
    <row r="1246" spans="1:37" x14ac:dyDescent="0.25">
      <c r="A1246">
        <v>1353</v>
      </c>
      <c r="B1246" t="s">
        <v>1380</v>
      </c>
      <c r="C1246" t="s">
        <v>1362</v>
      </c>
      <c r="D1246" t="s">
        <v>1363</v>
      </c>
      <c r="E1246" t="s">
        <v>96</v>
      </c>
      <c r="F1246" t="s">
        <v>1364</v>
      </c>
      <c r="G1246" t="s">
        <v>98</v>
      </c>
      <c r="H1246" s="1">
        <v>44767.055451388886</v>
      </c>
      <c r="I1246" s="1">
        <v>44769.055451388886</v>
      </c>
      <c r="J1246" t="s">
        <v>32</v>
      </c>
      <c r="K1246" s="1">
        <v>44774.055451388886</v>
      </c>
      <c r="L1246" t="s">
        <v>33</v>
      </c>
      <c r="M1246" t="s">
        <v>51</v>
      </c>
      <c r="T1246">
        <v>0</v>
      </c>
      <c r="Y1246" t="s">
        <v>35</v>
      </c>
      <c r="AC1246" s="2">
        <f t="shared" si="171"/>
        <v>2</v>
      </c>
      <c r="AD1246" s="2">
        <f t="shared" si="172"/>
        <v>7</v>
      </c>
      <c r="AE1246" s="2">
        <f t="shared" si="173"/>
        <v>5</v>
      </c>
      <c r="AF1246" s="2" t="str">
        <f t="shared" si="174"/>
        <v/>
      </c>
      <c r="AG1246" s="2" t="str">
        <f t="shared" si="175"/>
        <v/>
      </c>
      <c r="AH1246" s="4" t="str">
        <f t="shared" si="176"/>
        <v/>
      </c>
      <c r="AI1246" s="2" t="str">
        <f t="shared" si="177"/>
        <v/>
      </c>
      <c r="AJ1246" s="2" t="str">
        <f t="shared" si="178"/>
        <v/>
      </c>
      <c r="AK1246" s="2" t="str">
        <f t="shared" si="179"/>
        <v/>
      </c>
    </row>
    <row r="1247" spans="1:37" x14ac:dyDescent="0.25">
      <c r="A1247">
        <v>1243</v>
      </c>
      <c r="B1247" t="s">
        <v>1381</v>
      </c>
      <c r="C1247" t="s">
        <v>1362</v>
      </c>
      <c r="D1247" t="s">
        <v>1363</v>
      </c>
      <c r="E1247" t="s">
        <v>96</v>
      </c>
      <c r="F1247" t="s">
        <v>1364</v>
      </c>
      <c r="G1247" t="s">
        <v>98</v>
      </c>
      <c r="H1247" s="1">
        <v>44734.839942129627</v>
      </c>
      <c r="I1247" s="1">
        <v>44738.839942129627</v>
      </c>
      <c r="J1247" t="s">
        <v>32</v>
      </c>
      <c r="K1247" s="1">
        <v>44756.839942129627</v>
      </c>
      <c r="L1247" t="s">
        <v>33</v>
      </c>
      <c r="M1247" t="s">
        <v>34</v>
      </c>
      <c r="R1247" s="4">
        <v>44760.839942129627</v>
      </c>
      <c r="T1247">
        <v>0</v>
      </c>
      <c r="Y1247" t="s">
        <v>55</v>
      </c>
      <c r="AC1247" s="2">
        <f t="shared" si="171"/>
        <v>4</v>
      </c>
      <c r="AD1247" s="2">
        <f t="shared" si="172"/>
        <v>22</v>
      </c>
      <c r="AE1247" s="2">
        <f t="shared" si="173"/>
        <v>18</v>
      </c>
      <c r="AF1247" s="2">
        <f t="shared" si="174"/>
        <v>26</v>
      </c>
      <c r="AG1247" s="2">
        <f t="shared" si="175"/>
        <v>4</v>
      </c>
      <c r="AH1247" s="4">
        <f t="shared" si="176"/>
        <v>44850.839942129627</v>
      </c>
      <c r="AI1247" s="2" t="str">
        <f t="shared" si="177"/>
        <v/>
      </c>
      <c r="AJ1247" s="2" t="str">
        <f t="shared" si="178"/>
        <v/>
      </c>
      <c r="AK1247" s="2" t="str">
        <f t="shared" si="179"/>
        <v/>
      </c>
    </row>
    <row r="1248" spans="1:37" x14ac:dyDescent="0.25">
      <c r="A1248">
        <v>1209</v>
      </c>
      <c r="B1248" t="s">
        <v>1382</v>
      </c>
      <c r="C1248" t="s">
        <v>1362</v>
      </c>
      <c r="D1248" t="s">
        <v>1363</v>
      </c>
      <c r="E1248" t="s">
        <v>96</v>
      </c>
      <c r="F1248" t="s">
        <v>1364</v>
      </c>
      <c r="G1248" t="s">
        <v>98</v>
      </c>
      <c r="H1248" s="1">
        <v>44768.205266203702</v>
      </c>
      <c r="I1248" s="1">
        <v>44769.205266203702</v>
      </c>
      <c r="J1248" t="s">
        <v>32</v>
      </c>
      <c r="K1248" s="1">
        <v>44776.205266203702</v>
      </c>
      <c r="L1248" t="s">
        <v>33</v>
      </c>
      <c r="M1248" t="s">
        <v>92</v>
      </c>
      <c r="R1248" s="4">
        <v>44779.205266203702</v>
      </c>
      <c r="T1248">
        <v>0</v>
      </c>
      <c r="Y1248" t="s">
        <v>55</v>
      </c>
      <c r="AC1248" s="2">
        <f t="shared" si="171"/>
        <v>1</v>
      </c>
      <c r="AD1248" s="2">
        <f t="shared" si="172"/>
        <v>8</v>
      </c>
      <c r="AE1248" s="2">
        <f t="shared" si="173"/>
        <v>7</v>
      </c>
      <c r="AF1248" s="2">
        <f t="shared" si="174"/>
        <v>11</v>
      </c>
      <c r="AG1248" s="2">
        <f t="shared" si="175"/>
        <v>3</v>
      </c>
      <c r="AH1248" s="4">
        <f t="shared" si="176"/>
        <v>44869.205266203702</v>
      </c>
      <c r="AI1248" s="2" t="str">
        <f t="shared" si="177"/>
        <v/>
      </c>
      <c r="AJ1248" s="2" t="str">
        <f t="shared" si="178"/>
        <v/>
      </c>
      <c r="AK1248" s="2" t="str">
        <f t="shared" si="179"/>
        <v/>
      </c>
    </row>
    <row r="1249" spans="1:37" x14ac:dyDescent="0.25">
      <c r="A1249">
        <v>1205</v>
      </c>
      <c r="B1249" t="s">
        <v>1383</v>
      </c>
      <c r="C1249" t="s">
        <v>1362</v>
      </c>
      <c r="D1249" t="s">
        <v>1363</v>
      </c>
      <c r="E1249" t="s">
        <v>96</v>
      </c>
      <c r="F1249" t="s">
        <v>1364</v>
      </c>
      <c r="G1249" t="s">
        <v>98</v>
      </c>
      <c r="H1249" s="1">
        <v>44764.205266203702</v>
      </c>
      <c r="I1249" s="1">
        <v>44767.205266203702</v>
      </c>
      <c r="J1249" t="s">
        <v>32</v>
      </c>
      <c r="K1249" s="1">
        <v>44774.205266203702</v>
      </c>
      <c r="L1249" t="s">
        <v>33</v>
      </c>
      <c r="M1249" t="s">
        <v>67</v>
      </c>
      <c r="R1249" s="4">
        <v>44777.205266203702</v>
      </c>
      <c r="T1249">
        <v>0</v>
      </c>
      <c r="Y1249" t="s">
        <v>35</v>
      </c>
      <c r="AC1249" s="2">
        <f t="shared" si="171"/>
        <v>3</v>
      </c>
      <c r="AD1249" s="2">
        <f t="shared" si="172"/>
        <v>10</v>
      </c>
      <c r="AE1249" s="2">
        <f t="shared" si="173"/>
        <v>7</v>
      </c>
      <c r="AF1249" s="2">
        <f t="shared" si="174"/>
        <v>13</v>
      </c>
      <c r="AG1249" s="2">
        <f t="shared" si="175"/>
        <v>3</v>
      </c>
      <c r="AH1249" s="4">
        <f t="shared" si="176"/>
        <v>44867.205266203702</v>
      </c>
      <c r="AI1249" s="2" t="str">
        <f t="shared" si="177"/>
        <v/>
      </c>
      <c r="AJ1249" s="2" t="str">
        <f t="shared" si="178"/>
        <v/>
      </c>
      <c r="AK1249" s="2" t="str">
        <f t="shared" si="179"/>
        <v/>
      </c>
    </row>
    <row r="1250" spans="1:37" x14ac:dyDescent="0.25">
      <c r="A1250">
        <v>1198</v>
      </c>
      <c r="B1250" t="s">
        <v>1384</v>
      </c>
      <c r="C1250" t="s">
        <v>1362</v>
      </c>
      <c r="D1250" t="s">
        <v>1363</v>
      </c>
      <c r="E1250" t="s">
        <v>96</v>
      </c>
      <c r="F1250" t="s">
        <v>1364</v>
      </c>
      <c r="G1250" t="s">
        <v>98</v>
      </c>
      <c r="H1250" s="1">
        <v>44764.966006944444</v>
      </c>
      <c r="I1250" s="1">
        <v>44766.966006944444</v>
      </c>
      <c r="J1250" t="s">
        <v>32</v>
      </c>
      <c r="K1250" s="1">
        <v>44785.966006944444</v>
      </c>
      <c r="L1250" t="s">
        <v>33</v>
      </c>
      <c r="M1250" t="s">
        <v>108</v>
      </c>
      <c r="T1250">
        <v>0</v>
      </c>
      <c r="Y1250" t="s">
        <v>35</v>
      </c>
      <c r="AC1250" s="2">
        <f t="shared" si="171"/>
        <v>2</v>
      </c>
      <c r="AD1250" s="2">
        <f t="shared" si="172"/>
        <v>21</v>
      </c>
      <c r="AE1250" s="2">
        <f t="shared" si="173"/>
        <v>19</v>
      </c>
      <c r="AF1250" s="2" t="str">
        <f t="shared" si="174"/>
        <v/>
      </c>
      <c r="AG1250" s="2" t="str">
        <f t="shared" si="175"/>
        <v/>
      </c>
      <c r="AH1250" s="4" t="str">
        <f t="shared" si="176"/>
        <v/>
      </c>
      <c r="AI1250" s="2" t="str">
        <f t="shared" si="177"/>
        <v/>
      </c>
      <c r="AJ1250" s="2" t="str">
        <f t="shared" si="178"/>
        <v/>
      </c>
      <c r="AK1250" s="2" t="str">
        <f t="shared" si="179"/>
        <v/>
      </c>
    </row>
    <row r="1251" spans="1:37" x14ac:dyDescent="0.25">
      <c r="A1251">
        <v>1177</v>
      </c>
      <c r="B1251" t="s">
        <v>1385</v>
      </c>
      <c r="C1251" t="s">
        <v>1362</v>
      </c>
      <c r="D1251" t="s">
        <v>1363</v>
      </c>
      <c r="E1251" t="s">
        <v>96</v>
      </c>
      <c r="F1251" t="s">
        <v>1364</v>
      </c>
      <c r="G1251" t="s">
        <v>98</v>
      </c>
      <c r="H1251" s="1">
        <v>45060.041770833333</v>
      </c>
      <c r="I1251" s="1">
        <v>45061.041770833333</v>
      </c>
      <c r="J1251" t="s">
        <v>32</v>
      </c>
      <c r="K1251" s="1">
        <v>45077.041770833333</v>
      </c>
      <c r="L1251" t="s">
        <v>33</v>
      </c>
      <c r="M1251" t="s">
        <v>92</v>
      </c>
      <c r="T1251">
        <v>0</v>
      </c>
      <c r="Y1251" t="s">
        <v>55</v>
      </c>
      <c r="AC1251" s="2">
        <f t="shared" si="171"/>
        <v>1</v>
      </c>
      <c r="AD1251" s="2">
        <f t="shared" si="172"/>
        <v>17</v>
      </c>
      <c r="AE1251" s="2">
        <f t="shared" si="173"/>
        <v>16</v>
      </c>
      <c r="AF1251" s="2" t="str">
        <f t="shared" si="174"/>
        <v/>
      </c>
      <c r="AG1251" s="2" t="str">
        <f t="shared" si="175"/>
        <v/>
      </c>
      <c r="AH1251" s="4" t="str">
        <f t="shared" si="176"/>
        <v/>
      </c>
      <c r="AI1251" s="2" t="str">
        <f t="shared" si="177"/>
        <v/>
      </c>
      <c r="AJ1251" s="2" t="str">
        <f t="shared" si="178"/>
        <v/>
      </c>
      <c r="AK1251" s="2" t="str">
        <f t="shared" si="179"/>
        <v/>
      </c>
    </row>
    <row r="1252" spans="1:37" x14ac:dyDescent="0.25">
      <c r="A1252">
        <v>1110</v>
      </c>
      <c r="B1252" t="s">
        <v>1386</v>
      </c>
      <c r="C1252" t="s">
        <v>1362</v>
      </c>
      <c r="D1252" t="s">
        <v>1363</v>
      </c>
      <c r="E1252" t="s">
        <v>96</v>
      </c>
      <c r="F1252" t="s">
        <v>1364</v>
      </c>
      <c r="G1252" t="s">
        <v>98</v>
      </c>
      <c r="H1252" s="1">
        <v>44671.953865740739</v>
      </c>
      <c r="I1252" s="1">
        <v>44675.953865740739</v>
      </c>
      <c r="J1252" t="s">
        <v>32</v>
      </c>
      <c r="K1252" s="1">
        <v>44684.953865740739</v>
      </c>
      <c r="L1252" t="s">
        <v>33</v>
      </c>
      <c r="M1252" t="s">
        <v>67</v>
      </c>
      <c r="R1252" s="4">
        <v>44687.953865740739</v>
      </c>
      <c r="T1252">
        <v>0</v>
      </c>
      <c r="Y1252" t="s">
        <v>35</v>
      </c>
      <c r="AC1252" s="2">
        <f t="shared" si="171"/>
        <v>4</v>
      </c>
      <c r="AD1252" s="2">
        <f t="shared" si="172"/>
        <v>13</v>
      </c>
      <c r="AE1252" s="2">
        <f t="shared" si="173"/>
        <v>9</v>
      </c>
      <c r="AF1252" s="2">
        <f t="shared" si="174"/>
        <v>16</v>
      </c>
      <c r="AG1252" s="2">
        <f t="shared" si="175"/>
        <v>3</v>
      </c>
      <c r="AH1252" s="4">
        <f t="shared" si="176"/>
        <v>44777.953865740739</v>
      </c>
      <c r="AI1252" s="2" t="str">
        <f t="shared" si="177"/>
        <v/>
      </c>
      <c r="AJ1252" s="2" t="str">
        <f t="shared" si="178"/>
        <v/>
      </c>
      <c r="AK1252" s="2" t="str">
        <f t="shared" si="179"/>
        <v/>
      </c>
    </row>
    <row r="1253" spans="1:37" x14ac:dyDescent="0.25">
      <c r="A1253">
        <v>1104</v>
      </c>
      <c r="B1253" t="s">
        <v>1387</v>
      </c>
      <c r="C1253" t="s">
        <v>1362</v>
      </c>
      <c r="D1253" t="s">
        <v>1363</v>
      </c>
      <c r="E1253" t="s">
        <v>96</v>
      </c>
      <c r="F1253" t="s">
        <v>1364</v>
      </c>
      <c r="G1253" t="s">
        <v>98</v>
      </c>
      <c r="H1253" s="1">
        <v>44678.953865740739</v>
      </c>
      <c r="I1253" s="1">
        <v>44679.953865740739</v>
      </c>
      <c r="J1253" t="s">
        <v>32</v>
      </c>
      <c r="K1253" s="1">
        <v>44686.953865740739</v>
      </c>
      <c r="L1253" t="s">
        <v>33</v>
      </c>
      <c r="M1253" t="s">
        <v>108</v>
      </c>
      <c r="T1253">
        <v>0</v>
      </c>
      <c r="Y1253" t="s">
        <v>35</v>
      </c>
      <c r="AC1253" s="2">
        <f t="shared" si="171"/>
        <v>1</v>
      </c>
      <c r="AD1253" s="2">
        <f t="shared" si="172"/>
        <v>8</v>
      </c>
      <c r="AE1253" s="2">
        <f t="shared" si="173"/>
        <v>7</v>
      </c>
      <c r="AF1253" s="2" t="str">
        <f t="shared" si="174"/>
        <v/>
      </c>
      <c r="AG1253" s="2" t="str">
        <f t="shared" si="175"/>
        <v/>
      </c>
      <c r="AH1253" s="4" t="str">
        <f t="shared" si="176"/>
        <v/>
      </c>
      <c r="AI1253" s="2" t="str">
        <f t="shared" si="177"/>
        <v/>
      </c>
      <c r="AJ1253" s="2" t="str">
        <f t="shared" si="178"/>
        <v/>
      </c>
      <c r="AK1253" s="2" t="str">
        <f t="shared" si="179"/>
        <v/>
      </c>
    </row>
    <row r="1254" spans="1:37" x14ac:dyDescent="0.25">
      <c r="A1254">
        <v>1080</v>
      </c>
      <c r="B1254" t="s">
        <v>1388</v>
      </c>
      <c r="C1254" t="s">
        <v>1362</v>
      </c>
      <c r="D1254" t="s">
        <v>1363</v>
      </c>
      <c r="E1254" t="s">
        <v>96</v>
      </c>
      <c r="F1254" t="s">
        <v>1364</v>
      </c>
      <c r="G1254" t="s">
        <v>98</v>
      </c>
      <c r="H1254" s="1">
        <v>44600.990740740737</v>
      </c>
      <c r="I1254" s="1">
        <v>44604.990740740737</v>
      </c>
      <c r="J1254" t="s">
        <v>32</v>
      </c>
      <c r="K1254" s="1">
        <v>44623.990740740737</v>
      </c>
      <c r="L1254" t="s">
        <v>33</v>
      </c>
      <c r="M1254" t="s">
        <v>92</v>
      </c>
      <c r="T1254">
        <v>0</v>
      </c>
      <c r="Y1254" t="s">
        <v>35</v>
      </c>
      <c r="AC1254" s="2">
        <f t="shared" si="171"/>
        <v>4</v>
      </c>
      <c r="AD1254" s="2">
        <f t="shared" si="172"/>
        <v>23</v>
      </c>
      <c r="AE1254" s="2">
        <f t="shared" si="173"/>
        <v>19</v>
      </c>
      <c r="AF1254" s="2" t="str">
        <f t="shared" si="174"/>
        <v/>
      </c>
      <c r="AG1254" s="2" t="str">
        <f t="shared" si="175"/>
        <v/>
      </c>
      <c r="AH1254" s="4" t="str">
        <f t="shared" si="176"/>
        <v/>
      </c>
      <c r="AI1254" s="2" t="str">
        <f t="shared" si="177"/>
        <v/>
      </c>
      <c r="AJ1254" s="2" t="str">
        <f t="shared" si="178"/>
        <v/>
      </c>
      <c r="AK1254" s="2" t="str">
        <f t="shared" si="179"/>
        <v/>
      </c>
    </row>
    <row r="1255" spans="1:37" x14ac:dyDescent="0.25">
      <c r="A1255">
        <v>2939</v>
      </c>
      <c r="B1255" t="s">
        <v>1389</v>
      </c>
      <c r="C1255" t="s">
        <v>1362</v>
      </c>
      <c r="D1255" t="s">
        <v>1390</v>
      </c>
      <c r="E1255" t="s">
        <v>1391</v>
      </c>
      <c r="F1255" t="s">
        <v>1392</v>
      </c>
      <c r="G1255" t="s">
        <v>144</v>
      </c>
      <c r="H1255" s="1">
        <v>44968.550104166665</v>
      </c>
      <c r="I1255" s="1">
        <v>44971.550104166665</v>
      </c>
      <c r="J1255" t="s">
        <v>32</v>
      </c>
      <c r="K1255" s="1">
        <v>44989.550104166665</v>
      </c>
      <c r="L1255" t="s">
        <v>33</v>
      </c>
      <c r="M1255" t="s">
        <v>108</v>
      </c>
      <c r="R1255" s="4">
        <v>44991.550104166665</v>
      </c>
      <c r="T1255">
        <v>0</v>
      </c>
      <c r="Y1255" t="s">
        <v>35</v>
      </c>
      <c r="AC1255" s="2">
        <f t="shared" si="171"/>
        <v>3</v>
      </c>
      <c r="AD1255" s="2">
        <f t="shared" si="172"/>
        <v>21</v>
      </c>
      <c r="AE1255" s="2">
        <f t="shared" si="173"/>
        <v>18</v>
      </c>
      <c r="AF1255" s="2">
        <f t="shared" si="174"/>
        <v>23</v>
      </c>
      <c r="AG1255" s="2">
        <f t="shared" si="175"/>
        <v>2</v>
      </c>
      <c r="AH1255" s="4">
        <f t="shared" si="176"/>
        <v>45081.550104166665</v>
      </c>
      <c r="AI1255" s="2" t="str">
        <f t="shared" si="177"/>
        <v/>
      </c>
      <c r="AJ1255" s="2" t="str">
        <f t="shared" si="178"/>
        <v/>
      </c>
      <c r="AK1255" s="2" t="str">
        <f t="shared" si="179"/>
        <v/>
      </c>
    </row>
    <row r="1256" spans="1:37" x14ac:dyDescent="0.25">
      <c r="A1256">
        <v>2936</v>
      </c>
      <c r="B1256" t="s">
        <v>1393</v>
      </c>
      <c r="C1256" t="s">
        <v>1362</v>
      </c>
      <c r="D1256" t="s">
        <v>1390</v>
      </c>
      <c r="E1256" t="s">
        <v>1391</v>
      </c>
      <c r="F1256" t="s">
        <v>1392</v>
      </c>
      <c r="G1256" t="s">
        <v>144</v>
      </c>
      <c r="H1256" s="1">
        <v>44967.550104166665</v>
      </c>
      <c r="I1256" s="1">
        <v>44971.550104166665</v>
      </c>
      <c r="J1256" t="s">
        <v>32</v>
      </c>
      <c r="K1256" s="1">
        <v>44983.550104166665</v>
      </c>
      <c r="L1256" t="s">
        <v>33</v>
      </c>
      <c r="M1256" t="s">
        <v>34</v>
      </c>
      <c r="R1256" s="4">
        <v>44987.550104166665</v>
      </c>
      <c r="T1256">
        <v>0</v>
      </c>
      <c r="Y1256" t="s">
        <v>55</v>
      </c>
      <c r="AC1256" s="2">
        <f t="shared" si="171"/>
        <v>4</v>
      </c>
      <c r="AD1256" s="2">
        <f t="shared" si="172"/>
        <v>16</v>
      </c>
      <c r="AE1256" s="2">
        <f t="shared" si="173"/>
        <v>12</v>
      </c>
      <c r="AF1256" s="2">
        <f t="shared" si="174"/>
        <v>20</v>
      </c>
      <c r="AG1256" s="2">
        <f t="shared" si="175"/>
        <v>4</v>
      </c>
      <c r="AH1256" s="4">
        <f t="shared" si="176"/>
        <v>45077.550104166665</v>
      </c>
      <c r="AI1256" s="2" t="str">
        <f t="shared" si="177"/>
        <v/>
      </c>
      <c r="AJ1256" s="2" t="str">
        <f t="shared" si="178"/>
        <v/>
      </c>
      <c r="AK1256" s="2" t="str">
        <f t="shared" si="179"/>
        <v/>
      </c>
    </row>
    <row r="1257" spans="1:37" x14ac:dyDescent="0.25">
      <c r="A1257">
        <v>2932</v>
      </c>
      <c r="B1257" t="s">
        <v>1394</v>
      </c>
      <c r="C1257" t="s">
        <v>1362</v>
      </c>
      <c r="D1257" t="s">
        <v>1390</v>
      </c>
      <c r="E1257" t="s">
        <v>1391</v>
      </c>
      <c r="F1257" t="s">
        <v>1392</v>
      </c>
      <c r="G1257" t="s">
        <v>144</v>
      </c>
      <c r="H1257" s="1">
        <v>44964.550104166665</v>
      </c>
      <c r="I1257" s="1">
        <v>44967.550104166665</v>
      </c>
      <c r="J1257" t="s">
        <v>32</v>
      </c>
      <c r="K1257" s="1">
        <v>44976.550104166665</v>
      </c>
      <c r="L1257" t="s">
        <v>39</v>
      </c>
      <c r="N1257" s="4">
        <v>44983.550104166665</v>
      </c>
      <c r="O1257" t="s">
        <v>39</v>
      </c>
      <c r="R1257" s="4">
        <v>44979.550104166665</v>
      </c>
      <c r="T1257">
        <v>0</v>
      </c>
      <c r="AC1257" s="2">
        <f t="shared" si="171"/>
        <v>3</v>
      </c>
      <c r="AD1257" s="2">
        <f t="shared" si="172"/>
        <v>12</v>
      </c>
      <c r="AE1257" s="2">
        <f t="shared" si="173"/>
        <v>9</v>
      </c>
      <c r="AF1257" s="2">
        <f t="shared" si="174"/>
        <v>15</v>
      </c>
      <c r="AG1257" s="2">
        <f t="shared" si="175"/>
        <v>3</v>
      </c>
      <c r="AH1257" s="4">
        <f t="shared" si="176"/>
        <v>45069.550104166665</v>
      </c>
      <c r="AI1257" s="2" t="str">
        <f t="shared" si="177"/>
        <v/>
      </c>
      <c r="AJ1257" s="2" t="str">
        <f t="shared" si="178"/>
        <v/>
      </c>
      <c r="AK1257" s="2" t="str">
        <f t="shared" si="179"/>
        <v/>
      </c>
    </row>
    <row r="1258" spans="1:37" x14ac:dyDescent="0.25">
      <c r="A1258">
        <v>2924</v>
      </c>
      <c r="B1258" t="s">
        <v>1395</v>
      </c>
      <c r="C1258" t="s">
        <v>1362</v>
      </c>
      <c r="D1258" t="s">
        <v>1390</v>
      </c>
      <c r="E1258" t="s">
        <v>1391</v>
      </c>
      <c r="F1258" t="s">
        <v>1392</v>
      </c>
      <c r="G1258" t="s">
        <v>144</v>
      </c>
      <c r="H1258" s="1">
        <v>45175.386689814812</v>
      </c>
      <c r="I1258" s="1">
        <v>45179.386689814812</v>
      </c>
      <c r="J1258" t="s">
        <v>32</v>
      </c>
      <c r="K1258" s="1">
        <v>45191.386689814812</v>
      </c>
      <c r="L1258" t="s">
        <v>39</v>
      </c>
      <c r="N1258" s="4">
        <v>45197.386689814812</v>
      </c>
      <c r="O1258" t="s">
        <v>39</v>
      </c>
      <c r="R1258" s="4">
        <v>45195.386689814812</v>
      </c>
      <c r="T1258">
        <v>0</v>
      </c>
      <c r="AC1258" s="2">
        <f t="shared" si="171"/>
        <v>4</v>
      </c>
      <c r="AD1258" s="2">
        <f t="shared" si="172"/>
        <v>16</v>
      </c>
      <c r="AE1258" s="2">
        <f t="shared" si="173"/>
        <v>12</v>
      </c>
      <c r="AF1258" s="2">
        <f t="shared" si="174"/>
        <v>20</v>
      </c>
      <c r="AG1258" s="2">
        <f t="shared" si="175"/>
        <v>4</v>
      </c>
      <c r="AH1258" s="4">
        <f t="shared" si="176"/>
        <v>45285.386689814812</v>
      </c>
      <c r="AI1258" s="2" t="str">
        <f t="shared" si="177"/>
        <v/>
      </c>
      <c r="AJ1258" s="2" t="str">
        <f t="shared" si="178"/>
        <v/>
      </c>
      <c r="AK1258" s="2" t="str">
        <f t="shared" si="179"/>
        <v/>
      </c>
    </row>
    <row r="1259" spans="1:37" x14ac:dyDescent="0.25">
      <c r="A1259">
        <v>2921</v>
      </c>
      <c r="B1259" t="s">
        <v>1396</v>
      </c>
      <c r="C1259" t="s">
        <v>1362</v>
      </c>
      <c r="D1259" t="s">
        <v>1390</v>
      </c>
      <c r="E1259" t="s">
        <v>1391</v>
      </c>
      <c r="F1259" t="s">
        <v>1392</v>
      </c>
      <c r="G1259" t="s">
        <v>144</v>
      </c>
      <c r="H1259" s="1">
        <v>45176.386689814812</v>
      </c>
      <c r="I1259" s="1">
        <v>45178.386689814812</v>
      </c>
      <c r="J1259" t="s">
        <v>32</v>
      </c>
      <c r="K1259" s="1">
        <v>45198.386689814812</v>
      </c>
      <c r="L1259" t="s">
        <v>33</v>
      </c>
      <c r="M1259" t="s">
        <v>34</v>
      </c>
      <c r="T1259">
        <v>0</v>
      </c>
      <c r="Y1259" t="s">
        <v>35</v>
      </c>
      <c r="AC1259" s="2">
        <f t="shared" si="171"/>
        <v>2</v>
      </c>
      <c r="AD1259" s="2">
        <f t="shared" si="172"/>
        <v>22</v>
      </c>
      <c r="AE1259" s="2">
        <f t="shared" si="173"/>
        <v>20</v>
      </c>
      <c r="AF1259" s="2" t="str">
        <f t="shared" si="174"/>
        <v/>
      </c>
      <c r="AG1259" s="2" t="str">
        <f t="shared" si="175"/>
        <v/>
      </c>
      <c r="AH1259" s="4" t="str">
        <f t="shared" si="176"/>
        <v/>
      </c>
      <c r="AI1259" s="2" t="str">
        <f t="shared" si="177"/>
        <v/>
      </c>
      <c r="AJ1259" s="2" t="str">
        <f t="shared" si="178"/>
        <v/>
      </c>
      <c r="AK1259" s="2" t="str">
        <f t="shared" si="179"/>
        <v/>
      </c>
    </row>
    <row r="1260" spans="1:37" x14ac:dyDescent="0.25">
      <c r="A1260">
        <v>2823</v>
      </c>
      <c r="B1260" t="s">
        <v>1397</v>
      </c>
      <c r="C1260" t="s">
        <v>1362</v>
      </c>
      <c r="D1260" t="s">
        <v>1390</v>
      </c>
      <c r="E1260" t="s">
        <v>1391</v>
      </c>
      <c r="F1260" t="s">
        <v>1392</v>
      </c>
      <c r="G1260" t="s">
        <v>144</v>
      </c>
      <c r="H1260" s="1">
        <v>44566.055902777778</v>
      </c>
      <c r="I1260" s="1">
        <v>44569.055902777778</v>
      </c>
      <c r="J1260" t="s">
        <v>32</v>
      </c>
      <c r="K1260" s="1">
        <v>44584.055902777778</v>
      </c>
      <c r="L1260" t="s">
        <v>33</v>
      </c>
      <c r="M1260" t="s">
        <v>34</v>
      </c>
      <c r="R1260" s="4">
        <v>44588.055902777778</v>
      </c>
      <c r="T1260">
        <v>0</v>
      </c>
      <c r="Y1260" t="s">
        <v>35</v>
      </c>
      <c r="AC1260" s="2">
        <f t="shared" si="171"/>
        <v>3</v>
      </c>
      <c r="AD1260" s="2">
        <f t="shared" si="172"/>
        <v>18</v>
      </c>
      <c r="AE1260" s="2">
        <f t="shared" si="173"/>
        <v>15</v>
      </c>
      <c r="AF1260" s="2">
        <f t="shared" si="174"/>
        <v>22</v>
      </c>
      <c r="AG1260" s="2">
        <f t="shared" si="175"/>
        <v>4</v>
      </c>
      <c r="AH1260" s="4">
        <f t="shared" si="176"/>
        <v>44678.055902777778</v>
      </c>
      <c r="AI1260" s="2" t="str">
        <f t="shared" si="177"/>
        <v/>
      </c>
      <c r="AJ1260" s="2" t="str">
        <f t="shared" si="178"/>
        <v/>
      </c>
      <c r="AK1260" s="2" t="str">
        <f t="shared" si="179"/>
        <v/>
      </c>
    </row>
    <row r="1261" spans="1:37" x14ac:dyDescent="0.25">
      <c r="A1261">
        <v>2810</v>
      </c>
      <c r="B1261" t="s">
        <v>1398</v>
      </c>
      <c r="C1261" t="s">
        <v>1362</v>
      </c>
      <c r="D1261" t="s">
        <v>1390</v>
      </c>
      <c r="E1261" t="s">
        <v>1391</v>
      </c>
      <c r="F1261" t="s">
        <v>1392</v>
      </c>
      <c r="G1261" t="s">
        <v>144</v>
      </c>
      <c r="H1261" s="1">
        <v>45077.778425925928</v>
      </c>
      <c r="I1261" s="1">
        <v>45080.778425925928</v>
      </c>
      <c r="J1261" t="s">
        <v>32</v>
      </c>
      <c r="K1261" s="1">
        <v>45089.778425925928</v>
      </c>
      <c r="L1261" t="s">
        <v>33</v>
      </c>
      <c r="M1261" t="s">
        <v>34</v>
      </c>
      <c r="T1261">
        <v>0</v>
      </c>
      <c r="Y1261" t="s">
        <v>55</v>
      </c>
      <c r="AC1261" s="2">
        <f t="shared" si="171"/>
        <v>3</v>
      </c>
      <c r="AD1261" s="2">
        <f t="shared" si="172"/>
        <v>12</v>
      </c>
      <c r="AE1261" s="2">
        <f t="shared" si="173"/>
        <v>9</v>
      </c>
      <c r="AF1261" s="2" t="str">
        <f t="shared" si="174"/>
        <v/>
      </c>
      <c r="AG1261" s="2" t="str">
        <f t="shared" si="175"/>
        <v/>
      </c>
      <c r="AH1261" s="4" t="str">
        <f t="shared" si="176"/>
        <v/>
      </c>
      <c r="AI1261" s="2" t="str">
        <f t="shared" si="177"/>
        <v/>
      </c>
      <c r="AJ1261" s="2" t="str">
        <f t="shared" si="178"/>
        <v/>
      </c>
      <c r="AK1261" s="2" t="str">
        <f t="shared" si="179"/>
        <v/>
      </c>
    </row>
    <row r="1262" spans="1:37" x14ac:dyDescent="0.25">
      <c r="A1262">
        <v>2799</v>
      </c>
      <c r="B1262" t="s">
        <v>1399</v>
      </c>
      <c r="C1262" t="s">
        <v>1362</v>
      </c>
      <c r="D1262" t="s">
        <v>1390</v>
      </c>
      <c r="E1262" t="s">
        <v>1391</v>
      </c>
      <c r="F1262" t="s">
        <v>1392</v>
      </c>
      <c r="G1262" t="s">
        <v>144</v>
      </c>
      <c r="H1262" s="1">
        <v>45103.834444444445</v>
      </c>
      <c r="I1262" s="1">
        <v>45107.834444444445</v>
      </c>
      <c r="J1262" t="s">
        <v>32</v>
      </c>
      <c r="K1262" s="1">
        <v>45116.834444444445</v>
      </c>
      <c r="L1262" t="s">
        <v>33</v>
      </c>
      <c r="M1262" t="s">
        <v>51</v>
      </c>
      <c r="T1262">
        <v>0</v>
      </c>
      <c r="Y1262" t="s">
        <v>55</v>
      </c>
      <c r="AC1262" s="2">
        <f t="shared" si="171"/>
        <v>4</v>
      </c>
      <c r="AD1262" s="2">
        <f t="shared" si="172"/>
        <v>13</v>
      </c>
      <c r="AE1262" s="2">
        <f t="shared" si="173"/>
        <v>9</v>
      </c>
      <c r="AF1262" s="2" t="str">
        <f t="shared" si="174"/>
        <v/>
      </c>
      <c r="AG1262" s="2" t="str">
        <f t="shared" si="175"/>
        <v/>
      </c>
      <c r="AH1262" s="4" t="str">
        <f t="shared" si="176"/>
        <v/>
      </c>
      <c r="AI1262" s="2" t="str">
        <f t="shared" si="177"/>
        <v/>
      </c>
      <c r="AJ1262" s="2" t="str">
        <f t="shared" si="178"/>
        <v/>
      </c>
      <c r="AK1262" s="2" t="str">
        <f t="shared" si="179"/>
        <v/>
      </c>
    </row>
    <row r="1263" spans="1:37" x14ac:dyDescent="0.25">
      <c r="A1263">
        <v>2792</v>
      </c>
      <c r="B1263" t="s">
        <v>1400</v>
      </c>
      <c r="C1263" t="s">
        <v>1362</v>
      </c>
      <c r="D1263" t="s">
        <v>1390</v>
      </c>
      <c r="E1263" t="s">
        <v>1391</v>
      </c>
      <c r="F1263" t="s">
        <v>1392</v>
      </c>
      <c r="G1263" t="s">
        <v>144</v>
      </c>
      <c r="H1263" s="1">
        <v>45103.834444444445</v>
      </c>
      <c r="I1263" s="1">
        <v>45105.834444444445</v>
      </c>
      <c r="J1263" t="s">
        <v>32</v>
      </c>
      <c r="K1263" s="1">
        <v>45119.834444444445</v>
      </c>
      <c r="L1263" t="s">
        <v>33</v>
      </c>
      <c r="M1263" t="s">
        <v>92</v>
      </c>
      <c r="R1263" s="4">
        <v>45120.834444444445</v>
      </c>
      <c r="T1263">
        <v>0</v>
      </c>
      <c r="Y1263" t="s">
        <v>35</v>
      </c>
      <c r="AC1263" s="2">
        <f t="shared" si="171"/>
        <v>2</v>
      </c>
      <c r="AD1263" s="2">
        <f t="shared" si="172"/>
        <v>16</v>
      </c>
      <c r="AE1263" s="2">
        <f t="shared" si="173"/>
        <v>14</v>
      </c>
      <c r="AF1263" s="2">
        <f t="shared" si="174"/>
        <v>17</v>
      </c>
      <c r="AG1263" s="2">
        <f t="shared" si="175"/>
        <v>1</v>
      </c>
      <c r="AH1263" s="4">
        <f t="shared" si="176"/>
        <v>45210.834444444445</v>
      </c>
      <c r="AI1263" s="2" t="str">
        <f t="shared" si="177"/>
        <v/>
      </c>
      <c r="AJ1263" s="2" t="str">
        <f t="shared" si="178"/>
        <v/>
      </c>
      <c r="AK1263" s="2" t="str">
        <f t="shared" si="179"/>
        <v/>
      </c>
    </row>
    <row r="1264" spans="1:37" x14ac:dyDescent="0.25">
      <c r="A1264">
        <v>2764</v>
      </c>
      <c r="B1264" t="s">
        <v>1401</v>
      </c>
      <c r="C1264" t="s">
        <v>1362</v>
      </c>
      <c r="D1264" t="s">
        <v>1390</v>
      </c>
      <c r="E1264" t="s">
        <v>1391</v>
      </c>
      <c r="F1264" t="s">
        <v>1392</v>
      </c>
      <c r="G1264" t="s">
        <v>144</v>
      </c>
      <c r="H1264" s="1">
        <v>44806.301701388889</v>
      </c>
      <c r="I1264" s="1">
        <v>44809.301701388889</v>
      </c>
      <c r="J1264" t="s">
        <v>32</v>
      </c>
      <c r="K1264" s="1">
        <v>44827.301701388889</v>
      </c>
      <c r="L1264" t="s">
        <v>33</v>
      </c>
      <c r="M1264" t="s">
        <v>108</v>
      </c>
      <c r="R1264" s="4">
        <v>44829.301701388889</v>
      </c>
      <c r="T1264">
        <v>0</v>
      </c>
      <c r="Y1264" t="s">
        <v>55</v>
      </c>
      <c r="AC1264" s="2">
        <f t="shared" si="171"/>
        <v>3</v>
      </c>
      <c r="AD1264" s="2">
        <f t="shared" si="172"/>
        <v>21</v>
      </c>
      <c r="AE1264" s="2">
        <f t="shared" si="173"/>
        <v>18</v>
      </c>
      <c r="AF1264" s="2">
        <f t="shared" si="174"/>
        <v>23</v>
      </c>
      <c r="AG1264" s="2">
        <f t="shared" si="175"/>
        <v>2</v>
      </c>
      <c r="AH1264" s="4">
        <f t="shared" si="176"/>
        <v>44919.301701388889</v>
      </c>
      <c r="AI1264" s="2" t="str">
        <f t="shared" si="177"/>
        <v/>
      </c>
      <c r="AJ1264" s="2" t="str">
        <f t="shared" si="178"/>
        <v/>
      </c>
      <c r="AK1264" s="2" t="str">
        <f t="shared" si="179"/>
        <v/>
      </c>
    </row>
    <row r="1265" spans="1:37" x14ac:dyDescent="0.25">
      <c r="A1265">
        <v>2746</v>
      </c>
      <c r="B1265" t="s">
        <v>1402</v>
      </c>
      <c r="C1265" t="s">
        <v>1362</v>
      </c>
      <c r="D1265" t="s">
        <v>1390</v>
      </c>
      <c r="E1265" t="s">
        <v>1391</v>
      </c>
      <c r="F1265" t="s">
        <v>1392</v>
      </c>
      <c r="G1265" t="s">
        <v>144</v>
      </c>
      <c r="H1265" s="1">
        <v>44668.561030092591</v>
      </c>
      <c r="I1265" s="1">
        <v>44672.561030092591</v>
      </c>
      <c r="J1265" t="s">
        <v>32</v>
      </c>
      <c r="K1265" s="1">
        <v>44680.561030092591</v>
      </c>
      <c r="L1265" t="s">
        <v>39</v>
      </c>
      <c r="N1265" s="4">
        <v>44684.561030092591</v>
      </c>
      <c r="O1265" t="s">
        <v>39</v>
      </c>
      <c r="R1265" s="4">
        <v>44681.561030092591</v>
      </c>
      <c r="T1265">
        <v>0</v>
      </c>
      <c r="AC1265" s="2">
        <f t="shared" si="171"/>
        <v>4</v>
      </c>
      <c r="AD1265" s="2">
        <f t="shared" si="172"/>
        <v>12</v>
      </c>
      <c r="AE1265" s="2">
        <f t="shared" si="173"/>
        <v>8</v>
      </c>
      <c r="AF1265" s="2">
        <f t="shared" si="174"/>
        <v>13</v>
      </c>
      <c r="AG1265" s="2">
        <f t="shared" si="175"/>
        <v>1</v>
      </c>
      <c r="AH1265" s="4">
        <f t="shared" si="176"/>
        <v>44771.561030092591</v>
      </c>
      <c r="AI1265" s="2" t="str">
        <f t="shared" si="177"/>
        <v/>
      </c>
      <c r="AJ1265" s="2" t="str">
        <f t="shared" si="178"/>
        <v/>
      </c>
      <c r="AK1265" s="2" t="str">
        <f t="shared" si="179"/>
        <v/>
      </c>
    </row>
    <row r="1266" spans="1:37" x14ac:dyDescent="0.25">
      <c r="A1266">
        <v>2745</v>
      </c>
      <c r="B1266" t="s">
        <v>1403</v>
      </c>
      <c r="C1266" t="s">
        <v>1362</v>
      </c>
      <c r="D1266" t="s">
        <v>1390</v>
      </c>
      <c r="E1266" t="s">
        <v>1391</v>
      </c>
      <c r="F1266" t="s">
        <v>1392</v>
      </c>
      <c r="G1266" t="s">
        <v>144</v>
      </c>
      <c r="H1266" s="1">
        <v>44669.561030092591</v>
      </c>
      <c r="I1266" s="1">
        <v>44670.561030092591</v>
      </c>
      <c r="J1266" t="s">
        <v>32</v>
      </c>
      <c r="K1266" s="1">
        <v>44691.561030092591</v>
      </c>
      <c r="L1266" t="s">
        <v>39</v>
      </c>
      <c r="N1266" s="4">
        <v>44697.561030092591</v>
      </c>
      <c r="O1266" t="s">
        <v>39</v>
      </c>
      <c r="R1266" s="4">
        <v>44693.561030092591</v>
      </c>
      <c r="T1266">
        <v>0</v>
      </c>
      <c r="AC1266" s="2">
        <f t="shared" si="171"/>
        <v>1</v>
      </c>
      <c r="AD1266" s="2">
        <f t="shared" si="172"/>
        <v>22</v>
      </c>
      <c r="AE1266" s="2">
        <f t="shared" si="173"/>
        <v>21</v>
      </c>
      <c r="AF1266" s="2">
        <f t="shared" si="174"/>
        <v>24</v>
      </c>
      <c r="AG1266" s="2">
        <f t="shared" si="175"/>
        <v>2</v>
      </c>
      <c r="AH1266" s="4">
        <f t="shared" si="176"/>
        <v>44783.561030092591</v>
      </c>
      <c r="AI1266" s="2" t="str">
        <f t="shared" si="177"/>
        <v/>
      </c>
      <c r="AJ1266" s="2" t="str">
        <f t="shared" si="178"/>
        <v/>
      </c>
      <c r="AK1266" s="2" t="str">
        <f t="shared" si="179"/>
        <v/>
      </c>
    </row>
    <row r="1267" spans="1:37" x14ac:dyDescent="0.25">
      <c r="A1267">
        <v>2635</v>
      </c>
      <c r="B1267" t="s">
        <v>1404</v>
      </c>
      <c r="C1267" t="s">
        <v>1362</v>
      </c>
      <c r="D1267" t="s">
        <v>1390</v>
      </c>
      <c r="E1267" t="s">
        <v>1391</v>
      </c>
      <c r="F1267" t="s">
        <v>1392</v>
      </c>
      <c r="G1267" t="s">
        <v>144</v>
      </c>
      <c r="H1267" s="1">
        <v>44585.196851851855</v>
      </c>
      <c r="I1267" s="1">
        <v>44587.196851851855</v>
      </c>
      <c r="J1267" t="s">
        <v>32</v>
      </c>
      <c r="K1267" s="1">
        <v>44591.196851851855</v>
      </c>
      <c r="L1267" t="s">
        <v>39</v>
      </c>
      <c r="N1267" s="4">
        <v>44596.196851851855</v>
      </c>
      <c r="O1267" t="s">
        <v>39</v>
      </c>
      <c r="R1267" s="4">
        <v>44594.196851851855</v>
      </c>
      <c r="T1267">
        <v>0</v>
      </c>
      <c r="AC1267" s="2">
        <f t="shared" si="171"/>
        <v>2</v>
      </c>
      <c r="AD1267" s="2">
        <f t="shared" si="172"/>
        <v>6</v>
      </c>
      <c r="AE1267" s="2">
        <f t="shared" si="173"/>
        <v>4</v>
      </c>
      <c r="AF1267" s="2">
        <f t="shared" si="174"/>
        <v>9</v>
      </c>
      <c r="AG1267" s="2">
        <f t="shared" si="175"/>
        <v>3</v>
      </c>
      <c r="AH1267" s="4">
        <f t="shared" si="176"/>
        <v>44684.196851851855</v>
      </c>
      <c r="AI1267" s="2" t="str">
        <f t="shared" si="177"/>
        <v/>
      </c>
      <c r="AJ1267" s="2" t="str">
        <f t="shared" si="178"/>
        <v/>
      </c>
      <c r="AK1267" s="2" t="str">
        <f t="shared" si="179"/>
        <v/>
      </c>
    </row>
    <row r="1268" spans="1:37" x14ac:dyDescent="0.25">
      <c r="A1268">
        <v>2624</v>
      </c>
      <c r="B1268" t="s">
        <v>1405</v>
      </c>
      <c r="C1268" t="s">
        <v>1362</v>
      </c>
      <c r="D1268" t="s">
        <v>1390</v>
      </c>
      <c r="E1268" t="s">
        <v>1391</v>
      </c>
      <c r="F1268" t="s">
        <v>1392</v>
      </c>
      <c r="G1268" t="s">
        <v>144</v>
      </c>
      <c r="H1268" s="1">
        <v>45097.668356481481</v>
      </c>
      <c r="I1268" s="1">
        <v>45101.668356481481</v>
      </c>
      <c r="J1268" t="s">
        <v>32</v>
      </c>
      <c r="K1268" s="1">
        <v>45106.668356481481</v>
      </c>
      <c r="L1268" t="s">
        <v>33</v>
      </c>
      <c r="M1268" t="s">
        <v>108</v>
      </c>
      <c r="R1268" s="4">
        <v>45109.668356481481</v>
      </c>
      <c r="T1268">
        <v>0</v>
      </c>
      <c r="Y1268" t="s">
        <v>55</v>
      </c>
      <c r="AC1268" s="2">
        <f t="shared" si="171"/>
        <v>4</v>
      </c>
      <c r="AD1268" s="2">
        <f t="shared" si="172"/>
        <v>9</v>
      </c>
      <c r="AE1268" s="2">
        <f t="shared" si="173"/>
        <v>5</v>
      </c>
      <c r="AF1268" s="2">
        <f t="shared" si="174"/>
        <v>12</v>
      </c>
      <c r="AG1268" s="2">
        <f t="shared" si="175"/>
        <v>3</v>
      </c>
      <c r="AH1268" s="4">
        <f t="shared" si="176"/>
        <v>45199.668356481481</v>
      </c>
      <c r="AI1268" s="2" t="str">
        <f t="shared" si="177"/>
        <v/>
      </c>
      <c r="AJ1268" s="2" t="str">
        <f t="shared" si="178"/>
        <v/>
      </c>
      <c r="AK1268" s="2" t="str">
        <f t="shared" si="179"/>
        <v/>
      </c>
    </row>
    <row r="1269" spans="1:37" x14ac:dyDescent="0.25">
      <c r="A1269">
        <v>2618</v>
      </c>
      <c r="B1269" t="s">
        <v>1406</v>
      </c>
      <c r="C1269" t="s">
        <v>1362</v>
      </c>
      <c r="D1269" t="s">
        <v>1390</v>
      </c>
      <c r="E1269" t="s">
        <v>1391</v>
      </c>
      <c r="F1269" t="s">
        <v>1392</v>
      </c>
      <c r="G1269" t="s">
        <v>144</v>
      </c>
      <c r="H1269" s="1">
        <v>44930.379525462966</v>
      </c>
      <c r="I1269" s="1">
        <v>44932.379525462966</v>
      </c>
      <c r="J1269" t="s">
        <v>32</v>
      </c>
      <c r="K1269" s="1">
        <v>44942.379525462966</v>
      </c>
      <c r="L1269" t="s">
        <v>39</v>
      </c>
      <c r="N1269" s="4">
        <v>44948.379525462966</v>
      </c>
      <c r="O1269" t="s">
        <v>39</v>
      </c>
      <c r="R1269" s="4">
        <v>44946.379525462966</v>
      </c>
      <c r="T1269">
        <v>0</v>
      </c>
      <c r="AC1269" s="2">
        <f t="shared" si="171"/>
        <v>2</v>
      </c>
      <c r="AD1269" s="2">
        <f t="shared" si="172"/>
        <v>12</v>
      </c>
      <c r="AE1269" s="2">
        <f t="shared" si="173"/>
        <v>10</v>
      </c>
      <c r="AF1269" s="2">
        <f t="shared" si="174"/>
        <v>16</v>
      </c>
      <c r="AG1269" s="2">
        <f t="shared" si="175"/>
        <v>4</v>
      </c>
      <c r="AH1269" s="4">
        <f t="shared" si="176"/>
        <v>45036.379525462966</v>
      </c>
      <c r="AI1269" s="2" t="str">
        <f t="shared" si="177"/>
        <v/>
      </c>
      <c r="AJ1269" s="2" t="str">
        <f t="shared" si="178"/>
        <v/>
      </c>
      <c r="AK1269" s="2" t="str">
        <f t="shared" si="179"/>
        <v/>
      </c>
    </row>
    <row r="1270" spans="1:37" x14ac:dyDescent="0.25">
      <c r="A1270">
        <v>2617</v>
      </c>
      <c r="B1270" t="s">
        <v>1407</v>
      </c>
      <c r="C1270" t="s">
        <v>1362</v>
      </c>
      <c r="D1270" t="s">
        <v>1390</v>
      </c>
      <c r="E1270" t="s">
        <v>1391</v>
      </c>
      <c r="F1270" t="s">
        <v>1392</v>
      </c>
      <c r="G1270" t="s">
        <v>144</v>
      </c>
      <c r="H1270" s="1">
        <v>44931.379525462966</v>
      </c>
      <c r="I1270" s="1">
        <v>44935.379525462966</v>
      </c>
      <c r="J1270" t="s">
        <v>32</v>
      </c>
      <c r="K1270" s="1">
        <v>44952.379525462966</v>
      </c>
      <c r="L1270" t="s">
        <v>39</v>
      </c>
      <c r="N1270" s="4">
        <v>44957.379525462966</v>
      </c>
      <c r="O1270" t="s">
        <v>39</v>
      </c>
      <c r="R1270" s="4">
        <v>44956.379525462966</v>
      </c>
      <c r="T1270">
        <v>0</v>
      </c>
      <c r="AC1270" s="2">
        <f t="shared" si="171"/>
        <v>4</v>
      </c>
      <c r="AD1270" s="2">
        <f t="shared" si="172"/>
        <v>21</v>
      </c>
      <c r="AE1270" s="2">
        <f t="shared" si="173"/>
        <v>17</v>
      </c>
      <c r="AF1270" s="2">
        <f t="shared" si="174"/>
        <v>25</v>
      </c>
      <c r="AG1270" s="2">
        <f t="shared" si="175"/>
        <v>4</v>
      </c>
      <c r="AH1270" s="4">
        <f t="shared" si="176"/>
        <v>45046.379525462966</v>
      </c>
      <c r="AI1270" s="2" t="str">
        <f t="shared" si="177"/>
        <v/>
      </c>
      <c r="AJ1270" s="2" t="str">
        <f t="shared" si="178"/>
        <v/>
      </c>
      <c r="AK1270" s="2" t="str">
        <f t="shared" si="179"/>
        <v/>
      </c>
    </row>
    <row r="1271" spans="1:37" x14ac:dyDescent="0.25">
      <c r="A1271">
        <v>2597</v>
      </c>
      <c r="B1271" t="s">
        <v>1408</v>
      </c>
      <c r="C1271" t="s">
        <v>1362</v>
      </c>
      <c r="D1271" t="s">
        <v>1390</v>
      </c>
      <c r="E1271" t="s">
        <v>1391</v>
      </c>
      <c r="F1271" t="s">
        <v>1392</v>
      </c>
      <c r="G1271" t="s">
        <v>144</v>
      </c>
      <c r="H1271" s="1">
        <v>44944.403136574074</v>
      </c>
      <c r="I1271" s="1">
        <v>44947.403136574074</v>
      </c>
      <c r="J1271" t="s">
        <v>32</v>
      </c>
      <c r="K1271" s="1">
        <v>44967.403136574074</v>
      </c>
      <c r="L1271" t="s">
        <v>33</v>
      </c>
      <c r="M1271" t="s">
        <v>34</v>
      </c>
      <c r="T1271">
        <v>0</v>
      </c>
      <c r="Y1271" t="s">
        <v>55</v>
      </c>
      <c r="AC1271" s="2">
        <f t="shared" si="171"/>
        <v>3</v>
      </c>
      <c r="AD1271" s="2">
        <f t="shared" si="172"/>
        <v>23</v>
      </c>
      <c r="AE1271" s="2">
        <f t="shared" si="173"/>
        <v>20</v>
      </c>
      <c r="AF1271" s="2" t="str">
        <f t="shared" si="174"/>
        <v/>
      </c>
      <c r="AG1271" s="2" t="str">
        <f t="shared" si="175"/>
        <v/>
      </c>
      <c r="AH1271" s="4" t="str">
        <f t="shared" si="176"/>
        <v/>
      </c>
      <c r="AI1271" s="2" t="str">
        <f t="shared" si="177"/>
        <v/>
      </c>
      <c r="AJ1271" s="2" t="str">
        <f t="shared" si="178"/>
        <v/>
      </c>
      <c r="AK1271" s="2" t="str">
        <f t="shared" si="179"/>
        <v/>
      </c>
    </row>
    <row r="1272" spans="1:37" x14ac:dyDescent="0.25">
      <c r="A1272">
        <v>2593</v>
      </c>
      <c r="B1272" t="s">
        <v>1409</v>
      </c>
      <c r="C1272" t="s">
        <v>1362</v>
      </c>
      <c r="D1272" t="s">
        <v>1390</v>
      </c>
      <c r="E1272" t="s">
        <v>1391</v>
      </c>
      <c r="F1272" t="s">
        <v>1392</v>
      </c>
      <c r="G1272" t="s">
        <v>144</v>
      </c>
      <c r="H1272" s="1">
        <v>44945.403136574074</v>
      </c>
      <c r="I1272" s="1">
        <v>44949.403136574074</v>
      </c>
      <c r="J1272" t="s">
        <v>32</v>
      </c>
      <c r="K1272" s="1">
        <v>44956.403136574074</v>
      </c>
      <c r="L1272" t="s">
        <v>33</v>
      </c>
      <c r="M1272" t="s">
        <v>34</v>
      </c>
      <c r="R1272" s="4">
        <v>44958.403136574074</v>
      </c>
      <c r="T1272">
        <v>0</v>
      </c>
      <c r="Y1272" t="s">
        <v>35</v>
      </c>
      <c r="AC1272" s="2">
        <f t="shared" si="171"/>
        <v>4</v>
      </c>
      <c r="AD1272" s="2">
        <f t="shared" si="172"/>
        <v>11</v>
      </c>
      <c r="AE1272" s="2">
        <f t="shared" si="173"/>
        <v>7</v>
      </c>
      <c r="AF1272" s="2">
        <f t="shared" si="174"/>
        <v>13</v>
      </c>
      <c r="AG1272" s="2">
        <f t="shared" si="175"/>
        <v>2</v>
      </c>
      <c r="AH1272" s="4">
        <f t="shared" si="176"/>
        <v>45048.403136574074</v>
      </c>
      <c r="AI1272" s="2" t="str">
        <f t="shared" si="177"/>
        <v/>
      </c>
      <c r="AJ1272" s="2" t="str">
        <f t="shared" si="178"/>
        <v/>
      </c>
      <c r="AK1272" s="2" t="str">
        <f t="shared" si="179"/>
        <v/>
      </c>
    </row>
    <row r="1273" spans="1:37" x14ac:dyDescent="0.25">
      <c r="A1273">
        <v>2574</v>
      </c>
      <c r="B1273" t="s">
        <v>1410</v>
      </c>
      <c r="C1273" t="s">
        <v>1362</v>
      </c>
      <c r="D1273" t="s">
        <v>1390</v>
      </c>
      <c r="E1273" t="s">
        <v>1391</v>
      </c>
      <c r="F1273" t="s">
        <v>1392</v>
      </c>
      <c r="G1273" t="s">
        <v>144</v>
      </c>
      <c r="H1273" s="1">
        <v>44638.718425925923</v>
      </c>
      <c r="I1273" s="1">
        <v>44641.718425925923</v>
      </c>
      <c r="J1273" t="s">
        <v>32</v>
      </c>
      <c r="K1273" s="1">
        <v>44650.718425925923</v>
      </c>
      <c r="L1273" t="s">
        <v>33</v>
      </c>
      <c r="M1273" t="s">
        <v>67</v>
      </c>
      <c r="R1273" s="4">
        <v>44654.718425925923</v>
      </c>
      <c r="T1273">
        <v>0</v>
      </c>
      <c r="Y1273" t="s">
        <v>35</v>
      </c>
      <c r="AC1273" s="2">
        <f t="shared" si="171"/>
        <v>3</v>
      </c>
      <c r="AD1273" s="2">
        <f t="shared" si="172"/>
        <v>12</v>
      </c>
      <c r="AE1273" s="2">
        <f t="shared" si="173"/>
        <v>9</v>
      </c>
      <c r="AF1273" s="2">
        <f t="shared" si="174"/>
        <v>16</v>
      </c>
      <c r="AG1273" s="2">
        <f t="shared" si="175"/>
        <v>4</v>
      </c>
      <c r="AH1273" s="4">
        <f t="shared" si="176"/>
        <v>44744.718425925923</v>
      </c>
      <c r="AI1273" s="2" t="str">
        <f t="shared" si="177"/>
        <v/>
      </c>
      <c r="AJ1273" s="2" t="str">
        <f t="shared" si="178"/>
        <v/>
      </c>
      <c r="AK1273" s="2" t="str">
        <f t="shared" si="179"/>
        <v/>
      </c>
    </row>
    <row r="1274" spans="1:37" x14ac:dyDescent="0.25">
      <c r="A1274">
        <v>2429</v>
      </c>
      <c r="B1274" t="s">
        <v>1411</v>
      </c>
      <c r="C1274" t="s">
        <v>1362</v>
      </c>
      <c r="D1274" t="s">
        <v>1390</v>
      </c>
      <c r="E1274" t="s">
        <v>1391</v>
      </c>
      <c r="F1274" t="s">
        <v>1392</v>
      </c>
      <c r="G1274" t="s">
        <v>144</v>
      </c>
      <c r="H1274" s="1">
        <v>44832.25509259259</v>
      </c>
      <c r="I1274" s="1">
        <v>44835.25509259259</v>
      </c>
      <c r="J1274" t="s">
        <v>32</v>
      </c>
      <c r="K1274" s="1">
        <v>44848.25509259259</v>
      </c>
      <c r="L1274" t="s">
        <v>33</v>
      </c>
      <c r="M1274" t="s">
        <v>92</v>
      </c>
      <c r="R1274" s="4">
        <v>44851.25509259259</v>
      </c>
      <c r="T1274">
        <v>0</v>
      </c>
      <c r="Y1274" t="s">
        <v>35</v>
      </c>
      <c r="AC1274" s="2">
        <f t="shared" si="171"/>
        <v>3</v>
      </c>
      <c r="AD1274" s="2">
        <f t="shared" si="172"/>
        <v>16</v>
      </c>
      <c r="AE1274" s="2">
        <f t="shared" si="173"/>
        <v>13</v>
      </c>
      <c r="AF1274" s="2">
        <f t="shared" si="174"/>
        <v>19</v>
      </c>
      <c r="AG1274" s="2">
        <f t="shared" si="175"/>
        <v>3</v>
      </c>
      <c r="AH1274" s="4">
        <f t="shared" si="176"/>
        <v>44941.25509259259</v>
      </c>
      <c r="AI1274" s="2" t="str">
        <f t="shared" si="177"/>
        <v/>
      </c>
      <c r="AJ1274" s="2" t="str">
        <f t="shared" si="178"/>
        <v/>
      </c>
      <c r="AK1274" s="2" t="str">
        <f t="shared" si="179"/>
        <v/>
      </c>
    </row>
    <row r="1275" spans="1:37" x14ac:dyDescent="0.25">
      <c r="A1275">
        <v>2424</v>
      </c>
      <c r="B1275" t="s">
        <v>1412</v>
      </c>
      <c r="C1275" t="s">
        <v>1362</v>
      </c>
      <c r="D1275" t="s">
        <v>1390</v>
      </c>
      <c r="E1275" t="s">
        <v>1391</v>
      </c>
      <c r="F1275" t="s">
        <v>1392</v>
      </c>
      <c r="G1275" t="s">
        <v>144</v>
      </c>
      <c r="H1275" s="1">
        <v>44832.25509259259</v>
      </c>
      <c r="I1275" s="1">
        <v>44835.25509259259</v>
      </c>
      <c r="J1275" t="s">
        <v>32</v>
      </c>
      <c r="K1275" s="1">
        <v>44850.25509259259</v>
      </c>
      <c r="L1275" t="s">
        <v>33</v>
      </c>
      <c r="M1275" t="s">
        <v>108</v>
      </c>
      <c r="T1275">
        <v>0</v>
      </c>
      <c r="Y1275" t="s">
        <v>35</v>
      </c>
      <c r="AC1275" s="2">
        <f t="shared" si="171"/>
        <v>3</v>
      </c>
      <c r="AD1275" s="2">
        <f t="shared" si="172"/>
        <v>18</v>
      </c>
      <c r="AE1275" s="2">
        <f t="shared" si="173"/>
        <v>15</v>
      </c>
      <c r="AF1275" s="2" t="str">
        <f t="shared" si="174"/>
        <v/>
      </c>
      <c r="AG1275" s="2" t="str">
        <f t="shared" si="175"/>
        <v/>
      </c>
      <c r="AH1275" s="4" t="str">
        <f t="shared" si="176"/>
        <v/>
      </c>
      <c r="AI1275" s="2" t="str">
        <f t="shared" si="177"/>
        <v/>
      </c>
      <c r="AJ1275" s="2" t="str">
        <f t="shared" si="178"/>
        <v/>
      </c>
      <c r="AK1275" s="2" t="str">
        <f t="shared" si="179"/>
        <v/>
      </c>
    </row>
    <row r="1276" spans="1:37" x14ac:dyDescent="0.25">
      <c r="A1276">
        <v>2400</v>
      </c>
      <c r="B1276" t="s">
        <v>1413</v>
      </c>
      <c r="C1276" t="s">
        <v>1362</v>
      </c>
      <c r="D1276" t="s">
        <v>1390</v>
      </c>
      <c r="E1276" t="s">
        <v>1391</v>
      </c>
      <c r="F1276" t="s">
        <v>1392</v>
      </c>
      <c r="G1276" t="s">
        <v>144</v>
      </c>
      <c r="H1276" s="1">
        <v>45125.731192129628</v>
      </c>
      <c r="I1276" s="1">
        <v>45126.731192129628</v>
      </c>
      <c r="J1276" t="s">
        <v>32</v>
      </c>
      <c r="K1276" s="1">
        <v>45137.731192129628</v>
      </c>
      <c r="L1276" t="s">
        <v>33</v>
      </c>
      <c r="M1276" t="s">
        <v>51</v>
      </c>
      <c r="R1276" s="4">
        <v>45139.731192129628</v>
      </c>
      <c r="T1276">
        <v>0</v>
      </c>
      <c r="Y1276" t="s">
        <v>35</v>
      </c>
      <c r="AC1276" s="2">
        <f t="shared" si="171"/>
        <v>1</v>
      </c>
      <c r="AD1276" s="2">
        <f t="shared" si="172"/>
        <v>12</v>
      </c>
      <c r="AE1276" s="2">
        <f t="shared" si="173"/>
        <v>11</v>
      </c>
      <c r="AF1276" s="2">
        <f t="shared" si="174"/>
        <v>14</v>
      </c>
      <c r="AG1276" s="2">
        <f t="shared" si="175"/>
        <v>2</v>
      </c>
      <c r="AH1276" s="4">
        <f t="shared" si="176"/>
        <v>45229.731192129628</v>
      </c>
      <c r="AI1276" s="2" t="str">
        <f t="shared" si="177"/>
        <v/>
      </c>
      <c r="AJ1276" s="2" t="str">
        <f t="shared" si="178"/>
        <v/>
      </c>
      <c r="AK1276" s="2" t="str">
        <f t="shared" si="179"/>
        <v/>
      </c>
    </row>
    <row r="1277" spans="1:37" x14ac:dyDescent="0.25">
      <c r="A1277">
        <v>2392</v>
      </c>
      <c r="B1277" t="s">
        <v>1414</v>
      </c>
      <c r="C1277" t="s">
        <v>1362</v>
      </c>
      <c r="D1277" t="s">
        <v>1390</v>
      </c>
      <c r="E1277" t="s">
        <v>1391</v>
      </c>
      <c r="F1277" t="s">
        <v>1392</v>
      </c>
      <c r="G1277" t="s">
        <v>144</v>
      </c>
      <c r="H1277" s="1">
        <v>45122.731192129628</v>
      </c>
      <c r="I1277" s="1">
        <v>45125.731192129628</v>
      </c>
      <c r="J1277" t="s">
        <v>32</v>
      </c>
      <c r="K1277" s="1">
        <v>45143.731192129628</v>
      </c>
      <c r="L1277" t="s">
        <v>33</v>
      </c>
      <c r="M1277" t="s">
        <v>108</v>
      </c>
      <c r="T1277">
        <v>0</v>
      </c>
      <c r="Y1277" t="s">
        <v>55</v>
      </c>
      <c r="AC1277" s="2">
        <f t="shared" si="171"/>
        <v>3</v>
      </c>
      <c r="AD1277" s="2">
        <f t="shared" si="172"/>
        <v>21</v>
      </c>
      <c r="AE1277" s="2">
        <f t="shared" si="173"/>
        <v>18</v>
      </c>
      <c r="AF1277" s="2" t="str">
        <f t="shared" si="174"/>
        <v/>
      </c>
      <c r="AG1277" s="2" t="str">
        <f t="shared" si="175"/>
        <v/>
      </c>
      <c r="AH1277" s="4" t="str">
        <f t="shared" si="176"/>
        <v/>
      </c>
      <c r="AI1277" s="2" t="str">
        <f t="shared" si="177"/>
        <v/>
      </c>
      <c r="AJ1277" s="2" t="str">
        <f t="shared" si="178"/>
        <v/>
      </c>
      <c r="AK1277" s="2" t="str">
        <f t="shared" si="179"/>
        <v/>
      </c>
    </row>
    <row r="1278" spans="1:37" x14ac:dyDescent="0.25">
      <c r="A1278">
        <v>2391</v>
      </c>
      <c r="B1278" t="s">
        <v>1415</v>
      </c>
      <c r="C1278" t="s">
        <v>1362</v>
      </c>
      <c r="D1278" t="s">
        <v>1390</v>
      </c>
      <c r="E1278" t="s">
        <v>1391</v>
      </c>
      <c r="F1278" t="s">
        <v>1392</v>
      </c>
      <c r="G1278" t="s">
        <v>144</v>
      </c>
      <c r="H1278" s="1">
        <v>45127.731192129628</v>
      </c>
      <c r="I1278" s="1">
        <v>45129.731192129628</v>
      </c>
      <c r="J1278" t="s">
        <v>32</v>
      </c>
      <c r="K1278" s="1">
        <v>45147.731192129628</v>
      </c>
      <c r="L1278" t="s">
        <v>39</v>
      </c>
      <c r="N1278" s="4">
        <v>45151.731192129628</v>
      </c>
      <c r="O1278" t="s">
        <v>39</v>
      </c>
      <c r="R1278" s="4">
        <v>45150.731192129628</v>
      </c>
      <c r="T1278">
        <v>0</v>
      </c>
      <c r="AC1278" s="2">
        <f t="shared" si="171"/>
        <v>2</v>
      </c>
      <c r="AD1278" s="2">
        <f t="shared" si="172"/>
        <v>20</v>
      </c>
      <c r="AE1278" s="2">
        <f t="shared" si="173"/>
        <v>18</v>
      </c>
      <c r="AF1278" s="2">
        <f t="shared" si="174"/>
        <v>23</v>
      </c>
      <c r="AG1278" s="2">
        <f t="shared" si="175"/>
        <v>3</v>
      </c>
      <c r="AH1278" s="4">
        <f t="shared" si="176"/>
        <v>45240.731192129628</v>
      </c>
      <c r="AI1278" s="2" t="str">
        <f t="shared" si="177"/>
        <v/>
      </c>
      <c r="AJ1278" s="2" t="str">
        <f t="shared" si="178"/>
        <v/>
      </c>
      <c r="AK1278" s="2" t="str">
        <f t="shared" si="179"/>
        <v/>
      </c>
    </row>
    <row r="1279" spans="1:37" x14ac:dyDescent="0.25">
      <c r="A1279">
        <v>2040</v>
      </c>
      <c r="B1279" t="s">
        <v>1416</v>
      </c>
      <c r="C1279" t="s">
        <v>1362</v>
      </c>
      <c r="D1279" t="s">
        <v>1390</v>
      </c>
      <c r="E1279" t="s">
        <v>1391</v>
      </c>
      <c r="F1279" t="s">
        <v>1392</v>
      </c>
      <c r="G1279" t="s">
        <v>144</v>
      </c>
      <c r="H1279" s="1">
        <v>44647.861122685186</v>
      </c>
      <c r="I1279" s="1">
        <v>44650.861122685186</v>
      </c>
      <c r="J1279" t="s">
        <v>32</v>
      </c>
      <c r="K1279" s="1">
        <v>44657.861122685186</v>
      </c>
      <c r="L1279" t="s">
        <v>33</v>
      </c>
      <c r="M1279" t="s">
        <v>34</v>
      </c>
      <c r="T1279">
        <v>0</v>
      </c>
      <c r="Y1279" t="s">
        <v>55</v>
      </c>
      <c r="AC1279" s="2">
        <f t="shared" si="171"/>
        <v>3</v>
      </c>
      <c r="AD1279" s="2">
        <f t="shared" si="172"/>
        <v>10</v>
      </c>
      <c r="AE1279" s="2">
        <f t="shared" si="173"/>
        <v>7</v>
      </c>
      <c r="AF1279" s="2" t="str">
        <f t="shared" si="174"/>
        <v/>
      </c>
      <c r="AG1279" s="2" t="str">
        <f t="shared" si="175"/>
        <v/>
      </c>
      <c r="AH1279" s="4" t="str">
        <f t="shared" si="176"/>
        <v/>
      </c>
      <c r="AI1279" s="2" t="str">
        <f t="shared" si="177"/>
        <v/>
      </c>
      <c r="AJ1279" s="2" t="str">
        <f t="shared" si="178"/>
        <v/>
      </c>
      <c r="AK1279" s="2" t="str">
        <f t="shared" si="179"/>
        <v/>
      </c>
    </row>
    <row r="1280" spans="1:37" x14ac:dyDescent="0.25">
      <c r="A1280">
        <v>2036</v>
      </c>
      <c r="B1280" t="s">
        <v>1417</v>
      </c>
      <c r="C1280" t="s">
        <v>1362</v>
      </c>
      <c r="D1280" t="s">
        <v>1390</v>
      </c>
      <c r="E1280" t="s">
        <v>1391</v>
      </c>
      <c r="F1280" t="s">
        <v>1392</v>
      </c>
      <c r="G1280" t="s">
        <v>144</v>
      </c>
      <c r="H1280" s="1">
        <v>44646.861122685186</v>
      </c>
      <c r="I1280" s="1">
        <v>44649.861122685186</v>
      </c>
      <c r="J1280" t="s">
        <v>32</v>
      </c>
      <c r="K1280" s="1">
        <v>44657.861122685186</v>
      </c>
      <c r="L1280" t="s">
        <v>33</v>
      </c>
      <c r="M1280" t="s">
        <v>34</v>
      </c>
      <c r="T1280">
        <v>0</v>
      </c>
      <c r="Y1280" t="s">
        <v>35</v>
      </c>
      <c r="AC1280" s="2">
        <f t="shared" si="171"/>
        <v>3</v>
      </c>
      <c r="AD1280" s="2">
        <f t="shared" si="172"/>
        <v>11</v>
      </c>
      <c r="AE1280" s="2">
        <f t="shared" si="173"/>
        <v>8</v>
      </c>
      <c r="AF1280" s="2" t="str">
        <f t="shared" si="174"/>
        <v/>
      </c>
      <c r="AG1280" s="2" t="str">
        <f t="shared" si="175"/>
        <v/>
      </c>
      <c r="AH1280" s="4" t="str">
        <f t="shared" si="176"/>
        <v/>
      </c>
      <c r="AI1280" s="2" t="str">
        <f t="shared" si="177"/>
        <v/>
      </c>
      <c r="AJ1280" s="2" t="str">
        <f t="shared" si="178"/>
        <v/>
      </c>
      <c r="AK1280" s="2" t="str">
        <f t="shared" si="179"/>
        <v/>
      </c>
    </row>
    <row r="1281" spans="1:37" x14ac:dyDescent="0.25">
      <c r="A1281">
        <v>2035</v>
      </c>
      <c r="B1281" t="s">
        <v>1418</v>
      </c>
      <c r="C1281" t="s">
        <v>1362</v>
      </c>
      <c r="D1281" t="s">
        <v>1390</v>
      </c>
      <c r="E1281" t="s">
        <v>1391</v>
      </c>
      <c r="F1281" t="s">
        <v>1392</v>
      </c>
      <c r="G1281" t="s">
        <v>144</v>
      </c>
      <c r="H1281" s="1">
        <v>44645.861122685186</v>
      </c>
      <c r="I1281" s="1">
        <v>44646.861122685186</v>
      </c>
      <c r="J1281" t="s">
        <v>32</v>
      </c>
      <c r="K1281" s="1">
        <v>44663.861122685186</v>
      </c>
      <c r="L1281" t="s">
        <v>33</v>
      </c>
      <c r="M1281" t="s">
        <v>108</v>
      </c>
      <c r="T1281">
        <v>0</v>
      </c>
      <c r="Y1281" t="s">
        <v>55</v>
      </c>
      <c r="AC1281" s="2">
        <f t="shared" si="171"/>
        <v>1</v>
      </c>
      <c r="AD1281" s="2">
        <f t="shared" si="172"/>
        <v>18</v>
      </c>
      <c r="AE1281" s="2">
        <f t="shared" si="173"/>
        <v>17</v>
      </c>
      <c r="AF1281" s="2" t="str">
        <f t="shared" si="174"/>
        <v/>
      </c>
      <c r="AG1281" s="2" t="str">
        <f t="shared" si="175"/>
        <v/>
      </c>
      <c r="AH1281" s="4" t="str">
        <f t="shared" si="176"/>
        <v/>
      </c>
      <c r="AI1281" s="2" t="str">
        <f t="shared" si="177"/>
        <v/>
      </c>
      <c r="AJ1281" s="2" t="str">
        <f t="shared" si="178"/>
        <v/>
      </c>
      <c r="AK1281" s="2" t="str">
        <f t="shared" si="179"/>
        <v/>
      </c>
    </row>
    <row r="1282" spans="1:37" x14ac:dyDescent="0.25">
      <c r="A1282">
        <v>2033</v>
      </c>
      <c r="B1282" t="s">
        <v>1419</v>
      </c>
      <c r="C1282" t="s">
        <v>1362</v>
      </c>
      <c r="D1282" t="s">
        <v>1390</v>
      </c>
      <c r="E1282" t="s">
        <v>1391</v>
      </c>
      <c r="F1282" t="s">
        <v>1392</v>
      </c>
      <c r="G1282" t="s">
        <v>144</v>
      </c>
      <c r="H1282" s="1">
        <v>44642.861122685186</v>
      </c>
      <c r="I1282" s="1">
        <v>44646.861122685186</v>
      </c>
      <c r="J1282" t="s">
        <v>32</v>
      </c>
      <c r="K1282" s="1">
        <v>44656.861122685186</v>
      </c>
      <c r="L1282" t="s">
        <v>39</v>
      </c>
      <c r="N1282" s="4">
        <v>44658.861122685186</v>
      </c>
      <c r="O1282" t="s">
        <v>39</v>
      </c>
      <c r="R1282" s="4">
        <v>44657.861122685186</v>
      </c>
      <c r="T1282">
        <v>0</v>
      </c>
      <c r="AC1282" s="2">
        <f t="shared" si="171"/>
        <v>4</v>
      </c>
      <c r="AD1282" s="2">
        <f t="shared" si="172"/>
        <v>14</v>
      </c>
      <c r="AE1282" s="2">
        <f t="shared" si="173"/>
        <v>10</v>
      </c>
      <c r="AF1282" s="2">
        <f t="shared" si="174"/>
        <v>15</v>
      </c>
      <c r="AG1282" s="2">
        <f t="shared" si="175"/>
        <v>1</v>
      </c>
      <c r="AH1282" s="4">
        <f t="shared" si="176"/>
        <v>44747.861122685186</v>
      </c>
      <c r="AI1282" s="2" t="str">
        <f t="shared" si="177"/>
        <v/>
      </c>
      <c r="AJ1282" s="2" t="str">
        <f t="shared" si="178"/>
        <v/>
      </c>
      <c r="AK1282" s="2" t="str">
        <f t="shared" si="179"/>
        <v/>
      </c>
    </row>
    <row r="1283" spans="1:37" x14ac:dyDescent="0.25">
      <c r="A1283">
        <v>1933</v>
      </c>
      <c r="B1283" t="s">
        <v>1420</v>
      </c>
      <c r="C1283" t="s">
        <v>1362</v>
      </c>
      <c r="D1283" t="s">
        <v>1390</v>
      </c>
      <c r="E1283" t="s">
        <v>1391</v>
      </c>
      <c r="F1283" t="s">
        <v>1392</v>
      </c>
      <c r="G1283" t="s">
        <v>144</v>
      </c>
      <c r="H1283" s="1">
        <v>45179.30609953704</v>
      </c>
      <c r="I1283" s="1">
        <v>45183.30609953704</v>
      </c>
      <c r="J1283" t="s">
        <v>32</v>
      </c>
      <c r="K1283" s="1">
        <v>45198.30609953704</v>
      </c>
      <c r="L1283" t="s">
        <v>164</v>
      </c>
      <c r="N1283" s="4">
        <v>45201.30609953704</v>
      </c>
      <c r="O1283" t="s">
        <v>164</v>
      </c>
      <c r="R1283" s="4">
        <v>45200.30609953704</v>
      </c>
      <c r="T1283">
        <v>0</v>
      </c>
      <c r="AC1283" s="2">
        <f t="shared" ref="AC1283:AC1346" si="180">IF(AND(I1283&lt;&gt;"",H1283&lt;&gt;""), I1283-H1283, "")</f>
        <v>4</v>
      </c>
      <c r="AD1283" s="2">
        <f t="shared" ref="AD1283:AD1346" si="181">IF(AND(K1283&lt;&gt;"",H1283&lt;&gt;""), K1283-H1283, "")</f>
        <v>19</v>
      </c>
      <c r="AE1283" s="2">
        <f t="shared" ref="AE1283:AE1346" si="182">IF(AND(K1283&lt;&gt;"",I1283&lt;&gt;""), K1283-I1283, "")</f>
        <v>15</v>
      </c>
      <c r="AF1283" s="2">
        <f t="shared" ref="AF1283:AF1346" si="183">IF(AND(R1283&lt;&gt;"",H1283&lt;&gt;""), R1283-H1283, "")</f>
        <v>21</v>
      </c>
      <c r="AG1283" s="2">
        <f t="shared" ref="AG1283:AG1346" si="184">IF(AND(R1283&lt;&gt;"",K1283&lt;&gt;""), R1283-K1283, "")</f>
        <v>2</v>
      </c>
      <c r="AH1283" s="4">
        <f t="shared" ref="AH1283:AH1346" si="185">IF(R1283&lt;&gt;"", R1283+90, "")</f>
        <v>45290.30609953704</v>
      </c>
      <c r="AI1283" s="2" t="str">
        <f t="shared" ref="AI1283:AI1346" si="186">IF(AND(U1283&lt;&gt;"",S1283&lt;&gt;""), U1283-S1283, "")</f>
        <v/>
      </c>
      <c r="AJ1283" s="2" t="str">
        <f t="shared" ref="AJ1283:AJ1346" si="187">IF(AND(Z1283&lt;&gt;"",R1283&lt;&gt;""), Z1283-R1283, "")</f>
        <v/>
      </c>
      <c r="AK1283" s="2" t="str">
        <f t="shared" ref="AK1283:AK1346" si="188">IF(AND(W1283&lt;&gt;"",R1283&lt;&gt;""), W1283-R1283, "")</f>
        <v/>
      </c>
    </row>
    <row r="1284" spans="1:37" x14ac:dyDescent="0.25">
      <c r="A1284">
        <v>1873</v>
      </c>
      <c r="B1284" t="s">
        <v>1421</v>
      </c>
      <c r="C1284" t="s">
        <v>1362</v>
      </c>
      <c r="D1284" t="s">
        <v>1390</v>
      </c>
      <c r="E1284" t="s">
        <v>1391</v>
      </c>
      <c r="F1284" t="s">
        <v>1392</v>
      </c>
      <c r="G1284" t="s">
        <v>144</v>
      </c>
      <c r="H1284" s="1">
        <v>44578.732974537037</v>
      </c>
      <c r="I1284" s="1">
        <v>44580.732974537037</v>
      </c>
      <c r="J1284" t="s">
        <v>32</v>
      </c>
      <c r="K1284" s="1">
        <v>44586.732974537037</v>
      </c>
      <c r="L1284" t="s">
        <v>164</v>
      </c>
      <c r="N1284" s="4">
        <v>44593.732974537037</v>
      </c>
      <c r="O1284" t="s">
        <v>164</v>
      </c>
      <c r="R1284" s="4">
        <v>44590.732974537037</v>
      </c>
      <c r="T1284">
        <v>0</v>
      </c>
      <c r="AC1284" s="2">
        <f t="shared" si="180"/>
        <v>2</v>
      </c>
      <c r="AD1284" s="2">
        <f t="shared" si="181"/>
        <v>8</v>
      </c>
      <c r="AE1284" s="2">
        <f t="shared" si="182"/>
        <v>6</v>
      </c>
      <c r="AF1284" s="2">
        <f t="shared" si="183"/>
        <v>12</v>
      </c>
      <c r="AG1284" s="2">
        <f t="shared" si="184"/>
        <v>4</v>
      </c>
      <c r="AH1284" s="4">
        <f t="shared" si="185"/>
        <v>44680.732974537037</v>
      </c>
      <c r="AI1284" s="2" t="str">
        <f t="shared" si="186"/>
        <v/>
      </c>
      <c r="AJ1284" s="2" t="str">
        <f t="shared" si="187"/>
        <v/>
      </c>
      <c r="AK1284" s="2" t="str">
        <f t="shared" si="188"/>
        <v/>
      </c>
    </row>
    <row r="1285" spans="1:37" x14ac:dyDescent="0.25">
      <c r="A1285">
        <v>1719</v>
      </c>
      <c r="B1285" t="s">
        <v>1422</v>
      </c>
      <c r="C1285" t="s">
        <v>1362</v>
      </c>
      <c r="D1285" t="s">
        <v>1390</v>
      </c>
      <c r="E1285" t="s">
        <v>1391</v>
      </c>
      <c r="F1285" t="s">
        <v>1392</v>
      </c>
      <c r="G1285" t="s">
        <v>144</v>
      </c>
      <c r="H1285" s="1">
        <v>44563.077685185184</v>
      </c>
      <c r="I1285" s="1">
        <v>44564.077685185184</v>
      </c>
      <c r="J1285" t="s">
        <v>32</v>
      </c>
      <c r="K1285" s="1">
        <v>44578.077685185184</v>
      </c>
      <c r="L1285" t="s">
        <v>33</v>
      </c>
      <c r="M1285" t="s">
        <v>51</v>
      </c>
      <c r="T1285">
        <v>0</v>
      </c>
      <c r="Y1285" t="s">
        <v>55</v>
      </c>
      <c r="AC1285" s="2">
        <f t="shared" si="180"/>
        <v>1</v>
      </c>
      <c r="AD1285" s="2">
        <f t="shared" si="181"/>
        <v>15</v>
      </c>
      <c r="AE1285" s="2">
        <f t="shared" si="182"/>
        <v>14</v>
      </c>
      <c r="AF1285" s="2" t="str">
        <f t="shared" si="183"/>
        <v/>
      </c>
      <c r="AG1285" s="2" t="str">
        <f t="shared" si="184"/>
        <v/>
      </c>
      <c r="AH1285" s="4" t="str">
        <f t="shared" si="185"/>
        <v/>
      </c>
      <c r="AI1285" s="2" t="str">
        <f t="shared" si="186"/>
        <v/>
      </c>
      <c r="AJ1285" s="2" t="str">
        <f t="shared" si="187"/>
        <v/>
      </c>
      <c r="AK1285" s="2" t="str">
        <f t="shared" si="188"/>
        <v/>
      </c>
    </row>
    <row r="1286" spans="1:37" x14ac:dyDescent="0.25">
      <c r="A1286">
        <v>1711</v>
      </c>
      <c r="B1286" t="s">
        <v>1423</v>
      </c>
      <c r="C1286" t="s">
        <v>1362</v>
      </c>
      <c r="D1286" t="s">
        <v>1390</v>
      </c>
      <c r="E1286" t="s">
        <v>1391</v>
      </c>
      <c r="F1286" t="s">
        <v>1392</v>
      </c>
      <c r="G1286" t="s">
        <v>144</v>
      </c>
      <c r="H1286" s="1">
        <v>44563.077685185184</v>
      </c>
      <c r="I1286" s="1">
        <v>44567.077685185184</v>
      </c>
      <c r="J1286" t="s">
        <v>32</v>
      </c>
      <c r="K1286" s="1">
        <v>44581.077685185184</v>
      </c>
      <c r="L1286" t="s">
        <v>39</v>
      </c>
      <c r="N1286" s="4">
        <v>44583.077685185184</v>
      </c>
      <c r="O1286" t="s">
        <v>39</v>
      </c>
      <c r="R1286" s="4">
        <v>44582.077685185184</v>
      </c>
      <c r="T1286">
        <v>0</v>
      </c>
      <c r="AC1286" s="2">
        <f t="shared" si="180"/>
        <v>4</v>
      </c>
      <c r="AD1286" s="2">
        <f t="shared" si="181"/>
        <v>18</v>
      </c>
      <c r="AE1286" s="2">
        <f t="shared" si="182"/>
        <v>14</v>
      </c>
      <c r="AF1286" s="2">
        <f t="shared" si="183"/>
        <v>19</v>
      </c>
      <c r="AG1286" s="2">
        <f t="shared" si="184"/>
        <v>1</v>
      </c>
      <c r="AH1286" s="4">
        <f t="shared" si="185"/>
        <v>44672.077685185184</v>
      </c>
      <c r="AI1286" s="2" t="str">
        <f t="shared" si="186"/>
        <v/>
      </c>
      <c r="AJ1286" s="2" t="str">
        <f t="shared" si="187"/>
        <v/>
      </c>
      <c r="AK1286" s="2" t="str">
        <f t="shared" si="188"/>
        <v/>
      </c>
    </row>
    <row r="1287" spans="1:37" x14ac:dyDescent="0.25">
      <c r="A1287">
        <v>1698</v>
      </c>
      <c r="B1287" t="s">
        <v>1424</v>
      </c>
      <c r="C1287" t="s">
        <v>1362</v>
      </c>
      <c r="D1287" t="s">
        <v>1390</v>
      </c>
      <c r="E1287" t="s">
        <v>1391</v>
      </c>
      <c r="F1287" t="s">
        <v>1392</v>
      </c>
      <c r="G1287" t="s">
        <v>144</v>
      </c>
      <c r="H1287" s="1">
        <v>44985.764687499999</v>
      </c>
      <c r="I1287" s="1">
        <v>44988.764687499999</v>
      </c>
      <c r="J1287" t="s">
        <v>32</v>
      </c>
      <c r="K1287" s="1">
        <v>44994.764687499999</v>
      </c>
      <c r="L1287" t="s">
        <v>33</v>
      </c>
      <c r="M1287" t="s">
        <v>34</v>
      </c>
      <c r="T1287">
        <v>0</v>
      </c>
      <c r="Y1287" t="s">
        <v>55</v>
      </c>
      <c r="AC1287" s="2">
        <f t="shared" si="180"/>
        <v>3</v>
      </c>
      <c r="AD1287" s="2">
        <f t="shared" si="181"/>
        <v>9</v>
      </c>
      <c r="AE1287" s="2">
        <f t="shared" si="182"/>
        <v>6</v>
      </c>
      <c r="AF1287" s="2" t="str">
        <f t="shared" si="183"/>
        <v/>
      </c>
      <c r="AG1287" s="2" t="str">
        <f t="shared" si="184"/>
        <v/>
      </c>
      <c r="AH1287" s="4" t="str">
        <f t="shared" si="185"/>
        <v/>
      </c>
      <c r="AI1287" s="2" t="str">
        <f t="shared" si="186"/>
        <v/>
      </c>
      <c r="AJ1287" s="2" t="str">
        <f t="shared" si="187"/>
        <v/>
      </c>
      <c r="AK1287" s="2" t="str">
        <f t="shared" si="188"/>
        <v/>
      </c>
    </row>
    <row r="1288" spans="1:37" x14ac:dyDescent="0.25">
      <c r="A1288">
        <v>1559</v>
      </c>
      <c r="B1288" t="s">
        <v>1425</v>
      </c>
      <c r="C1288" t="s">
        <v>1362</v>
      </c>
      <c r="D1288" t="s">
        <v>1390</v>
      </c>
      <c r="E1288" t="s">
        <v>1391</v>
      </c>
      <c r="F1288" t="s">
        <v>1392</v>
      </c>
      <c r="G1288" t="s">
        <v>144</v>
      </c>
      <c r="H1288" s="1">
        <v>44902.597222222219</v>
      </c>
      <c r="I1288" s="1">
        <v>44904.597222222219</v>
      </c>
      <c r="J1288" t="s">
        <v>32</v>
      </c>
      <c r="K1288" s="1">
        <v>44918.597222222219</v>
      </c>
      <c r="L1288" t="s">
        <v>33</v>
      </c>
      <c r="M1288" t="s">
        <v>92</v>
      </c>
      <c r="R1288" s="4">
        <v>44922.597222222219</v>
      </c>
      <c r="T1288">
        <v>0</v>
      </c>
      <c r="Y1288" t="s">
        <v>55</v>
      </c>
      <c r="AC1288" s="2">
        <f t="shared" si="180"/>
        <v>2</v>
      </c>
      <c r="AD1288" s="2">
        <f t="shared" si="181"/>
        <v>16</v>
      </c>
      <c r="AE1288" s="2">
        <f t="shared" si="182"/>
        <v>14</v>
      </c>
      <c r="AF1288" s="2">
        <f t="shared" si="183"/>
        <v>20</v>
      </c>
      <c r="AG1288" s="2">
        <f t="shared" si="184"/>
        <v>4</v>
      </c>
      <c r="AH1288" s="4">
        <f t="shared" si="185"/>
        <v>45012.597222222219</v>
      </c>
      <c r="AI1288" s="2" t="str">
        <f t="shared" si="186"/>
        <v/>
      </c>
      <c r="AJ1288" s="2" t="str">
        <f t="shared" si="187"/>
        <v/>
      </c>
      <c r="AK1288" s="2" t="str">
        <f t="shared" si="188"/>
        <v/>
      </c>
    </row>
    <row r="1289" spans="1:37" x14ac:dyDescent="0.25">
      <c r="A1289">
        <v>1557</v>
      </c>
      <c r="B1289" t="s">
        <v>1426</v>
      </c>
      <c r="C1289" t="s">
        <v>1362</v>
      </c>
      <c r="D1289" t="s">
        <v>1390</v>
      </c>
      <c r="E1289" t="s">
        <v>1391</v>
      </c>
      <c r="F1289" t="s">
        <v>1392</v>
      </c>
      <c r="G1289" t="s">
        <v>144</v>
      </c>
      <c r="H1289" s="1">
        <v>44904.597222222219</v>
      </c>
      <c r="I1289" s="1">
        <v>44905.597222222219</v>
      </c>
      <c r="J1289" t="s">
        <v>32</v>
      </c>
      <c r="K1289" s="1">
        <v>44920.597222222219</v>
      </c>
      <c r="L1289" t="s">
        <v>33</v>
      </c>
      <c r="M1289" t="s">
        <v>34</v>
      </c>
      <c r="R1289" s="4">
        <v>44923.597222222219</v>
      </c>
      <c r="T1289">
        <v>0</v>
      </c>
      <c r="Y1289" t="s">
        <v>35</v>
      </c>
      <c r="AC1289" s="2">
        <f t="shared" si="180"/>
        <v>1</v>
      </c>
      <c r="AD1289" s="2">
        <f t="shared" si="181"/>
        <v>16</v>
      </c>
      <c r="AE1289" s="2">
        <f t="shared" si="182"/>
        <v>15</v>
      </c>
      <c r="AF1289" s="2">
        <f t="shared" si="183"/>
        <v>19</v>
      </c>
      <c r="AG1289" s="2">
        <f t="shared" si="184"/>
        <v>3</v>
      </c>
      <c r="AH1289" s="4">
        <f t="shared" si="185"/>
        <v>45013.597222222219</v>
      </c>
      <c r="AI1289" s="2" t="str">
        <f t="shared" si="186"/>
        <v/>
      </c>
      <c r="AJ1289" s="2" t="str">
        <f t="shared" si="187"/>
        <v/>
      </c>
      <c r="AK1289" s="2" t="str">
        <f t="shared" si="188"/>
        <v/>
      </c>
    </row>
    <row r="1290" spans="1:37" x14ac:dyDescent="0.25">
      <c r="A1290">
        <v>1553</v>
      </c>
      <c r="B1290" t="s">
        <v>1427</v>
      </c>
      <c r="C1290" t="s">
        <v>1362</v>
      </c>
      <c r="D1290" t="s">
        <v>1390</v>
      </c>
      <c r="E1290" t="s">
        <v>1391</v>
      </c>
      <c r="F1290" t="s">
        <v>1392</v>
      </c>
      <c r="G1290" t="s">
        <v>144</v>
      </c>
      <c r="H1290" s="1">
        <v>44901.597222222219</v>
      </c>
      <c r="I1290" s="1">
        <v>44903.597222222219</v>
      </c>
      <c r="J1290" t="s">
        <v>32</v>
      </c>
      <c r="K1290" s="1">
        <v>44921.597222222219</v>
      </c>
      <c r="L1290" t="s">
        <v>33</v>
      </c>
      <c r="M1290" t="s">
        <v>108</v>
      </c>
      <c r="T1290">
        <v>0</v>
      </c>
      <c r="Y1290" t="s">
        <v>35</v>
      </c>
      <c r="AC1290" s="2">
        <f t="shared" si="180"/>
        <v>2</v>
      </c>
      <c r="AD1290" s="2">
        <f t="shared" si="181"/>
        <v>20</v>
      </c>
      <c r="AE1290" s="2">
        <f t="shared" si="182"/>
        <v>18</v>
      </c>
      <c r="AF1290" s="2" t="str">
        <f t="shared" si="183"/>
        <v/>
      </c>
      <c r="AG1290" s="2" t="str">
        <f t="shared" si="184"/>
        <v/>
      </c>
      <c r="AH1290" s="4" t="str">
        <f t="shared" si="185"/>
        <v/>
      </c>
      <c r="AI1290" s="2" t="str">
        <f t="shared" si="186"/>
        <v/>
      </c>
      <c r="AJ1290" s="2" t="str">
        <f t="shared" si="187"/>
        <v/>
      </c>
      <c r="AK1290" s="2" t="str">
        <f t="shared" si="188"/>
        <v/>
      </c>
    </row>
    <row r="1291" spans="1:37" x14ac:dyDescent="0.25">
      <c r="A1291">
        <v>1490</v>
      </c>
      <c r="B1291" t="s">
        <v>1428</v>
      </c>
      <c r="C1291" t="s">
        <v>1362</v>
      </c>
      <c r="D1291" t="s">
        <v>1390</v>
      </c>
      <c r="E1291" t="s">
        <v>1391</v>
      </c>
      <c r="F1291" t="s">
        <v>1392</v>
      </c>
      <c r="G1291" t="s">
        <v>144</v>
      </c>
      <c r="H1291" s="1">
        <v>45117.542164351849</v>
      </c>
      <c r="I1291" s="1">
        <v>45118.542164351849</v>
      </c>
      <c r="J1291" t="s">
        <v>32</v>
      </c>
      <c r="K1291" s="1">
        <v>45125.542164351849</v>
      </c>
      <c r="L1291" t="s">
        <v>33</v>
      </c>
      <c r="M1291" t="s">
        <v>92</v>
      </c>
      <c r="T1291">
        <v>0</v>
      </c>
      <c r="Y1291" t="s">
        <v>55</v>
      </c>
      <c r="AC1291" s="2">
        <f t="shared" si="180"/>
        <v>1</v>
      </c>
      <c r="AD1291" s="2">
        <f t="shared" si="181"/>
        <v>8</v>
      </c>
      <c r="AE1291" s="2">
        <f t="shared" si="182"/>
        <v>7</v>
      </c>
      <c r="AF1291" s="2" t="str">
        <f t="shared" si="183"/>
        <v/>
      </c>
      <c r="AG1291" s="2" t="str">
        <f t="shared" si="184"/>
        <v/>
      </c>
      <c r="AH1291" s="4" t="str">
        <f t="shared" si="185"/>
        <v/>
      </c>
      <c r="AI1291" s="2" t="str">
        <f t="shared" si="186"/>
        <v/>
      </c>
      <c r="AJ1291" s="2" t="str">
        <f t="shared" si="187"/>
        <v/>
      </c>
      <c r="AK1291" s="2" t="str">
        <f t="shared" si="188"/>
        <v/>
      </c>
    </row>
    <row r="1292" spans="1:37" x14ac:dyDescent="0.25">
      <c r="A1292">
        <v>1483</v>
      </c>
      <c r="B1292" t="s">
        <v>1429</v>
      </c>
      <c r="C1292" t="s">
        <v>1362</v>
      </c>
      <c r="D1292" t="s">
        <v>1390</v>
      </c>
      <c r="E1292" t="s">
        <v>1391</v>
      </c>
      <c r="F1292" t="s">
        <v>1392</v>
      </c>
      <c r="G1292" t="s">
        <v>144</v>
      </c>
      <c r="H1292" s="1">
        <v>45115.542164351849</v>
      </c>
      <c r="I1292" s="1">
        <v>45116.542164351849</v>
      </c>
      <c r="J1292" t="s">
        <v>32</v>
      </c>
      <c r="K1292" s="1">
        <v>45136.542164351849</v>
      </c>
      <c r="L1292" t="s">
        <v>33</v>
      </c>
      <c r="M1292" t="s">
        <v>34</v>
      </c>
      <c r="R1292" s="4">
        <v>45140.542164351849</v>
      </c>
      <c r="T1292">
        <v>0</v>
      </c>
      <c r="Y1292" t="s">
        <v>35</v>
      </c>
      <c r="AC1292" s="2">
        <f t="shared" si="180"/>
        <v>1</v>
      </c>
      <c r="AD1292" s="2">
        <f t="shared" si="181"/>
        <v>21</v>
      </c>
      <c r="AE1292" s="2">
        <f t="shared" si="182"/>
        <v>20</v>
      </c>
      <c r="AF1292" s="2">
        <f t="shared" si="183"/>
        <v>25</v>
      </c>
      <c r="AG1292" s="2">
        <f t="shared" si="184"/>
        <v>4</v>
      </c>
      <c r="AH1292" s="4">
        <f t="shared" si="185"/>
        <v>45230.542164351849</v>
      </c>
      <c r="AI1292" s="2" t="str">
        <f t="shared" si="186"/>
        <v/>
      </c>
      <c r="AJ1292" s="2" t="str">
        <f t="shared" si="187"/>
        <v/>
      </c>
      <c r="AK1292" s="2" t="str">
        <f t="shared" si="188"/>
        <v/>
      </c>
    </row>
    <row r="1293" spans="1:37" x14ac:dyDescent="0.25">
      <c r="A1293">
        <v>1470</v>
      </c>
      <c r="B1293" t="s">
        <v>1430</v>
      </c>
      <c r="C1293" t="s">
        <v>1362</v>
      </c>
      <c r="D1293" t="s">
        <v>1390</v>
      </c>
      <c r="E1293" t="s">
        <v>1391</v>
      </c>
      <c r="F1293" t="s">
        <v>1392</v>
      </c>
      <c r="G1293" t="s">
        <v>144</v>
      </c>
      <c r="H1293" s="1">
        <v>45001.141805555555</v>
      </c>
      <c r="I1293" s="1">
        <v>45004.141805555555</v>
      </c>
      <c r="J1293" t="s">
        <v>32</v>
      </c>
      <c r="K1293" s="1">
        <v>45012.141805555555</v>
      </c>
      <c r="L1293" t="s">
        <v>33</v>
      </c>
      <c r="M1293" t="s">
        <v>67</v>
      </c>
      <c r="T1293">
        <v>0</v>
      </c>
      <c r="Y1293" t="s">
        <v>55</v>
      </c>
      <c r="AC1293" s="2">
        <f t="shared" si="180"/>
        <v>3</v>
      </c>
      <c r="AD1293" s="2">
        <f t="shared" si="181"/>
        <v>11</v>
      </c>
      <c r="AE1293" s="2">
        <f t="shared" si="182"/>
        <v>8</v>
      </c>
      <c r="AF1293" s="2" t="str">
        <f t="shared" si="183"/>
        <v/>
      </c>
      <c r="AG1293" s="2" t="str">
        <f t="shared" si="184"/>
        <v/>
      </c>
      <c r="AH1293" s="4" t="str">
        <f t="shared" si="185"/>
        <v/>
      </c>
      <c r="AI1293" s="2" t="str">
        <f t="shared" si="186"/>
        <v/>
      </c>
      <c r="AJ1293" s="2" t="str">
        <f t="shared" si="187"/>
        <v/>
      </c>
      <c r="AK1293" s="2" t="str">
        <f t="shared" si="188"/>
        <v/>
      </c>
    </row>
    <row r="1294" spans="1:37" x14ac:dyDescent="0.25">
      <c r="A1294">
        <v>1462</v>
      </c>
      <c r="B1294" t="s">
        <v>1431</v>
      </c>
      <c r="C1294" t="s">
        <v>1362</v>
      </c>
      <c r="D1294" t="s">
        <v>1390</v>
      </c>
      <c r="E1294" t="s">
        <v>1391</v>
      </c>
      <c r="F1294" t="s">
        <v>1392</v>
      </c>
      <c r="G1294" t="s">
        <v>144</v>
      </c>
      <c r="H1294" s="1">
        <v>45004.141805555555</v>
      </c>
      <c r="I1294" s="1">
        <v>45006.141805555555</v>
      </c>
      <c r="J1294" t="s">
        <v>32</v>
      </c>
      <c r="K1294" s="1">
        <v>45015.141805555555</v>
      </c>
      <c r="L1294" t="s">
        <v>33</v>
      </c>
      <c r="M1294" t="s">
        <v>108</v>
      </c>
      <c r="T1294">
        <v>0</v>
      </c>
      <c r="Y1294" t="s">
        <v>35</v>
      </c>
      <c r="AC1294" s="2">
        <f t="shared" si="180"/>
        <v>2</v>
      </c>
      <c r="AD1294" s="2">
        <f t="shared" si="181"/>
        <v>11</v>
      </c>
      <c r="AE1294" s="2">
        <f t="shared" si="182"/>
        <v>9</v>
      </c>
      <c r="AF1294" s="2" t="str">
        <f t="shared" si="183"/>
        <v/>
      </c>
      <c r="AG1294" s="2" t="str">
        <f t="shared" si="184"/>
        <v/>
      </c>
      <c r="AH1294" s="4" t="str">
        <f t="shared" si="185"/>
        <v/>
      </c>
      <c r="AI1294" s="2" t="str">
        <f t="shared" si="186"/>
        <v/>
      </c>
      <c r="AJ1294" s="2" t="str">
        <f t="shared" si="187"/>
        <v/>
      </c>
      <c r="AK1294" s="2" t="str">
        <f t="shared" si="188"/>
        <v/>
      </c>
    </row>
    <row r="1295" spans="1:37" x14ac:dyDescent="0.25">
      <c r="A1295">
        <v>1245</v>
      </c>
      <c r="B1295" t="s">
        <v>1432</v>
      </c>
      <c r="C1295" t="s">
        <v>1362</v>
      </c>
      <c r="D1295" t="s">
        <v>1390</v>
      </c>
      <c r="E1295" t="s">
        <v>1391</v>
      </c>
      <c r="F1295" t="s">
        <v>1392</v>
      </c>
      <c r="G1295" t="s">
        <v>144</v>
      </c>
      <c r="H1295" s="1">
        <v>44736.839942129627</v>
      </c>
      <c r="I1295" s="1">
        <v>44740.839942129627</v>
      </c>
      <c r="J1295" t="s">
        <v>32</v>
      </c>
      <c r="K1295" s="1">
        <v>44750.839942129627</v>
      </c>
      <c r="L1295" t="s">
        <v>33</v>
      </c>
      <c r="M1295" t="s">
        <v>51</v>
      </c>
      <c r="T1295">
        <v>0</v>
      </c>
      <c r="Y1295" t="s">
        <v>35</v>
      </c>
      <c r="AC1295" s="2">
        <f t="shared" si="180"/>
        <v>4</v>
      </c>
      <c r="AD1295" s="2">
        <f t="shared" si="181"/>
        <v>14</v>
      </c>
      <c r="AE1295" s="2">
        <f t="shared" si="182"/>
        <v>10</v>
      </c>
      <c r="AF1295" s="2" t="str">
        <f t="shared" si="183"/>
        <v/>
      </c>
      <c r="AG1295" s="2" t="str">
        <f t="shared" si="184"/>
        <v/>
      </c>
      <c r="AH1295" s="4" t="str">
        <f t="shared" si="185"/>
        <v/>
      </c>
      <c r="AI1295" s="2" t="str">
        <f t="shared" si="186"/>
        <v/>
      </c>
      <c r="AJ1295" s="2" t="str">
        <f t="shared" si="187"/>
        <v/>
      </c>
      <c r="AK1295" s="2" t="str">
        <f t="shared" si="188"/>
        <v/>
      </c>
    </row>
    <row r="1296" spans="1:37" x14ac:dyDescent="0.25">
      <c r="A1296">
        <v>1242</v>
      </c>
      <c r="B1296" t="s">
        <v>1433</v>
      </c>
      <c r="C1296" t="s">
        <v>1362</v>
      </c>
      <c r="D1296" t="s">
        <v>1390</v>
      </c>
      <c r="E1296" t="s">
        <v>1391</v>
      </c>
      <c r="F1296" t="s">
        <v>1392</v>
      </c>
      <c r="G1296" t="s">
        <v>144</v>
      </c>
      <c r="H1296" s="1">
        <v>44736.839942129627</v>
      </c>
      <c r="I1296" s="1">
        <v>44740.839942129627</v>
      </c>
      <c r="J1296" t="s">
        <v>32</v>
      </c>
      <c r="K1296" s="1">
        <v>44758.839942129627</v>
      </c>
      <c r="L1296" t="s">
        <v>33</v>
      </c>
      <c r="M1296" t="s">
        <v>67</v>
      </c>
      <c r="R1296" s="4">
        <v>44762.839942129627</v>
      </c>
      <c r="T1296">
        <v>0</v>
      </c>
      <c r="Y1296" t="s">
        <v>35</v>
      </c>
      <c r="AC1296" s="2">
        <f t="shared" si="180"/>
        <v>4</v>
      </c>
      <c r="AD1296" s="2">
        <f t="shared" si="181"/>
        <v>22</v>
      </c>
      <c r="AE1296" s="2">
        <f t="shared" si="182"/>
        <v>18</v>
      </c>
      <c r="AF1296" s="2">
        <f t="shared" si="183"/>
        <v>26</v>
      </c>
      <c r="AG1296" s="2">
        <f t="shared" si="184"/>
        <v>4</v>
      </c>
      <c r="AH1296" s="4">
        <f t="shared" si="185"/>
        <v>44852.839942129627</v>
      </c>
      <c r="AI1296" s="2" t="str">
        <f t="shared" si="186"/>
        <v/>
      </c>
      <c r="AJ1296" s="2" t="str">
        <f t="shared" si="187"/>
        <v/>
      </c>
      <c r="AK1296" s="2" t="str">
        <f t="shared" si="188"/>
        <v/>
      </c>
    </row>
    <row r="1297" spans="1:37" x14ac:dyDescent="0.25">
      <c r="A1297">
        <v>1236</v>
      </c>
      <c r="B1297" t="s">
        <v>1434</v>
      </c>
      <c r="C1297" t="s">
        <v>1362</v>
      </c>
      <c r="D1297" t="s">
        <v>1390</v>
      </c>
      <c r="E1297" t="s">
        <v>1391</v>
      </c>
      <c r="F1297" t="s">
        <v>1392</v>
      </c>
      <c r="G1297" t="s">
        <v>144</v>
      </c>
      <c r="H1297" s="1">
        <v>44982.728877314818</v>
      </c>
      <c r="I1297" s="1">
        <v>44983.728877314818</v>
      </c>
      <c r="J1297" t="s">
        <v>32</v>
      </c>
      <c r="K1297" s="1">
        <v>44990.728877314818</v>
      </c>
      <c r="L1297" t="s">
        <v>33</v>
      </c>
      <c r="M1297" t="s">
        <v>67</v>
      </c>
      <c r="T1297">
        <v>0</v>
      </c>
      <c r="Y1297" t="s">
        <v>35</v>
      </c>
      <c r="AC1297" s="2">
        <f t="shared" si="180"/>
        <v>1</v>
      </c>
      <c r="AD1297" s="2">
        <f t="shared" si="181"/>
        <v>8</v>
      </c>
      <c r="AE1297" s="2">
        <f t="shared" si="182"/>
        <v>7</v>
      </c>
      <c r="AF1297" s="2" t="str">
        <f t="shared" si="183"/>
        <v/>
      </c>
      <c r="AG1297" s="2" t="str">
        <f t="shared" si="184"/>
        <v/>
      </c>
      <c r="AH1297" s="4" t="str">
        <f t="shared" si="185"/>
        <v/>
      </c>
      <c r="AI1297" s="2" t="str">
        <f t="shared" si="186"/>
        <v/>
      </c>
      <c r="AJ1297" s="2" t="str">
        <f t="shared" si="187"/>
        <v/>
      </c>
      <c r="AK1297" s="2" t="str">
        <f t="shared" si="188"/>
        <v/>
      </c>
    </row>
    <row r="1298" spans="1:37" x14ac:dyDescent="0.25">
      <c r="A1298">
        <v>1234</v>
      </c>
      <c r="B1298" t="s">
        <v>1435</v>
      </c>
      <c r="C1298" t="s">
        <v>1362</v>
      </c>
      <c r="D1298" t="s">
        <v>1390</v>
      </c>
      <c r="E1298" t="s">
        <v>1391</v>
      </c>
      <c r="F1298" t="s">
        <v>1392</v>
      </c>
      <c r="G1298" t="s">
        <v>144</v>
      </c>
      <c r="H1298" s="1">
        <v>44979.728877314818</v>
      </c>
      <c r="I1298" s="1">
        <v>44982.728877314818</v>
      </c>
      <c r="J1298" t="s">
        <v>32</v>
      </c>
      <c r="K1298" s="1">
        <v>44991.728877314818</v>
      </c>
      <c r="L1298" t="s">
        <v>33</v>
      </c>
      <c r="M1298" t="s">
        <v>51</v>
      </c>
      <c r="R1298" s="4">
        <v>44992.728877314818</v>
      </c>
      <c r="T1298">
        <v>0</v>
      </c>
      <c r="Y1298" t="s">
        <v>35</v>
      </c>
      <c r="AC1298" s="2">
        <f t="shared" si="180"/>
        <v>3</v>
      </c>
      <c r="AD1298" s="2">
        <f t="shared" si="181"/>
        <v>12</v>
      </c>
      <c r="AE1298" s="2">
        <f t="shared" si="182"/>
        <v>9</v>
      </c>
      <c r="AF1298" s="2">
        <f t="shared" si="183"/>
        <v>13</v>
      </c>
      <c r="AG1298" s="2">
        <f t="shared" si="184"/>
        <v>1</v>
      </c>
      <c r="AH1298" s="4">
        <f t="shared" si="185"/>
        <v>45082.728877314818</v>
      </c>
      <c r="AI1298" s="2" t="str">
        <f t="shared" si="186"/>
        <v/>
      </c>
      <c r="AJ1298" s="2" t="str">
        <f t="shared" si="187"/>
        <v/>
      </c>
      <c r="AK1298" s="2" t="str">
        <f t="shared" si="188"/>
        <v/>
      </c>
    </row>
    <row r="1299" spans="1:37" x14ac:dyDescent="0.25">
      <c r="A1299">
        <v>1229</v>
      </c>
      <c r="B1299" t="s">
        <v>1436</v>
      </c>
      <c r="C1299" t="s">
        <v>1362</v>
      </c>
      <c r="D1299" t="s">
        <v>1390</v>
      </c>
      <c r="E1299" t="s">
        <v>1391</v>
      </c>
      <c r="F1299" t="s">
        <v>1392</v>
      </c>
      <c r="G1299" t="s">
        <v>144</v>
      </c>
      <c r="H1299" s="1">
        <v>44734.14203703704</v>
      </c>
      <c r="I1299" s="1">
        <v>44738.14203703704</v>
      </c>
      <c r="J1299" t="s">
        <v>32</v>
      </c>
      <c r="K1299" s="1">
        <v>44748.14203703704</v>
      </c>
      <c r="L1299" t="s">
        <v>39</v>
      </c>
      <c r="N1299" s="4">
        <v>44755.14203703704</v>
      </c>
      <c r="O1299" t="s">
        <v>39</v>
      </c>
      <c r="R1299" s="4">
        <v>44751.14203703704</v>
      </c>
      <c r="T1299">
        <v>0</v>
      </c>
      <c r="AC1299" s="2">
        <f t="shared" si="180"/>
        <v>4</v>
      </c>
      <c r="AD1299" s="2">
        <f t="shared" si="181"/>
        <v>14</v>
      </c>
      <c r="AE1299" s="2">
        <f t="shared" si="182"/>
        <v>10</v>
      </c>
      <c r="AF1299" s="2">
        <f t="shared" si="183"/>
        <v>17</v>
      </c>
      <c r="AG1299" s="2">
        <f t="shared" si="184"/>
        <v>3</v>
      </c>
      <c r="AH1299" s="4">
        <f t="shared" si="185"/>
        <v>44841.14203703704</v>
      </c>
      <c r="AI1299" s="2" t="str">
        <f t="shared" si="186"/>
        <v/>
      </c>
      <c r="AJ1299" s="2" t="str">
        <f t="shared" si="187"/>
        <v/>
      </c>
      <c r="AK1299" s="2" t="str">
        <f t="shared" si="188"/>
        <v/>
      </c>
    </row>
    <row r="1300" spans="1:37" x14ac:dyDescent="0.25">
      <c r="A1300">
        <v>1223</v>
      </c>
      <c r="B1300" t="s">
        <v>1437</v>
      </c>
      <c r="C1300" t="s">
        <v>1362</v>
      </c>
      <c r="D1300" t="s">
        <v>1390</v>
      </c>
      <c r="E1300" t="s">
        <v>1391</v>
      </c>
      <c r="F1300" t="s">
        <v>1392</v>
      </c>
      <c r="G1300" t="s">
        <v>144</v>
      </c>
      <c r="H1300" s="1">
        <v>44736.14203703704</v>
      </c>
      <c r="I1300" s="1">
        <v>44739.14203703704</v>
      </c>
      <c r="J1300" t="s">
        <v>32</v>
      </c>
      <c r="K1300" s="1">
        <v>44757.14203703704</v>
      </c>
      <c r="L1300" t="s">
        <v>33</v>
      </c>
      <c r="M1300" t="s">
        <v>51</v>
      </c>
      <c r="R1300" s="4">
        <v>44759.14203703704</v>
      </c>
      <c r="T1300">
        <v>0</v>
      </c>
      <c r="Y1300" t="s">
        <v>35</v>
      </c>
      <c r="AC1300" s="2">
        <f t="shared" si="180"/>
        <v>3</v>
      </c>
      <c r="AD1300" s="2">
        <f t="shared" si="181"/>
        <v>21</v>
      </c>
      <c r="AE1300" s="2">
        <f t="shared" si="182"/>
        <v>18</v>
      </c>
      <c r="AF1300" s="2">
        <f t="shared" si="183"/>
        <v>23</v>
      </c>
      <c r="AG1300" s="2">
        <f t="shared" si="184"/>
        <v>2</v>
      </c>
      <c r="AH1300" s="4">
        <f t="shared" si="185"/>
        <v>44849.14203703704</v>
      </c>
      <c r="AI1300" s="2" t="str">
        <f t="shared" si="186"/>
        <v/>
      </c>
      <c r="AJ1300" s="2" t="str">
        <f t="shared" si="187"/>
        <v/>
      </c>
      <c r="AK1300" s="2" t="str">
        <f t="shared" si="188"/>
        <v/>
      </c>
    </row>
    <row r="1301" spans="1:37" x14ac:dyDescent="0.25">
      <c r="A1301">
        <v>1222</v>
      </c>
      <c r="B1301" t="s">
        <v>1438</v>
      </c>
      <c r="C1301" t="s">
        <v>1362</v>
      </c>
      <c r="D1301" t="s">
        <v>1390</v>
      </c>
      <c r="E1301" t="s">
        <v>1391</v>
      </c>
      <c r="F1301" t="s">
        <v>1392</v>
      </c>
      <c r="G1301" t="s">
        <v>144</v>
      </c>
      <c r="H1301" s="1">
        <v>44733.14203703704</v>
      </c>
      <c r="I1301" s="1">
        <v>44735.14203703704</v>
      </c>
      <c r="J1301" t="s">
        <v>32</v>
      </c>
      <c r="K1301" s="1">
        <v>44753.14203703704</v>
      </c>
      <c r="L1301" t="s">
        <v>39</v>
      </c>
      <c r="N1301" s="4">
        <v>44757.14203703704</v>
      </c>
      <c r="O1301" t="s">
        <v>39</v>
      </c>
      <c r="R1301" s="4">
        <v>44754.14203703704</v>
      </c>
      <c r="T1301">
        <v>0</v>
      </c>
      <c r="AC1301" s="2">
        <f t="shared" si="180"/>
        <v>2</v>
      </c>
      <c r="AD1301" s="2">
        <f t="shared" si="181"/>
        <v>20</v>
      </c>
      <c r="AE1301" s="2">
        <f t="shared" si="182"/>
        <v>18</v>
      </c>
      <c r="AF1301" s="2">
        <f t="shared" si="183"/>
        <v>21</v>
      </c>
      <c r="AG1301" s="2">
        <f t="shared" si="184"/>
        <v>1</v>
      </c>
      <c r="AH1301" s="4">
        <f t="shared" si="185"/>
        <v>44844.14203703704</v>
      </c>
      <c r="AI1301" s="2" t="str">
        <f t="shared" si="186"/>
        <v/>
      </c>
      <c r="AJ1301" s="2" t="str">
        <f t="shared" si="187"/>
        <v/>
      </c>
      <c r="AK1301" s="2" t="str">
        <f t="shared" si="188"/>
        <v/>
      </c>
    </row>
    <row r="1302" spans="1:37" x14ac:dyDescent="0.25">
      <c r="A1302">
        <v>1208</v>
      </c>
      <c r="B1302" t="s">
        <v>1439</v>
      </c>
      <c r="C1302" t="s">
        <v>1362</v>
      </c>
      <c r="D1302" t="s">
        <v>1390</v>
      </c>
      <c r="E1302" t="s">
        <v>1391</v>
      </c>
      <c r="F1302" t="s">
        <v>1392</v>
      </c>
      <c r="G1302" t="s">
        <v>144</v>
      </c>
      <c r="H1302" s="1">
        <v>44763.205266203702</v>
      </c>
      <c r="I1302" s="1">
        <v>44764.205266203702</v>
      </c>
      <c r="J1302" t="s">
        <v>32</v>
      </c>
      <c r="K1302" s="1">
        <v>44785.205266203702</v>
      </c>
      <c r="L1302" t="s">
        <v>33</v>
      </c>
      <c r="M1302" t="s">
        <v>108</v>
      </c>
      <c r="T1302">
        <v>0</v>
      </c>
      <c r="Y1302" t="s">
        <v>55</v>
      </c>
      <c r="AC1302" s="2">
        <f t="shared" si="180"/>
        <v>1</v>
      </c>
      <c r="AD1302" s="2">
        <f t="shared" si="181"/>
        <v>22</v>
      </c>
      <c r="AE1302" s="2">
        <f t="shared" si="182"/>
        <v>21</v>
      </c>
      <c r="AF1302" s="2" t="str">
        <f t="shared" si="183"/>
        <v/>
      </c>
      <c r="AG1302" s="2" t="str">
        <f t="shared" si="184"/>
        <v/>
      </c>
      <c r="AH1302" s="4" t="str">
        <f t="shared" si="185"/>
        <v/>
      </c>
      <c r="AI1302" s="2" t="str">
        <f t="shared" si="186"/>
        <v/>
      </c>
      <c r="AJ1302" s="2" t="str">
        <f t="shared" si="187"/>
        <v/>
      </c>
      <c r="AK1302" s="2" t="str">
        <f t="shared" si="188"/>
        <v/>
      </c>
    </row>
    <row r="1303" spans="1:37" x14ac:dyDescent="0.25">
      <c r="A1303">
        <v>1191</v>
      </c>
      <c r="B1303" t="s">
        <v>1440</v>
      </c>
      <c r="C1303" t="s">
        <v>1362</v>
      </c>
      <c r="D1303" t="s">
        <v>1390</v>
      </c>
      <c r="E1303" t="s">
        <v>1391</v>
      </c>
      <c r="F1303" t="s">
        <v>1392</v>
      </c>
      <c r="G1303" t="s">
        <v>144</v>
      </c>
      <c r="H1303" s="1">
        <v>44767.966006944444</v>
      </c>
      <c r="I1303" s="1">
        <v>44768.966006944444</v>
      </c>
      <c r="J1303" t="s">
        <v>32</v>
      </c>
      <c r="K1303" s="1">
        <v>44780.966006944444</v>
      </c>
      <c r="L1303" t="s">
        <v>33</v>
      </c>
      <c r="M1303" t="s">
        <v>92</v>
      </c>
      <c r="R1303" s="4">
        <v>44781.966006944444</v>
      </c>
      <c r="T1303">
        <v>0</v>
      </c>
      <c r="Y1303" t="s">
        <v>35</v>
      </c>
      <c r="AC1303" s="2">
        <f t="shared" si="180"/>
        <v>1</v>
      </c>
      <c r="AD1303" s="2">
        <f t="shared" si="181"/>
        <v>13</v>
      </c>
      <c r="AE1303" s="2">
        <f t="shared" si="182"/>
        <v>12</v>
      </c>
      <c r="AF1303" s="2">
        <f t="shared" si="183"/>
        <v>14</v>
      </c>
      <c r="AG1303" s="2">
        <f t="shared" si="184"/>
        <v>1</v>
      </c>
      <c r="AH1303" s="4">
        <f t="shared" si="185"/>
        <v>44871.966006944444</v>
      </c>
      <c r="AI1303" s="2" t="str">
        <f t="shared" si="186"/>
        <v/>
      </c>
      <c r="AJ1303" s="2" t="str">
        <f t="shared" si="187"/>
        <v/>
      </c>
      <c r="AK1303" s="2" t="str">
        <f t="shared" si="188"/>
        <v/>
      </c>
    </row>
    <row r="1304" spans="1:37" x14ac:dyDescent="0.25">
      <c r="A1304">
        <v>1179</v>
      </c>
      <c r="B1304" t="s">
        <v>1441</v>
      </c>
      <c r="C1304" t="s">
        <v>1362</v>
      </c>
      <c r="D1304" t="s">
        <v>1390</v>
      </c>
      <c r="E1304" t="s">
        <v>1391</v>
      </c>
      <c r="F1304" t="s">
        <v>1392</v>
      </c>
      <c r="G1304" t="s">
        <v>144</v>
      </c>
      <c r="H1304" s="1">
        <v>45061.041770833333</v>
      </c>
      <c r="I1304" s="1">
        <v>45065.041770833333</v>
      </c>
      <c r="J1304" t="s">
        <v>32</v>
      </c>
      <c r="K1304" s="1">
        <v>45084.041770833333</v>
      </c>
      <c r="L1304" t="s">
        <v>33</v>
      </c>
      <c r="M1304" t="s">
        <v>34</v>
      </c>
      <c r="R1304" s="4">
        <v>45085.041770833333</v>
      </c>
      <c r="T1304">
        <v>0</v>
      </c>
      <c r="Y1304" t="s">
        <v>35</v>
      </c>
      <c r="AC1304" s="2">
        <f t="shared" si="180"/>
        <v>4</v>
      </c>
      <c r="AD1304" s="2">
        <f t="shared" si="181"/>
        <v>23</v>
      </c>
      <c r="AE1304" s="2">
        <f t="shared" si="182"/>
        <v>19</v>
      </c>
      <c r="AF1304" s="2">
        <f t="shared" si="183"/>
        <v>24</v>
      </c>
      <c r="AG1304" s="2">
        <f t="shared" si="184"/>
        <v>1</v>
      </c>
      <c r="AH1304" s="4">
        <f t="shared" si="185"/>
        <v>45175.041770833333</v>
      </c>
      <c r="AI1304" s="2" t="str">
        <f t="shared" si="186"/>
        <v/>
      </c>
      <c r="AJ1304" s="2" t="str">
        <f t="shared" si="187"/>
        <v/>
      </c>
      <c r="AK1304" s="2" t="str">
        <f t="shared" si="188"/>
        <v/>
      </c>
    </row>
    <row r="1305" spans="1:37" x14ac:dyDescent="0.25">
      <c r="A1305">
        <v>1105</v>
      </c>
      <c r="B1305" t="s">
        <v>1442</v>
      </c>
      <c r="C1305" t="s">
        <v>1362</v>
      </c>
      <c r="D1305" t="s">
        <v>1390</v>
      </c>
      <c r="E1305" t="s">
        <v>1391</v>
      </c>
      <c r="F1305" t="s">
        <v>1392</v>
      </c>
      <c r="G1305" t="s">
        <v>144</v>
      </c>
      <c r="H1305" s="1">
        <v>44671.953865740739</v>
      </c>
      <c r="I1305" s="1">
        <v>44675.953865740739</v>
      </c>
      <c r="J1305" t="s">
        <v>32</v>
      </c>
      <c r="K1305" s="1">
        <v>44694.953865740739</v>
      </c>
      <c r="L1305" t="s">
        <v>39</v>
      </c>
      <c r="N1305" s="4">
        <v>44699.953865740739</v>
      </c>
      <c r="O1305" t="s">
        <v>39</v>
      </c>
      <c r="R1305" s="4">
        <v>44698.953865740739</v>
      </c>
      <c r="T1305">
        <v>0</v>
      </c>
      <c r="AC1305" s="2">
        <f t="shared" si="180"/>
        <v>4</v>
      </c>
      <c r="AD1305" s="2">
        <f t="shared" si="181"/>
        <v>23</v>
      </c>
      <c r="AE1305" s="2">
        <f t="shared" si="182"/>
        <v>19</v>
      </c>
      <c r="AF1305" s="2">
        <f t="shared" si="183"/>
        <v>27</v>
      </c>
      <c r="AG1305" s="2">
        <f t="shared" si="184"/>
        <v>4</v>
      </c>
      <c r="AH1305" s="4">
        <f t="shared" si="185"/>
        <v>44788.953865740739</v>
      </c>
      <c r="AI1305" s="2" t="str">
        <f t="shared" si="186"/>
        <v/>
      </c>
      <c r="AJ1305" s="2" t="str">
        <f t="shared" si="187"/>
        <v/>
      </c>
      <c r="AK1305" s="2" t="str">
        <f t="shared" si="188"/>
        <v/>
      </c>
    </row>
    <row r="1306" spans="1:37" x14ac:dyDescent="0.25">
      <c r="A1306">
        <v>1101</v>
      </c>
      <c r="B1306" t="s">
        <v>1443</v>
      </c>
      <c r="C1306" t="s">
        <v>1362</v>
      </c>
      <c r="D1306" t="s">
        <v>1390</v>
      </c>
      <c r="E1306" t="s">
        <v>1391</v>
      </c>
      <c r="F1306" t="s">
        <v>1392</v>
      </c>
      <c r="G1306" t="s">
        <v>144</v>
      </c>
      <c r="H1306" s="1">
        <v>44675.953865740739</v>
      </c>
      <c r="I1306" s="1">
        <v>44676.953865740739</v>
      </c>
      <c r="J1306" t="s">
        <v>32</v>
      </c>
      <c r="K1306" s="1">
        <v>44693.953865740739</v>
      </c>
      <c r="L1306" t="s">
        <v>39</v>
      </c>
      <c r="N1306" s="4">
        <v>44695.953865740739</v>
      </c>
      <c r="O1306" t="s">
        <v>39</v>
      </c>
      <c r="R1306" s="4">
        <v>44694.953865740739</v>
      </c>
      <c r="T1306">
        <v>0</v>
      </c>
      <c r="AC1306" s="2">
        <f t="shared" si="180"/>
        <v>1</v>
      </c>
      <c r="AD1306" s="2">
        <f t="shared" si="181"/>
        <v>18</v>
      </c>
      <c r="AE1306" s="2">
        <f t="shared" si="182"/>
        <v>17</v>
      </c>
      <c r="AF1306" s="2">
        <f t="shared" si="183"/>
        <v>19</v>
      </c>
      <c r="AG1306" s="2">
        <f t="shared" si="184"/>
        <v>1</v>
      </c>
      <c r="AH1306" s="4">
        <f t="shared" si="185"/>
        <v>44784.953865740739</v>
      </c>
      <c r="AI1306" s="2" t="str">
        <f t="shared" si="186"/>
        <v/>
      </c>
      <c r="AJ1306" s="2" t="str">
        <f t="shared" si="187"/>
        <v/>
      </c>
      <c r="AK1306" s="2" t="str">
        <f t="shared" si="188"/>
        <v/>
      </c>
    </row>
    <row r="1307" spans="1:37" x14ac:dyDescent="0.25">
      <c r="A1307">
        <v>2998</v>
      </c>
      <c r="B1307" t="s">
        <v>1444</v>
      </c>
      <c r="C1307" t="s">
        <v>1362</v>
      </c>
      <c r="D1307" t="s">
        <v>1445</v>
      </c>
      <c r="E1307" t="s">
        <v>267</v>
      </c>
      <c r="F1307" t="s">
        <v>1446</v>
      </c>
      <c r="G1307" t="s">
        <v>269</v>
      </c>
      <c r="H1307" s="1">
        <v>44990.039479166669</v>
      </c>
      <c r="I1307" s="1">
        <v>44991.039479166669</v>
      </c>
      <c r="J1307" t="s">
        <v>32</v>
      </c>
      <c r="K1307" s="1">
        <v>45003.039479166669</v>
      </c>
      <c r="L1307" t="s">
        <v>33</v>
      </c>
      <c r="M1307" t="s">
        <v>92</v>
      </c>
      <c r="R1307" s="4">
        <v>45005.039479166669</v>
      </c>
      <c r="T1307">
        <v>0</v>
      </c>
      <c r="Y1307" t="s">
        <v>35</v>
      </c>
      <c r="AC1307" s="2">
        <f t="shared" si="180"/>
        <v>1</v>
      </c>
      <c r="AD1307" s="2">
        <f t="shared" si="181"/>
        <v>13</v>
      </c>
      <c r="AE1307" s="2">
        <f t="shared" si="182"/>
        <v>12</v>
      </c>
      <c r="AF1307" s="2">
        <f t="shared" si="183"/>
        <v>15</v>
      </c>
      <c r="AG1307" s="2">
        <f t="shared" si="184"/>
        <v>2</v>
      </c>
      <c r="AH1307" s="4">
        <f t="shared" si="185"/>
        <v>45095.039479166669</v>
      </c>
      <c r="AI1307" s="2" t="str">
        <f t="shared" si="186"/>
        <v/>
      </c>
      <c r="AJ1307" s="2" t="str">
        <f t="shared" si="187"/>
        <v/>
      </c>
      <c r="AK1307" s="2" t="str">
        <f t="shared" si="188"/>
        <v/>
      </c>
    </row>
    <row r="1308" spans="1:37" x14ac:dyDescent="0.25">
      <c r="A1308">
        <v>2996</v>
      </c>
      <c r="B1308" t="s">
        <v>1447</v>
      </c>
      <c r="C1308" t="s">
        <v>1362</v>
      </c>
      <c r="D1308" t="s">
        <v>1445</v>
      </c>
      <c r="E1308" t="s">
        <v>267</v>
      </c>
      <c r="F1308" t="s">
        <v>1446</v>
      </c>
      <c r="G1308" t="s">
        <v>269</v>
      </c>
      <c r="H1308" s="1">
        <v>44990.039479166669</v>
      </c>
      <c r="I1308" s="1">
        <v>44992.039479166669</v>
      </c>
      <c r="J1308" t="s">
        <v>32</v>
      </c>
      <c r="K1308" s="1">
        <v>44999.039479166669</v>
      </c>
      <c r="L1308" t="s">
        <v>39</v>
      </c>
      <c r="N1308" s="4">
        <v>45004.039479166669</v>
      </c>
      <c r="O1308" t="s">
        <v>39</v>
      </c>
      <c r="R1308" s="4">
        <v>45003.039479166669</v>
      </c>
      <c r="T1308">
        <v>0</v>
      </c>
      <c r="AC1308" s="2">
        <f t="shared" si="180"/>
        <v>2</v>
      </c>
      <c r="AD1308" s="2">
        <f t="shared" si="181"/>
        <v>9</v>
      </c>
      <c r="AE1308" s="2">
        <f t="shared" si="182"/>
        <v>7</v>
      </c>
      <c r="AF1308" s="2">
        <f t="shared" si="183"/>
        <v>13</v>
      </c>
      <c r="AG1308" s="2">
        <f t="shared" si="184"/>
        <v>4</v>
      </c>
      <c r="AH1308" s="4">
        <f t="shared" si="185"/>
        <v>45093.039479166669</v>
      </c>
      <c r="AI1308" s="2" t="str">
        <f t="shared" si="186"/>
        <v/>
      </c>
      <c r="AJ1308" s="2" t="str">
        <f t="shared" si="187"/>
        <v/>
      </c>
      <c r="AK1308" s="2" t="str">
        <f t="shared" si="188"/>
        <v/>
      </c>
    </row>
    <row r="1309" spans="1:37" x14ac:dyDescent="0.25">
      <c r="A1309">
        <v>2791</v>
      </c>
      <c r="B1309" t="s">
        <v>1448</v>
      </c>
      <c r="C1309" t="s">
        <v>1362</v>
      </c>
      <c r="D1309" t="s">
        <v>1445</v>
      </c>
      <c r="E1309" t="s">
        <v>267</v>
      </c>
      <c r="F1309" t="s">
        <v>1446</v>
      </c>
      <c r="G1309" t="s">
        <v>269</v>
      </c>
      <c r="H1309" s="1">
        <v>45106.834444444445</v>
      </c>
      <c r="I1309" s="1">
        <v>45107.834444444445</v>
      </c>
      <c r="J1309" t="s">
        <v>32</v>
      </c>
      <c r="K1309" s="1">
        <v>45112.834444444445</v>
      </c>
      <c r="L1309" t="s">
        <v>33</v>
      </c>
      <c r="M1309" t="s">
        <v>92</v>
      </c>
      <c r="T1309">
        <v>0</v>
      </c>
      <c r="Y1309" t="s">
        <v>55</v>
      </c>
      <c r="AC1309" s="2">
        <f t="shared" si="180"/>
        <v>1</v>
      </c>
      <c r="AD1309" s="2">
        <f t="shared" si="181"/>
        <v>6</v>
      </c>
      <c r="AE1309" s="2">
        <f t="shared" si="182"/>
        <v>5</v>
      </c>
      <c r="AF1309" s="2" t="str">
        <f t="shared" si="183"/>
        <v/>
      </c>
      <c r="AG1309" s="2" t="str">
        <f t="shared" si="184"/>
        <v/>
      </c>
      <c r="AH1309" s="4" t="str">
        <f t="shared" si="185"/>
        <v/>
      </c>
      <c r="AI1309" s="2" t="str">
        <f t="shared" si="186"/>
        <v/>
      </c>
      <c r="AJ1309" s="2" t="str">
        <f t="shared" si="187"/>
        <v/>
      </c>
      <c r="AK1309" s="2" t="str">
        <f t="shared" si="188"/>
        <v/>
      </c>
    </row>
    <row r="1310" spans="1:37" x14ac:dyDescent="0.25">
      <c r="A1310">
        <v>2769</v>
      </c>
      <c r="B1310" t="s">
        <v>1449</v>
      </c>
      <c r="C1310" t="s">
        <v>1362</v>
      </c>
      <c r="D1310" t="s">
        <v>1445</v>
      </c>
      <c r="E1310" t="s">
        <v>267</v>
      </c>
      <c r="F1310" t="s">
        <v>1446</v>
      </c>
      <c r="G1310" t="s">
        <v>269</v>
      </c>
      <c r="H1310" s="1">
        <v>44803.301701388889</v>
      </c>
      <c r="I1310" s="1">
        <v>44807.301701388889</v>
      </c>
      <c r="J1310" t="s">
        <v>32</v>
      </c>
      <c r="K1310" s="1">
        <v>44822.301701388889</v>
      </c>
      <c r="L1310" t="s">
        <v>164</v>
      </c>
      <c r="N1310" s="4">
        <v>44826.301701388889</v>
      </c>
      <c r="O1310" t="s">
        <v>164</v>
      </c>
      <c r="R1310" s="4">
        <v>44823.301701388889</v>
      </c>
      <c r="T1310">
        <v>0</v>
      </c>
      <c r="AC1310" s="2">
        <f t="shared" si="180"/>
        <v>4</v>
      </c>
      <c r="AD1310" s="2">
        <f t="shared" si="181"/>
        <v>19</v>
      </c>
      <c r="AE1310" s="2">
        <f t="shared" si="182"/>
        <v>15</v>
      </c>
      <c r="AF1310" s="2">
        <f t="shared" si="183"/>
        <v>20</v>
      </c>
      <c r="AG1310" s="2">
        <f t="shared" si="184"/>
        <v>1</v>
      </c>
      <c r="AH1310" s="4">
        <f t="shared" si="185"/>
        <v>44913.301701388889</v>
      </c>
      <c r="AI1310" s="2" t="str">
        <f t="shared" si="186"/>
        <v/>
      </c>
      <c r="AJ1310" s="2" t="str">
        <f t="shared" si="187"/>
        <v/>
      </c>
      <c r="AK1310" s="2" t="str">
        <f t="shared" si="188"/>
        <v/>
      </c>
    </row>
    <row r="1311" spans="1:37" x14ac:dyDescent="0.25">
      <c r="A1311">
        <v>2742</v>
      </c>
      <c r="B1311" t="s">
        <v>1450</v>
      </c>
      <c r="C1311" t="s">
        <v>1362</v>
      </c>
      <c r="D1311" t="s">
        <v>1445</v>
      </c>
      <c r="E1311" t="s">
        <v>267</v>
      </c>
      <c r="F1311" t="s">
        <v>1446</v>
      </c>
      <c r="G1311" t="s">
        <v>269</v>
      </c>
      <c r="H1311" s="1">
        <v>44668.561030092591</v>
      </c>
      <c r="I1311" s="1">
        <v>44672.561030092591</v>
      </c>
      <c r="J1311" t="s">
        <v>32</v>
      </c>
      <c r="K1311" s="1">
        <v>44679.561030092591</v>
      </c>
      <c r="L1311" t="s">
        <v>33</v>
      </c>
      <c r="M1311" t="s">
        <v>67</v>
      </c>
      <c r="R1311" s="4">
        <v>44682.561030092591</v>
      </c>
      <c r="T1311">
        <v>0</v>
      </c>
      <c r="Y1311" t="s">
        <v>55</v>
      </c>
      <c r="AC1311" s="2">
        <f t="shared" si="180"/>
        <v>4</v>
      </c>
      <c r="AD1311" s="2">
        <f t="shared" si="181"/>
        <v>11</v>
      </c>
      <c r="AE1311" s="2">
        <f t="shared" si="182"/>
        <v>7</v>
      </c>
      <c r="AF1311" s="2">
        <f t="shared" si="183"/>
        <v>14</v>
      </c>
      <c r="AG1311" s="2">
        <f t="shared" si="184"/>
        <v>3</v>
      </c>
      <c r="AH1311" s="4">
        <f t="shared" si="185"/>
        <v>44772.561030092591</v>
      </c>
      <c r="AI1311" s="2" t="str">
        <f t="shared" si="186"/>
        <v/>
      </c>
      <c r="AJ1311" s="2" t="str">
        <f t="shared" si="187"/>
        <v/>
      </c>
      <c r="AK1311" s="2" t="str">
        <f t="shared" si="188"/>
        <v/>
      </c>
    </row>
    <row r="1312" spans="1:37" x14ac:dyDescent="0.25">
      <c r="A1312">
        <v>2622</v>
      </c>
      <c r="B1312" t="s">
        <v>1451</v>
      </c>
      <c r="C1312" t="s">
        <v>1362</v>
      </c>
      <c r="D1312" t="s">
        <v>1445</v>
      </c>
      <c r="E1312" t="s">
        <v>267</v>
      </c>
      <c r="F1312" t="s">
        <v>1446</v>
      </c>
      <c r="G1312" t="s">
        <v>269</v>
      </c>
      <c r="H1312" s="1">
        <v>45096.668356481481</v>
      </c>
      <c r="I1312" s="1">
        <v>45099.668356481481</v>
      </c>
      <c r="J1312" t="s">
        <v>32</v>
      </c>
      <c r="K1312" s="1">
        <v>45110.668356481481</v>
      </c>
      <c r="L1312" t="s">
        <v>33</v>
      </c>
      <c r="M1312" t="s">
        <v>51</v>
      </c>
      <c r="R1312" s="4">
        <v>45113.668356481481</v>
      </c>
      <c r="T1312">
        <v>0</v>
      </c>
      <c r="Y1312" t="s">
        <v>55</v>
      </c>
      <c r="AC1312" s="2">
        <f t="shared" si="180"/>
        <v>3</v>
      </c>
      <c r="AD1312" s="2">
        <f t="shared" si="181"/>
        <v>14</v>
      </c>
      <c r="AE1312" s="2">
        <f t="shared" si="182"/>
        <v>11</v>
      </c>
      <c r="AF1312" s="2">
        <f t="shared" si="183"/>
        <v>17</v>
      </c>
      <c r="AG1312" s="2">
        <f t="shared" si="184"/>
        <v>3</v>
      </c>
      <c r="AH1312" s="4">
        <f t="shared" si="185"/>
        <v>45203.668356481481</v>
      </c>
      <c r="AI1312" s="2" t="str">
        <f t="shared" si="186"/>
        <v/>
      </c>
      <c r="AJ1312" s="2" t="str">
        <f t="shared" si="187"/>
        <v/>
      </c>
      <c r="AK1312" s="2" t="str">
        <f t="shared" si="188"/>
        <v/>
      </c>
    </row>
    <row r="1313" spans="1:37" x14ac:dyDescent="0.25">
      <c r="A1313">
        <v>2619</v>
      </c>
      <c r="B1313" t="s">
        <v>1452</v>
      </c>
      <c r="C1313" t="s">
        <v>1362</v>
      </c>
      <c r="D1313" t="s">
        <v>1445</v>
      </c>
      <c r="E1313" t="s">
        <v>267</v>
      </c>
      <c r="F1313" t="s">
        <v>1446</v>
      </c>
      <c r="G1313" t="s">
        <v>269</v>
      </c>
      <c r="H1313" s="1">
        <v>44930.379525462966</v>
      </c>
      <c r="I1313" s="1">
        <v>44932.379525462966</v>
      </c>
      <c r="J1313" t="s">
        <v>32</v>
      </c>
      <c r="K1313" s="1">
        <v>44941.379525462966</v>
      </c>
      <c r="L1313" t="s">
        <v>33</v>
      </c>
      <c r="M1313" t="s">
        <v>67</v>
      </c>
      <c r="R1313" s="4">
        <v>44944.379525462966</v>
      </c>
      <c r="T1313">
        <v>0</v>
      </c>
      <c r="Y1313" t="s">
        <v>35</v>
      </c>
      <c r="AC1313" s="2">
        <f t="shared" si="180"/>
        <v>2</v>
      </c>
      <c r="AD1313" s="2">
        <f t="shared" si="181"/>
        <v>11</v>
      </c>
      <c r="AE1313" s="2">
        <f t="shared" si="182"/>
        <v>9</v>
      </c>
      <c r="AF1313" s="2">
        <f t="shared" si="183"/>
        <v>14</v>
      </c>
      <c r="AG1313" s="2">
        <f t="shared" si="184"/>
        <v>3</v>
      </c>
      <c r="AH1313" s="4">
        <f t="shared" si="185"/>
        <v>45034.379525462966</v>
      </c>
      <c r="AI1313" s="2" t="str">
        <f t="shared" si="186"/>
        <v/>
      </c>
      <c r="AJ1313" s="2" t="str">
        <f t="shared" si="187"/>
        <v/>
      </c>
      <c r="AK1313" s="2" t="str">
        <f t="shared" si="188"/>
        <v/>
      </c>
    </row>
    <row r="1314" spans="1:37" x14ac:dyDescent="0.25">
      <c r="A1314">
        <v>2592</v>
      </c>
      <c r="B1314" t="s">
        <v>1453</v>
      </c>
      <c r="C1314" t="s">
        <v>1362</v>
      </c>
      <c r="D1314" t="s">
        <v>1445</v>
      </c>
      <c r="E1314" t="s">
        <v>267</v>
      </c>
      <c r="F1314" t="s">
        <v>1446</v>
      </c>
      <c r="G1314" t="s">
        <v>269</v>
      </c>
      <c r="H1314" s="1">
        <v>44949.403136574074</v>
      </c>
      <c r="I1314" s="1">
        <v>44950.403136574074</v>
      </c>
      <c r="J1314" t="s">
        <v>32</v>
      </c>
      <c r="K1314" s="1">
        <v>44958.403136574074</v>
      </c>
      <c r="L1314" t="s">
        <v>33</v>
      </c>
      <c r="M1314" t="s">
        <v>34</v>
      </c>
      <c r="R1314" s="4">
        <v>44960.403136574074</v>
      </c>
      <c r="T1314">
        <v>0</v>
      </c>
      <c r="Y1314" t="s">
        <v>55</v>
      </c>
      <c r="AC1314" s="2">
        <f t="shared" si="180"/>
        <v>1</v>
      </c>
      <c r="AD1314" s="2">
        <f t="shared" si="181"/>
        <v>9</v>
      </c>
      <c r="AE1314" s="2">
        <f t="shared" si="182"/>
        <v>8</v>
      </c>
      <c r="AF1314" s="2">
        <f t="shared" si="183"/>
        <v>11</v>
      </c>
      <c r="AG1314" s="2">
        <f t="shared" si="184"/>
        <v>2</v>
      </c>
      <c r="AH1314" s="4">
        <f t="shared" si="185"/>
        <v>45050.403136574074</v>
      </c>
      <c r="AI1314" s="2" t="str">
        <f t="shared" si="186"/>
        <v/>
      </c>
      <c r="AJ1314" s="2" t="str">
        <f t="shared" si="187"/>
        <v/>
      </c>
      <c r="AK1314" s="2" t="str">
        <f t="shared" si="188"/>
        <v/>
      </c>
    </row>
    <row r="1315" spans="1:37" x14ac:dyDescent="0.25">
      <c r="A1315">
        <v>2571</v>
      </c>
      <c r="B1315" t="s">
        <v>1454</v>
      </c>
      <c r="C1315" t="s">
        <v>1362</v>
      </c>
      <c r="D1315" t="s">
        <v>1445</v>
      </c>
      <c r="E1315" t="s">
        <v>267</v>
      </c>
      <c r="F1315" t="s">
        <v>1446</v>
      </c>
      <c r="G1315" t="s">
        <v>269</v>
      </c>
      <c r="H1315" s="1">
        <v>44637.718425925923</v>
      </c>
      <c r="I1315" s="1">
        <v>44640.718425925923</v>
      </c>
      <c r="J1315" t="s">
        <v>32</v>
      </c>
      <c r="K1315" s="1">
        <v>44650.718425925923</v>
      </c>
      <c r="L1315" t="s">
        <v>33</v>
      </c>
      <c r="M1315" t="s">
        <v>92</v>
      </c>
      <c r="T1315">
        <v>0</v>
      </c>
      <c r="Y1315" t="s">
        <v>55</v>
      </c>
      <c r="AC1315" s="2">
        <f t="shared" si="180"/>
        <v>3</v>
      </c>
      <c r="AD1315" s="2">
        <f t="shared" si="181"/>
        <v>13</v>
      </c>
      <c r="AE1315" s="2">
        <f t="shared" si="182"/>
        <v>10</v>
      </c>
      <c r="AF1315" s="2" t="str">
        <f t="shared" si="183"/>
        <v/>
      </c>
      <c r="AG1315" s="2" t="str">
        <f t="shared" si="184"/>
        <v/>
      </c>
      <c r="AH1315" s="4" t="str">
        <f t="shared" si="185"/>
        <v/>
      </c>
      <c r="AI1315" s="2" t="str">
        <f t="shared" si="186"/>
        <v/>
      </c>
      <c r="AJ1315" s="2" t="str">
        <f t="shared" si="187"/>
        <v/>
      </c>
      <c r="AK1315" s="2" t="str">
        <f t="shared" si="188"/>
        <v/>
      </c>
    </row>
    <row r="1316" spans="1:37" x14ac:dyDescent="0.25">
      <c r="A1316">
        <v>2525</v>
      </c>
      <c r="B1316" t="s">
        <v>1455</v>
      </c>
      <c r="C1316" t="s">
        <v>1362</v>
      </c>
      <c r="D1316" t="s">
        <v>1445</v>
      </c>
      <c r="E1316" t="s">
        <v>267</v>
      </c>
      <c r="F1316" t="s">
        <v>1446</v>
      </c>
      <c r="G1316" t="s">
        <v>269</v>
      </c>
      <c r="H1316" s="1">
        <v>45028.778819444444</v>
      </c>
      <c r="I1316" s="1">
        <v>45030.778819444444</v>
      </c>
      <c r="J1316" t="s">
        <v>32</v>
      </c>
      <c r="K1316" s="1">
        <v>45045.778819444444</v>
      </c>
      <c r="L1316" t="s">
        <v>57</v>
      </c>
      <c r="N1316" s="4">
        <v>45047.778819444444</v>
      </c>
      <c r="O1316" t="s">
        <v>57</v>
      </c>
      <c r="P1316" s="4">
        <v>45047.778819444444</v>
      </c>
      <c r="Q1316" s="4">
        <v>45051.778819444444</v>
      </c>
      <c r="R1316" s="4">
        <v>45046.778819444444</v>
      </c>
      <c r="S1316" s="4">
        <v>45052.778819444444</v>
      </c>
      <c r="T1316">
        <v>1</v>
      </c>
      <c r="U1316" s="4">
        <v>45053.778819444444</v>
      </c>
      <c r="V1316" s="4">
        <v>45056.778819444444</v>
      </c>
      <c r="W1316" s="4">
        <v>45057.778819444444</v>
      </c>
      <c r="Z1316" s="4">
        <v>45073.778819444444</v>
      </c>
      <c r="AC1316" s="2">
        <f t="shared" si="180"/>
        <v>2</v>
      </c>
      <c r="AD1316" s="2">
        <f t="shared" si="181"/>
        <v>17</v>
      </c>
      <c r="AE1316" s="2">
        <f t="shared" si="182"/>
        <v>15</v>
      </c>
      <c r="AF1316" s="2">
        <f t="shared" si="183"/>
        <v>18</v>
      </c>
      <c r="AG1316" s="2">
        <f t="shared" si="184"/>
        <v>1</v>
      </c>
      <c r="AH1316" s="4">
        <f t="shared" si="185"/>
        <v>45136.778819444444</v>
      </c>
      <c r="AI1316" s="2">
        <f t="shared" si="186"/>
        <v>1</v>
      </c>
      <c r="AJ1316" s="2">
        <f t="shared" si="187"/>
        <v>27</v>
      </c>
      <c r="AK1316" s="2">
        <f t="shared" si="188"/>
        <v>11</v>
      </c>
    </row>
    <row r="1317" spans="1:37" x14ac:dyDescent="0.25">
      <c r="A1317">
        <v>2521</v>
      </c>
      <c r="B1317" t="s">
        <v>1456</v>
      </c>
      <c r="C1317" t="s">
        <v>1362</v>
      </c>
      <c r="D1317" t="s">
        <v>1445</v>
      </c>
      <c r="E1317" t="s">
        <v>267</v>
      </c>
      <c r="F1317" t="s">
        <v>1446</v>
      </c>
      <c r="G1317" t="s">
        <v>269</v>
      </c>
      <c r="H1317" s="1">
        <v>45026.778819444444</v>
      </c>
      <c r="I1317" s="1">
        <v>45027.778819444444</v>
      </c>
      <c r="J1317" t="s">
        <v>32</v>
      </c>
      <c r="K1317" s="1">
        <v>45045.778819444444</v>
      </c>
      <c r="L1317" t="s">
        <v>33</v>
      </c>
      <c r="M1317" t="s">
        <v>108</v>
      </c>
      <c r="R1317" s="4">
        <v>45046.778819444444</v>
      </c>
      <c r="T1317">
        <v>0</v>
      </c>
      <c r="Y1317" t="s">
        <v>35</v>
      </c>
      <c r="AC1317" s="2">
        <f t="shared" si="180"/>
        <v>1</v>
      </c>
      <c r="AD1317" s="2">
        <f t="shared" si="181"/>
        <v>19</v>
      </c>
      <c r="AE1317" s="2">
        <f t="shared" si="182"/>
        <v>18</v>
      </c>
      <c r="AF1317" s="2">
        <f t="shared" si="183"/>
        <v>20</v>
      </c>
      <c r="AG1317" s="2">
        <f t="shared" si="184"/>
        <v>1</v>
      </c>
      <c r="AH1317" s="4">
        <f t="shared" si="185"/>
        <v>45136.778819444444</v>
      </c>
      <c r="AI1317" s="2" t="str">
        <f t="shared" si="186"/>
        <v/>
      </c>
      <c r="AJ1317" s="2" t="str">
        <f t="shared" si="187"/>
        <v/>
      </c>
      <c r="AK1317" s="2" t="str">
        <f t="shared" si="188"/>
        <v/>
      </c>
    </row>
    <row r="1318" spans="1:37" x14ac:dyDescent="0.25">
      <c r="A1318">
        <v>2399</v>
      </c>
      <c r="B1318" t="s">
        <v>1457</v>
      </c>
      <c r="C1318" t="s">
        <v>1362</v>
      </c>
      <c r="D1318" t="s">
        <v>1445</v>
      </c>
      <c r="E1318" t="s">
        <v>267</v>
      </c>
      <c r="F1318" t="s">
        <v>1446</v>
      </c>
      <c r="G1318" t="s">
        <v>269</v>
      </c>
      <c r="H1318" s="1">
        <v>45125.731192129628</v>
      </c>
      <c r="I1318" s="1">
        <v>45128.731192129628</v>
      </c>
      <c r="J1318" t="s">
        <v>32</v>
      </c>
      <c r="K1318" s="1">
        <v>45139.731192129628</v>
      </c>
      <c r="L1318" t="s">
        <v>39</v>
      </c>
      <c r="N1318" s="4">
        <v>45145.731192129628</v>
      </c>
      <c r="O1318" t="s">
        <v>39</v>
      </c>
      <c r="R1318" s="4">
        <v>45141.731192129628</v>
      </c>
      <c r="T1318">
        <v>0</v>
      </c>
      <c r="AC1318" s="2">
        <f t="shared" si="180"/>
        <v>3</v>
      </c>
      <c r="AD1318" s="2">
        <f t="shared" si="181"/>
        <v>14</v>
      </c>
      <c r="AE1318" s="2">
        <f t="shared" si="182"/>
        <v>11</v>
      </c>
      <c r="AF1318" s="2">
        <f t="shared" si="183"/>
        <v>16</v>
      </c>
      <c r="AG1318" s="2">
        <f t="shared" si="184"/>
        <v>2</v>
      </c>
      <c r="AH1318" s="4">
        <f t="shared" si="185"/>
        <v>45231.731192129628</v>
      </c>
      <c r="AI1318" s="2" t="str">
        <f t="shared" si="186"/>
        <v/>
      </c>
      <c r="AJ1318" s="2" t="str">
        <f t="shared" si="187"/>
        <v/>
      </c>
      <c r="AK1318" s="2" t="str">
        <f t="shared" si="188"/>
        <v/>
      </c>
    </row>
    <row r="1319" spans="1:37" x14ac:dyDescent="0.25">
      <c r="A1319">
        <v>2139</v>
      </c>
      <c r="B1319" t="s">
        <v>1458</v>
      </c>
      <c r="C1319" t="s">
        <v>1362</v>
      </c>
      <c r="D1319" t="s">
        <v>1445</v>
      </c>
      <c r="E1319" t="s">
        <v>267</v>
      </c>
      <c r="F1319" t="s">
        <v>1446</v>
      </c>
      <c r="G1319" t="s">
        <v>269</v>
      </c>
      <c r="H1319" s="1">
        <v>44771.516493055555</v>
      </c>
      <c r="I1319" s="1">
        <v>44775.516493055555</v>
      </c>
      <c r="J1319" t="s">
        <v>32</v>
      </c>
      <c r="K1319" s="1">
        <v>44793.516493055555</v>
      </c>
      <c r="L1319" t="s">
        <v>33</v>
      </c>
      <c r="M1319" t="s">
        <v>34</v>
      </c>
      <c r="T1319">
        <v>0</v>
      </c>
      <c r="Y1319" t="s">
        <v>35</v>
      </c>
      <c r="AC1319" s="2">
        <f t="shared" si="180"/>
        <v>4</v>
      </c>
      <c r="AD1319" s="2">
        <f t="shared" si="181"/>
        <v>22</v>
      </c>
      <c r="AE1319" s="2">
        <f t="shared" si="182"/>
        <v>18</v>
      </c>
      <c r="AF1319" s="2" t="str">
        <f t="shared" si="183"/>
        <v/>
      </c>
      <c r="AG1319" s="2" t="str">
        <f t="shared" si="184"/>
        <v/>
      </c>
      <c r="AH1319" s="4" t="str">
        <f t="shared" si="185"/>
        <v/>
      </c>
      <c r="AI1319" s="2" t="str">
        <f t="shared" si="186"/>
        <v/>
      </c>
      <c r="AJ1319" s="2" t="str">
        <f t="shared" si="187"/>
        <v/>
      </c>
      <c r="AK1319" s="2" t="str">
        <f t="shared" si="188"/>
        <v/>
      </c>
    </row>
    <row r="1320" spans="1:37" x14ac:dyDescent="0.25">
      <c r="A1320">
        <v>2131</v>
      </c>
      <c r="B1320" t="s">
        <v>1459</v>
      </c>
      <c r="C1320" t="s">
        <v>1362</v>
      </c>
      <c r="D1320" t="s">
        <v>1445</v>
      </c>
      <c r="E1320" t="s">
        <v>267</v>
      </c>
      <c r="F1320" t="s">
        <v>1446</v>
      </c>
      <c r="G1320" t="s">
        <v>269</v>
      </c>
      <c r="H1320" s="1">
        <v>44773.516493055555</v>
      </c>
      <c r="I1320" s="1">
        <v>44776.516493055555</v>
      </c>
      <c r="J1320" t="s">
        <v>32</v>
      </c>
      <c r="K1320" s="1">
        <v>44788.516493055555</v>
      </c>
      <c r="L1320" t="s">
        <v>39</v>
      </c>
      <c r="N1320" s="4">
        <v>44792.516493055555</v>
      </c>
      <c r="O1320" t="s">
        <v>39</v>
      </c>
      <c r="R1320" s="4">
        <v>44790.516493055555</v>
      </c>
      <c r="T1320">
        <v>0</v>
      </c>
      <c r="AC1320" s="2">
        <f t="shared" si="180"/>
        <v>3</v>
      </c>
      <c r="AD1320" s="2">
        <f t="shared" si="181"/>
        <v>15</v>
      </c>
      <c r="AE1320" s="2">
        <f t="shared" si="182"/>
        <v>12</v>
      </c>
      <c r="AF1320" s="2">
        <f t="shared" si="183"/>
        <v>17</v>
      </c>
      <c r="AG1320" s="2">
        <f t="shared" si="184"/>
        <v>2</v>
      </c>
      <c r="AH1320" s="4">
        <f t="shared" si="185"/>
        <v>44880.516493055555</v>
      </c>
      <c r="AI1320" s="2" t="str">
        <f t="shared" si="186"/>
        <v/>
      </c>
      <c r="AJ1320" s="2" t="str">
        <f t="shared" si="187"/>
        <v/>
      </c>
      <c r="AK1320" s="2" t="str">
        <f t="shared" si="188"/>
        <v/>
      </c>
    </row>
    <row r="1321" spans="1:37" x14ac:dyDescent="0.25">
      <c r="A1321">
        <v>2108</v>
      </c>
      <c r="B1321" t="s">
        <v>1460</v>
      </c>
      <c r="C1321" t="s">
        <v>1362</v>
      </c>
      <c r="D1321" t="s">
        <v>1445</v>
      </c>
      <c r="E1321" t="s">
        <v>267</v>
      </c>
      <c r="F1321" t="s">
        <v>1446</v>
      </c>
      <c r="G1321" t="s">
        <v>269</v>
      </c>
      <c r="H1321" s="1">
        <v>44684.022326388891</v>
      </c>
      <c r="I1321" s="1">
        <v>44688.022326388891</v>
      </c>
      <c r="J1321" t="s">
        <v>32</v>
      </c>
      <c r="K1321" s="1">
        <v>44705.022326388891</v>
      </c>
      <c r="L1321" t="s">
        <v>33</v>
      </c>
      <c r="M1321" t="s">
        <v>92</v>
      </c>
      <c r="R1321" s="4">
        <v>44707.022326388891</v>
      </c>
      <c r="T1321">
        <v>0</v>
      </c>
      <c r="Y1321" t="s">
        <v>55</v>
      </c>
      <c r="AC1321" s="2">
        <f t="shared" si="180"/>
        <v>4</v>
      </c>
      <c r="AD1321" s="2">
        <f t="shared" si="181"/>
        <v>21</v>
      </c>
      <c r="AE1321" s="2">
        <f t="shared" si="182"/>
        <v>17</v>
      </c>
      <c r="AF1321" s="2">
        <f t="shared" si="183"/>
        <v>23</v>
      </c>
      <c r="AG1321" s="2">
        <f t="shared" si="184"/>
        <v>2</v>
      </c>
      <c r="AH1321" s="4">
        <f t="shared" si="185"/>
        <v>44797.022326388891</v>
      </c>
      <c r="AI1321" s="2" t="str">
        <f t="shared" si="186"/>
        <v/>
      </c>
      <c r="AJ1321" s="2" t="str">
        <f t="shared" si="187"/>
        <v/>
      </c>
      <c r="AK1321" s="2" t="str">
        <f t="shared" si="188"/>
        <v/>
      </c>
    </row>
    <row r="1322" spans="1:37" x14ac:dyDescent="0.25">
      <c r="A1322">
        <v>2094</v>
      </c>
      <c r="B1322" t="s">
        <v>1461</v>
      </c>
      <c r="C1322" t="s">
        <v>1362</v>
      </c>
      <c r="D1322" t="s">
        <v>1445</v>
      </c>
      <c r="E1322" t="s">
        <v>267</v>
      </c>
      <c r="F1322" t="s">
        <v>1446</v>
      </c>
      <c r="G1322" t="s">
        <v>269</v>
      </c>
      <c r="H1322" s="1">
        <v>44857.987488425926</v>
      </c>
      <c r="I1322" s="1">
        <v>44861.987488425926</v>
      </c>
      <c r="J1322" t="s">
        <v>32</v>
      </c>
      <c r="K1322" s="1">
        <v>44869.987488425926</v>
      </c>
      <c r="L1322" t="s">
        <v>33</v>
      </c>
      <c r="M1322" t="s">
        <v>34</v>
      </c>
      <c r="T1322">
        <v>0</v>
      </c>
      <c r="Y1322" t="s">
        <v>55</v>
      </c>
      <c r="AC1322" s="2">
        <f t="shared" si="180"/>
        <v>4</v>
      </c>
      <c r="AD1322" s="2">
        <f t="shared" si="181"/>
        <v>12</v>
      </c>
      <c r="AE1322" s="2">
        <f t="shared" si="182"/>
        <v>8</v>
      </c>
      <c r="AF1322" s="2" t="str">
        <f t="shared" si="183"/>
        <v/>
      </c>
      <c r="AG1322" s="2" t="str">
        <f t="shared" si="184"/>
        <v/>
      </c>
      <c r="AH1322" s="4" t="str">
        <f t="shared" si="185"/>
        <v/>
      </c>
      <c r="AI1322" s="2" t="str">
        <f t="shared" si="186"/>
        <v/>
      </c>
      <c r="AJ1322" s="2" t="str">
        <f t="shared" si="187"/>
        <v/>
      </c>
      <c r="AK1322" s="2" t="str">
        <f t="shared" si="188"/>
        <v/>
      </c>
    </row>
    <row r="1323" spans="1:37" x14ac:dyDescent="0.25">
      <c r="A1323">
        <v>1937</v>
      </c>
      <c r="B1323" t="s">
        <v>1462</v>
      </c>
      <c r="C1323" t="s">
        <v>1362</v>
      </c>
      <c r="D1323" t="s">
        <v>1445</v>
      </c>
      <c r="E1323" t="s">
        <v>267</v>
      </c>
      <c r="F1323" t="s">
        <v>1446</v>
      </c>
      <c r="G1323" t="s">
        <v>269</v>
      </c>
      <c r="H1323" s="1">
        <v>45182.30609953704</v>
      </c>
      <c r="I1323" s="1">
        <v>45183.30609953704</v>
      </c>
      <c r="J1323" t="s">
        <v>32</v>
      </c>
      <c r="K1323" s="1">
        <v>45189.30609953704</v>
      </c>
      <c r="L1323" t="s">
        <v>33</v>
      </c>
      <c r="M1323" t="s">
        <v>67</v>
      </c>
      <c r="R1323" s="4">
        <v>45192.30609953704</v>
      </c>
      <c r="T1323">
        <v>0</v>
      </c>
      <c r="Y1323" t="s">
        <v>35</v>
      </c>
      <c r="AC1323" s="2">
        <f t="shared" si="180"/>
        <v>1</v>
      </c>
      <c r="AD1323" s="2">
        <f t="shared" si="181"/>
        <v>7</v>
      </c>
      <c r="AE1323" s="2">
        <f t="shared" si="182"/>
        <v>6</v>
      </c>
      <c r="AF1323" s="2">
        <f t="shared" si="183"/>
        <v>10</v>
      </c>
      <c r="AG1323" s="2">
        <f t="shared" si="184"/>
        <v>3</v>
      </c>
      <c r="AH1323" s="4">
        <f t="shared" si="185"/>
        <v>45282.30609953704</v>
      </c>
      <c r="AI1323" s="2" t="str">
        <f t="shared" si="186"/>
        <v/>
      </c>
      <c r="AJ1323" s="2" t="str">
        <f t="shared" si="187"/>
        <v/>
      </c>
      <c r="AK1323" s="2" t="str">
        <f t="shared" si="188"/>
        <v/>
      </c>
    </row>
    <row r="1324" spans="1:37" x14ac:dyDescent="0.25">
      <c r="A1324">
        <v>1936</v>
      </c>
      <c r="B1324" t="s">
        <v>1463</v>
      </c>
      <c r="C1324" t="s">
        <v>1362</v>
      </c>
      <c r="D1324" t="s">
        <v>1445</v>
      </c>
      <c r="E1324" t="s">
        <v>267</v>
      </c>
      <c r="F1324" t="s">
        <v>1446</v>
      </c>
      <c r="G1324" t="s">
        <v>269</v>
      </c>
      <c r="H1324" s="1">
        <v>45180.30609953704</v>
      </c>
      <c r="I1324" s="1">
        <v>45181.30609953704</v>
      </c>
      <c r="J1324" t="s">
        <v>32</v>
      </c>
      <c r="K1324" s="1">
        <v>45193.30609953704</v>
      </c>
      <c r="L1324" t="s">
        <v>164</v>
      </c>
      <c r="N1324" s="4">
        <v>45198.30609953704</v>
      </c>
      <c r="O1324" t="s">
        <v>164</v>
      </c>
      <c r="R1324" s="4">
        <v>45196.30609953704</v>
      </c>
      <c r="T1324">
        <v>0</v>
      </c>
      <c r="AC1324" s="2">
        <f t="shared" si="180"/>
        <v>1</v>
      </c>
      <c r="AD1324" s="2">
        <f t="shared" si="181"/>
        <v>13</v>
      </c>
      <c r="AE1324" s="2">
        <f t="shared" si="182"/>
        <v>12</v>
      </c>
      <c r="AF1324" s="2">
        <f t="shared" si="183"/>
        <v>16</v>
      </c>
      <c r="AG1324" s="2">
        <f t="shared" si="184"/>
        <v>3</v>
      </c>
      <c r="AH1324" s="4">
        <f t="shared" si="185"/>
        <v>45286.30609953704</v>
      </c>
      <c r="AI1324" s="2" t="str">
        <f t="shared" si="186"/>
        <v/>
      </c>
      <c r="AJ1324" s="2" t="str">
        <f t="shared" si="187"/>
        <v/>
      </c>
      <c r="AK1324" s="2" t="str">
        <f t="shared" si="188"/>
        <v/>
      </c>
    </row>
    <row r="1325" spans="1:37" x14ac:dyDescent="0.25">
      <c r="A1325">
        <v>1879</v>
      </c>
      <c r="B1325" t="s">
        <v>1464</v>
      </c>
      <c r="C1325" t="s">
        <v>1362</v>
      </c>
      <c r="D1325" t="s">
        <v>1445</v>
      </c>
      <c r="E1325" t="s">
        <v>267</v>
      </c>
      <c r="F1325" t="s">
        <v>1446</v>
      </c>
      <c r="G1325" t="s">
        <v>269</v>
      </c>
      <c r="H1325" s="1">
        <v>44573.732974537037</v>
      </c>
      <c r="I1325" s="1">
        <v>44577.732974537037</v>
      </c>
      <c r="J1325" t="s">
        <v>32</v>
      </c>
      <c r="K1325" s="1">
        <v>44596.732974537037</v>
      </c>
      <c r="L1325" t="s">
        <v>39</v>
      </c>
      <c r="N1325" s="4">
        <v>44599.732974537037</v>
      </c>
      <c r="O1325" t="s">
        <v>39</v>
      </c>
      <c r="R1325" s="4">
        <v>44597.732974537037</v>
      </c>
      <c r="T1325">
        <v>0</v>
      </c>
      <c r="AC1325" s="2">
        <f t="shared" si="180"/>
        <v>4</v>
      </c>
      <c r="AD1325" s="2">
        <f t="shared" si="181"/>
        <v>23</v>
      </c>
      <c r="AE1325" s="2">
        <f t="shared" si="182"/>
        <v>19</v>
      </c>
      <c r="AF1325" s="2">
        <f t="shared" si="183"/>
        <v>24</v>
      </c>
      <c r="AG1325" s="2">
        <f t="shared" si="184"/>
        <v>1</v>
      </c>
      <c r="AH1325" s="4">
        <f t="shared" si="185"/>
        <v>44687.732974537037</v>
      </c>
      <c r="AI1325" s="2" t="str">
        <f t="shared" si="186"/>
        <v/>
      </c>
      <c r="AJ1325" s="2" t="str">
        <f t="shared" si="187"/>
        <v/>
      </c>
      <c r="AK1325" s="2" t="str">
        <f t="shared" si="188"/>
        <v/>
      </c>
    </row>
    <row r="1326" spans="1:37" x14ac:dyDescent="0.25">
      <c r="A1326">
        <v>1877</v>
      </c>
      <c r="B1326" t="s">
        <v>1465</v>
      </c>
      <c r="C1326" t="s">
        <v>1362</v>
      </c>
      <c r="D1326" t="s">
        <v>1445</v>
      </c>
      <c r="E1326" t="s">
        <v>267</v>
      </c>
      <c r="F1326" t="s">
        <v>1446</v>
      </c>
      <c r="G1326" t="s">
        <v>269</v>
      </c>
      <c r="H1326" s="1">
        <v>44577.732974537037</v>
      </c>
      <c r="I1326" s="1">
        <v>44579.732974537037</v>
      </c>
      <c r="J1326" t="s">
        <v>32</v>
      </c>
      <c r="K1326" s="1">
        <v>44591.732974537037</v>
      </c>
      <c r="L1326" t="s">
        <v>39</v>
      </c>
      <c r="N1326" s="4">
        <v>44595.732974537037</v>
      </c>
      <c r="O1326" t="s">
        <v>39</v>
      </c>
      <c r="R1326" s="4">
        <v>44594.732974537037</v>
      </c>
      <c r="T1326">
        <v>0</v>
      </c>
      <c r="AC1326" s="2">
        <f t="shared" si="180"/>
        <v>2</v>
      </c>
      <c r="AD1326" s="2">
        <f t="shared" si="181"/>
        <v>14</v>
      </c>
      <c r="AE1326" s="2">
        <f t="shared" si="182"/>
        <v>12</v>
      </c>
      <c r="AF1326" s="2">
        <f t="shared" si="183"/>
        <v>17</v>
      </c>
      <c r="AG1326" s="2">
        <f t="shared" si="184"/>
        <v>3</v>
      </c>
      <c r="AH1326" s="4">
        <f t="shared" si="185"/>
        <v>44684.732974537037</v>
      </c>
      <c r="AI1326" s="2" t="str">
        <f t="shared" si="186"/>
        <v/>
      </c>
      <c r="AJ1326" s="2" t="str">
        <f t="shared" si="187"/>
        <v/>
      </c>
      <c r="AK1326" s="2" t="str">
        <f t="shared" si="188"/>
        <v/>
      </c>
    </row>
    <row r="1327" spans="1:37" x14ac:dyDescent="0.25">
      <c r="A1327">
        <v>1712</v>
      </c>
      <c r="B1327" t="s">
        <v>1466</v>
      </c>
      <c r="C1327" t="s">
        <v>1362</v>
      </c>
      <c r="D1327" t="s">
        <v>1445</v>
      </c>
      <c r="E1327" t="s">
        <v>267</v>
      </c>
      <c r="F1327" t="s">
        <v>1446</v>
      </c>
      <c r="G1327" t="s">
        <v>269</v>
      </c>
      <c r="H1327" s="1">
        <v>44564.077685185184</v>
      </c>
      <c r="I1327" s="1">
        <v>44566.077685185184</v>
      </c>
      <c r="J1327" t="s">
        <v>32</v>
      </c>
      <c r="K1327" s="1">
        <v>44572.077685185184</v>
      </c>
      <c r="L1327" t="s">
        <v>39</v>
      </c>
      <c r="N1327" s="4">
        <v>44577.077685185184</v>
      </c>
      <c r="O1327" t="s">
        <v>39</v>
      </c>
      <c r="R1327" s="4">
        <v>44574.077685185184</v>
      </c>
      <c r="T1327">
        <v>0</v>
      </c>
      <c r="AC1327" s="2">
        <f t="shared" si="180"/>
        <v>2</v>
      </c>
      <c r="AD1327" s="2">
        <f t="shared" si="181"/>
        <v>8</v>
      </c>
      <c r="AE1327" s="2">
        <f t="shared" si="182"/>
        <v>6</v>
      </c>
      <c r="AF1327" s="2">
        <f t="shared" si="183"/>
        <v>10</v>
      </c>
      <c r="AG1327" s="2">
        <f t="shared" si="184"/>
        <v>2</v>
      </c>
      <c r="AH1327" s="4">
        <f t="shared" si="185"/>
        <v>44664.077685185184</v>
      </c>
      <c r="AI1327" s="2" t="str">
        <f t="shared" si="186"/>
        <v/>
      </c>
      <c r="AJ1327" s="2" t="str">
        <f t="shared" si="187"/>
        <v/>
      </c>
      <c r="AK1327" s="2" t="str">
        <f t="shared" si="188"/>
        <v/>
      </c>
    </row>
    <row r="1328" spans="1:37" x14ac:dyDescent="0.25">
      <c r="A1328">
        <v>1554</v>
      </c>
      <c r="B1328" t="s">
        <v>1467</v>
      </c>
      <c r="C1328" t="s">
        <v>1362</v>
      </c>
      <c r="D1328" t="s">
        <v>1445</v>
      </c>
      <c r="E1328" t="s">
        <v>267</v>
      </c>
      <c r="F1328" t="s">
        <v>1446</v>
      </c>
      <c r="G1328" t="s">
        <v>269</v>
      </c>
      <c r="H1328" s="1">
        <v>44899.597222222219</v>
      </c>
      <c r="I1328" s="1">
        <v>44903.597222222219</v>
      </c>
      <c r="J1328" t="s">
        <v>32</v>
      </c>
      <c r="K1328" s="1">
        <v>44910.597222222219</v>
      </c>
      <c r="L1328" t="s">
        <v>33</v>
      </c>
      <c r="M1328" t="s">
        <v>51</v>
      </c>
      <c r="T1328">
        <v>0</v>
      </c>
      <c r="Y1328" t="s">
        <v>55</v>
      </c>
      <c r="AC1328" s="2">
        <f t="shared" si="180"/>
        <v>4</v>
      </c>
      <c r="AD1328" s="2">
        <f t="shared" si="181"/>
        <v>11</v>
      </c>
      <c r="AE1328" s="2">
        <f t="shared" si="182"/>
        <v>7</v>
      </c>
      <c r="AF1328" s="2" t="str">
        <f t="shared" si="183"/>
        <v/>
      </c>
      <c r="AG1328" s="2" t="str">
        <f t="shared" si="184"/>
        <v/>
      </c>
      <c r="AH1328" s="4" t="str">
        <f t="shared" si="185"/>
        <v/>
      </c>
      <c r="AI1328" s="2" t="str">
        <f t="shared" si="186"/>
        <v/>
      </c>
      <c r="AJ1328" s="2" t="str">
        <f t="shared" si="187"/>
        <v/>
      </c>
      <c r="AK1328" s="2" t="str">
        <f t="shared" si="188"/>
        <v/>
      </c>
    </row>
    <row r="1329" spans="1:37" x14ac:dyDescent="0.25">
      <c r="A1329">
        <v>1360</v>
      </c>
      <c r="B1329" t="s">
        <v>1468</v>
      </c>
      <c r="C1329" t="s">
        <v>1362</v>
      </c>
      <c r="D1329" t="s">
        <v>1445</v>
      </c>
      <c r="E1329" t="s">
        <v>267</v>
      </c>
      <c r="F1329" t="s">
        <v>1446</v>
      </c>
      <c r="G1329" t="s">
        <v>269</v>
      </c>
      <c r="H1329" s="1">
        <v>44768.055451388886</v>
      </c>
      <c r="I1329" s="1">
        <v>44769.055451388886</v>
      </c>
      <c r="J1329" t="s">
        <v>32</v>
      </c>
      <c r="K1329" s="1">
        <v>44784.055451388886</v>
      </c>
      <c r="L1329" t="s">
        <v>33</v>
      </c>
      <c r="M1329" t="s">
        <v>92</v>
      </c>
      <c r="R1329" s="4">
        <v>44788.055451388886</v>
      </c>
      <c r="T1329">
        <v>0</v>
      </c>
      <c r="Y1329" t="s">
        <v>35</v>
      </c>
      <c r="AC1329" s="2">
        <f t="shared" si="180"/>
        <v>1</v>
      </c>
      <c r="AD1329" s="2">
        <f t="shared" si="181"/>
        <v>16</v>
      </c>
      <c r="AE1329" s="2">
        <f t="shared" si="182"/>
        <v>15</v>
      </c>
      <c r="AF1329" s="2">
        <f t="shared" si="183"/>
        <v>20</v>
      </c>
      <c r="AG1329" s="2">
        <f t="shared" si="184"/>
        <v>4</v>
      </c>
      <c r="AH1329" s="4">
        <f t="shared" si="185"/>
        <v>44878.055451388886</v>
      </c>
      <c r="AI1329" s="2" t="str">
        <f t="shared" si="186"/>
        <v/>
      </c>
      <c r="AJ1329" s="2" t="str">
        <f t="shared" si="187"/>
        <v/>
      </c>
      <c r="AK1329" s="2" t="str">
        <f t="shared" si="188"/>
        <v/>
      </c>
    </row>
    <row r="1330" spans="1:37" x14ac:dyDescent="0.25">
      <c r="A1330">
        <v>1357</v>
      </c>
      <c r="B1330" t="s">
        <v>1469</v>
      </c>
      <c r="C1330" t="s">
        <v>1362</v>
      </c>
      <c r="D1330" t="s">
        <v>1445</v>
      </c>
      <c r="E1330" t="s">
        <v>267</v>
      </c>
      <c r="F1330" t="s">
        <v>1446</v>
      </c>
      <c r="G1330" t="s">
        <v>269</v>
      </c>
      <c r="H1330" s="1">
        <v>44765.055451388886</v>
      </c>
      <c r="I1330" s="1">
        <v>44769.055451388886</v>
      </c>
      <c r="J1330" t="s">
        <v>32</v>
      </c>
      <c r="K1330" s="1">
        <v>44781.055451388886</v>
      </c>
      <c r="L1330" t="s">
        <v>33</v>
      </c>
      <c r="M1330" t="s">
        <v>92</v>
      </c>
      <c r="R1330" s="4">
        <v>44784.055451388886</v>
      </c>
      <c r="T1330">
        <v>0</v>
      </c>
      <c r="Y1330" t="s">
        <v>55</v>
      </c>
      <c r="AC1330" s="2">
        <f t="shared" si="180"/>
        <v>4</v>
      </c>
      <c r="AD1330" s="2">
        <f t="shared" si="181"/>
        <v>16</v>
      </c>
      <c r="AE1330" s="2">
        <f t="shared" si="182"/>
        <v>12</v>
      </c>
      <c r="AF1330" s="2">
        <f t="shared" si="183"/>
        <v>19</v>
      </c>
      <c r="AG1330" s="2">
        <f t="shared" si="184"/>
        <v>3</v>
      </c>
      <c r="AH1330" s="4">
        <f t="shared" si="185"/>
        <v>44874.055451388886</v>
      </c>
      <c r="AI1330" s="2" t="str">
        <f t="shared" si="186"/>
        <v/>
      </c>
      <c r="AJ1330" s="2" t="str">
        <f t="shared" si="187"/>
        <v/>
      </c>
      <c r="AK1330" s="2" t="str">
        <f t="shared" si="188"/>
        <v/>
      </c>
    </row>
    <row r="1331" spans="1:37" x14ac:dyDescent="0.25">
      <c r="A1331">
        <v>1352</v>
      </c>
      <c r="B1331" t="s">
        <v>1470</v>
      </c>
      <c r="C1331" t="s">
        <v>1362</v>
      </c>
      <c r="D1331" t="s">
        <v>1445</v>
      </c>
      <c r="E1331" t="s">
        <v>267</v>
      </c>
      <c r="F1331" t="s">
        <v>1446</v>
      </c>
      <c r="G1331" t="s">
        <v>269</v>
      </c>
      <c r="H1331" s="1">
        <v>44768.055451388886</v>
      </c>
      <c r="I1331" s="1">
        <v>44770.055451388886</v>
      </c>
      <c r="J1331" t="s">
        <v>32</v>
      </c>
      <c r="K1331" s="1">
        <v>44774.055451388886</v>
      </c>
      <c r="L1331" t="s">
        <v>164</v>
      </c>
      <c r="N1331" s="4">
        <v>44776.055451388886</v>
      </c>
      <c r="O1331" t="s">
        <v>164</v>
      </c>
      <c r="R1331" s="4">
        <v>44775.055451388886</v>
      </c>
      <c r="T1331">
        <v>0</v>
      </c>
      <c r="AC1331" s="2">
        <f t="shared" si="180"/>
        <v>2</v>
      </c>
      <c r="AD1331" s="2">
        <f t="shared" si="181"/>
        <v>6</v>
      </c>
      <c r="AE1331" s="2">
        <f t="shared" si="182"/>
        <v>4</v>
      </c>
      <c r="AF1331" s="2">
        <f t="shared" si="183"/>
        <v>7</v>
      </c>
      <c r="AG1331" s="2">
        <f t="shared" si="184"/>
        <v>1</v>
      </c>
      <c r="AH1331" s="4">
        <f t="shared" si="185"/>
        <v>44865.055451388886</v>
      </c>
      <c r="AI1331" s="2" t="str">
        <f t="shared" si="186"/>
        <v/>
      </c>
      <c r="AJ1331" s="2" t="str">
        <f t="shared" si="187"/>
        <v/>
      </c>
      <c r="AK1331" s="2" t="str">
        <f t="shared" si="188"/>
        <v/>
      </c>
    </row>
    <row r="1332" spans="1:37" x14ac:dyDescent="0.25">
      <c r="A1332">
        <v>1235</v>
      </c>
      <c r="B1332" t="s">
        <v>1471</v>
      </c>
      <c r="C1332" t="s">
        <v>1362</v>
      </c>
      <c r="D1332" t="s">
        <v>1445</v>
      </c>
      <c r="E1332" t="s">
        <v>267</v>
      </c>
      <c r="F1332" t="s">
        <v>1446</v>
      </c>
      <c r="G1332" t="s">
        <v>269</v>
      </c>
      <c r="H1332" s="1">
        <v>44979.728877314818</v>
      </c>
      <c r="I1332" s="1">
        <v>44982.728877314818</v>
      </c>
      <c r="J1332" t="s">
        <v>32</v>
      </c>
      <c r="K1332" s="1">
        <v>44997.728877314818</v>
      </c>
      <c r="L1332" t="s">
        <v>39</v>
      </c>
      <c r="N1332" s="4">
        <v>45004.728877314818</v>
      </c>
      <c r="O1332" t="s">
        <v>39</v>
      </c>
      <c r="R1332" s="4">
        <v>45000.728877314818</v>
      </c>
      <c r="T1332">
        <v>0</v>
      </c>
      <c r="AC1332" s="2">
        <f t="shared" si="180"/>
        <v>3</v>
      </c>
      <c r="AD1332" s="2">
        <f t="shared" si="181"/>
        <v>18</v>
      </c>
      <c r="AE1332" s="2">
        <f t="shared" si="182"/>
        <v>15</v>
      </c>
      <c r="AF1332" s="2">
        <f t="shared" si="183"/>
        <v>21</v>
      </c>
      <c r="AG1332" s="2">
        <f t="shared" si="184"/>
        <v>3</v>
      </c>
      <c r="AH1332" s="4">
        <f t="shared" si="185"/>
        <v>45090.728877314818</v>
      </c>
      <c r="AI1332" s="2" t="str">
        <f t="shared" si="186"/>
        <v/>
      </c>
      <c r="AJ1332" s="2" t="str">
        <f t="shared" si="187"/>
        <v/>
      </c>
      <c r="AK1332" s="2" t="str">
        <f t="shared" si="188"/>
        <v/>
      </c>
    </row>
    <row r="1333" spans="1:37" x14ac:dyDescent="0.25">
      <c r="A1333">
        <v>1232</v>
      </c>
      <c r="B1333" t="s">
        <v>1472</v>
      </c>
      <c r="C1333" t="s">
        <v>1362</v>
      </c>
      <c r="D1333" t="s">
        <v>1445</v>
      </c>
      <c r="E1333" t="s">
        <v>267</v>
      </c>
      <c r="F1333" t="s">
        <v>1446</v>
      </c>
      <c r="G1333" t="s">
        <v>269</v>
      </c>
      <c r="H1333" s="1">
        <v>44981.728877314818</v>
      </c>
      <c r="I1333" s="1">
        <v>44985.728877314818</v>
      </c>
      <c r="J1333" t="s">
        <v>32</v>
      </c>
      <c r="K1333" s="1">
        <v>44998.728877314818</v>
      </c>
      <c r="L1333" t="s">
        <v>33</v>
      </c>
      <c r="M1333" t="s">
        <v>92</v>
      </c>
      <c r="T1333">
        <v>0</v>
      </c>
      <c r="Y1333" t="s">
        <v>55</v>
      </c>
      <c r="AC1333" s="2">
        <f t="shared" si="180"/>
        <v>4</v>
      </c>
      <c r="AD1333" s="2">
        <f t="shared" si="181"/>
        <v>17</v>
      </c>
      <c r="AE1333" s="2">
        <f t="shared" si="182"/>
        <v>13</v>
      </c>
      <c r="AF1333" s="2" t="str">
        <f t="shared" si="183"/>
        <v/>
      </c>
      <c r="AG1333" s="2" t="str">
        <f t="shared" si="184"/>
        <v/>
      </c>
      <c r="AH1333" s="4" t="str">
        <f t="shared" si="185"/>
        <v/>
      </c>
      <c r="AI1333" s="2" t="str">
        <f t="shared" si="186"/>
        <v/>
      </c>
      <c r="AJ1333" s="2" t="str">
        <f t="shared" si="187"/>
        <v/>
      </c>
      <c r="AK1333" s="2" t="str">
        <f t="shared" si="188"/>
        <v/>
      </c>
    </row>
    <row r="1334" spans="1:37" x14ac:dyDescent="0.25">
      <c r="A1334">
        <v>1228</v>
      </c>
      <c r="B1334" t="s">
        <v>1473</v>
      </c>
      <c r="C1334" t="s">
        <v>1362</v>
      </c>
      <c r="D1334" t="s">
        <v>1445</v>
      </c>
      <c r="E1334" t="s">
        <v>267</v>
      </c>
      <c r="F1334" t="s">
        <v>1446</v>
      </c>
      <c r="G1334" t="s">
        <v>269</v>
      </c>
      <c r="H1334" s="1">
        <v>44734.14203703704</v>
      </c>
      <c r="I1334" s="1">
        <v>44736.14203703704</v>
      </c>
      <c r="J1334" t="s">
        <v>32</v>
      </c>
      <c r="K1334" s="1">
        <v>44750.14203703704</v>
      </c>
      <c r="L1334" t="s">
        <v>33</v>
      </c>
      <c r="M1334" t="s">
        <v>34</v>
      </c>
      <c r="T1334">
        <v>0</v>
      </c>
      <c r="Y1334" t="s">
        <v>55</v>
      </c>
      <c r="AC1334" s="2">
        <f t="shared" si="180"/>
        <v>2</v>
      </c>
      <c r="AD1334" s="2">
        <f t="shared" si="181"/>
        <v>16</v>
      </c>
      <c r="AE1334" s="2">
        <f t="shared" si="182"/>
        <v>14</v>
      </c>
      <c r="AF1334" s="2" t="str">
        <f t="shared" si="183"/>
        <v/>
      </c>
      <c r="AG1334" s="2" t="str">
        <f t="shared" si="184"/>
        <v/>
      </c>
      <c r="AH1334" s="4" t="str">
        <f t="shared" si="185"/>
        <v/>
      </c>
      <c r="AI1334" s="2" t="str">
        <f t="shared" si="186"/>
        <v/>
      </c>
      <c r="AJ1334" s="2" t="str">
        <f t="shared" si="187"/>
        <v/>
      </c>
      <c r="AK1334" s="2" t="str">
        <f t="shared" si="188"/>
        <v/>
      </c>
    </row>
    <row r="1335" spans="1:37" x14ac:dyDescent="0.25">
      <c r="A1335">
        <v>1202</v>
      </c>
      <c r="B1335" t="s">
        <v>1474</v>
      </c>
      <c r="C1335" t="s">
        <v>1362</v>
      </c>
      <c r="D1335" t="s">
        <v>1445</v>
      </c>
      <c r="E1335" t="s">
        <v>267</v>
      </c>
      <c r="F1335" t="s">
        <v>1446</v>
      </c>
      <c r="G1335" t="s">
        <v>269</v>
      </c>
      <c r="H1335" s="1">
        <v>44765.205266203702</v>
      </c>
      <c r="I1335" s="1">
        <v>44768.205266203702</v>
      </c>
      <c r="J1335" t="s">
        <v>32</v>
      </c>
      <c r="K1335" s="1">
        <v>44771.205266203702</v>
      </c>
      <c r="L1335" t="s">
        <v>33</v>
      </c>
      <c r="M1335" t="s">
        <v>67</v>
      </c>
      <c r="R1335" s="4">
        <v>44773.205266203702</v>
      </c>
      <c r="T1335">
        <v>0</v>
      </c>
      <c r="Y1335" t="s">
        <v>55</v>
      </c>
      <c r="AC1335" s="2">
        <f t="shared" si="180"/>
        <v>3</v>
      </c>
      <c r="AD1335" s="2">
        <f t="shared" si="181"/>
        <v>6</v>
      </c>
      <c r="AE1335" s="2">
        <f t="shared" si="182"/>
        <v>3</v>
      </c>
      <c r="AF1335" s="2">
        <f t="shared" si="183"/>
        <v>8</v>
      </c>
      <c r="AG1335" s="2">
        <f t="shared" si="184"/>
        <v>2</v>
      </c>
      <c r="AH1335" s="4">
        <f t="shared" si="185"/>
        <v>44863.205266203702</v>
      </c>
      <c r="AI1335" s="2" t="str">
        <f t="shared" si="186"/>
        <v/>
      </c>
      <c r="AJ1335" s="2" t="str">
        <f t="shared" si="187"/>
        <v/>
      </c>
      <c r="AK1335" s="2" t="str">
        <f t="shared" si="188"/>
        <v/>
      </c>
    </row>
    <row r="1336" spans="1:37" x14ac:dyDescent="0.25">
      <c r="A1336">
        <v>1197</v>
      </c>
      <c r="B1336" t="s">
        <v>1475</v>
      </c>
      <c r="C1336" t="s">
        <v>1362</v>
      </c>
      <c r="D1336" t="s">
        <v>1445</v>
      </c>
      <c r="E1336" t="s">
        <v>267</v>
      </c>
      <c r="F1336" t="s">
        <v>1446</v>
      </c>
      <c r="G1336" t="s">
        <v>269</v>
      </c>
      <c r="H1336" s="1">
        <v>44767.966006944444</v>
      </c>
      <c r="I1336" s="1">
        <v>44768.966006944444</v>
      </c>
      <c r="J1336" t="s">
        <v>32</v>
      </c>
      <c r="K1336" s="1">
        <v>44776.966006944444</v>
      </c>
      <c r="L1336" t="s">
        <v>164</v>
      </c>
      <c r="N1336" s="4">
        <v>44782.966006944444</v>
      </c>
      <c r="O1336" t="s">
        <v>164</v>
      </c>
      <c r="R1336" s="4">
        <v>44779.966006944444</v>
      </c>
      <c r="T1336">
        <v>0</v>
      </c>
      <c r="AC1336" s="2">
        <f t="shared" si="180"/>
        <v>1</v>
      </c>
      <c r="AD1336" s="2">
        <f t="shared" si="181"/>
        <v>9</v>
      </c>
      <c r="AE1336" s="2">
        <f t="shared" si="182"/>
        <v>8</v>
      </c>
      <c r="AF1336" s="2">
        <f t="shared" si="183"/>
        <v>12</v>
      </c>
      <c r="AG1336" s="2">
        <f t="shared" si="184"/>
        <v>3</v>
      </c>
      <c r="AH1336" s="4">
        <f t="shared" si="185"/>
        <v>44869.966006944444</v>
      </c>
      <c r="AI1336" s="2" t="str">
        <f t="shared" si="186"/>
        <v/>
      </c>
      <c r="AJ1336" s="2" t="str">
        <f t="shared" si="187"/>
        <v/>
      </c>
      <c r="AK1336" s="2" t="str">
        <f t="shared" si="188"/>
        <v/>
      </c>
    </row>
    <row r="1337" spans="1:37" x14ac:dyDescent="0.25">
      <c r="A1337">
        <v>1196</v>
      </c>
      <c r="B1337" t="s">
        <v>1476</v>
      </c>
      <c r="C1337" t="s">
        <v>1362</v>
      </c>
      <c r="D1337" t="s">
        <v>1445</v>
      </c>
      <c r="E1337" t="s">
        <v>267</v>
      </c>
      <c r="F1337" t="s">
        <v>1446</v>
      </c>
      <c r="G1337" t="s">
        <v>269</v>
      </c>
      <c r="H1337" s="1">
        <v>44765.966006944444</v>
      </c>
      <c r="I1337" s="1">
        <v>44767.966006944444</v>
      </c>
      <c r="J1337" t="s">
        <v>32</v>
      </c>
      <c r="K1337" s="1">
        <v>44781.966006944444</v>
      </c>
      <c r="L1337" t="s">
        <v>33</v>
      </c>
      <c r="M1337" t="s">
        <v>67</v>
      </c>
      <c r="T1337">
        <v>0</v>
      </c>
      <c r="Y1337" t="s">
        <v>55</v>
      </c>
      <c r="AC1337" s="2">
        <f t="shared" si="180"/>
        <v>2</v>
      </c>
      <c r="AD1337" s="2">
        <f t="shared" si="181"/>
        <v>16</v>
      </c>
      <c r="AE1337" s="2">
        <f t="shared" si="182"/>
        <v>14</v>
      </c>
      <c r="AF1337" s="2" t="str">
        <f t="shared" si="183"/>
        <v/>
      </c>
      <c r="AG1337" s="2" t="str">
        <f t="shared" si="184"/>
        <v/>
      </c>
      <c r="AH1337" s="4" t="str">
        <f t="shared" si="185"/>
        <v/>
      </c>
      <c r="AI1337" s="2" t="str">
        <f t="shared" si="186"/>
        <v/>
      </c>
      <c r="AJ1337" s="2" t="str">
        <f t="shared" si="187"/>
        <v/>
      </c>
      <c r="AK1337" s="2" t="str">
        <f t="shared" si="188"/>
        <v/>
      </c>
    </row>
    <row r="1338" spans="1:37" x14ac:dyDescent="0.25">
      <c r="A1338">
        <v>1106</v>
      </c>
      <c r="B1338" t="s">
        <v>1477</v>
      </c>
      <c r="C1338" t="s">
        <v>1362</v>
      </c>
      <c r="D1338" t="s">
        <v>1445</v>
      </c>
      <c r="E1338" t="s">
        <v>267</v>
      </c>
      <c r="F1338" t="s">
        <v>1446</v>
      </c>
      <c r="G1338" t="s">
        <v>269</v>
      </c>
      <c r="H1338" s="1">
        <v>44675.953865740739</v>
      </c>
      <c r="I1338" s="1">
        <v>44678.953865740739</v>
      </c>
      <c r="J1338" t="s">
        <v>32</v>
      </c>
      <c r="K1338" s="1">
        <v>44692.953865740739</v>
      </c>
      <c r="L1338" t="s">
        <v>33</v>
      </c>
      <c r="M1338" t="s">
        <v>51</v>
      </c>
      <c r="T1338">
        <v>0</v>
      </c>
      <c r="Y1338" t="s">
        <v>35</v>
      </c>
      <c r="AC1338" s="2">
        <f t="shared" si="180"/>
        <v>3</v>
      </c>
      <c r="AD1338" s="2">
        <f t="shared" si="181"/>
        <v>17</v>
      </c>
      <c r="AE1338" s="2">
        <f t="shared" si="182"/>
        <v>14</v>
      </c>
      <c r="AF1338" s="2" t="str">
        <f t="shared" si="183"/>
        <v/>
      </c>
      <c r="AG1338" s="2" t="str">
        <f t="shared" si="184"/>
        <v/>
      </c>
      <c r="AH1338" s="4" t="str">
        <f t="shared" si="185"/>
        <v/>
      </c>
      <c r="AI1338" s="2" t="str">
        <f t="shared" si="186"/>
        <v/>
      </c>
      <c r="AJ1338" s="2" t="str">
        <f t="shared" si="187"/>
        <v/>
      </c>
      <c r="AK1338" s="2" t="str">
        <f t="shared" si="188"/>
        <v/>
      </c>
    </row>
    <row r="1339" spans="1:37" x14ac:dyDescent="0.25">
      <c r="A1339">
        <v>1077</v>
      </c>
      <c r="B1339" t="s">
        <v>1478</v>
      </c>
      <c r="C1339" t="s">
        <v>1362</v>
      </c>
      <c r="D1339" t="s">
        <v>1445</v>
      </c>
      <c r="E1339" t="s">
        <v>267</v>
      </c>
      <c r="F1339" t="s">
        <v>1446</v>
      </c>
      <c r="G1339" t="s">
        <v>269</v>
      </c>
      <c r="H1339" s="1">
        <v>44603.990740740737</v>
      </c>
      <c r="I1339" s="1">
        <v>44604.990740740737</v>
      </c>
      <c r="J1339" t="s">
        <v>32</v>
      </c>
      <c r="K1339" s="1">
        <v>44614.990740740737</v>
      </c>
      <c r="L1339" t="s">
        <v>33</v>
      </c>
      <c r="M1339" t="s">
        <v>92</v>
      </c>
      <c r="R1339" s="4">
        <v>44616.990740740737</v>
      </c>
      <c r="T1339">
        <v>0</v>
      </c>
      <c r="Y1339" t="s">
        <v>55</v>
      </c>
      <c r="AC1339" s="2">
        <f t="shared" si="180"/>
        <v>1</v>
      </c>
      <c r="AD1339" s="2">
        <f t="shared" si="181"/>
        <v>11</v>
      </c>
      <c r="AE1339" s="2">
        <f t="shared" si="182"/>
        <v>10</v>
      </c>
      <c r="AF1339" s="2">
        <f t="shared" si="183"/>
        <v>13</v>
      </c>
      <c r="AG1339" s="2">
        <f t="shared" si="184"/>
        <v>2</v>
      </c>
      <c r="AH1339" s="4">
        <f t="shared" si="185"/>
        <v>44706.990740740737</v>
      </c>
      <c r="AI1339" s="2" t="str">
        <f t="shared" si="186"/>
        <v/>
      </c>
      <c r="AJ1339" s="2" t="str">
        <f t="shared" si="187"/>
        <v/>
      </c>
      <c r="AK1339" s="2" t="str">
        <f t="shared" si="188"/>
        <v/>
      </c>
    </row>
    <row r="1340" spans="1:37" x14ac:dyDescent="0.25">
      <c r="A1340">
        <v>1073</v>
      </c>
      <c r="B1340" t="s">
        <v>1479</v>
      </c>
      <c r="C1340" t="s">
        <v>1362</v>
      </c>
      <c r="D1340" t="s">
        <v>1445</v>
      </c>
      <c r="E1340" t="s">
        <v>267</v>
      </c>
      <c r="F1340" t="s">
        <v>1446</v>
      </c>
      <c r="G1340" t="s">
        <v>269</v>
      </c>
      <c r="H1340" s="1">
        <v>44601.990740740737</v>
      </c>
      <c r="I1340" s="1">
        <v>44603.990740740737</v>
      </c>
      <c r="J1340" t="s">
        <v>32</v>
      </c>
      <c r="K1340" s="1">
        <v>44622.990740740737</v>
      </c>
      <c r="L1340" t="s">
        <v>33</v>
      </c>
      <c r="M1340" t="s">
        <v>108</v>
      </c>
      <c r="T1340">
        <v>0</v>
      </c>
      <c r="Y1340" t="s">
        <v>55</v>
      </c>
      <c r="AC1340" s="2">
        <f t="shared" si="180"/>
        <v>2</v>
      </c>
      <c r="AD1340" s="2">
        <f t="shared" si="181"/>
        <v>21</v>
      </c>
      <c r="AE1340" s="2">
        <f t="shared" si="182"/>
        <v>19</v>
      </c>
      <c r="AF1340" s="2" t="str">
        <f t="shared" si="183"/>
        <v/>
      </c>
      <c r="AG1340" s="2" t="str">
        <f t="shared" si="184"/>
        <v/>
      </c>
      <c r="AH1340" s="4" t="str">
        <f t="shared" si="185"/>
        <v/>
      </c>
      <c r="AI1340" s="2" t="str">
        <f t="shared" si="186"/>
        <v/>
      </c>
      <c r="AJ1340" s="2" t="str">
        <f t="shared" si="187"/>
        <v/>
      </c>
      <c r="AK1340" s="2" t="str">
        <f t="shared" si="188"/>
        <v/>
      </c>
    </row>
    <row r="1341" spans="1:37" x14ac:dyDescent="0.25">
      <c r="A1341">
        <v>2994</v>
      </c>
      <c r="B1341" t="s">
        <v>1480</v>
      </c>
      <c r="C1341" t="s">
        <v>1362</v>
      </c>
      <c r="D1341" t="s">
        <v>1481</v>
      </c>
      <c r="E1341" t="s">
        <v>601</v>
      </c>
      <c r="F1341" t="s">
        <v>1482</v>
      </c>
      <c r="G1341" t="s">
        <v>31</v>
      </c>
      <c r="H1341" s="1">
        <v>44989.039479166669</v>
      </c>
      <c r="I1341" s="1">
        <v>44991.039479166669</v>
      </c>
      <c r="J1341" t="s">
        <v>32</v>
      </c>
      <c r="K1341" s="1">
        <v>45011.039479166669</v>
      </c>
      <c r="L1341" t="s">
        <v>33</v>
      </c>
      <c r="M1341" t="s">
        <v>108</v>
      </c>
      <c r="T1341">
        <v>0</v>
      </c>
      <c r="Y1341" t="s">
        <v>55</v>
      </c>
      <c r="AC1341" s="2">
        <f t="shared" si="180"/>
        <v>2</v>
      </c>
      <c r="AD1341" s="2">
        <f t="shared" si="181"/>
        <v>22</v>
      </c>
      <c r="AE1341" s="2">
        <f t="shared" si="182"/>
        <v>20</v>
      </c>
      <c r="AF1341" s="2" t="str">
        <f t="shared" si="183"/>
        <v/>
      </c>
      <c r="AG1341" s="2" t="str">
        <f t="shared" si="184"/>
        <v/>
      </c>
      <c r="AH1341" s="4" t="str">
        <f t="shared" si="185"/>
        <v/>
      </c>
      <c r="AI1341" s="2" t="str">
        <f t="shared" si="186"/>
        <v/>
      </c>
      <c r="AJ1341" s="2" t="str">
        <f t="shared" si="187"/>
        <v/>
      </c>
      <c r="AK1341" s="2" t="str">
        <f t="shared" si="188"/>
        <v/>
      </c>
    </row>
    <row r="1342" spans="1:37" x14ac:dyDescent="0.25">
      <c r="A1342">
        <v>2958</v>
      </c>
      <c r="B1342" t="s">
        <v>1483</v>
      </c>
      <c r="C1342" t="s">
        <v>1362</v>
      </c>
      <c r="D1342" t="s">
        <v>1481</v>
      </c>
      <c r="E1342" t="s">
        <v>601</v>
      </c>
      <c r="F1342" t="s">
        <v>1482</v>
      </c>
      <c r="G1342" t="s">
        <v>31</v>
      </c>
      <c r="H1342" s="1">
        <v>45018.652233796296</v>
      </c>
      <c r="I1342" s="1">
        <v>45021.652233796296</v>
      </c>
      <c r="J1342" t="s">
        <v>32</v>
      </c>
      <c r="K1342" s="1">
        <v>45030.652233796296</v>
      </c>
      <c r="L1342" t="s">
        <v>39</v>
      </c>
      <c r="N1342" s="4">
        <v>45035.652233796296</v>
      </c>
      <c r="O1342" t="s">
        <v>39</v>
      </c>
      <c r="R1342" s="4">
        <v>45034.652233796296</v>
      </c>
      <c r="T1342">
        <v>0</v>
      </c>
      <c r="AC1342" s="2">
        <f t="shared" si="180"/>
        <v>3</v>
      </c>
      <c r="AD1342" s="2">
        <f t="shared" si="181"/>
        <v>12</v>
      </c>
      <c r="AE1342" s="2">
        <f t="shared" si="182"/>
        <v>9</v>
      </c>
      <c r="AF1342" s="2">
        <f t="shared" si="183"/>
        <v>16</v>
      </c>
      <c r="AG1342" s="2">
        <f t="shared" si="184"/>
        <v>4</v>
      </c>
      <c r="AH1342" s="4">
        <f t="shared" si="185"/>
        <v>45124.652233796296</v>
      </c>
      <c r="AI1342" s="2" t="str">
        <f t="shared" si="186"/>
        <v/>
      </c>
      <c r="AJ1342" s="2" t="str">
        <f t="shared" si="187"/>
        <v/>
      </c>
      <c r="AK1342" s="2" t="str">
        <f t="shared" si="188"/>
        <v/>
      </c>
    </row>
    <row r="1343" spans="1:37" x14ac:dyDescent="0.25">
      <c r="A1343">
        <v>2955</v>
      </c>
      <c r="B1343" t="s">
        <v>1484</v>
      </c>
      <c r="C1343" t="s">
        <v>1362</v>
      </c>
      <c r="D1343" t="s">
        <v>1481</v>
      </c>
      <c r="E1343" t="s">
        <v>601</v>
      </c>
      <c r="F1343" t="s">
        <v>1482</v>
      </c>
      <c r="G1343" t="s">
        <v>31</v>
      </c>
      <c r="H1343" s="1">
        <v>45017.652233796296</v>
      </c>
      <c r="I1343" s="1">
        <v>45018.652233796296</v>
      </c>
      <c r="J1343" t="s">
        <v>32</v>
      </c>
      <c r="K1343" s="1">
        <v>45036.652233796296</v>
      </c>
      <c r="L1343" t="s">
        <v>33</v>
      </c>
      <c r="M1343" t="s">
        <v>108</v>
      </c>
      <c r="T1343">
        <v>0</v>
      </c>
      <c r="Y1343" t="s">
        <v>55</v>
      </c>
      <c r="AC1343" s="2">
        <f t="shared" si="180"/>
        <v>1</v>
      </c>
      <c r="AD1343" s="2">
        <f t="shared" si="181"/>
        <v>19</v>
      </c>
      <c r="AE1343" s="2">
        <f t="shared" si="182"/>
        <v>18</v>
      </c>
      <c r="AF1343" s="2" t="str">
        <f t="shared" si="183"/>
        <v/>
      </c>
      <c r="AG1343" s="2" t="str">
        <f t="shared" si="184"/>
        <v/>
      </c>
      <c r="AH1343" s="4" t="str">
        <f t="shared" si="185"/>
        <v/>
      </c>
      <c r="AI1343" s="2" t="str">
        <f t="shared" si="186"/>
        <v/>
      </c>
      <c r="AJ1343" s="2" t="str">
        <f t="shared" si="187"/>
        <v/>
      </c>
      <c r="AK1343" s="2" t="str">
        <f t="shared" si="188"/>
        <v/>
      </c>
    </row>
    <row r="1344" spans="1:37" x14ac:dyDescent="0.25">
      <c r="A1344">
        <v>2938</v>
      </c>
      <c r="B1344" t="s">
        <v>1485</v>
      </c>
      <c r="C1344" t="s">
        <v>1362</v>
      </c>
      <c r="D1344" t="s">
        <v>1481</v>
      </c>
      <c r="E1344" t="s">
        <v>601</v>
      </c>
      <c r="F1344" t="s">
        <v>1482</v>
      </c>
      <c r="G1344" t="s">
        <v>31</v>
      </c>
      <c r="H1344" s="1">
        <v>44968.550104166665</v>
      </c>
      <c r="I1344" s="1">
        <v>44972.550104166665</v>
      </c>
      <c r="J1344" t="s">
        <v>32</v>
      </c>
      <c r="K1344" s="1">
        <v>44978.550104166665</v>
      </c>
      <c r="L1344" t="s">
        <v>164</v>
      </c>
      <c r="N1344" s="4">
        <v>44983.550104166665</v>
      </c>
      <c r="O1344" t="s">
        <v>164</v>
      </c>
      <c r="R1344" s="4">
        <v>44982.550104166665</v>
      </c>
      <c r="T1344">
        <v>0</v>
      </c>
      <c r="AC1344" s="2">
        <f t="shared" si="180"/>
        <v>4</v>
      </c>
      <c r="AD1344" s="2">
        <f t="shared" si="181"/>
        <v>10</v>
      </c>
      <c r="AE1344" s="2">
        <f t="shared" si="182"/>
        <v>6</v>
      </c>
      <c r="AF1344" s="2">
        <f t="shared" si="183"/>
        <v>14</v>
      </c>
      <c r="AG1344" s="2">
        <f t="shared" si="184"/>
        <v>4</v>
      </c>
      <c r="AH1344" s="4">
        <f t="shared" si="185"/>
        <v>45072.550104166665</v>
      </c>
      <c r="AI1344" s="2" t="str">
        <f t="shared" si="186"/>
        <v/>
      </c>
      <c r="AJ1344" s="2" t="str">
        <f t="shared" si="187"/>
        <v/>
      </c>
      <c r="AK1344" s="2" t="str">
        <f t="shared" si="188"/>
        <v/>
      </c>
    </row>
    <row r="1345" spans="1:37" x14ac:dyDescent="0.25">
      <c r="A1345">
        <v>2937</v>
      </c>
      <c r="B1345" t="s">
        <v>1486</v>
      </c>
      <c r="C1345" t="s">
        <v>1362</v>
      </c>
      <c r="D1345" t="s">
        <v>1481</v>
      </c>
      <c r="E1345" t="s">
        <v>601</v>
      </c>
      <c r="F1345" t="s">
        <v>1482</v>
      </c>
      <c r="G1345" t="s">
        <v>31</v>
      </c>
      <c r="H1345" s="1">
        <v>44967.550104166665</v>
      </c>
      <c r="I1345" s="1">
        <v>44969.550104166665</v>
      </c>
      <c r="J1345" t="s">
        <v>32</v>
      </c>
      <c r="K1345" s="1">
        <v>44981.550104166665</v>
      </c>
      <c r="L1345" t="s">
        <v>33</v>
      </c>
      <c r="M1345" t="s">
        <v>92</v>
      </c>
      <c r="R1345" s="4">
        <v>44983.550104166665</v>
      </c>
      <c r="T1345">
        <v>0</v>
      </c>
      <c r="Y1345" t="s">
        <v>35</v>
      </c>
      <c r="AC1345" s="2">
        <f t="shared" si="180"/>
        <v>2</v>
      </c>
      <c r="AD1345" s="2">
        <f t="shared" si="181"/>
        <v>14</v>
      </c>
      <c r="AE1345" s="2">
        <f t="shared" si="182"/>
        <v>12</v>
      </c>
      <c r="AF1345" s="2">
        <f t="shared" si="183"/>
        <v>16</v>
      </c>
      <c r="AG1345" s="2">
        <f t="shared" si="184"/>
        <v>2</v>
      </c>
      <c r="AH1345" s="4">
        <f t="shared" si="185"/>
        <v>45073.550104166665</v>
      </c>
      <c r="AI1345" s="2" t="str">
        <f t="shared" si="186"/>
        <v/>
      </c>
      <c r="AJ1345" s="2" t="str">
        <f t="shared" si="187"/>
        <v/>
      </c>
      <c r="AK1345" s="2" t="str">
        <f t="shared" si="188"/>
        <v/>
      </c>
    </row>
    <row r="1346" spans="1:37" x14ac:dyDescent="0.25">
      <c r="A1346">
        <v>2935</v>
      </c>
      <c r="B1346" t="s">
        <v>1487</v>
      </c>
      <c r="C1346" t="s">
        <v>1362</v>
      </c>
      <c r="D1346" t="s">
        <v>1481</v>
      </c>
      <c r="E1346" t="s">
        <v>601</v>
      </c>
      <c r="F1346" t="s">
        <v>1482</v>
      </c>
      <c r="G1346" t="s">
        <v>31</v>
      </c>
      <c r="H1346" s="1">
        <v>44966.550104166665</v>
      </c>
      <c r="I1346" s="1">
        <v>44969.550104166665</v>
      </c>
      <c r="J1346" t="s">
        <v>32</v>
      </c>
      <c r="K1346" s="1">
        <v>44977.550104166665</v>
      </c>
      <c r="L1346" t="s">
        <v>33</v>
      </c>
      <c r="M1346" t="s">
        <v>92</v>
      </c>
      <c r="T1346">
        <v>0</v>
      </c>
      <c r="Y1346" t="s">
        <v>35</v>
      </c>
      <c r="AC1346" s="2">
        <f t="shared" si="180"/>
        <v>3</v>
      </c>
      <c r="AD1346" s="2">
        <f t="shared" si="181"/>
        <v>11</v>
      </c>
      <c r="AE1346" s="2">
        <f t="shared" si="182"/>
        <v>8</v>
      </c>
      <c r="AF1346" s="2" t="str">
        <f t="shared" si="183"/>
        <v/>
      </c>
      <c r="AG1346" s="2" t="str">
        <f t="shared" si="184"/>
        <v/>
      </c>
      <c r="AH1346" s="4" t="str">
        <f t="shared" si="185"/>
        <v/>
      </c>
      <c r="AI1346" s="2" t="str">
        <f t="shared" si="186"/>
        <v/>
      </c>
      <c r="AJ1346" s="2" t="str">
        <f t="shared" si="187"/>
        <v/>
      </c>
      <c r="AK1346" s="2" t="str">
        <f t="shared" si="188"/>
        <v/>
      </c>
    </row>
    <row r="1347" spans="1:37" x14ac:dyDescent="0.25">
      <c r="A1347">
        <v>2931</v>
      </c>
      <c r="B1347" t="s">
        <v>1488</v>
      </c>
      <c r="C1347" t="s">
        <v>1362</v>
      </c>
      <c r="D1347" t="s">
        <v>1481</v>
      </c>
      <c r="E1347" t="s">
        <v>601</v>
      </c>
      <c r="F1347" t="s">
        <v>1482</v>
      </c>
      <c r="G1347" t="s">
        <v>31</v>
      </c>
      <c r="H1347" s="1">
        <v>44968.550104166665</v>
      </c>
      <c r="I1347" s="1">
        <v>44972.550104166665</v>
      </c>
      <c r="J1347" t="s">
        <v>32</v>
      </c>
      <c r="K1347" s="1">
        <v>44985.550104166665</v>
      </c>
      <c r="L1347" t="s">
        <v>33</v>
      </c>
      <c r="M1347" t="s">
        <v>92</v>
      </c>
      <c r="R1347" s="4">
        <v>44989.550104166665</v>
      </c>
      <c r="T1347">
        <v>0</v>
      </c>
      <c r="Y1347" t="s">
        <v>35</v>
      </c>
      <c r="AC1347" s="2">
        <f t="shared" ref="AC1347:AC1410" si="189">IF(AND(I1347&lt;&gt;"",H1347&lt;&gt;""), I1347-H1347, "")</f>
        <v>4</v>
      </c>
      <c r="AD1347" s="2">
        <f t="shared" ref="AD1347:AD1410" si="190">IF(AND(K1347&lt;&gt;"",H1347&lt;&gt;""), K1347-H1347, "")</f>
        <v>17</v>
      </c>
      <c r="AE1347" s="2">
        <f t="shared" ref="AE1347:AE1410" si="191">IF(AND(K1347&lt;&gt;"",I1347&lt;&gt;""), K1347-I1347, "")</f>
        <v>13</v>
      </c>
      <c r="AF1347" s="2">
        <f t="shared" ref="AF1347:AF1410" si="192">IF(AND(R1347&lt;&gt;"",H1347&lt;&gt;""), R1347-H1347, "")</f>
        <v>21</v>
      </c>
      <c r="AG1347" s="2">
        <f t="shared" ref="AG1347:AG1410" si="193">IF(AND(R1347&lt;&gt;"",K1347&lt;&gt;""), R1347-K1347, "")</f>
        <v>4</v>
      </c>
      <c r="AH1347" s="4">
        <f t="shared" ref="AH1347:AH1410" si="194">IF(R1347&lt;&gt;"", R1347+90, "")</f>
        <v>45079.550104166665</v>
      </c>
      <c r="AI1347" s="2" t="str">
        <f t="shared" ref="AI1347:AI1410" si="195">IF(AND(U1347&lt;&gt;"",S1347&lt;&gt;""), U1347-S1347, "")</f>
        <v/>
      </c>
      <c r="AJ1347" s="2" t="str">
        <f t="shared" ref="AJ1347:AJ1410" si="196">IF(AND(Z1347&lt;&gt;"",R1347&lt;&gt;""), Z1347-R1347, "")</f>
        <v/>
      </c>
      <c r="AK1347" s="2" t="str">
        <f t="shared" ref="AK1347:AK1410" si="197">IF(AND(W1347&lt;&gt;"",R1347&lt;&gt;""), W1347-R1347, "")</f>
        <v/>
      </c>
    </row>
    <row r="1348" spans="1:37" x14ac:dyDescent="0.25">
      <c r="A1348">
        <v>2928</v>
      </c>
      <c r="B1348" t="s">
        <v>1489</v>
      </c>
      <c r="C1348" t="s">
        <v>1362</v>
      </c>
      <c r="D1348" t="s">
        <v>1481</v>
      </c>
      <c r="E1348" t="s">
        <v>601</v>
      </c>
      <c r="F1348" t="s">
        <v>1482</v>
      </c>
      <c r="G1348" t="s">
        <v>31</v>
      </c>
      <c r="H1348" s="1">
        <v>45177.386689814812</v>
      </c>
      <c r="I1348" s="1">
        <v>45178.386689814812</v>
      </c>
      <c r="J1348" t="s">
        <v>32</v>
      </c>
      <c r="K1348" s="1">
        <v>45200.386689814812</v>
      </c>
      <c r="L1348" t="s">
        <v>39</v>
      </c>
      <c r="N1348" s="4">
        <v>45205.386689814812</v>
      </c>
      <c r="O1348" t="s">
        <v>39</v>
      </c>
      <c r="R1348" s="4">
        <v>45202.386689814812</v>
      </c>
      <c r="T1348">
        <v>0</v>
      </c>
      <c r="AC1348" s="2">
        <f t="shared" si="189"/>
        <v>1</v>
      </c>
      <c r="AD1348" s="2">
        <f t="shared" si="190"/>
        <v>23</v>
      </c>
      <c r="AE1348" s="2">
        <f t="shared" si="191"/>
        <v>22</v>
      </c>
      <c r="AF1348" s="2">
        <f t="shared" si="192"/>
        <v>25</v>
      </c>
      <c r="AG1348" s="2">
        <f t="shared" si="193"/>
        <v>2</v>
      </c>
      <c r="AH1348" s="4">
        <f t="shared" si="194"/>
        <v>45292.386689814812</v>
      </c>
      <c r="AI1348" s="2" t="str">
        <f t="shared" si="195"/>
        <v/>
      </c>
      <c r="AJ1348" s="2" t="str">
        <f t="shared" si="196"/>
        <v/>
      </c>
      <c r="AK1348" s="2" t="str">
        <f t="shared" si="197"/>
        <v/>
      </c>
    </row>
    <row r="1349" spans="1:37" x14ac:dyDescent="0.25">
      <c r="A1349">
        <v>2923</v>
      </c>
      <c r="B1349" t="s">
        <v>1490</v>
      </c>
      <c r="C1349" t="s">
        <v>1362</v>
      </c>
      <c r="D1349" t="s">
        <v>1481</v>
      </c>
      <c r="E1349" t="s">
        <v>601</v>
      </c>
      <c r="F1349" t="s">
        <v>1482</v>
      </c>
      <c r="G1349" t="s">
        <v>31</v>
      </c>
      <c r="H1349" s="1">
        <v>45178.386689814812</v>
      </c>
      <c r="I1349" s="1">
        <v>45180.386689814812</v>
      </c>
      <c r="J1349" t="s">
        <v>32</v>
      </c>
      <c r="K1349" s="1">
        <v>45194.386689814812</v>
      </c>
      <c r="L1349" t="s">
        <v>33</v>
      </c>
      <c r="M1349" t="s">
        <v>67</v>
      </c>
      <c r="R1349" s="4">
        <v>45198.386689814812</v>
      </c>
      <c r="T1349">
        <v>0</v>
      </c>
      <c r="Y1349" t="s">
        <v>35</v>
      </c>
      <c r="AC1349" s="2">
        <f t="shared" si="189"/>
        <v>2</v>
      </c>
      <c r="AD1349" s="2">
        <f t="shared" si="190"/>
        <v>16</v>
      </c>
      <c r="AE1349" s="2">
        <f t="shared" si="191"/>
        <v>14</v>
      </c>
      <c r="AF1349" s="2">
        <f t="shared" si="192"/>
        <v>20</v>
      </c>
      <c r="AG1349" s="2">
        <f t="shared" si="193"/>
        <v>4</v>
      </c>
      <c r="AH1349" s="4">
        <f t="shared" si="194"/>
        <v>45288.386689814812</v>
      </c>
      <c r="AI1349" s="2" t="str">
        <f t="shared" si="195"/>
        <v/>
      </c>
      <c r="AJ1349" s="2" t="str">
        <f t="shared" si="196"/>
        <v/>
      </c>
      <c r="AK1349" s="2" t="str">
        <f t="shared" si="197"/>
        <v/>
      </c>
    </row>
    <row r="1350" spans="1:37" x14ac:dyDescent="0.25">
      <c r="A1350">
        <v>2912</v>
      </c>
      <c r="B1350" t="s">
        <v>1491</v>
      </c>
      <c r="C1350" t="s">
        <v>1362</v>
      </c>
      <c r="D1350" t="s">
        <v>1481</v>
      </c>
      <c r="E1350" t="s">
        <v>601</v>
      </c>
      <c r="F1350" t="s">
        <v>1482</v>
      </c>
      <c r="G1350" t="s">
        <v>31</v>
      </c>
      <c r="H1350" s="1">
        <v>44598.794965277775</v>
      </c>
      <c r="I1350" s="1">
        <v>44599.794965277775</v>
      </c>
      <c r="J1350" t="s">
        <v>32</v>
      </c>
      <c r="K1350" s="1">
        <v>44620.794965277775</v>
      </c>
      <c r="L1350" t="s">
        <v>33</v>
      </c>
      <c r="M1350" t="s">
        <v>51</v>
      </c>
      <c r="T1350">
        <v>0</v>
      </c>
      <c r="Y1350" t="s">
        <v>35</v>
      </c>
      <c r="AC1350" s="2">
        <f t="shared" si="189"/>
        <v>1</v>
      </c>
      <c r="AD1350" s="2">
        <f t="shared" si="190"/>
        <v>22</v>
      </c>
      <c r="AE1350" s="2">
        <f t="shared" si="191"/>
        <v>21</v>
      </c>
      <c r="AF1350" s="2" t="str">
        <f t="shared" si="192"/>
        <v/>
      </c>
      <c r="AG1350" s="2" t="str">
        <f t="shared" si="193"/>
        <v/>
      </c>
      <c r="AH1350" s="4" t="str">
        <f t="shared" si="194"/>
        <v/>
      </c>
      <c r="AI1350" s="2" t="str">
        <f t="shared" si="195"/>
        <v/>
      </c>
      <c r="AJ1350" s="2" t="str">
        <f t="shared" si="196"/>
        <v/>
      </c>
      <c r="AK1350" s="2" t="str">
        <f t="shared" si="197"/>
        <v/>
      </c>
    </row>
    <row r="1351" spans="1:37" x14ac:dyDescent="0.25">
      <c r="A1351">
        <v>2828</v>
      </c>
      <c r="B1351" t="s">
        <v>1492</v>
      </c>
      <c r="C1351" t="s">
        <v>1362</v>
      </c>
      <c r="D1351" t="s">
        <v>1481</v>
      </c>
      <c r="E1351" t="s">
        <v>601</v>
      </c>
      <c r="F1351" t="s">
        <v>1482</v>
      </c>
      <c r="G1351" t="s">
        <v>31</v>
      </c>
      <c r="H1351" s="1">
        <v>44563.055902777778</v>
      </c>
      <c r="I1351" s="1">
        <v>44567.055902777778</v>
      </c>
      <c r="J1351" t="s">
        <v>32</v>
      </c>
      <c r="K1351" s="1">
        <v>44578.055902777778</v>
      </c>
      <c r="L1351" t="s">
        <v>33</v>
      </c>
      <c r="M1351" t="s">
        <v>51</v>
      </c>
      <c r="T1351">
        <v>0</v>
      </c>
      <c r="Y1351" t="s">
        <v>35</v>
      </c>
      <c r="AC1351" s="2">
        <f t="shared" si="189"/>
        <v>4</v>
      </c>
      <c r="AD1351" s="2">
        <f t="shared" si="190"/>
        <v>15</v>
      </c>
      <c r="AE1351" s="2">
        <f t="shared" si="191"/>
        <v>11</v>
      </c>
      <c r="AF1351" s="2" t="str">
        <f t="shared" si="192"/>
        <v/>
      </c>
      <c r="AG1351" s="2" t="str">
        <f t="shared" si="193"/>
        <v/>
      </c>
      <c r="AH1351" s="4" t="str">
        <f t="shared" si="194"/>
        <v/>
      </c>
      <c r="AI1351" s="2" t="str">
        <f t="shared" si="195"/>
        <v/>
      </c>
      <c r="AJ1351" s="2" t="str">
        <f t="shared" si="196"/>
        <v/>
      </c>
      <c r="AK1351" s="2" t="str">
        <f t="shared" si="197"/>
        <v/>
      </c>
    </row>
    <row r="1352" spans="1:37" x14ac:dyDescent="0.25">
      <c r="A1352">
        <v>2826</v>
      </c>
      <c r="B1352" t="s">
        <v>1493</v>
      </c>
      <c r="C1352" t="s">
        <v>1362</v>
      </c>
      <c r="D1352" t="s">
        <v>1481</v>
      </c>
      <c r="E1352" t="s">
        <v>601</v>
      </c>
      <c r="F1352" t="s">
        <v>1482</v>
      </c>
      <c r="G1352" t="s">
        <v>31</v>
      </c>
      <c r="H1352" s="1">
        <v>44569.055902777778</v>
      </c>
      <c r="I1352" s="1">
        <v>44570.055902777778</v>
      </c>
      <c r="J1352" t="s">
        <v>32</v>
      </c>
      <c r="K1352" s="1">
        <v>44579.055902777778</v>
      </c>
      <c r="L1352" t="s">
        <v>33</v>
      </c>
      <c r="M1352" t="s">
        <v>108</v>
      </c>
      <c r="R1352" s="4">
        <v>44581.055902777778</v>
      </c>
      <c r="T1352">
        <v>0</v>
      </c>
      <c r="Y1352" t="s">
        <v>55</v>
      </c>
      <c r="AC1352" s="2">
        <f t="shared" si="189"/>
        <v>1</v>
      </c>
      <c r="AD1352" s="2">
        <f t="shared" si="190"/>
        <v>10</v>
      </c>
      <c r="AE1352" s="2">
        <f t="shared" si="191"/>
        <v>9</v>
      </c>
      <c r="AF1352" s="2">
        <f t="shared" si="192"/>
        <v>12</v>
      </c>
      <c r="AG1352" s="2">
        <f t="shared" si="193"/>
        <v>2</v>
      </c>
      <c r="AH1352" s="4">
        <f t="shared" si="194"/>
        <v>44671.055902777778</v>
      </c>
      <c r="AI1352" s="2" t="str">
        <f t="shared" si="195"/>
        <v/>
      </c>
      <c r="AJ1352" s="2" t="str">
        <f t="shared" si="196"/>
        <v/>
      </c>
      <c r="AK1352" s="2" t="str">
        <f t="shared" si="197"/>
        <v/>
      </c>
    </row>
    <row r="1353" spans="1:37" x14ac:dyDescent="0.25">
      <c r="A1353">
        <v>2821</v>
      </c>
      <c r="B1353" t="s">
        <v>1494</v>
      </c>
      <c r="C1353" t="s">
        <v>1362</v>
      </c>
      <c r="D1353" t="s">
        <v>1481</v>
      </c>
      <c r="E1353" t="s">
        <v>601</v>
      </c>
      <c r="F1353" t="s">
        <v>1482</v>
      </c>
      <c r="G1353" t="s">
        <v>31</v>
      </c>
      <c r="H1353" s="1">
        <v>44567.055902777778</v>
      </c>
      <c r="I1353" s="1">
        <v>44568.055902777778</v>
      </c>
      <c r="J1353" t="s">
        <v>32</v>
      </c>
      <c r="K1353" s="1">
        <v>44580.055902777778</v>
      </c>
      <c r="L1353" t="s">
        <v>39</v>
      </c>
      <c r="N1353" s="4">
        <v>44583.055902777778</v>
      </c>
      <c r="O1353" t="s">
        <v>39</v>
      </c>
      <c r="R1353" s="4">
        <v>44582.055902777778</v>
      </c>
      <c r="T1353">
        <v>0</v>
      </c>
      <c r="AC1353" s="2">
        <f t="shared" si="189"/>
        <v>1</v>
      </c>
      <c r="AD1353" s="2">
        <f t="shared" si="190"/>
        <v>13</v>
      </c>
      <c r="AE1353" s="2">
        <f t="shared" si="191"/>
        <v>12</v>
      </c>
      <c r="AF1353" s="2">
        <f t="shared" si="192"/>
        <v>15</v>
      </c>
      <c r="AG1353" s="2">
        <f t="shared" si="193"/>
        <v>2</v>
      </c>
      <c r="AH1353" s="4">
        <f t="shared" si="194"/>
        <v>44672.055902777778</v>
      </c>
      <c r="AI1353" s="2" t="str">
        <f t="shared" si="195"/>
        <v/>
      </c>
      <c r="AJ1353" s="2" t="str">
        <f t="shared" si="196"/>
        <v/>
      </c>
      <c r="AK1353" s="2" t="str">
        <f t="shared" si="197"/>
        <v/>
      </c>
    </row>
    <row r="1354" spans="1:37" x14ac:dyDescent="0.25">
      <c r="A1354">
        <v>2807</v>
      </c>
      <c r="B1354" t="s">
        <v>1495</v>
      </c>
      <c r="C1354" t="s">
        <v>1362</v>
      </c>
      <c r="D1354" t="s">
        <v>1481</v>
      </c>
      <c r="E1354" t="s">
        <v>601</v>
      </c>
      <c r="F1354" t="s">
        <v>1482</v>
      </c>
      <c r="G1354" t="s">
        <v>31</v>
      </c>
      <c r="H1354" s="1">
        <v>45075.778425925928</v>
      </c>
      <c r="I1354" s="1">
        <v>45079.778425925928</v>
      </c>
      <c r="J1354" t="s">
        <v>32</v>
      </c>
      <c r="K1354" s="1">
        <v>45099.778425925928</v>
      </c>
      <c r="L1354" t="s">
        <v>164</v>
      </c>
      <c r="N1354" s="4">
        <v>45105.778425925928</v>
      </c>
      <c r="O1354" t="s">
        <v>164</v>
      </c>
      <c r="R1354" s="4">
        <v>45102.778425925928</v>
      </c>
      <c r="T1354">
        <v>0</v>
      </c>
      <c r="AC1354" s="2">
        <f t="shared" si="189"/>
        <v>4</v>
      </c>
      <c r="AD1354" s="2">
        <f t="shared" si="190"/>
        <v>24</v>
      </c>
      <c r="AE1354" s="2">
        <f t="shared" si="191"/>
        <v>20</v>
      </c>
      <c r="AF1354" s="2">
        <f t="shared" si="192"/>
        <v>27</v>
      </c>
      <c r="AG1354" s="2">
        <f t="shared" si="193"/>
        <v>3</v>
      </c>
      <c r="AH1354" s="4">
        <f t="shared" si="194"/>
        <v>45192.778425925928</v>
      </c>
      <c r="AI1354" s="2" t="str">
        <f t="shared" si="195"/>
        <v/>
      </c>
      <c r="AJ1354" s="2" t="str">
        <f t="shared" si="196"/>
        <v/>
      </c>
      <c r="AK1354" s="2" t="str">
        <f t="shared" si="197"/>
        <v/>
      </c>
    </row>
    <row r="1355" spans="1:37" x14ac:dyDescent="0.25">
      <c r="A1355">
        <v>2794</v>
      </c>
      <c r="B1355" t="s">
        <v>1496</v>
      </c>
      <c r="C1355" t="s">
        <v>1362</v>
      </c>
      <c r="D1355" t="s">
        <v>1481</v>
      </c>
      <c r="E1355" t="s">
        <v>601</v>
      </c>
      <c r="F1355" t="s">
        <v>1482</v>
      </c>
      <c r="G1355" t="s">
        <v>31</v>
      </c>
      <c r="H1355" s="1">
        <v>45104.834444444445</v>
      </c>
      <c r="I1355" s="1">
        <v>45108.834444444445</v>
      </c>
      <c r="J1355" t="s">
        <v>32</v>
      </c>
      <c r="K1355" s="1">
        <v>45114.834444444445</v>
      </c>
      <c r="L1355" t="s">
        <v>33</v>
      </c>
      <c r="M1355" t="s">
        <v>92</v>
      </c>
      <c r="T1355">
        <v>0</v>
      </c>
      <c r="Y1355" t="s">
        <v>55</v>
      </c>
      <c r="AC1355" s="2">
        <f t="shared" si="189"/>
        <v>4</v>
      </c>
      <c r="AD1355" s="2">
        <f t="shared" si="190"/>
        <v>10</v>
      </c>
      <c r="AE1355" s="2">
        <f t="shared" si="191"/>
        <v>6</v>
      </c>
      <c r="AF1355" s="2" t="str">
        <f t="shared" si="192"/>
        <v/>
      </c>
      <c r="AG1355" s="2" t="str">
        <f t="shared" si="193"/>
        <v/>
      </c>
      <c r="AH1355" s="4" t="str">
        <f t="shared" si="194"/>
        <v/>
      </c>
      <c r="AI1355" s="2" t="str">
        <f t="shared" si="195"/>
        <v/>
      </c>
      <c r="AJ1355" s="2" t="str">
        <f t="shared" si="196"/>
        <v/>
      </c>
      <c r="AK1355" s="2" t="str">
        <f t="shared" si="197"/>
        <v/>
      </c>
    </row>
    <row r="1356" spans="1:37" x14ac:dyDescent="0.25">
      <c r="A1356">
        <v>2747</v>
      </c>
      <c r="B1356" t="s">
        <v>1497</v>
      </c>
      <c r="C1356" t="s">
        <v>1362</v>
      </c>
      <c r="D1356" t="s">
        <v>1481</v>
      </c>
      <c r="E1356" t="s">
        <v>601</v>
      </c>
      <c r="F1356" t="s">
        <v>1482</v>
      </c>
      <c r="G1356" t="s">
        <v>31</v>
      </c>
      <c r="H1356" s="1">
        <v>44670.561030092591</v>
      </c>
      <c r="I1356" s="1">
        <v>44674.561030092591</v>
      </c>
      <c r="J1356" t="s">
        <v>32</v>
      </c>
      <c r="K1356" s="1">
        <v>44680.561030092591</v>
      </c>
      <c r="L1356" t="s">
        <v>33</v>
      </c>
      <c r="M1356" t="s">
        <v>108</v>
      </c>
      <c r="T1356">
        <v>0</v>
      </c>
      <c r="Y1356" t="s">
        <v>35</v>
      </c>
      <c r="AC1356" s="2">
        <f t="shared" si="189"/>
        <v>4</v>
      </c>
      <c r="AD1356" s="2">
        <f t="shared" si="190"/>
        <v>10</v>
      </c>
      <c r="AE1356" s="2">
        <f t="shared" si="191"/>
        <v>6</v>
      </c>
      <c r="AF1356" s="2" t="str">
        <f t="shared" si="192"/>
        <v/>
      </c>
      <c r="AG1356" s="2" t="str">
        <f t="shared" si="193"/>
        <v/>
      </c>
      <c r="AH1356" s="4" t="str">
        <f t="shared" si="194"/>
        <v/>
      </c>
      <c r="AI1356" s="2" t="str">
        <f t="shared" si="195"/>
        <v/>
      </c>
      <c r="AJ1356" s="2" t="str">
        <f t="shared" si="196"/>
        <v/>
      </c>
      <c r="AK1356" s="2" t="str">
        <f t="shared" si="197"/>
        <v/>
      </c>
    </row>
    <row r="1357" spans="1:37" x14ac:dyDescent="0.25">
      <c r="A1357">
        <v>2709</v>
      </c>
      <c r="B1357" t="s">
        <v>1498</v>
      </c>
      <c r="C1357" t="s">
        <v>1362</v>
      </c>
      <c r="D1357" t="s">
        <v>1481</v>
      </c>
      <c r="E1357" t="s">
        <v>601</v>
      </c>
      <c r="F1357" t="s">
        <v>1482</v>
      </c>
      <c r="G1357" t="s">
        <v>31</v>
      </c>
      <c r="H1357" s="1">
        <v>44832.495787037034</v>
      </c>
      <c r="I1357" s="1">
        <v>44834.495787037034</v>
      </c>
      <c r="J1357" t="s">
        <v>32</v>
      </c>
      <c r="K1357" s="1">
        <v>44846.495787037034</v>
      </c>
      <c r="L1357" t="s">
        <v>39</v>
      </c>
      <c r="N1357" s="4">
        <v>44853.495787037034</v>
      </c>
      <c r="O1357" t="s">
        <v>39</v>
      </c>
      <c r="R1357" s="4">
        <v>44850.495787037034</v>
      </c>
      <c r="T1357">
        <v>0</v>
      </c>
      <c r="AC1357" s="2">
        <f t="shared" si="189"/>
        <v>2</v>
      </c>
      <c r="AD1357" s="2">
        <f t="shared" si="190"/>
        <v>14</v>
      </c>
      <c r="AE1357" s="2">
        <f t="shared" si="191"/>
        <v>12</v>
      </c>
      <c r="AF1357" s="2">
        <f t="shared" si="192"/>
        <v>18</v>
      </c>
      <c r="AG1357" s="2">
        <f t="shared" si="193"/>
        <v>4</v>
      </c>
      <c r="AH1357" s="4">
        <f t="shared" si="194"/>
        <v>44940.495787037034</v>
      </c>
      <c r="AI1357" s="2" t="str">
        <f t="shared" si="195"/>
        <v/>
      </c>
      <c r="AJ1357" s="2" t="str">
        <f t="shared" si="196"/>
        <v/>
      </c>
      <c r="AK1357" s="2" t="str">
        <f t="shared" si="197"/>
        <v/>
      </c>
    </row>
    <row r="1358" spans="1:37" x14ac:dyDescent="0.25">
      <c r="A1358">
        <v>2634</v>
      </c>
      <c r="B1358" t="s">
        <v>1499</v>
      </c>
      <c r="C1358" t="s">
        <v>1362</v>
      </c>
      <c r="D1358" t="s">
        <v>1481</v>
      </c>
      <c r="E1358" t="s">
        <v>601</v>
      </c>
      <c r="F1358" t="s">
        <v>1482</v>
      </c>
      <c r="G1358" t="s">
        <v>31</v>
      </c>
      <c r="H1358" s="1">
        <v>44579.196851851855</v>
      </c>
      <c r="I1358" s="1">
        <v>44582.196851851855</v>
      </c>
      <c r="J1358" t="s">
        <v>32</v>
      </c>
      <c r="K1358" s="1">
        <v>44595.196851851855</v>
      </c>
      <c r="L1358" t="s">
        <v>33</v>
      </c>
      <c r="M1358" t="s">
        <v>92</v>
      </c>
      <c r="T1358">
        <v>0</v>
      </c>
      <c r="Y1358" t="s">
        <v>55</v>
      </c>
      <c r="AC1358" s="2">
        <f t="shared" si="189"/>
        <v>3</v>
      </c>
      <c r="AD1358" s="2">
        <f t="shared" si="190"/>
        <v>16</v>
      </c>
      <c r="AE1358" s="2">
        <f t="shared" si="191"/>
        <v>13</v>
      </c>
      <c r="AF1358" s="2" t="str">
        <f t="shared" si="192"/>
        <v/>
      </c>
      <c r="AG1358" s="2" t="str">
        <f t="shared" si="193"/>
        <v/>
      </c>
      <c r="AH1358" s="4" t="str">
        <f t="shared" si="194"/>
        <v/>
      </c>
      <c r="AI1358" s="2" t="str">
        <f t="shared" si="195"/>
        <v/>
      </c>
      <c r="AJ1358" s="2" t="str">
        <f t="shared" si="196"/>
        <v/>
      </c>
      <c r="AK1358" s="2" t="str">
        <f t="shared" si="197"/>
        <v/>
      </c>
    </row>
    <row r="1359" spans="1:37" x14ac:dyDescent="0.25">
      <c r="A1359">
        <v>2632</v>
      </c>
      <c r="B1359" t="s">
        <v>1500</v>
      </c>
      <c r="C1359" t="s">
        <v>1362</v>
      </c>
      <c r="D1359" t="s">
        <v>1481</v>
      </c>
      <c r="E1359" t="s">
        <v>601</v>
      </c>
      <c r="F1359" t="s">
        <v>1482</v>
      </c>
      <c r="G1359" t="s">
        <v>31</v>
      </c>
      <c r="H1359" s="1">
        <v>44585.196851851855</v>
      </c>
      <c r="I1359" s="1">
        <v>44587.196851851855</v>
      </c>
      <c r="J1359" t="s">
        <v>32</v>
      </c>
      <c r="K1359" s="1">
        <v>44603.196851851855</v>
      </c>
      <c r="L1359" t="s">
        <v>39</v>
      </c>
      <c r="N1359" s="4">
        <v>44610.196851851855</v>
      </c>
      <c r="O1359" t="s">
        <v>39</v>
      </c>
      <c r="R1359" s="4">
        <v>44607.196851851855</v>
      </c>
      <c r="T1359">
        <v>0</v>
      </c>
      <c r="AC1359" s="2">
        <f t="shared" si="189"/>
        <v>2</v>
      </c>
      <c r="AD1359" s="2">
        <f t="shared" si="190"/>
        <v>18</v>
      </c>
      <c r="AE1359" s="2">
        <f t="shared" si="191"/>
        <v>16</v>
      </c>
      <c r="AF1359" s="2">
        <f t="shared" si="192"/>
        <v>22</v>
      </c>
      <c r="AG1359" s="2">
        <f t="shared" si="193"/>
        <v>4</v>
      </c>
      <c r="AH1359" s="4">
        <f t="shared" si="194"/>
        <v>44697.196851851855</v>
      </c>
      <c r="AI1359" s="2" t="str">
        <f t="shared" si="195"/>
        <v/>
      </c>
      <c r="AJ1359" s="2" t="str">
        <f t="shared" si="196"/>
        <v/>
      </c>
      <c r="AK1359" s="2" t="str">
        <f t="shared" si="197"/>
        <v/>
      </c>
    </row>
    <row r="1360" spans="1:37" x14ac:dyDescent="0.25">
      <c r="A1360">
        <v>2631</v>
      </c>
      <c r="B1360" t="s">
        <v>1501</v>
      </c>
      <c r="C1360" t="s">
        <v>1362</v>
      </c>
      <c r="D1360" t="s">
        <v>1481</v>
      </c>
      <c r="E1360" t="s">
        <v>601</v>
      </c>
      <c r="F1360" t="s">
        <v>1482</v>
      </c>
      <c r="G1360" t="s">
        <v>31</v>
      </c>
      <c r="H1360" s="1">
        <v>44581.196851851855</v>
      </c>
      <c r="I1360" s="1">
        <v>44585.196851851855</v>
      </c>
      <c r="J1360" t="s">
        <v>32</v>
      </c>
      <c r="K1360" s="1">
        <v>44599.196851851855</v>
      </c>
      <c r="L1360" t="s">
        <v>33</v>
      </c>
      <c r="M1360" t="s">
        <v>34</v>
      </c>
      <c r="R1360" s="4">
        <v>44602.196851851855</v>
      </c>
      <c r="T1360">
        <v>0</v>
      </c>
      <c r="Y1360" t="s">
        <v>35</v>
      </c>
      <c r="AC1360" s="2">
        <f t="shared" si="189"/>
        <v>4</v>
      </c>
      <c r="AD1360" s="2">
        <f t="shared" si="190"/>
        <v>18</v>
      </c>
      <c r="AE1360" s="2">
        <f t="shared" si="191"/>
        <v>14</v>
      </c>
      <c r="AF1360" s="2">
        <f t="shared" si="192"/>
        <v>21</v>
      </c>
      <c r="AG1360" s="2">
        <f t="shared" si="193"/>
        <v>3</v>
      </c>
      <c r="AH1360" s="4">
        <f t="shared" si="194"/>
        <v>44692.196851851855</v>
      </c>
      <c r="AI1360" s="2" t="str">
        <f t="shared" si="195"/>
        <v/>
      </c>
      <c r="AJ1360" s="2" t="str">
        <f t="shared" si="196"/>
        <v/>
      </c>
      <c r="AK1360" s="2" t="str">
        <f t="shared" si="197"/>
        <v/>
      </c>
    </row>
    <row r="1361" spans="1:37" x14ac:dyDescent="0.25">
      <c r="A1361">
        <v>2626</v>
      </c>
      <c r="B1361" t="s">
        <v>1502</v>
      </c>
      <c r="C1361" t="s">
        <v>1362</v>
      </c>
      <c r="D1361" t="s">
        <v>1481</v>
      </c>
      <c r="E1361" t="s">
        <v>601</v>
      </c>
      <c r="F1361" t="s">
        <v>1482</v>
      </c>
      <c r="G1361" t="s">
        <v>31</v>
      </c>
      <c r="H1361" s="1">
        <v>45096.668356481481</v>
      </c>
      <c r="I1361" s="1">
        <v>45099.668356481481</v>
      </c>
      <c r="J1361" t="s">
        <v>32</v>
      </c>
      <c r="K1361" s="1">
        <v>45105.668356481481</v>
      </c>
      <c r="L1361" t="s">
        <v>33</v>
      </c>
      <c r="M1361" t="s">
        <v>34</v>
      </c>
      <c r="R1361" s="4">
        <v>45108.668356481481</v>
      </c>
      <c r="T1361">
        <v>0</v>
      </c>
      <c r="Y1361" t="s">
        <v>35</v>
      </c>
      <c r="AC1361" s="2">
        <f t="shared" si="189"/>
        <v>3</v>
      </c>
      <c r="AD1361" s="2">
        <f t="shared" si="190"/>
        <v>9</v>
      </c>
      <c r="AE1361" s="2">
        <f t="shared" si="191"/>
        <v>6</v>
      </c>
      <c r="AF1361" s="2">
        <f t="shared" si="192"/>
        <v>12</v>
      </c>
      <c r="AG1361" s="2">
        <f t="shared" si="193"/>
        <v>3</v>
      </c>
      <c r="AH1361" s="4">
        <f t="shared" si="194"/>
        <v>45198.668356481481</v>
      </c>
      <c r="AI1361" s="2" t="str">
        <f t="shared" si="195"/>
        <v/>
      </c>
      <c r="AJ1361" s="2" t="str">
        <f t="shared" si="196"/>
        <v/>
      </c>
      <c r="AK1361" s="2" t="str">
        <f t="shared" si="197"/>
        <v/>
      </c>
    </row>
    <row r="1362" spans="1:37" x14ac:dyDescent="0.25">
      <c r="A1362">
        <v>2620</v>
      </c>
      <c r="B1362" t="s">
        <v>1503</v>
      </c>
      <c r="C1362" t="s">
        <v>1362</v>
      </c>
      <c r="D1362" t="s">
        <v>1481</v>
      </c>
      <c r="E1362" t="s">
        <v>601</v>
      </c>
      <c r="F1362" t="s">
        <v>1482</v>
      </c>
      <c r="G1362" t="s">
        <v>31</v>
      </c>
      <c r="H1362" s="1">
        <v>44928.379525462966</v>
      </c>
      <c r="I1362" s="1">
        <v>44931.379525462966</v>
      </c>
      <c r="J1362" t="s">
        <v>32</v>
      </c>
      <c r="K1362" s="1">
        <v>44946.379525462966</v>
      </c>
      <c r="L1362" t="s">
        <v>33</v>
      </c>
      <c r="M1362" t="s">
        <v>67</v>
      </c>
      <c r="R1362" s="4">
        <v>44950.379525462966</v>
      </c>
      <c r="T1362">
        <v>0</v>
      </c>
      <c r="Y1362" t="s">
        <v>35</v>
      </c>
      <c r="AC1362" s="2">
        <f t="shared" si="189"/>
        <v>3</v>
      </c>
      <c r="AD1362" s="2">
        <f t="shared" si="190"/>
        <v>18</v>
      </c>
      <c r="AE1362" s="2">
        <f t="shared" si="191"/>
        <v>15</v>
      </c>
      <c r="AF1362" s="2">
        <f t="shared" si="192"/>
        <v>22</v>
      </c>
      <c r="AG1362" s="2">
        <f t="shared" si="193"/>
        <v>4</v>
      </c>
      <c r="AH1362" s="4">
        <f t="shared" si="194"/>
        <v>45040.379525462966</v>
      </c>
      <c r="AI1362" s="2" t="str">
        <f t="shared" si="195"/>
        <v/>
      </c>
      <c r="AJ1362" s="2" t="str">
        <f t="shared" si="196"/>
        <v/>
      </c>
      <c r="AK1362" s="2" t="str">
        <f t="shared" si="197"/>
        <v/>
      </c>
    </row>
    <row r="1363" spans="1:37" x14ac:dyDescent="0.25">
      <c r="A1363">
        <v>2573</v>
      </c>
      <c r="B1363" t="s">
        <v>1504</v>
      </c>
      <c r="C1363" t="s">
        <v>1362</v>
      </c>
      <c r="D1363" t="s">
        <v>1481</v>
      </c>
      <c r="E1363" t="s">
        <v>601</v>
      </c>
      <c r="F1363" t="s">
        <v>1482</v>
      </c>
      <c r="G1363" t="s">
        <v>31</v>
      </c>
      <c r="H1363" s="1">
        <v>44636.718425925923</v>
      </c>
      <c r="I1363" s="1">
        <v>44640.718425925923</v>
      </c>
      <c r="J1363" t="s">
        <v>32</v>
      </c>
      <c r="K1363" s="1">
        <v>44658.718425925923</v>
      </c>
      <c r="L1363" t="s">
        <v>57</v>
      </c>
      <c r="N1363" s="4">
        <v>44664.718425925923</v>
      </c>
      <c r="O1363" t="s">
        <v>57</v>
      </c>
      <c r="P1363" s="4">
        <v>44659.718425925923</v>
      </c>
      <c r="Q1363" s="4">
        <v>44663.718425925923</v>
      </c>
      <c r="R1363" s="4">
        <v>44661.718425925923</v>
      </c>
      <c r="S1363" s="4">
        <v>44665.718425925923</v>
      </c>
      <c r="T1363">
        <v>1</v>
      </c>
      <c r="U1363" s="4">
        <v>44667.718425925923</v>
      </c>
      <c r="V1363" s="4">
        <v>44668.718425925923</v>
      </c>
      <c r="W1363" s="4">
        <v>44669.718425925923</v>
      </c>
      <c r="Z1363" s="4">
        <v>44682.718425925923</v>
      </c>
      <c r="AC1363" s="2">
        <f t="shared" si="189"/>
        <v>4</v>
      </c>
      <c r="AD1363" s="2">
        <f t="shared" si="190"/>
        <v>22</v>
      </c>
      <c r="AE1363" s="2">
        <f t="shared" si="191"/>
        <v>18</v>
      </c>
      <c r="AF1363" s="2">
        <f t="shared" si="192"/>
        <v>25</v>
      </c>
      <c r="AG1363" s="2">
        <f t="shared" si="193"/>
        <v>3</v>
      </c>
      <c r="AH1363" s="4">
        <f t="shared" si="194"/>
        <v>44751.718425925923</v>
      </c>
      <c r="AI1363" s="2">
        <f t="shared" si="195"/>
        <v>2</v>
      </c>
      <c r="AJ1363" s="2">
        <f t="shared" si="196"/>
        <v>21</v>
      </c>
      <c r="AK1363" s="2">
        <f t="shared" si="197"/>
        <v>8</v>
      </c>
    </row>
    <row r="1364" spans="1:37" x14ac:dyDescent="0.25">
      <c r="A1364">
        <v>2572</v>
      </c>
      <c r="B1364" t="s">
        <v>1505</v>
      </c>
      <c r="C1364" t="s">
        <v>1362</v>
      </c>
      <c r="D1364" t="s">
        <v>1481</v>
      </c>
      <c r="E1364" t="s">
        <v>601</v>
      </c>
      <c r="F1364" t="s">
        <v>1482</v>
      </c>
      <c r="G1364" t="s">
        <v>31</v>
      </c>
      <c r="H1364" s="1">
        <v>44641.718425925923</v>
      </c>
      <c r="I1364" s="1">
        <v>44642.718425925923</v>
      </c>
      <c r="J1364" t="s">
        <v>32</v>
      </c>
      <c r="K1364" s="1">
        <v>44647.718425925923</v>
      </c>
      <c r="L1364" t="s">
        <v>33</v>
      </c>
      <c r="M1364" t="s">
        <v>108</v>
      </c>
      <c r="T1364">
        <v>0</v>
      </c>
      <c r="Y1364" t="s">
        <v>35</v>
      </c>
      <c r="AC1364" s="2">
        <f t="shared" si="189"/>
        <v>1</v>
      </c>
      <c r="AD1364" s="2">
        <f t="shared" si="190"/>
        <v>6</v>
      </c>
      <c r="AE1364" s="2">
        <f t="shared" si="191"/>
        <v>5</v>
      </c>
      <c r="AF1364" s="2" t="str">
        <f t="shared" si="192"/>
        <v/>
      </c>
      <c r="AG1364" s="2" t="str">
        <f t="shared" si="193"/>
        <v/>
      </c>
      <c r="AH1364" s="4" t="str">
        <f t="shared" si="194"/>
        <v/>
      </c>
      <c r="AI1364" s="2" t="str">
        <f t="shared" si="195"/>
        <v/>
      </c>
      <c r="AJ1364" s="2" t="str">
        <f t="shared" si="196"/>
        <v/>
      </c>
      <c r="AK1364" s="2" t="str">
        <f t="shared" si="197"/>
        <v/>
      </c>
    </row>
    <row r="1365" spans="1:37" x14ac:dyDescent="0.25">
      <c r="A1365">
        <v>2489</v>
      </c>
      <c r="B1365" t="s">
        <v>1506</v>
      </c>
      <c r="C1365" t="s">
        <v>1362</v>
      </c>
      <c r="D1365" t="s">
        <v>1481</v>
      </c>
      <c r="E1365" t="s">
        <v>601</v>
      </c>
      <c r="F1365" t="s">
        <v>1482</v>
      </c>
      <c r="G1365" t="s">
        <v>31</v>
      </c>
      <c r="H1365" s="1">
        <v>44970.901273148149</v>
      </c>
      <c r="I1365" s="1">
        <v>44973.901273148149</v>
      </c>
      <c r="J1365" t="s">
        <v>32</v>
      </c>
      <c r="K1365" s="1">
        <v>44978.901273148149</v>
      </c>
      <c r="L1365" t="s">
        <v>39</v>
      </c>
      <c r="N1365" s="4">
        <v>44986.901273148149</v>
      </c>
      <c r="O1365" t="s">
        <v>39</v>
      </c>
      <c r="R1365" s="4">
        <v>44982.901273148149</v>
      </c>
      <c r="T1365">
        <v>0</v>
      </c>
      <c r="AC1365" s="2">
        <f t="shared" si="189"/>
        <v>3</v>
      </c>
      <c r="AD1365" s="2">
        <f t="shared" si="190"/>
        <v>8</v>
      </c>
      <c r="AE1365" s="2">
        <f t="shared" si="191"/>
        <v>5</v>
      </c>
      <c r="AF1365" s="2">
        <f t="shared" si="192"/>
        <v>12</v>
      </c>
      <c r="AG1365" s="2">
        <f t="shared" si="193"/>
        <v>4</v>
      </c>
      <c r="AH1365" s="4">
        <f t="shared" si="194"/>
        <v>45072.901273148149</v>
      </c>
      <c r="AI1365" s="2" t="str">
        <f t="shared" si="195"/>
        <v/>
      </c>
      <c r="AJ1365" s="2" t="str">
        <f t="shared" si="196"/>
        <v/>
      </c>
      <c r="AK1365" s="2" t="str">
        <f t="shared" si="197"/>
        <v/>
      </c>
    </row>
    <row r="1366" spans="1:37" x14ac:dyDescent="0.25">
      <c r="A1366">
        <v>2487</v>
      </c>
      <c r="B1366" t="s">
        <v>1507</v>
      </c>
      <c r="C1366" t="s">
        <v>1362</v>
      </c>
      <c r="D1366" t="s">
        <v>1481</v>
      </c>
      <c r="E1366" t="s">
        <v>601</v>
      </c>
      <c r="F1366" t="s">
        <v>1482</v>
      </c>
      <c r="G1366" t="s">
        <v>31</v>
      </c>
      <c r="H1366" s="1">
        <v>44972.901273148149</v>
      </c>
      <c r="I1366" s="1">
        <v>44973.901273148149</v>
      </c>
      <c r="J1366" t="s">
        <v>32</v>
      </c>
      <c r="K1366" s="1">
        <v>44981.901273148149</v>
      </c>
      <c r="L1366" t="s">
        <v>33</v>
      </c>
      <c r="M1366" t="s">
        <v>67</v>
      </c>
      <c r="T1366">
        <v>0</v>
      </c>
      <c r="Y1366" t="s">
        <v>55</v>
      </c>
      <c r="AC1366" s="2">
        <f t="shared" si="189"/>
        <v>1</v>
      </c>
      <c r="AD1366" s="2">
        <f t="shared" si="190"/>
        <v>9</v>
      </c>
      <c r="AE1366" s="2">
        <f t="shared" si="191"/>
        <v>8</v>
      </c>
      <c r="AF1366" s="2" t="str">
        <f t="shared" si="192"/>
        <v/>
      </c>
      <c r="AG1366" s="2" t="str">
        <f t="shared" si="193"/>
        <v/>
      </c>
      <c r="AH1366" s="4" t="str">
        <f t="shared" si="194"/>
        <v/>
      </c>
      <c r="AI1366" s="2" t="str">
        <f t="shared" si="195"/>
        <v/>
      </c>
      <c r="AJ1366" s="2" t="str">
        <f t="shared" si="196"/>
        <v/>
      </c>
      <c r="AK1366" s="2" t="str">
        <f t="shared" si="197"/>
        <v/>
      </c>
    </row>
    <row r="1367" spans="1:37" x14ac:dyDescent="0.25">
      <c r="A1367">
        <v>2484</v>
      </c>
      <c r="B1367" t="s">
        <v>1508</v>
      </c>
      <c r="C1367" t="s">
        <v>1362</v>
      </c>
      <c r="D1367" t="s">
        <v>1481</v>
      </c>
      <c r="E1367" t="s">
        <v>601</v>
      </c>
      <c r="F1367" t="s">
        <v>1482</v>
      </c>
      <c r="G1367" t="s">
        <v>31</v>
      </c>
      <c r="H1367" s="1">
        <v>44971.901273148149</v>
      </c>
      <c r="I1367" s="1">
        <v>44975.901273148149</v>
      </c>
      <c r="J1367" t="s">
        <v>32</v>
      </c>
      <c r="K1367" s="1">
        <v>44986.901273148149</v>
      </c>
      <c r="L1367" t="s">
        <v>57</v>
      </c>
      <c r="N1367" s="4">
        <v>44991.901273148149</v>
      </c>
      <c r="O1367" t="s">
        <v>57</v>
      </c>
      <c r="P1367" s="4">
        <v>44988.901273148149</v>
      </c>
      <c r="Q1367" s="4">
        <v>44989.901273148149</v>
      </c>
      <c r="R1367" s="4">
        <v>44987.901273148149</v>
      </c>
      <c r="S1367" s="4">
        <v>44996.901273148149</v>
      </c>
      <c r="T1367">
        <v>1</v>
      </c>
      <c r="U1367" s="4">
        <v>45000.901273148149</v>
      </c>
      <c r="V1367" s="4">
        <v>45003.901273148149</v>
      </c>
      <c r="W1367" s="4">
        <v>45006.901273148149</v>
      </c>
      <c r="Z1367" s="4">
        <v>45026.901273148149</v>
      </c>
      <c r="AC1367" s="2">
        <f t="shared" si="189"/>
        <v>4</v>
      </c>
      <c r="AD1367" s="2">
        <f t="shared" si="190"/>
        <v>15</v>
      </c>
      <c r="AE1367" s="2">
        <f t="shared" si="191"/>
        <v>11</v>
      </c>
      <c r="AF1367" s="2">
        <f t="shared" si="192"/>
        <v>16</v>
      </c>
      <c r="AG1367" s="2">
        <f t="shared" si="193"/>
        <v>1</v>
      </c>
      <c r="AH1367" s="4">
        <f t="shared" si="194"/>
        <v>45077.901273148149</v>
      </c>
      <c r="AI1367" s="2">
        <f t="shared" si="195"/>
        <v>4</v>
      </c>
      <c r="AJ1367" s="2">
        <f t="shared" si="196"/>
        <v>39</v>
      </c>
      <c r="AK1367" s="2">
        <f t="shared" si="197"/>
        <v>19</v>
      </c>
    </row>
    <row r="1368" spans="1:37" x14ac:dyDescent="0.25">
      <c r="A1368">
        <v>2398</v>
      </c>
      <c r="B1368" t="s">
        <v>1509</v>
      </c>
      <c r="C1368" t="s">
        <v>1362</v>
      </c>
      <c r="D1368" t="s">
        <v>1481</v>
      </c>
      <c r="E1368" t="s">
        <v>601</v>
      </c>
      <c r="F1368" t="s">
        <v>1482</v>
      </c>
      <c r="G1368" t="s">
        <v>31</v>
      </c>
      <c r="H1368" s="1">
        <v>45127.731192129628</v>
      </c>
      <c r="I1368" s="1">
        <v>45129.731192129628</v>
      </c>
      <c r="J1368" t="s">
        <v>32</v>
      </c>
      <c r="K1368" s="1">
        <v>45143.731192129628</v>
      </c>
      <c r="L1368" t="s">
        <v>33</v>
      </c>
      <c r="M1368" t="s">
        <v>34</v>
      </c>
      <c r="R1368" s="4">
        <v>45146.731192129628</v>
      </c>
      <c r="T1368">
        <v>0</v>
      </c>
      <c r="Y1368" t="s">
        <v>35</v>
      </c>
      <c r="AC1368" s="2">
        <f t="shared" si="189"/>
        <v>2</v>
      </c>
      <c r="AD1368" s="2">
        <f t="shared" si="190"/>
        <v>16</v>
      </c>
      <c r="AE1368" s="2">
        <f t="shared" si="191"/>
        <v>14</v>
      </c>
      <c r="AF1368" s="2">
        <f t="shared" si="192"/>
        <v>19</v>
      </c>
      <c r="AG1368" s="2">
        <f t="shared" si="193"/>
        <v>3</v>
      </c>
      <c r="AH1368" s="4">
        <f t="shared" si="194"/>
        <v>45236.731192129628</v>
      </c>
      <c r="AI1368" s="2" t="str">
        <f t="shared" si="195"/>
        <v/>
      </c>
      <c r="AJ1368" s="2" t="str">
        <f t="shared" si="196"/>
        <v/>
      </c>
      <c r="AK1368" s="2" t="str">
        <f t="shared" si="197"/>
        <v/>
      </c>
    </row>
    <row r="1369" spans="1:37" x14ac:dyDescent="0.25">
      <c r="A1369">
        <v>2397</v>
      </c>
      <c r="B1369" t="s">
        <v>1510</v>
      </c>
      <c r="C1369" t="s">
        <v>1362</v>
      </c>
      <c r="D1369" t="s">
        <v>1481</v>
      </c>
      <c r="E1369" t="s">
        <v>601</v>
      </c>
      <c r="F1369" t="s">
        <v>1482</v>
      </c>
      <c r="G1369" t="s">
        <v>31</v>
      </c>
      <c r="H1369" s="1">
        <v>45124.731192129628</v>
      </c>
      <c r="I1369" s="1">
        <v>45128.731192129628</v>
      </c>
      <c r="J1369" t="s">
        <v>32</v>
      </c>
      <c r="K1369" s="1">
        <v>45145.731192129628</v>
      </c>
      <c r="L1369" t="s">
        <v>33</v>
      </c>
      <c r="M1369" t="s">
        <v>51</v>
      </c>
      <c r="R1369" s="4">
        <v>45146.731192129628</v>
      </c>
      <c r="T1369">
        <v>0</v>
      </c>
      <c r="Y1369" t="s">
        <v>55</v>
      </c>
      <c r="AC1369" s="2">
        <f t="shared" si="189"/>
        <v>4</v>
      </c>
      <c r="AD1369" s="2">
        <f t="shared" si="190"/>
        <v>21</v>
      </c>
      <c r="AE1369" s="2">
        <f t="shared" si="191"/>
        <v>17</v>
      </c>
      <c r="AF1369" s="2">
        <f t="shared" si="192"/>
        <v>22</v>
      </c>
      <c r="AG1369" s="2">
        <f t="shared" si="193"/>
        <v>1</v>
      </c>
      <c r="AH1369" s="4">
        <f t="shared" si="194"/>
        <v>45236.731192129628</v>
      </c>
      <c r="AI1369" s="2" t="str">
        <f t="shared" si="195"/>
        <v/>
      </c>
      <c r="AJ1369" s="2" t="str">
        <f t="shared" si="196"/>
        <v/>
      </c>
      <c r="AK1369" s="2" t="str">
        <f t="shared" si="197"/>
        <v/>
      </c>
    </row>
    <row r="1370" spans="1:37" x14ac:dyDescent="0.25">
      <c r="A1370">
        <v>2396</v>
      </c>
      <c r="B1370" t="s">
        <v>1511</v>
      </c>
      <c r="C1370" t="s">
        <v>1362</v>
      </c>
      <c r="D1370" t="s">
        <v>1481</v>
      </c>
      <c r="E1370" t="s">
        <v>601</v>
      </c>
      <c r="F1370" t="s">
        <v>1482</v>
      </c>
      <c r="G1370" t="s">
        <v>31</v>
      </c>
      <c r="H1370" s="1">
        <v>45127.731192129628</v>
      </c>
      <c r="I1370" s="1">
        <v>45129.731192129628</v>
      </c>
      <c r="J1370" t="s">
        <v>32</v>
      </c>
      <c r="K1370" s="1">
        <v>45144.731192129628</v>
      </c>
      <c r="L1370" t="s">
        <v>33</v>
      </c>
      <c r="M1370" t="s">
        <v>108</v>
      </c>
      <c r="T1370">
        <v>0</v>
      </c>
      <c r="Y1370" t="s">
        <v>35</v>
      </c>
      <c r="AC1370" s="2">
        <f t="shared" si="189"/>
        <v>2</v>
      </c>
      <c r="AD1370" s="2">
        <f t="shared" si="190"/>
        <v>17</v>
      </c>
      <c r="AE1370" s="2">
        <f t="shared" si="191"/>
        <v>15</v>
      </c>
      <c r="AF1370" s="2" t="str">
        <f t="shared" si="192"/>
        <v/>
      </c>
      <c r="AG1370" s="2" t="str">
        <f t="shared" si="193"/>
        <v/>
      </c>
      <c r="AH1370" s="4" t="str">
        <f t="shared" si="194"/>
        <v/>
      </c>
      <c r="AI1370" s="2" t="str">
        <f t="shared" si="195"/>
        <v/>
      </c>
      <c r="AJ1370" s="2" t="str">
        <f t="shared" si="196"/>
        <v/>
      </c>
      <c r="AK1370" s="2" t="str">
        <f t="shared" si="197"/>
        <v/>
      </c>
    </row>
    <row r="1371" spans="1:37" x14ac:dyDescent="0.25">
      <c r="A1371">
        <v>2133</v>
      </c>
      <c r="B1371" t="s">
        <v>1512</v>
      </c>
      <c r="C1371" t="s">
        <v>1362</v>
      </c>
      <c r="D1371" t="s">
        <v>1481</v>
      </c>
      <c r="E1371" t="s">
        <v>601</v>
      </c>
      <c r="F1371" t="s">
        <v>1482</v>
      </c>
      <c r="G1371" t="s">
        <v>31</v>
      </c>
      <c r="H1371" s="1">
        <v>44777.516493055555</v>
      </c>
      <c r="I1371" s="1">
        <v>44780.516493055555</v>
      </c>
      <c r="J1371" t="s">
        <v>32</v>
      </c>
      <c r="K1371" s="1">
        <v>44794.516493055555</v>
      </c>
      <c r="L1371" t="s">
        <v>164</v>
      </c>
      <c r="N1371" s="4">
        <v>44796.516493055555</v>
      </c>
      <c r="O1371" t="s">
        <v>164</v>
      </c>
      <c r="R1371" s="4">
        <v>44795.516493055555</v>
      </c>
      <c r="T1371">
        <v>0</v>
      </c>
      <c r="AC1371" s="2">
        <f t="shared" si="189"/>
        <v>3</v>
      </c>
      <c r="AD1371" s="2">
        <f t="shared" si="190"/>
        <v>17</v>
      </c>
      <c r="AE1371" s="2">
        <f t="shared" si="191"/>
        <v>14</v>
      </c>
      <c r="AF1371" s="2">
        <f t="shared" si="192"/>
        <v>18</v>
      </c>
      <c r="AG1371" s="2">
        <f t="shared" si="193"/>
        <v>1</v>
      </c>
      <c r="AH1371" s="4">
        <f t="shared" si="194"/>
        <v>44885.516493055555</v>
      </c>
      <c r="AI1371" s="2" t="str">
        <f t="shared" si="195"/>
        <v/>
      </c>
      <c r="AJ1371" s="2" t="str">
        <f t="shared" si="196"/>
        <v/>
      </c>
      <c r="AK1371" s="2" t="str">
        <f t="shared" si="197"/>
        <v/>
      </c>
    </row>
    <row r="1372" spans="1:37" x14ac:dyDescent="0.25">
      <c r="A1372">
        <v>2106</v>
      </c>
      <c r="B1372" t="s">
        <v>1513</v>
      </c>
      <c r="C1372" t="s">
        <v>1362</v>
      </c>
      <c r="D1372" t="s">
        <v>1481</v>
      </c>
      <c r="E1372" t="s">
        <v>601</v>
      </c>
      <c r="F1372" t="s">
        <v>1482</v>
      </c>
      <c r="G1372" t="s">
        <v>31</v>
      </c>
      <c r="H1372" s="1">
        <v>44685.022326388891</v>
      </c>
      <c r="I1372" s="1">
        <v>44686.022326388891</v>
      </c>
      <c r="J1372" t="s">
        <v>32</v>
      </c>
      <c r="K1372" s="1">
        <v>44702.022326388891</v>
      </c>
      <c r="L1372" t="s">
        <v>33</v>
      </c>
      <c r="M1372" t="s">
        <v>67</v>
      </c>
      <c r="R1372" s="4">
        <v>44704.022326388891</v>
      </c>
      <c r="T1372">
        <v>0</v>
      </c>
      <c r="Y1372" t="s">
        <v>35</v>
      </c>
      <c r="AC1372" s="2">
        <f t="shared" si="189"/>
        <v>1</v>
      </c>
      <c r="AD1372" s="2">
        <f t="shared" si="190"/>
        <v>17</v>
      </c>
      <c r="AE1372" s="2">
        <f t="shared" si="191"/>
        <v>16</v>
      </c>
      <c r="AF1372" s="2">
        <f t="shared" si="192"/>
        <v>19</v>
      </c>
      <c r="AG1372" s="2">
        <f t="shared" si="193"/>
        <v>2</v>
      </c>
      <c r="AH1372" s="4">
        <f t="shared" si="194"/>
        <v>44794.022326388891</v>
      </c>
      <c r="AI1372" s="2" t="str">
        <f t="shared" si="195"/>
        <v/>
      </c>
      <c r="AJ1372" s="2" t="str">
        <f t="shared" si="196"/>
        <v/>
      </c>
      <c r="AK1372" s="2" t="str">
        <f t="shared" si="197"/>
        <v/>
      </c>
    </row>
    <row r="1373" spans="1:37" x14ac:dyDescent="0.25">
      <c r="A1373">
        <v>2037</v>
      </c>
      <c r="B1373" t="s">
        <v>1514</v>
      </c>
      <c r="C1373" t="s">
        <v>1362</v>
      </c>
      <c r="D1373" t="s">
        <v>1481</v>
      </c>
      <c r="E1373" t="s">
        <v>601</v>
      </c>
      <c r="F1373" t="s">
        <v>1482</v>
      </c>
      <c r="G1373" t="s">
        <v>31</v>
      </c>
      <c r="H1373" s="1">
        <v>44646.861122685186</v>
      </c>
      <c r="I1373" s="1">
        <v>44649.861122685186</v>
      </c>
      <c r="J1373" t="s">
        <v>32</v>
      </c>
      <c r="K1373" s="1">
        <v>44655.861122685186</v>
      </c>
      <c r="L1373" t="s">
        <v>39</v>
      </c>
      <c r="N1373" s="4">
        <v>44660.861122685186</v>
      </c>
      <c r="O1373" t="s">
        <v>39</v>
      </c>
      <c r="R1373" s="4">
        <v>44659.861122685186</v>
      </c>
      <c r="T1373">
        <v>0</v>
      </c>
      <c r="AC1373" s="2">
        <f t="shared" si="189"/>
        <v>3</v>
      </c>
      <c r="AD1373" s="2">
        <f t="shared" si="190"/>
        <v>9</v>
      </c>
      <c r="AE1373" s="2">
        <f t="shared" si="191"/>
        <v>6</v>
      </c>
      <c r="AF1373" s="2">
        <f t="shared" si="192"/>
        <v>13</v>
      </c>
      <c r="AG1373" s="2">
        <f t="shared" si="193"/>
        <v>4</v>
      </c>
      <c r="AH1373" s="4">
        <f t="shared" si="194"/>
        <v>44749.861122685186</v>
      </c>
      <c r="AI1373" s="2" t="str">
        <f t="shared" si="195"/>
        <v/>
      </c>
      <c r="AJ1373" s="2" t="str">
        <f t="shared" si="196"/>
        <v/>
      </c>
      <c r="AK1373" s="2" t="str">
        <f t="shared" si="197"/>
        <v/>
      </c>
    </row>
    <row r="1374" spans="1:37" x14ac:dyDescent="0.25">
      <c r="A1374">
        <v>1940</v>
      </c>
      <c r="B1374" t="s">
        <v>1515</v>
      </c>
      <c r="C1374" t="s">
        <v>1362</v>
      </c>
      <c r="D1374" t="s">
        <v>1481</v>
      </c>
      <c r="E1374" t="s">
        <v>601</v>
      </c>
      <c r="F1374" t="s">
        <v>1482</v>
      </c>
      <c r="G1374" t="s">
        <v>31</v>
      </c>
      <c r="H1374" s="1">
        <v>45178.30609953704</v>
      </c>
      <c r="I1374" s="1">
        <v>45180.30609953704</v>
      </c>
      <c r="J1374" t="s">
        <v>32</v>
      </c>
      <c r="K1374" s="1">
        <v>45200.30609953704</v>
      </c>
      <c r="L1374" t="s">
        <v>39</v>
      </c>
      <c r="N1374" s="4">
        <v>45206.30609953704</v>
      </c>
      <c r="O1374" t="s">
        <v>39</v>
      </c>
      <c r="R1374" s="4">
        <v>45204.30609953704</v>
      </c>
      <c r="T1374">
        <v>0</v>
      </c>
      <c r="AC1374" s="2">
        <f t="shared" si="189"/>
        <v>2</v>
      </c>
      <c r="AD1374" s="2">
        <f t="shared" si="190"/>
        <v>22</v>
      </c>
      <c r="AE1374" s="2">
        <f t="shared" si="191"/>
        <v>20</v>
      </c>
      <c r="AF1374" s="2">
        <f t="shared" si="192"/>
        <v>26</v>
      </c>
      <c r="AG1374" s="2">
        <f t="shared" si="193"/>
        <v>4</v>
      </c>
      <c r="AH1374" s="4">
        <f t="shared" si="194"/>
        <v>45294.30609953704</v>
      </c>
      <c r="AI1374" s="2" t="str">
        <f t="shared" si="195"/>
        <v/>
      </c>
      <c r="AJ1374" s="2" t="str">
        <f t="shared" si="196"/>
        <v/>
      </c>
      <c r="AK1374" s="2" t="str">
        <f t="shared" si="197"/>
        <v/>
      </c>
    </row>
    <row r="1375" spans="1:37" x14ac:dyDescent="0.25">
      <c r="A1375">
        <v>1876</v>
      </c>
      <c r="B1375" t="s">
        <v>1516</v>
      </c>
      <c r="C1375" t="s">
        <v>1362</v>
      </c>
      <c r="D1375" t="s">
        <v>1481</v>
      </c>
      <c r="E1375" t="s">
        <v>601</v>
      </c>
      <c r="F1375" t="s">
        <v>1482</v>
      </c>
      <c r="G1375" t="s">
        <v>31</v>
      </c>
      <c r="H1375" s="1">
        <v>44575.732974537037</v>
      </c>
      <c r="I1375" s="1">
        <v>44577.732974537037</v>
      </c>
      <c r="J1375" t="s">
        <v>32</v>
      </c>
      <c r="K1375" s="1">
        <v>44582.732974537037</v>
      </c>
      <c r="L1375" t="s">
        <v>164</v>
      </c>
      <c r="N1375" s="4">
        <v>44587.732974537037</v>
      </c>
      <c r="O1375" t="s">
        <v>164</v>
      </c>
      <c r="R1375" s="4">
        <v>44585.732974537037</v>
      </c>
      <c r="T1375">
        <v>0</v>
      </c>
      <c r="AC1375" s="2">
        <f t="shared" si="189"/>
        <v>2</v>
      </c>
      <c r="AD1375" s="2">
        <f t="shared" si="190"/>
        <v>7</v>
      </c>
      <c r="AE1375" s="2">
        <f t="shared" si="191"/>
        <v>5</v>
      </c>
      <c r="AF1375" s="2">
        <f t="shared" si="192"/>
        <v>10</v>
      </c>
      <c r="AG1375" s="2">
        <f t="shared" si="193"/>
        <v>3</v>
      </c>
      <c r="AH1375" s="4">
        <f t="shared" si="194"/>
        <v>44675.732974537037</v>
      </c>
      <c r="AI1375" s="2" t="str">
        <f t="shared" si="195"/>
        <v/>
      </c>
      <c r="AJ1375" s="2" t="str">
        <f t="shared" si="196"/>
        <v/>
      </c>
      <c r="AK1375" s="2" t="str">
        <f t="shared" si="197"/>
        <v/>
      </c>
    </row>
    <row r="1376" spans="1:37" x14ac:dyDescent="0.25">
      <c r="A1376">
        <v>1720</v>
      </c>
      <c r="B1376" t="s">
        <v>1517</v>
      </c>
      <c r="C1376" t="s">
        <v>1362</v>
      </c>
      <c r="D1376" t="s">
        <v>1481</v>
      </c>
      <c r="E1376" t="s">
        <v>1518</v>
      </c>
      <c r="F1376" t="s">
        <v>1519</v>
      </c>
      <c r="G1376" t="s">
        <v>31</v>
      </c>
      <c r="H1376" s="1">
        <v>44562.077685185184</v>
      </c>
      <c r="I1376" s="1">
        <v>44565.077685185184</v>
      </c>
      <c r="J1376" t="s">
        <v>32</v>
      </c>
      <c r="K1376" s="1">
        <v>44581.077685185184</v>
      </c>
      <c r="L1376" t="s">
        <v>33</v>
      </c>
      <c r="M1376" t="s">
        <v>51</v>
      </c>
      <c r="T1376">
        <v>0</v>
      </c>
      <c r="Y1376" t="s">
        <v>35</v>
      </c>
      <c r="AC1376" s="2">
        <f t="shared" si="189"/>
        <v>3</v>
      </c>
      <c r="AD1376" s="2">
        <f t="shared" si="190"/>
        <v>19</v>
      </c>
      <c r="AE1376" s="2">
        <f t="shared" si="191"/>
        <v>16</v>
      </c>
      <c r="AF1376" s="2" t="str">
        <f t="shared" si="192"/>
        <v/>
      </c>
      <c r="AG1376" s="2" t="str">
        <f t="shared" si="193"/>
        <v/>
      </c>
      <c r="AH1376" s="4" t="str">
        <f t="shared" si="194"/>
        <v/>
      </c>
      <c r="AI1376" s="2" t="str">
        <f t="shared" si="195"/>
        <v/>
      </c>
      <c r="AJ1376" s="2" t="str">
        <f t="shared" si="196"/>
        <v/>
      </c>
      <c r="AK1376" s="2" t="str">
        <f t="shared" si="197"/>
        <v/>
      </c>
    </row>
    <row r="1377" spans="1:37" x14ac:dyDescent="0.25">
      <c r="A1377">
        <v>1717</v>
      </c>
      <c r="B1377" t="s">
        <v>1520</v>
      </c>
      <c r="C1377" t="s">
        <v>1362</v>
      </c>
      <c r="D1377" t="s">
        <v>1481</v>
      </c>
      <c r="E1377" t="s">
        <v>1518</v>
      </c>
      <c r="F1377" t="s">
        <v>1519</v>
      </c>
      <c r="G1377" t="s">
        <v>31</v>
      </c>
      <c r="H1377" s="1">
        <v>44563.077685185184</v>
      </c>
      <c r="I1377" s="1">
        <v>44566.077685185184</v>
      </c>
      <c r="J1377" t="s">
        <v>32</v>
      </c>
      <c r="K1377" s="1">
        <v>44578.077685185184</v>
      </c>
      <c r="L1377" t="s">
        <v>39</v>
      </c>
      <c r="N1377" s="4">
        <v>44581.077685185184</v>
      </c>
      <c r="O1377" t="s">
        <v>39</v>
      </c>
      <c r="R1377" s="4">
        <v>44579.077685185184</v>
      </c>
      <c r="T1377">
        <v>0</v>
      </c>
      <c r="AC1377" s="2">
        <f t="shared" si="189"/>
        <v>3</v>
      </c>
      <c r="AD1377" s="2">
        <f t="shared" si="190"/>
        <v>15</v>
      </c>
      <c r="AE1377" s="2">
        <f t="shared" si="191"/>
        <v>12</v>
      </c>
      <c r="AF1377" s="2">
        <f t="shared" si="192"/>
        <v>16</v>
      </c>
      <c r="AG1377" s="2">
        <f t="shared" si="193"/>
        <v>1</v>
      </c>
      <c r="AH1377" s="4">
        <f t="shared" si="194"/>
        <v>44669.077685185184</v>
      </c>
      <c r="AI1377" s="2" t="str">
        <f t="shared" si="195"/>
        <v/>
      </c>
      <c r="AJ1377" s="2" t="str">
        <f t="shared" si="196"/>
        <v/>
      </c>
      <c r="AK1377" s="2" t="str">
        <f t="shared" si="197"/>
        <v/>
      </c>
    </row>
    <row r="1378" spans="1:37" x14ac:dyDescent="0.25">
      <c r="A1378">
        <v>1700</v>
      </c>
      <c r="B1378" t="s">
        <v>1521</v>
      </c>
      <c r="C1378" t="s">
        <v>1362</v>
      </c>
      <c r="D1378" t="s">
        <v>1481</v>
      </c>
      <c r="E1378" t="s">
        <v>1518</v>
      </c>
      <c r="F1378" t="s">
        <v>1519</v>
      </c>
      <c r="G1378" t="s">
        <v>31</v>
      </c>
      <c r="H1378" s="1">
        <v>44985.764687499999</v>
      </c>
      <c r="I1378" s="1">
        <v>44988.764687499999</v>
      </c>
      <c r="J1378" t="s">
        <v>32</v>
      </c>
      <c r="K1378" s="1">
        <v>44998.764687499999</v>
      </c>
      <c r="L1378" t="s">
        <v>33</v>
      </c>
      <c r="M1378" t="s">
        <v>51</v>
      </c>
      <c r="R1378" s="4">
        <v>44999.764687499999</v>
      </c>
      <c r="T1378">
        <v>0</v>
      </c>
      <c r="Y1378" t="s">
        <v>35</v>
      </c>
      <c r="AC1378" s="2">
        <f t="shared" si="189"/>
        <v>3</v>
      </c>
      <c r="AD1378" s="2">
        <f t="shared" si="190"/>
        <v>13</v>
      </c>
      <c r="AE1378" s="2">
        <f t="shared" si="191"/>
        <v>10</v>
      </c>
      <c r="AF1378" s="2">
        <f t="shared" si="192"/>
        <v>14</v>
      </c>
      <c r="AG1378" s="2">
        <f t="shared" si="193"/>
        <v>1</v>
      </c>
      <c r="AH1378" s="4">
        <f t="shared" si="194"/>
        <v>45089.764687499999</v>
      </c>
      <c r="AI1378" s="2" t="str">
        <f t="shared" si="195"/>
        <v/>
      </c>
      <c r="AJ1378" s="2" t="str">
        <f t="shared" si="196"/>
        <v/>
      </c>
      <c r="AK1378" s="2" t="str">
        <f t="shared" si="197"/>
        <v/>
      </c>
    </row>
    <row r="1379" spans="1:37" x14ac:dyDescent="0.25">
      <c r="A1379">
        <v>1485</v>
      </c>
      <c r="B1379" t="s">
        <v>1522</v>
      </c>
      <c r="C1379" t="s">
        <v>1362</v>
      </c>
      <c r="D1379" t="s">
        <v>1481</v>
      </c>
      <c r="E1379" t="s">
        <v>1518</v>
      </c>
      <c r="F1379" t="s">
        <v>1519</v>
      </c>
      <c r="G1379" t="s">
        <v>31</v>
      </c>
      <c r="H1379" s="1">
        <v>45112.542164351849</v>
      </c>
      <c r="I1379" s="1">
        <v>45115.542164351849</v>
      </c>
      <c r="J1379" t="s">
        <v>32</v>
      </c>
      <c r="K1379" s="1">
        <v>45129.542164351849</v>
      </c>
      <c r="L1379" t="s">
        <v>33</v>
      </c>
      <c r="M1379" t="s">
        <v>34</v>
      </c>
      <c r="R1379" s="4">
        <v>45132.542164351849</v>
      </c>
      <c r="T1379">
        <v>0</v>
      </c>
      <c r="Y1379" t="s">
        <v>35</v>
      </c>
      <c r="AC1379" s="2">
        <f t="shared" si="189"/>
        <v>3</v>
      </c>
      <c r="AD1379" s="2">
        <f t="shared" si="190"/>
        <v>17</v>
      </c>
      <c r="AE1379" s="2">
        <f t="shared" si="191"/>
        <v>14</v>
      </c>
      <c r="AF1379" s="2">
        <f t="shared" si="192"/>
        <v>20</v>
      </c>
      <c r="AG1379" s="2">
        <f t="shared" si="193"/>
        <v>3</v>
      </c>
      <c r="AH1379" s="4">
        <f t="shared" si="194"/>
        <v>45222.542164351849</v>
      </c>
      <c r="AI1379" s="2" t="str">
        <f t="shared" si="195"/>
        <v/>
      </c>
      <c r="AJ1379" s="2" t="str">
        <f t="shared" si="196"/>
        <v/>
      </c>
      <c r="AK1379" s="2" t="str">
        <f t="shared" si="197"/>
        <v/>
      </c>
    </row>
    <row r="1380" spans="1:37" x14ac:dyDescent="0.25">
      <c r="A1380">
        <v>1469</v>
      </c>
      <c r="B1380" t="s">
        <v>1523</v>
      </c>
      <c r="C1380" t="s">
        <v>1362</v>
      </c>
      <c r="D1380" t="s">
        <v>1481</v>
      </c>
      <c r="E1380" t="s">
        <v>1518</v>
      </c>
      <c r="F1380" t="s">
        <v>1519</v>
      </c>
      <c r="G1380" t="s">
        <v>31</v>
      </c>
      <c r="H1380" s="1">
        <v>45004.141805555555</v>
      </c>
      <c r="I1380" s="1">
        <v>45007.141805555555</v>
      </c>
      <c r="J1380" t="s">
        <v>32</v>
      </c>
      <c r="K1380" s="1">
        <v>45015.141805555555</v>
      </c>
      <c r="L1380" t="s">
        <v>33</v>
      </c>
      <c r="M1380" t="s">
        <v>34</v>
      </c>
      <c r="T1380">
        <v>0</v>
      </c>
      <c r="Y1380" t="s">
        <v>55</v>
      </c>
      <c r="AC1380" s="2">
        <f t="shared" si="189"/>
        <v>3</v>
      </c>
      <c r="AD1380" s="2">
        <f t="shared" si="190"/>
        <v>11</v>
      </c>
      <c r="AE1380" s="2">
        <f t="shared" si="191"/>
        <v>8</v>
      </c>
      <c r="AF1380" s="2" t="str">
        <f t="shared" si="192"/>
        <v/>
      </c>
      <c r="AG1380" s="2" t="str">
        <f t="shared" si="193"/>
        <v/>
      </c>
      <c r="AH1380" s="4" t="str">
        <f t="shared" si="194"/>
        <v/>
      </c>
      <c r="AI1380" s="2" t="str">
        <f t="shared" si="195"/>
        <v/>
      </c>
      <c r="AJ1380" s="2" t="str">
        <f t="shared" si="196"/>
        <v/>
      </c>
      <c r="AK1380" s="2" t="str">
        <f t="shared" si="197"/>
        <v/>
      </c>
    </row>
    <row r="1381" spans="1:37" x14ac:dyDescent="0.25">
      <c r="A1381">
        <v>1468</v>
      </c>
      <c r="B1381" t="s">
        <v>1524</v>
      </c>
      <c r="C1381" t="s">
        <v>1362</v>
      </c>
      <c r="D1381" t="s">
        <v>1481</v>
      </c>
      <c r="E1381" t="s">
        <v>1518</v>
      </c>
      <c r="F1381" t="s">
        <v>1519</v>
      </c>
      <c r="G1381" t="s">
        <v>31</v>
      </c>
      <c r="H1381" s="1">
        <v>45000.141805555555</v>
      </c>
      <c r="I1381" s="1">
        <v>45004.141805555555</v>
      </c>
      <c r="J1381" t="s">
        <v>32</v>
      </c>
      <c r="K1381" s="1">
        <v>45019.141805555555</v>
      </c>
      <c r="L1381" t="s">
        <v>33</v>
      </c>
      <c r="M1381" t="s">
        <v>108</v>
      </c>
      <c r="T1381">
        <v>0</v>
      </c>
      <c r="Y1381" t="s">
        <v>55</v>
      </c>
      <c r="AC1381" s="2">
        <f t="shared" si="189"/>
        <v>4</v>
      </c>
      <c r="AD1381" s="2">
        <f t="shared" si="190"/>
        <v>19</v>
      </c>
      <c r="AE1381" s="2">
        <f t="shared" si="191"/>
        <v>15</v>
      </c>
      <c r="AF1381" s="2" t="str">
        <f t="shared" si="192"/>
        <v/>
      </c>
      <c r="AG1381" s="2" t="str">
        <f t="shared" si="193"/>
        <v/>
      </c>
      <c r="AH1381" s="4" t="str">
        <f t="shared" si="194"/>
        <v/>
      </c>
      <c r="AI1381" s="2" t="str">
        <f t="shared" si="195"/>
        <v/>
      </c>
      <c r="AJ1381" s="2" t="str">
        <f t="shared" si="196"/>
        <v/>
      </c>
      <c r="AK1381" s="2" t="str">
        <f t="shared" si="197"/>
        <v/>
      </c>
    </row>
    <row r="1382" spans="1:37" x14ac:dyDescent="0.25">
      <c r="A1382">
        <v>1465</v>
      </c>
      <c r="B1382" t="s">
        <v>1525</v>
      </c>
      <c r="C1382" t="s">
        <v>1362</v>
      </c>
      <c r="D1382" t="s">
        <v>1481</v>
      </c>
      <c r="E1382" t="s">
        <v>1518</v>
      </c>
      <c r="F1382" t="s">
        <v>1519</v>
      </c>
      <c r="G1382" t="s">
        <v>31</v>
      </c>
      <c r="H1382" s="1">
        <v>45005.141805555555</v>
      </c>
      <c r="I1382" s="1">
        <v>45007.141805555555</v>
      </c>
      <c r="J1382" t="s">
        <v>32</v>
      </c>
      <c r="K1382" s="1">
        <v>45016.141805555555</v>
      </c>
      <c r="L1382" t="s">
        <v>164</v>
      </c>
      <c r="N1382" s="4">
        <v>45020.141805555555</v>
      </c>
      <c r="O1382" t="s">
        <v>164</v>
      </c>
      <c r="R1382" s="4">
        <v>45019.141805555555</v>
      </c>
      <c r="T1382">
        <v>0</v>
      </c>
      <c r="AC1382" s="2">
        <f t="shared" si="189"/>
        <v>2</v>
      </c>
      <c r="AD1382" s="2">
        <f t="shared" si="190"/>
        <v>11</v>
      </c>
      <c r="AE1382" s="2">
        <f t="shared" si="191"/>
        <v>9</v>
      </c>
      <c r="AF1382" s="2">
        <f t="shared" si="192"/>
        <v>14</v>
      </c>
      <c r="AG1382" s="2">
        <f t="shared" si="193"/>
        <v>3</v>
      </c>
      <c r="AH1382" s="4">
        <f t="shared" si="194"/>
        <v>45109.141805555555</v>
      </c>
      <c r="AI1382" s="2" t="str">
        <f t="shared" si="195"/>
        <v/>
      </c>
      <c r="AJ1382" s="2" t="str">
        <f t="shared" si="196"/>
        <v/>
      </c>
      <c r="AK1382" s="2" t="str">
        <f t="shared" si="197"/>
        <v/>
      </c>
    </row>
    <row r="1383" spans="1:37" x14ac:dyDescent="0.25">
      <c r="A1383">
        <v>1351</v>
      </c>
      <c r="B1383" t="s">
        <v>1526</v>
      </c>
      <c r="C1383" t="s">
        <v>1362</v>
      </c>
      <c r="D1383" t="s">
        <v>1481</v>
      </c>
      <c r="E1383" t="s">
        <v>1518</v>
      </c>
      <c r="F1383" t="s">
        <v>1519</v>
      </c>
      <c r="G1383" t="s">
        <v>31</v>
      </c>
      <c r="H1383" s="1">
        <v>44764.055451388886</v>
      </c>
      <c r="I1383" s="1">
        <v>44767.055451388886</v>
      </c>
      <c r="J1383" t="s">
        <v>32</v>
      </c>
      <c r="K1383" s="1">
        <v>44786.055451388886</v>
      </c>
      <c r="L1383" t="s">
        <v>33</v>
      </c>
      <c r="M1383" t="s">
        <v>51</v>
      </c>
      <c r="T1383">
        <v>0</v>
      </c>
      <c r="Y1383" t="s">
        <v>35</v>
      </c>
      <c r="AC1383" s="2">
        <f t="shared" si="189"/>
        <v>3</v>
      </c>
      <c r="AD1383" s="2">
        <f t="shared" si="190"/>
        <v>22</v>
      </c>
      <c r="AE1383" s="2">
        <f t="shared" si="191"/>
        <v>19</v>
      </c>
      <c r="AF1383" s="2" t="str">
        <f t="shared" si="192"/>
        <v/>
      </c>
      <c r="AG1383" s="2" t="str">
        <f t="shared" si="193"/>
        <v/>
      </c>
      <c r="AH1383" s="4" t="str">
        <f t="shared" si="194"/>
        <v/>
      </c>
      <c r="AI1383" s="2" t="str">
        <f t="shared" si="195"/>
        <v/>
      </c>
      <c r="AJ1383" s="2" t="str">
        <f t="shared" si="196"/>
        <v/>
      </c>
      <c r="AK1383" s="2" t="str">
        <f t="shared" si="197"/>
        <v/>
      </c>
    </row>
    <row r="1384" spans="1:37" x14ac:dyDescent="0.25">
      <c r="A1384">
        <v>1250</v>
      </c>
      <c r="B1384" t="s">
        <v>1527</v>
      </c>
      <c r="C1384" t="s">
        <v>1362</v>
      </c>
      <c r="D1384" t="s">
        <v>1481</v>
      </c>
      <c r="E1384" t="s">
        <v>1518</v>
      </c>
      <c r="F1384" t="s">
        <v>1519</v>
      </c>
      <c r="G1384" t="s">
        <v>31</v>
      </c>
      <c r="H1384" s="1">
        <v>44735.839942129627</v>
      </c>
      <c r="I1384" s="1">
        <v>44736.839942129627</v>
      </c>
      <c r="J1384" t="s">
        <v>32</v>
      </c>
      <c r="K1384" s="1">
        <v>44756.839942129627</v>
      </c>
      <c r="L1384" t="s">
        <v>57</v>
      </c>
      <c r="N1384" s="4">
        <v>44759.839942129627</v>
      </c>
      <c r="O1384" t="s">
        <v>57</v>
      </c>
      <c r="P1384" s="4">
        <v>44758.839942129627</v>
      </c>
      <c r="Q1384" s="4">
        <v>44762.839942129627</v>
      </c>
      <c r="R1384" s="4">
        <v>44757.839942129627</v>
      </c>
      <c r="S1384" s="4">
        <v>44760.839942129627</v>
      </c>
      <c r="T1384">
        <v>1</v>
      </c>
      <c r="U1384" s="4">
        <v>44762.839942129627</v>
      </c>
      <c r="V1384" s="4">
        <v>44763.839942129627</v>
      </c>
      <c r="W1384" s="4">
        <v>44766.839942129627</v>
      </c>
      <c r="Z1384" s="4">
        <v>44774.839942129627</v>
      </c>
      <c r="AC1384" s="2">
        <f t="shared" si="189"/>
        <v>1</v>
      </c>
      <c r="AD1384" s="2">
        <f t="shared" si="190"/>
        <v>21</v>
      </c>
      <c r="AE1384" s="2">
        <f t="shared" si="191"/>
        <v>20</v>
      </c>
      <c r="AF1384" s="2">
        <f t="shared" si="192"/>
        <v>22</v>
      </c>
      <c r="AG1384" s="2">
        <f t="shared" si="193"/>
        <v>1</v>
      </c>
      <c r="AH1384" s="4">
        <f t="shared" si="194"/>
        <v>44847.839942129627</v>
      </c>
      <c r="AI1384" s="2">
        <f t="shared" si="195"/>
        <v>2</v>
      </c>
      <c r="AJ1384" s="2">
        <f t="shared" si="196"/>
        <v>17</v>
      </c>
      <c r="AK1384" s="2">
        <f t="shared" si="197"/>
        <v>9</v>
      </c>
    </row>
    <row r="1385" spans="1:37" x14ac:dyDescent="0.25">
      <c r="A1385">
        <v>1239</v>
      </c>
      <c r="B1385" t="s">
        <v>1528</v>
      </c>
      <c r="C1385" t="s">
        <v>1362</v>
      </c>
      <c r="D1385" t="s">
        <v>1481</v>
      </c>
      <c r="E1385" t="s">
        <v>1518</v>
      </c>
      <c r="F1385" t="s">
        <v>1519</v>
      </c>
      <c r="G1385" t="s">
        <v>31</v>
      </c>
      <c r="H1385" s="1">
        <v>44982.728877314818</v>
      </c>
      <c r="I1385" s="1">
        <v>44985.728877314818</v>
      </c>
      <c r="J1385" t="s">
        <v>32</v>
      </c>
      <c r="K1385" s="1">
        <v>44998.728877314818</v>
      </c>
      <c r="L1385" t="s">
        <v>33</v>
      </c>
      <c r="M1385" t="s">
        <v>51</v>
      </c>
      <c r="R1385" s="4">
        <v>45002.728877314818</v>
      </c>
      <c r="T1385">
        <v>0</v>
      </c>
      <c r="Y1385" t="s">
        <v>35</v>
      </c>
      <c r="AC1385" s="2">
        <f t="shared" si="189"/>
        <v>3</v>
      </c>
      <c r="AD1385" s="2">
        <f t="shared" si="190"/>
        <v>16</v>
      </c>
      <c r="AE1385" s="2">
        <f t="shared" si="191"/>
        <v>13</v>
      </c>
      <c r="AF1385" s="2">
        <f t="shared" si="192"/>
        <v>20</v>
      </c>
      <c r="AG1385" s="2">
        <f t="shared" si="193"/>
        <v>4</v>
      </c>
      <c r="AH1385" s="4">
        <f t="shared" si="194"/>
        <v>45092.728877314818</v>
      </c>
      <c r="AI1385" s="2" t="str">
        <f t="shared" si="195"/>
        <v/>
      </c>
      <c r="AJ1385" s="2" t="str">
        <f t="shared" si="196"/>
        <v/>
      </c>
      <c r="AK1385" s="2" t="str">
        <f t="shared" si="197"/>
        <v/>
      </c>
    </row>
    <row r="1386" spans="1:37" x14ac:dyDescent="0.25">
      <c r="A1386">
        <v>1224</v>
      </c>
      <c r="B1386" t="s">
        <v>1529</v>
      </c>
      <c r="C1386" t="s">
        <v>1362</v>
      </c>
      <c r="D1386" t="s">
        <v>1481</v>
      </c>
      <c r="E1386" t="s">
        <v>1518</v>
      </c>
      <c r="F1386" t="s">
        <v>1519</v>
      </c>
      <c r="G1386" t="s">
        <v>31</v>
      </c>
      <c r="H1386" s="1">
        <v>44735.14203703704</v>
      </c>
      <c r="I1386" s="1">
        <v>44737.14203703704</v>
      </c>
      <c r="J1386" t="s">
        <v>32</v>
      </c>
      <c r="K1386" s="1">
        <v>44754.14203703704</v>
      </c>
      <c r="L1386" t="s">
        <v>39</v>
      </c>
      <c r="N1386" s="4">
        <v>44761.14203703704</v>
      </c>
      <c r="O1386" t="s">
        <v>39</v>
      </c>
      <c r="R1386" s="4">
        <v>44758.14203703704</v>
      </c>
      <c r="T1386">
        <v>0</v>
      </c>
      <c r="AC1386" s="2">
        <f t="shared" si="189"/>
        <v>2</v>
      </c>
      <c r="AD1386" s="2">
        <f t="shared" si="190"/>
        <v>19</v>
      </c>
      <c r="AE1386" s="2">
        <f t="shared" si="191"/>
        <v>17</v>
      </c>
      <c r="AF1386" s="2">
        <f t="shared" si="192"/>
        <v>23</v>
      </c>
      <c r="AG1386" s="2">
        <f t="shared" si="193"/>
        <v>4</v>
      </c>
      <c r="AH1386" s="4">
        <f t="shared" si="194"/>
        <v>44848.14203703704</v>
      </c>
      <c r="AI1386" s="2" t="str">
        <f t="shared" si="195"/>
        <v/>
      </c>
      <c r="AJ1386" s="2" t="str">
        <f t="shared" si="196"/>
        <v/>
      </c>
      <c r="AK1386" s="2" t="str">
        <f t="shared" si="197"/>
        <v/>
      </c>
    </row>
    <row r="1387" spans="1:37" x14ac:dyDescent="0.25">
      <c r="A1387">
        <v>1210</v>
      </c>
      <c r="B1387" t="s">
        <v>1530</v>
      </c>
      <c r="C1387" t="s">
        <v>1362</v>
      </c>
      <c r="D1387" t="s">
        <v>1481</v>
      </c>
      <c r="E1387" t="s">
        <v>1518</v>
      </c>
      <c r="F1387" t="s">
        <v>1519</v>
      </c>
      <c r="G1387" t="s">
        <v>31</v>
      </c>
      <c r="H1387" s="1">
        <v>44766.205266203702</v>
      </c>
      <c r="I1387" s="1">
        <v>44768.205266203702</v>
      </c>
      <c r="J1387" t="s">
        <v>32</v>
      </c>
      <c r="K1387" s="1">
        <v>44782.205266203702</v>
      </c>
      <c r="L1387" t="s">
        <v>39</v>
      </c>
      <c r="N1387" s="4">
        <v>44787.205266203702</v>
      </c>
      <c r="O1387" t="s">
        <v>39</v>
      </c>
      <c r="R1387" s="4">
        <v>44783.205266203702</v>
      </c>
      <c r="T1387">
        <v>0</v>
      </c>
      <c r="AC1387" s="2">
        <f t="shared" si="189"/>
        <v>2</v>
      </c>
      <c r="AD1387" s="2">
        <f t="shared" si="190"/>
        <v>16</v>
      </c>
      <c r="AE1387" s="2">
        <f t="shared" si="191"/>
        <v>14</v>
      </c>
      <c r="AF1387" s="2">
        <f t="shared" si="192"/>
        <v>17</v>
      </c>
      <c r="AG1387" s="2">
        <f t="shared" si="193"/>
        <v>1</v>
      </c>
      <c r="AH1387" s="4">
        <f t="shared" si="194"/>
        <v>44873.205266203702</v>
      </c>
      <c r="AI1387" s="2" t="str">
        <f t="shared" si="195"/>
        <v/>
      </c>
      <c r="AJ1387" s="2" t="str">
        <f t="shared" si="196"/>
        <v/>
      </c>
      <c r="AK1387" s="2" t="str">
        <f t="shared" si="197"/>
        <v/>
      </c>
    </row>
    <row r="1388" spans="1:37" x14ac:dyDescent="0.25">
      <c r="A1388">
        <v>1201</v>
      </c>
      <c r="B1388" t="s">
        <v>1531</v>
      </c>
      <c r="C1388" t="s">
        <v>1362</v>
      </c>
      <c r="D1388" t="s">
        <v>1481</v>
      </c>
      <c r="E1388" t="s">
        <v>1518</v>
      </c>
      <c r="F1388" t="s">
        <v>1519</v>
      </c>
      <c r="G1388" t="s">
        <v>31</v>
      </c>
      <c r="H1388" s="1">
        <v>44762.205266203702</v>
      </c>
      <c r="I1388" s="1">
        <v>44764.205266203702</v>
      </c>
      <c r="J1388" t="s">
        <v>32</v>
      </c>
      <c r="K1388" s="1">
        <v>44782.205266203702</v>
      </c>
      <c r="L1388" t="s">
        <v>33</v>
      </c>
      <c r="M1388" t="s">
        <v>34</v>
      </c>
      <c r="R1388" s="4">
        <v>44784.205266203702</v>
      </c>
      <c r="T1388">
        <v>0</v>
      </c>
      <c r="Y1388" t="s">
        <v>35</v>
      </c>
      <c r="AC1388" s="2">
        <f t="shared" si="189"/>
        <v>2</v>
      </c>
      <c r="AD1388" s="2">
        <f t="shared" si="190"/>
        <v>20</v>
      </c>
      <c r="AE1388" s="2">
        <f t="shared" si="191"/>
        <v>18</v>
      </c>
      <c r="AF1388" s="2">
        <f t="shared" si="192"/>
        <v>22</v>
      </c>
      <c r="AG1388" s="2">
        <f t="shared" si="193"/>
        <v>2</v>
      </c>
      <c r="AH1388" s="4">
        <f t="shared" si="194"/>
        <v>44874.205266203702</v>
      </c>
      <c r="AI1388" s="2" t="str">
        <f t="shared" si="195"/>
        <v/>
      </c>
      <c r="AJ1388" s="2" t="str">
        <f t="shared" si="196"/>
        <v/>
      </c>
      <c r="AK1388" s="2" t="str">
        <f t="shared" si="197"/>
        <v/>
      </c>
    </row>
    <row r="1389" spans="1:37" x14ac:dyDescent="0.25">
      <c r="A1389">
        <v>1194</v>
      </c>
      <c r="B1389" t="s">
        <v>1532</v>
      </c>
      <c r="C1389" t="s">
        <v>1362</v>
      </c>
      <c r="D1389" t="s">
        <v>1481</v>
      </c>
      <c r="E1389" t="s">
        <v>1518</v>
      </c>
      <c r="F1389" t="s">
        <v>1519</v>
      </c>
      <c r="G1389" t="s">
        <v>31</v>
      </c>
      <c r="H1389" s="1">
        <v>44763.966006944444</v>
      </c>
      <c r="I1389" s="1">
        <v>44766.966006944444</v>
      </c>
      <c r="J1389" t="s">
        <v>32</v>
      </c>
      <c r="K1389" s="1">
        <v>44787.966006944444</v>
      </c>
      <c r="L1389" t="s">
        <v>33</v>
      </c>
      <c r="M1389" t="s">
        <v>67</v>
      </c>
      <c r="T1389">
        <v>0</v>
      </c>
      <c r="Y1389" t="s">
        <v>35</v>
      </c>
      <c r="AC1389" s="2">
        <f t="shared" si="189"/>
        <v>3</v>
      </c>
      <c r="AD1389" s="2">
        <f t="shared" si="190"/>
        <v>24</v>
      </c>
      <c r="AE1389" s="2">
        <f t="shared" si="191"/>
        <v>21</v>
      </c>
      <c r="AF1389" s="2" t="str">
        <f t="shared" si="192"/>
        <v/>
      </c>
      <c r="AG1389" s="2" t="str">
        <f t="shared" si="193"/>
        <v/>
      </c>
      <c r="AH1389" s="4" t="str">
        <f t="shared" si="194"/>
        <v/>
      </c>
      <c r="AI1389" s="2" t="str">
        <f t="shared" si="195"/>
        <v/>
      </c>
      <c r="AJ1389" s="2" t="str">
        <f t="shared" si="196"/>
        <v/>
      </c>
      <c r="AK1389" s="2" t="str">
        <f t="shared" si="197"/>
        <v/>
      </c>
    </row>
    <row r="1390" spans="1:37" x14ac:dyDescent="0.25">
      <c r="A1390">
        <v>1171</v>
      </c>
      <c r="B1390" t="s">
        <v>1533</v>
      </c>
      <c r="C1390" t="s">
        <v>1362</v>
      </c>
      <c r="D1390" t="s">
        <v>1481</v>
      </c>
      <c r="E1390" t="s">
        <v>1518</v>
      </c>
      <c r="F1390" t="s">
        <v>1519</v>
      </c>
      <c r="G1390" t="s">
        <v>31</v>
      </c>
      <c r="H1390" s="1">
        <v>45059.041770833333</v>
      </c>
      <c r="I1390" s="1">
        <v>45062.041770833333</v>
      </c>
      <c r="J1390" t="s">
        <v>32</v>
      </c>
      <c r="K1390" s="1">
        <v>45073.041770833333</v>
      </c>
      <c r="L1390" t="s">
        <v>33</v>
      </c>
      <c r="M1390" t="s">
        <v>67</v>
      </c>
      <c r="R1390" s="4">
        <v>45077.041770833333</v>
      </c>
      <c r="T1390">
        <v>0</v>
      </c>
      <c r="Y1390" t="s">
        <v>35</v>
      </c>
      <c r="AC1390" s="2">
        <f t="shared" si="189"/>
        <v>3</v>
      </c>
      <c r="AD1390" s="2">
        <f t="shared" si="190"/>
        <v>14</v>
      </c>
      <c r="AE1390" s="2">
        <f t="shared" si="191"/>
        <v>11</v>
      </c>
      <c r="AF1390" s="2">
        <f t="shared" si="192"/>
        <v>18</v>
      </c>
      <c r="AG1390" s="2">
        <f t="shared" si="193"/>
        <v>4</v>
      </c>
      <c r="AH1390" s="4">
        <f t="shared" si="194"/>
        <v>45167.041770833333</v>
      </c>
      <c r="AI1390" s="2" t="str">
        <f t="shared" si="195"/>
        <v/>
      </c>
      <c r="AJ1390" s="2" t="str">
        <f t="shared" si="196"/>
        <v/>
      </c>
      <c r="AK1390" s="2" t="str">
        <f t="shared" si="197"/>
        <v/>
      </c>
    </row>
    <row r="1391" spans="1:37" x14ac:dyDescent="0.25">
      <c r="A1391">
        <v>2954</v>
      </c>
      <c r="B1391" t="s">
        <v>1534</v>
      </c>
      <c r="C1391" t="s">
        <v>1362</v>
      </c>
      <c r="D1391" t="s">
        <v>1535</v>
      </c>
      <c r="E1391" t="s">
        <v>29</v>
      </c>
      <c r="F1391" t="s">
        <v>1536</v>
      </c>
      <c r="G1391" t="s">
        <v>38</v>
      </c>
      <c r="H1391" s="1">
        <v>45015.652233796296</v>
      </c>
      <c r="I1391" s="1">
        <v>45017.652233796296</v>
      </c>
      <c r="J1391" t="s">
        <v>32</v>
      </c>
      <c r="K1391" s="1">
        <v>45037.652233796296</v>
      </c>
      <c r="L1391" t="s">
        <v>33</v>
      </c>
      <c r="M1391" t="s">
        <v>51</v>
      </c>
      <c r="T1391">
        <v>0</v>
      </c>
      <c r="Y1391" t="s">
        <v>35</v>
      </c>
      <c r="AC1391" s="2">
        <f t="shared" si="189"/>
        <v>2</v>
      </c>
      <c r="AD1391" s="2">
        <f t="shared" si="190"/>
        <v>22</v>
      </c>
      <c r="AE1391" s="2">
        <f t="shared" si="191"/>
        <v>20</v>
      </c>
      <c r="AF1391" s="2" t="str">
        <f t="shared" si="192"/>
        <v/>
      </c>
      <c r="AG1391" s="2" t="str">
        <f t="shared" si="193"/>
        <v/>
      </c>
      <c r="AH1391" s="4" t="str">
        <f t="shared" si="194"/>
        <v/>
      </c>
      <c r="AI1391" s="2" t="str">
        <f t="shared" si="195"/>
        <v/>
      </c>
      <c r="AJ1391" s="2" t="str">
        <f t="shared" si="196"/>
        <v/>
      </c>
      <c r="AK1391" s="2" t="str">
        <f t="shared" si="197"/>
        <v/>
      </c>
    </row>
    <row r="1392" spans="1:37" x14ac:dyDescent="0.25">
      <c r="A1392">
        <v>2916</v>
      </c>
      <c r="B1392" t="s">
        <v>1537</v>
      </c>
      <c r="C1392" t="s">
        <v>1362</v>
      </c>
      <c r="D1392" t="s">
        <v>1535</v>
      </c>
      <c r="E1392" t="s">
        <v>29</v>
      </c>
      <c r="F1392" t="s">
        <v>1536</v>
      </c>
      <c r="G1392" t="s">
        <v>38</v>
      </c>
      <c r="H1392" s="1">
        <v>44596.794965277775</v>
      </c>
      <c r="I1392" s="1">
        <v>44600.794965277775</v>
      </c>
      <c r="J1392" t="s">
        <v>32</v>
      </c>
      <c r="K1392" s="1">
        <v>44609.794965277775</v>
      </c>
      <c r="L1392" t="s">
        <v>39</v>
      </c>
      <c r="N1392" s="4">
        <v>44611.794965277775</v>
      </c>
      <c r="O1392" t="s">
        <v>39</v>
      </c>
      <c r="R1392" s="4">
        <v>44610.794965277775</v>
      </c>
      <c r="T1392">
        <v>0</v>
      </c>
      <c r="AC1392" s="2">
        <f t="shared" si="189"/>
        <v>4</v>
      </c>
      <c r="AD1392" s="2">
        <f t="shared" si="190"/>
        <v>13</v>
      </c>
      <c r="AE1392" s="2">
        <f t="shared" si="191"/>
        <v>9</v>
      </c>
      <c r="AF1392" s="2">
        <f t="shared" si="192"/>
        <v>14</v>
      </c>
      <c r="AG1392" s="2">
        <f t="shared" si="193"/>
        <v>1</v>
      </c>
      <c r="AH1392" s="4">
        <f t="shared" si="194"/>
        <v>44700.794965277775</v>
      </c>
      <c r="AI1392" s="2" t="str">
        <f t="shared" si="195"/>
        <v/>
      </c>
      <c r="AJ1392" s="2" t="str">
        <f t="shared" si="196"/>
        <v/>
      </c>
      <c r="AK1392" s="2" t="str">
        <f t="shared" si="197"/>
        <v/>
      </c>
    </row>
    <row r="1393" spans="1:37" x14ac:dyDescent="0.25">
      <c r="A1393">
        <v>2829</v>
      </c>
      <c r="B1393" t="s">
        <v>1538</v>
      </c>
      <c r="C1393" t="s">
        <v>1362</v>
      </c>
      <c r="D1393" t="s">
        <v>1535</v>
      </c>
      <c r="E1393" t="s">
        <v>29</v>
      </c>
      <c r="F1393" t="s">
        <v>1536</v>
      </c>
      <c r="G1393" t="s">
        <v>38</v>
      </c>
      <c r="H1393" s="1">
        <v>44565.055902777778</v>
      </c>
      <c r="I1393" s="1">
        <v>44567.055902777778</v>
      </c>
      <c r="J1393" t="s">
        <v>32</v>
      </c>
      <c r="K1393" s="1">
        <v>44579.055902777778</v>
      </c>
      <c r="L1393" t="s">
        <v>33</v>
      </c>
      <c r="M1393" t="s">
        <v>34</v>
      </c>
      <c r="T1393">
        <v>0</v>
      </c>
      <c r="Y1393" t="s">
        <v>55</v>
      </c>
      <c r="AC1393" s="2">
        <f t="shared" si="189"/>
        <v>2</v>
      </c>
      <c r="AD1393" s="2">
        <f t="shared" si="190"/>
        <v>14</v>
      </c>
      <c r="AE1393" s="2">
        <f t="shared" si="191"/>
        <v>12</v>
      </c>
      <c r="AF1393" s="2" t="str">
        <f t="shared" si="192"/>
        <v/>
      </c>
      <c r="AG1393" s="2" t="str">
        <f t="shared" si="193"/>
        <v/>
      </c>
      <c r="AH1393" s="4" t="str">
        <f t="shared" si="194"/>
        <v/>
      </c>
      <c r="AI1393" s="2" t="str">
        <f t="shared" si="195"/>
        <v/>
      </c>
      <c r="AJ1393" s="2" t="str">
        <f t="shared" si="196"/>
        <v/>
      </c>
      <c r="AK1393" s="2" t="str">
        <f t="shared" si="197"/>
        <v/>
      </c>
    </row>
    <row r="1394" spans="1:37" x14ac:dyDescent="0.25">
      <c r="A1394">
        <v>2809</v>
      </c>
      <c r="B1394" t="s">
        <v>1539</v>
      </c>
      <c r="C1394" t="s">
        <v>1362</v>
      </c>
      <c r="D1394" t="s">
        <v>1535</v>
      </c>
      <c r="E1394" t="s">
        <v>29</v>
      </c>
      <c r="F1394" t="s">
        <v>1536</v>
      </c>
      <c r="G1394" t="s">
        <v>38</v>
      </c>
      <c r="H1394" s="1">
        <v>45079.778425925928</v>
      </c>
      <c r="I1394" s="1">
        <v>45080.778425925928</v>
      </c>
      <c r="J1394" t="s">
        <v>32</v>
      </c>
      <c r="K1394" s="1">
        <v>45096.778425925928</v>
      </c>
      <c r="L1394" t="s">
        <v>39</v>
      </c>
      <c r="N1394" s="4">
        <v>45102.778425925928</v>
      </c>
      <c r="O1394" t="s">
        <v>39</v>
      </c>
      <c r="R1394" s="4">
        <v>45099.778425925928</v>
      </c>
      <c r="T1394">
        <v>0</v>
      </c>
      <c r="AC1394" s="2">
        <f t="shared" si="189"/>
        <v>1</v>
      </c>
      <c r="AD1394" s="2">
        <f t="shared" si="190"/>
        <v>17</v>
      </c>
      <c r="AE1394" s="2">
        <f t="shared" si="191"/>
        <v>16</v>
      </c>
      <c r="AF1394" s="2">
        <f t="shared" si="192"/>
        <v>20</v>
      </c>
      <c r="AG1394" s="2">
        <f t="shared" si="193"/>
        <v>3</v>
      </c>
      <c r="AH1394" s="4">
        <f t="shared" si="194"/>
        <v>45189.778425925928</v>
      </c>
      <c r="AI1394" s="2" t="str">
        <f t="shared" si="195"/>
        <v/>
      </c>
      <c r="AJ1394" s="2" t="str">
        <f t="shared" si="196"/>
        <v/>
      </c>
      <c r="AK1394" s="2" t="str">
        <f t="shared" si="197"/>
        <v/>
      </c>
    </row>
    <row r="1395" spans="1:37" x14ac:dyDescent="0.25">
      <c r="A1395">
        <v>2802</v>
      </c>
      <c r="B1395" t="s">
        <v>1540</v>
      </c>
      <c r="C1395" t="s">
        <v>1362</v>
      </c>
      <c r="D1395" t="s">
        <v>1535</v>
      </c>
      <c r="E1395" t="s">
        <v>29</v>
      </c>
      <c r="F1395" t="s">
        <v>1536</v>
      </c>
      <c r="G1395" t="s">
        <v>38</v>
      </c>
      <c r="H1395" s="1">
        <v>45077.778425925928</v>
      </c>
      <c r="I1395" s="1">
        <v>45081.778425925928</v>
      </c>
      <c r="J1395" t="s">
        <v>32</v>
      </c>
      <c r="K1395" s="1">
        <v>45095.778425925928</v>
      </c>
      <c r="L1395" t="s">
        <v>33</v>
      </c>
      <c r="M1395" t="s">
        <v>108</v>
      </c>
      <c r="T1395">
        <v>0</v>
      </c>
      <c r="Y1395" t="s">
        <v>35</v>
      </c>
      <c r="AC1395" s="2">
        <f t="shared" si="189"/>
        <v>4</v>
      </c>
      <c r="AD1395" s="2">
        <f t="shared" si="190"/>
        <v>18</v>
      </c>
      <c r="AE1395" s="2">
        <f t="shared" si="191"/>
        <v>14</v>
      </c>
      <c r="AF1395" s="2" t="str">
        <f t="shared" si="192"/>
        <v/>
      </c>
      <c r="AG1395" s="2" t="str">
        <f t="shared" si="193"/>
        <v/>
      </c>
      <c r="AH1395" s="4" t="str">
        <f t="shared" si="194"/>
        <v/>
      </c>
      <c r="AI1395" s="2" t="str">
        <f t="shared" si="195"/>
        <v/>
      </c>
      <c r="AJ1395" s="2" t="str">
        <f t="shared" si="196"/>
        <v/>
      </c>
      <c r="AK1395" s="2" t="str">
        <f t="shared" si="197"/>
        <v/>
      </c>
    </row>
    <row r="1396" spans="1:37" x14ac:dyDescent="0.25">
      <c r="A1396">
        <v>2800</v>
      </c>
      <c r="B1396" t="s">
        <v>1541</v>
      </c>
      <c r="C1396" t="s">
        <v>1362</v>
      </c>
      <c r="D1396" t="s">
        <v>1535</v>
      </c>
      <c r="E1396" t="s">
        <v>29</v>
      </c>
      <c r="F1396" t="s">
        <v>1536</v>
      </c>
      <c r="G1396" t="s">
        <v>38</v>
      </c>
      <c r="H1396" s="1">
        <v>45107.834444444445</v>
      </c>
      <c r="I1396" s="1">
        <v>45108.834444444445</v>
      </c>
      <c r="J1396" t="s">
        <v>32</v>
      </c>
      <c r="K1396" s="1">
        <v>45122.834444444445</v>
      </c>
      <c r="L1396" t="s">
        <v>33</v>
      </c>
      <c r="M1396" t="s">
        <v>51</v>
      </c>
      <c r="R1396" s="4">
        <v>45126.834444444445</v>
      </c>
      <c r="T1396">
        <v>0</v>
      </c>
      <c r="Y1396" t="s">
        <v>35</v>
      </c>
      <c r="AC1396" s="2">
        <f t="shared" si="189"/>
        <v>1</v>
      </c>
      <c r="AD1396" s="2">
        <f t="shared" si="190"/>
        <v>15</v>
      </c>
      <c r="AE1396" s="2">
        <f t="shared" si="191"/>
        <v>14</v>
      </c>
      <c r="AF1396" s="2">
        <f t="shared" si="192"/>
        <v>19</v>
      </c>
      <c r="AG1396" s="2">
        <f t="shared" si="193"/>
        <v>4</v>
      </c>
      <c r="AH1396" s="4">
        <f t="shared" si="194"/>
        <v>45216.834444444445</v>
      </c>
      <c r="AI1396" s="2" t="str">
        <f t="shared" si="195"/>
        <v/>
      </c>
      <c r="AJ1396" s="2" t="str">
        <f t="shared" si="196"/>
        <v/>
      </c>
      <c r="AK1396" s="2" t="str">
        <f t="shared" si="197"/>
        <v/>
      </c>
    </row>
    <row r="1397" spans="1:37" x14ac:dyDescent="0.25">
      <c r="A1397">
        <v>2710</v>
      </c>
      <c r="B1397" t="s">
        <v>1542</v>
      </c>
      <c r="C1397" t="s">
        <v>1362</v>
      </c>
      <c r="D1397" t="s">
        <v>1535</v>
      </c>
      <c r="E1397" t="s">
        <v>29</v>
      </c>
      <c r="F1397" t="s">
        <v>1536</v>
      </c>
      <c r="G1397" t="s">
        <v>38</v>
      </c>
      <c r="H1397" s="1">
        <v>44828.495787037034</v>
      </c>
      <c r="I1397" s="1">
        <v>44832.495787037034</v>
      </c>
      <c r="J1397" t="s">
        <v>32</v>
      </c>
      <c r="K1397" s="1">
        <v>44842.495787037034</v>
      </c>
      <c r="L1397" t="s">
        <v>39</v>
      </c>
      <c r="N1397" s="4">
        <v>44845.495787037034</v>
      </c>
      <c r="O1397" t="s">
        <v>39</v>
      </c>
      <c r="R1397" s="4">
        <v>44843.495787037034</v>
      </c>
      <c r="T1397">
        <v>0</v>
      </c>
      <c r="AC1397" s="2">
        <f t="shared" si="189"/>
        <v>4</v>
      </c>
      <c r="AD1397" s="2">
        <f t="shared" si="190"/>
        <v>14</v>
      </c>
      <c r="AE1397" s="2">
        <f t="shared" si="191"/>
        <v>10</v>
      </c>
      <c r="AF1397" s="2">
        <f t="shared" si="192"/>
        <v>15</v>
      </c>
      <c r="AG1397" s="2">
        <f t="shared" si="193"/>
        <v>1</v>
      </c>
      <c r="AH1397" s="4">
        <f t="shared" si="194"/>
        <v>44933.495787037034</v>
      </c>
      <c r="AI1397" s="2" t="str">
        <f t="shared" si="195"/>
        <v/>
      </c>
      <c r="AJ1397" s="2" t="str">
        <f t="shared" si="196"/>
        <v/>
      </c>
      <c r="AK1397" s="2" t="str">
        <f t="shared" si="197"/>
        <v/>
      </c>
    </row>
    <row r="1398" spans="1:37" x14ac:dyDescent="0.25">
      <c r="A1398">
        <v>2708</v>
      </c>
      <c r="B1398" t="s">
        <v>1543</v>
      </c>
      <c r="C1398" t="s">
        <v>1362</v>
      </c>
      <c r="D1398" t="s">
        <v>1535</v>
      </c>
      <c r="E1398" t="s">
        <v>29</v>
      </c>
      <c r="F1398" t="s">
        <v>1536</v>
      </c>
      <c r="G1398" t="s">
        <v>38</v>
      </c>
      <c r="H1398" s="1">
        <v>44833.495787037034</v>
      </c>
      <c r="I1398" s="1">
        <v>44834.495787037034</v>
      </c>
      <c r="J1398" t="s">
        <v>32</v>
      </c>
      <c r="K1398" s="1">
        <v>44844.495787037034</v>
      </c>
      <c r="L1398" t="s">
        <v>33</v>
      </c>
      <c r="M1398" t="s">
        <v>108</v>
      </c>
      <c r="T1398">
        <v>0</v>
      </c>
      <c r="Y1398" t="s">
        <v>35</v>
      </c>
      <c r="AC1398" s="2">
        <f t="shared" si="189"/>
        <v>1</v>
      </c>
      <c r="AD1398" s="2">
        <f t="shared" si="190"/>
        <v>11</v>
      </c>
      <c r="AE1398" s="2">
        <f t="shared" si="191"/>
        <v>10</v>
      </c>
      <c r="AF1398" s="2" t="str">
        <f t="shared" si="192"/>
        <v/>
      </c>
      <c r="AG1398" s="2" t="str">
        <f t="shared" si="193"/>
        <v/>
      </c>
      <c r="AH1398" s="4" t="str">
        <f t="shared" si="194"/>
        <v/>
      </c>
      <c r="AI1398" s="2" t="str">
        <f t="shared" si="195"/>
        <v/>
      </c>
      <c r="AJ1398" s="2" t="str">
        <f t="shared" si="196"/>
        <v/>
      </c>
      <c r="AK1398" s="2" t="str">
        <f t="shared" si="197"/>
        <v/>
      </c>
    </row>
    <row r="1399" spans="1:37" x14ac:dyDescent="0.25">
      <c r="A1399">
        <v>2706</v>
      </c>
      <c r="B1399" t="s">
        <v>1544</v>
      </c>
      <c r="C1399" t="s">
        <v>1362</v>
      </c>
      <c r="D1399" t="s">
        <v>1535</v>
      </c>
      <c r="E1399" t="s">
        <v>29</v>
      </c>
      <c r="F1399" t="s">
        <v>1536</v>
      </c>
      <c r="G1399" t="s">
        <v>38</v>
      </c>
      <c r="H1399" s="1">
        <v>44829.495787037034</v>
      </c>
      <c r="I1399" s="1">
        <v>44831.495787037034</v>
      </c>
      <c r="J1399" t="s">
        <v>32</v>
      </c>
      <c r="K1399" s="1">
        <v>44850.495787037034</v>
      </c>
      <c r="L1399" t="s">
        <v>33</v>
      </c>
      <c r="M1399" t="s">
        <v>67</v>
      </c>
      <c r="R1399" s="4">
        <v>44854.495787037034</v>
      </c>
      <c r="T1399">
        <v>0</v>
      </c>
      <c r="Y1399" t="s">
        <v>55</v>
      </c>
      <c r="AC1399" s="2">
        <f t="shared" si="189"/>
        <v>2</v>
      </c>
      <c r="AD1399" s="2">
        <f t="shared" si="190"/>
        <v>21</v>
      </c>
      <c r="AE1399" s="2">
        <f t="shared" si="191"/>
        <v>19</v>
      </c>
      <c r="AF1399" s="2">
        <f t="shared" si="192"/>
        <v>25</v>
      </c>
      <c r="AG1399" s="2">
        <f t="shared" si="193"/>
        <v>4</v>
      </c>
      <c r="AH1399" s="4">
        <f t="shared" si="194"/>
        <v>44944.495787037034</v>
      </c>
      <c r="AI1399" s="2" t="str">
        <f t="shared" si="195"/>
        <v/>
      </c>
      <c r="AJ1399" s="2" t="str">
        <f t="shared" si="196"/>
        <v/>
      </c>
      <c r="AK1399" s="2" t="str">
        <f t="shared" si="197"/>
        <v/>
      </c>
    </row>
    <row r="1400" spans="1:37" x14ac:dyDescent="0.25">
      <c r="A1400">
        <v>2621</v>
      </c>
      <c r="B1400" t="s">
        <v>1545</v>
      </c>
      <c r="C1400" t="s">
        <v>1362</v>
      </c>
      <c r="D1400" t="s">
        <v>1535</v>
      </c>
      <c r="E1400" t="s">
        <v>29</v>
      </c>
      <c r="F1400" t="s">
        <v>1536</v>
      </c>
      <c r="G1400" t="s">
        <v>38</v>
      </c>
      <c r="H1400" s="1">
        <v>45100.668356481481</v>
      </c>
      <c r="I1400" s="1">
        <v>45101.668356481481</v>
      </c>
      <c r="J1400" t="s">
        <v>32</v>
      </c>
      <c r="K1400" s="1">
        <v>45118.668356481481</v>
      </c>
      <c r="L1400" t="s">
        <v>33</v>
      </c>
      <c r="M1400" t="s">
        <v>34</v>
      </c>
      <c r="R1400" s="4">
        <v>45119.668356481481</v>
      </c>
      <c r="T1400">
        <v>0</v>
      </c>
      <c r="Y1400" t="s">
        <v>55</v>
      </c>
      <c r="AC1400" s="2">
        <f t="shared" si="189"/>
        <v>1</v>
      </c>
      <c r="AD1400" s="2">
        <f t="shared" si="190"/>
        <v>18</v>
      </c>
      <c r="AE1400" s="2">
        <f t="shared" si="191"/>
        <v>17</v>
      </c>
      <c r="AF1400" s="2">
        <f t="shared" si="192"/>
        <v>19</v>
      </c>
      <c r="AG1400" s="2">
        <f t="shared" si="193"/>
        <v>1</v>
      </c>
      <c r="AH1400" s="4">
        <f t="shared" si="194"/>
        <v>45209.668356481481</v>
      </c>
      <c r="AI1400" s="2" t="str">
        <f t="shared" si="195"/>
        <v/>
      </c>
      <c r="AJ1400" s="2" t="str">
        <f t="shared" si="196"/>
        <v/>
      </c>
      <c r="AK1400" s="2" t="str">
        <f t="shared" si="197"/>
        <v/>
      </c>
    </row>
    <row r="1401" spans="1:37" x14ac:dyDescent="0.25">
      <c r="A1401">
        <v>2599</v>
      </c>
      <c r="B1401" t="s">
        <v>1546</v>
      </c>
      <c r="C1401" t="s">
        <v>1362</v>
      </c>
      <c r="D1401" t="s">
        <v>1535</v>
      </c>
      <c r="E1401" t="s">
        <v>29</v>
      </c>
      <c r="F1401" t="s">
        <v>1536</v>
      </c>
      <c r="G1401" t="s">
        <v>38</v>
      </c>
      <c r="H1401" s="1">
        <v>44944.403136574074</v>
      </c>
      <c r="I1401" s="1">
        <v>44947.403136574074</v>
      </c>
      <c r="J1401" t="s">
        <v>32</v>
      </c>
      <c r="K1401" s="1">
        <v>44962.403136574074</v>
      </c>
      <c r="L1401" t="s">
        <v>33</v>
      </c>
      <c r="M1401" t="s">
        <v>67</v>
      </c>
      <c r="R1401" s="4">
        <v>44965.403136574074</v>
      </c>
      <c r="T1401">
        <v>0</v>
      </c>
      <c r="Y1401" t="s">
        <v>55</v>
      </c>
      <c r="AC1401" s="2">
        <f t="shared" si="189"/>
        <v>3</v>
      </c>
      <c r="AD1401" s="2">
        <f t="shared" si="190"/>
        <v>18</v>
      </c>
      <c r="AE1401" s="2">
        <f t="shared" si="191"/>
        <v>15</v>
      </c>
      <c r="AF1401" s="2">
        <f t="shared" si="192"/>
        <v>21</v>
      </c>
      <c r="AG1401" s="2">
        <f t="shared" si="193"/>
        <v>3</v>
      </c>
      <c r="AH1401" s="4">
        <f t="shared" si="194"/>
        <v>45055.403136574074</v>
      </c>
      <c r="AI1401" s="2" t="str">
        <f t="shared" si="195"/>
        <v/>
      </c>
      <c r="AJ1401" s="2" t="str">
        <f t="shared" si="196"/>
        <v/>
      </c>
      <c r="AK1401" s="2" t="str">
        <f t="shared" si="197"/>
        <v/>
      </c>
    </row>
    <row r="1402" spans="1:37" x14ac:dyDescent="0.25">
      <c r="A1402">
        <v>2596</v>
      </c>
      <c r="B1402" t="s">
        <v>1547</v>
      </c>
      <c r="C1402" t="s">
        <v>1362</v>
      </c>
      <c r="D1402" t="s">
        <v>1535</v>
      </c>
      <c r="E1402" t="s">
        <v>29</v>
      </c>
      <c r="F1402" t="s">
        <v>1536</v>
      </c>
      <c r="G1402" t="s">
        <v>38</v>
      </c>
      <c r="H1402" s="1">
        <v>44945.403136574074</v>
      </c>
      <c r="I1402" s="1">
        <v>44946.403136574074</v>
      </c>
      <c r="J1402" t="s">
        <v>32</v>
      </c>
      <c r="K1402" s="1">
        <v>44962.403136574074</v>
      </c>
      <c r="L1402" t="s">
        <v>33</v>
      </c>
      <c r="M1402" t="s">
        <v>92</v>
      </c>
      <c r="T1402">
        <v>0</v>
      </c>
      <c r="Y1402" t="s">
        <v>55</v>
      </c>
      <c r="AC1402" s="2">
        <f t="shared" si="189"/>
        <v>1</v>
      </c>
      <c r="AD1402" s="2">
        <f t="shared" si="190"/>
        <v>17</v>
      </c>
      <c r="AE1402" s="2">
        <f t="shared" si="191"/>
        <v>16</v>
      </c>
      <c r="AF1402" s="2" t="str">
        <f t="shared" si="192"/>
        <v/>
      </c>
      <c r="AG1402" s="2" t="str">
        <f t="shared" si="193"/>
        <v/>
      </c>
      <c r="AH1402" s="4" t="str">
        <f t="shared" si="194"/>
        <v/>
      </c>
      <c r="AI1402" s="2" t="str">
        <f t="shared" si="195"/>
        <v/>
      </c>
      <c r="AJ1402" s="2" t="str">
        <f t="shared" si="196"/>
        <v/>
      </c>
      <c r="AK1402" s="2" t="str">
        <f t="shared" si="197"/>
        <v/>
      </c>
    </row>
    <row r="1403" spans="1:37" x14ac:dyDescent="0.25">
      <c r="A1403">
        <v>2594</v>
      </c>
      <c r="B1403" t="s">
        <v>1548</v>
      </c>
      <c r="C1403" t="s">
        <v>1362</v>
      </c>
      <c r="D1403" t="s">
        <v>1535</v>
      </c>
      <c r="E1403" t="s">
        <v>29</v>
      </c>
      <c r="F1403" t="s">
        <v>1536</v>
      </c>
      <c r="G1403" t="s">
        <v>38</v>
      </c>
      <c r="H1403" s="1">
        <v>44946.403136574074</v>
      </c>
      <c r="I1403" s="1">
        <v>44947.403136574074</v>
      </c>
      <c r="J1403" t="s">
        <v>32</v>
      </c>
      <c r="K1403" s="1">
        <v>44959.403136574074</v>
      </c>
      <c r="L1403" t="s">
        <v>33</v>
      </c>
      <c r="M1403" t="s">
        <v>92</v>
      </c>
      <c r="T1403">
        <v>0</v>
      </c>
      <c r="Y1403" t="s">
        <v>55</v>
      </c>
      <c r="AC1403" s="2">
        <f t="shared" si="189"/>
        <v>1</v>
      </c>
      <c r="AD1403" s="2">
        <f t="shared" si="190"/>
        <v>13</v>
      </c>
      <c r="AE1403" s="2">
        <f t="shared" si="191"/>
        <v>12</v>
      </c>
      <c r="AF1403" s="2" t="str">
        <f t="shared" si="192"/>
        <v/>
      </c>
      <c r="AG1403" s="2" t="str">
        <f t="shared" si="193"/>
        <v/>
      </c>
      <c r="AH1403" s="4" t="str">
        <f t="shared" si="194"/>
        <v/>
      </c>
      <c r="AI1403" s="2" t="str">
        <f t="shared" si="195"/>
        <v/>
      </c>
      <c r="AJ1403" s="2" t="str">
        <f t="shared" si="196"/>
        <v/>
      </c>
      <c r="AK1403" s="2" t="str">
        <f t="shared" si="197"/>
        <v/>
      </c>
    </row>
    <row r="1404" spans="1:37" x14ac:dyDescent="0.25">
      <c r="A1404">
        <v>2490</v>
      </c>
      <c r="B1404" t="s">
        <v>1549</v>
      </c>
      <c r="C1404" t="s">
        <v>1362</v>
      </c>
      <c r="D1404" t="s">
        <v>1535</v>
      </c>
      <c r="E1404" t="s">
        <v>29</v>
      </c>
      <c r="F1404" t="s">
        <v>1536</v>
      </c>
      <c r="G1404" t="s">
        <v>38</v>
      </c>
      <c r="H1404" s="1">
        <v>44971.901273148149</v>
      </c>
      <c r="I1404" s="1">
        <v>44975.901273148149</v>
      </c>
      <c r="J1404" t="s">
        <v>32</v>
      </c>
      <c r="K1404" s="1">
        <v>44991.901273148149</v>
      </c>
      <c r="L1404" t="s">
        <v>33</v>
      </c>
      <c r="M1404" t="s">
        <v>34</v>
      </c>
      <c r="T1404">
        <v>0</v>
      </c>
      <c r="Y1404" t="s">
        <v>55</v>
      </c>
      <c r="AC1404" s="2">
        <f t="shared" si="189"/>
        <v>4</v>
      </c>
      <c r="AD1404" s="2">
        <f t="shared" si="190"/>
        <v>20</v>
      </c>
      <c r="AE1404" s="2">
        <f t="shared" si="191"/>
        <v>16</v>
      </c>
      <c r="AF1404" s="2" t="str">
        <f t="shared" si="192"/>
        <v/>
      </c>
      <c r="AG1404" s="2" t="str">
        <f t="shared" si="193"/>
        <v/>
      </c>
      <c r="AH1404" s="4" t="str">
        <f t="shared" si="194"/>
        <v/>
      </c>
      <c r="AI1404" s="2" t="str">
        <f t="shared" si="195"/>
        <v/>
      </c>
      <c r="AJ1404" s="2" t="str">
        <f t="shared" si="196"/>
        <v/>
      </c>
      <c r="AK1404" s="2" t="str">
        <f t="shared" si="197"/>
        <v/>
      </c>
    </row>
    <row r="1405" spans="1:37" x14ac:dyDescent="0.25">
      <c r="A1405">
        <v>2423</v>
      </c>
      <c r="B1405" t="s">
        <v>1550</v>
      </c>
      <c r="C1405" t="s">
        <v>1362</v>
      </c>
      <c r="D1405" t="s">
        <v>1535</v>
      </c>
      <c r="E1405" t="s">
        <v>29</v>
      </c>
      <c r="F1405" t="s">
        <v>1536</v>
      </c>
      <c r="G1405" t="s">
        <v>38</v>
      </c>
      <c r="H1405" s="1">
        <v>44836.25509259259</v>
      </c>
      <c r="I1405" s="1">
        <v>44838.25509259259</v>
      </c>
      <c r="J1405" t="s">
        <v>32</v>
      </c>
      <c r="K1405" s="1">
        <v>44847.25509259259</v>
      </c>
      <c r="L1405" t="s">
        <v>39</v>
      </c>
      <c r="N1405" s="4">
        <v>44852.25509259259</v>
      </c>
      <c r="O1405" t="s">
        <v>39</v>
      </c>
      <c r="R1405" s="4">
        <v>44850.25509259259</v>
      </c>
      <c r="T1405">
        <v>0</v>
      </c>
      <c r="AC1405" s="2">
        <f t="shared" si="189"/>
        <v>2</v>
      </c>
      <c r="AD1405" s="2">
        <f t="shared" si="190"/>
        <v>11</v>
      </c>
      <c r="AE1405" s="2">
        <f t="shared" si="191"/>
        <v>9</v>
      </c>
      <c r="AF1405" s="2">
        <f t="shared" si="192"/>
        <v>14</v>
      </c>
      <c r="AG1405" s="2">
        <f t="shared" si="193"/>
        <v>3</v>
      </c>
      <c r="AH1405" s="4">
        <f t="shared" si="194"/>
        <v>44940.25509259259</v>
      </c>
      <c r="AI1405" s="2" t="str">
        <f t="shared" si="195"/>
        <v/>
      </c>
      <c r="AJ1405" s="2" t="str">
        <f t="shared" si="196"/>
        <v/>
      </c>
      <c r="AK1405" s="2" t="str">
        <f t="shared" si="197"/>
        <v/>
      </c>
    </row>
    <row r="1406" spans="1:37" x14ac:dyDescent="0.25">
      <c r="A1406">
        <v>2104</v>
      </c>
      <c r="B1406" t="s">
        <v>1551</v>
      </c>
      <c r="C1406" t="s">
        <v>1362</v>
      </c>
      <c r="D1406" t="s">
        <v>1535</v>
      </c>
      <c r="E1406" t="s">
        <v>29</v>
      </c>
      <c r="F1406" t="s">
        <v>1536</v>
      </c>
      <c r="G1406" t="s">
        <v>38</v>
      </c>
      <c r="H1406" s="1">
        <v>44684.022326388891</v>
      </c>
      <c r="I1406" s="1">
        <v>44686.022326388891</v>
      </c>
      <c r="J1406" t="s">
        <v>32</v>
      </c>
      <c r="K1406" s="1">
        <v>44703.022326388891</v>
      </c>
      <c r="L1406" t="s">
        <v>39</v>
      </c>
      <c r="N1406" s="4">
        <v>44711.022326388891</v>
      </c>
      <c r="O1406" t="s">
        <v>39</v>
      </c>
      <c r="R1406" s="4">
        <v>44707.022326388891</v>
      </c>
      <c r="T1406">
        <v>0</v>
      </c>
      <c r="AC1406" s="2">
        <f t="shared" si="189"/>
        <v>2</v>
      </c>
      <c r="AD1406" s="2">
        <f t="shared" si="190"/>
        <v>19</v>
      </c>
      <c r="AE1406" s="2">
        <f t="shared" si="191"/>
        <v>17</v>
      </c>
      <c r="AF1406" s="2">
        <f t="shared" si="192"/>
        <v>23</v>
      </c>
      <c r="AG1406" s="2">
        <f t="shared" si="193"/>
        <v>4</v>
      </c>
      <c r="AH1406" s="4">
        <f t="shared" si="194"/>
        <v>44797.022326388891</v>
      </c>
      <c r="AI1406" s="2" t="str">
        <f t="shared" si="195"/>
        <v/>
      </c>
      <c r="AJ1406" s="2" t="str">
        <f t="shared" si="196"/>
        <v/>
      </c>
      <c r="AK1406" s="2" t="str">
        <f t="shared" si="197"/>
        <v/>
      </c>
    </row>
    <row r="1407" spans="1:37" x14ac:dyDescent="0.25">
      <c r="A1407">
        <v>2098</v>
      </c>
      <c r="B1407" t="s">
        <v>1552</v>
      </c>
      <c r="C1407" t="s">
        <v>1362</v>
      </c>
      <c r="D1407" t="s">
        <v>1535</v>
      </c>
      <c r="E1407" t="s">
        <v>29</v>
      </c>
      <c r="F1407" t="s">
        <v>1536</v>
      </c>
      <c r="G1407" t="s">
        <v>38</v>
      </c>
      <c r="H1407" s="1">
        <v>44858.987488425926</v>
      </c>
      <c r="I1407" s="1">
        <v>44862.987488425926</v>
      </c>
      <c r="J1407" t="s">
        <v>32</v>
      </c>
      <c r="K1407" s="1">
        <v>44878.987488425926</v>
      </c>
      <c r="L1407" t="s">
        <v>33</v>
      </c>
      <c r="M1407" t="s">
        <v>92</v>
      </c>
      <c r="T1407">
        <v>0</v>
      </c>
      <c r="Y1407" t="s">
        <v>55</v>
      </c>
      <c r="AC1407" s="2">
        <f t="shared" si="189"/>
        <v>4</v>
      </c>
      <c r="AD1407" s="2">
        <f t="shared" si="190"/>
        <v>20</v>
      </c>
      <c r="AE1407" s="2">
        <f t="shared" si="191"/>
        <v>16</v>
      </c>
      <c r="AF1407" s="2" t="str">
        <f t="shared" si="192"/>
        <v/>
      </c>
      <c r="AG1407" s="2" t="str">
        <f t="shared" si="193"/>
        <v/>
      </c>
      <c r="AH1407" s="4" t="str">
        <f t="shared" si="194"/>
        <v/>
      </c>
      <c r="AI1407" s="2" t="str">
        <f t="shared" si="195"/>
        <v/>
      </c>
      <c r="AJ1407" s="2" t="str">
        <f t="shared" si="196"/>
        <v/>
      </c>
      <c r="AK1407" s="2" t="str">
        <f t="shared" si="197"/>
        <v/>
      </c>
    </row>
    <row r="1408" spans="1:37" x14ac:dyDescent="0.25">
      <c r="A1408">
        <v>2091</v>
      </c>
      <c r="B1408" t="s">
        <v>1553</v>
      </c>
      <c r="C1408" t="s">
        <v>1362</v>
      </c>
      <c r="D1408" t="s">
        <v>1535</v>
      </c>
      <c r="E1408" t="s">
        <v>29</v>
      </c>
      <c r="F1408" t="s">
        <v>1536</v>
      </c>
      <c r="G1408" t="s">
        <v>38</v>
      </c>
      <c r="H1408" s="1">
        <v>44860.987488425926</v>
      </c>
      <c r="I1408" s="1">
        <v>44863.987488425926</v>
      </c>
      <c r="J1408" t="s">
        <v>32</v>
      </c>
      <c r="K1408" s="1">
        <v>44872.987488425926</v>
      </c>
      <c r="L1408" t="s">
        <v>33</v>
      </c>
      <c r="M1408" t="s">
        <v>34</v>
      </c>
      <c r="T1408">
        <v>0</v>
      </c>
      <c r="Y1408" t="s">
        <v>55</v>
      </c>
      <c r="AC1408" s="2">
        <f t="shared" si="189"/>
        <v>3</v>
      </c>
      <c r="AD1408" s="2">
        <f t="shared" si="190"/>
        <v>12</v>
      </c>
      <c r="AE1408" s="2">
        <f t="shared" si="191"/>
        <v>9</v>
      </c>
      <c r="AF1408" s="2" t="str">
        <f t="shared" si="192"/>
        <v/>
      </c>
      <c r="AG1408" s="2" t="str">
        <f t="shared" si="193"/>
        <v/>
      </c>
      <c r="AH1408" s="4" t="str">
        <f t="shared" si="194"/>
        <v/>
      </c>
      <c r="AI1408" s="2" t="str">
        <f t="shared" si="195"/>
        <v/>
      </c>
      <c r="AJ1408" s="2" t="str">
        <f t="shared" si="196"/>
        <v/>
      </c>
      <c r="AK1408" s="2" t="str">
        <f t="shared" si="197"/>
        <v/>
      </c>
    </row>
    <row r="1409" spans="1:37" x14ac:dyDescent="0.25">
      <c r="A1409">
        <v>2032</v>
      </c>
      <c r="B1409" t="s">
        <v>1554</v>
      </c>
      <c r="C1409" t="s">
        <v>1362</v>
      </c>
      <c r="D1409" t="s">
        <v>1535</v>
      </c>
      <c r="E1409" t="s">
        <v>29</v>
      </c>
      <c r="F1409" t="s">
        <v>1536</v>
      </c>
      <c r="G1409" t="s">
        <v>38</v>
      </c>
      <c r="H1409" s="1">
        <v>44648.861122685186</v>
      </c>
      <c r="I1409" s="1">
        <v>44651.861122685186</v>
      </c>
      <c r="J1409" t="s">
        <v>32</v>
      </c>
      <c r="K1409" s="1">
        <v>44667.861122685186</v>
      </c>
      <c r="L1409" t="s">
        <v>33</v>
      </c>
      <c r="M1409" t="s">
        <v>67</v>
      </c>
      <c r="R1409" s="4">
        <v>44669.861122685186</v>
      </c>
      <c r="T1409">
        <v>0</v>
      </c>
      <c r="Y1409" t="s">
        <v>55</v>
      </c>
      <c r="AC1409" s="2">
        <f t="shared" si="189"/>
        <v>3</v>
      </c>
      <c r="AD1409" s="2">
        <f t="shared" si="190"/>
        <v>19</v>
      </c>
      <c r="AE1409" s="2">
        <f t="shared" si="191"/>
        <v>16</v>
      </c>
      <c r="AF1409" s="2">
        <f t="shared" si="192"/>
        <v>21</v>
      </c>
      <c r="AG1409" s="2">
        <f t="shared" si="193"/>
        <v>2</v>
      </c>
      <c r="AH1409" s="4">
        <f t="shared" si="194"/>
        <v>44759.861122685186</v>
      </c>
      <c r="AI1409" s="2" t="str">
        <f t="shared" si="195"/>
        <v/>
      </c>
      <c r="AJ1409" s="2" t="str">
        <f t="shared" si="196"/>
        <v/>
      </c>
      <c r="AK1409" s="2" t="str">
        <f t="shared" si="197"/>
        <v/>
      </c>
    </row>
    <row r="1410" spans="1:37" x14ac:dyDescent="0.25">
      <c r="A1410">
        <v>2031</v>
      </c>
      <c r="B1410" t="s">
        <v>1555</v>
      </c>
      <c r="C1410" t="s">
        <v>1362</v>
      </c>
      <c r="D1410" t="s">
        <v>1535</v>
      </c>
      <c r="E1410" t="s">
        <v>29</v>
      </c>
      <c r="F1410" t="s">
        <v>1536</v>
      </c>
      <c r="G1410" t="s">
        <v>38</v>
      </c>
      <c r="H1410" s="1">
        <v>44645.861122685186</v>
      </c>
      <c r="I1410" s="1">
        <v>44648.861122685186</v>
      </c>
      <c r="J1410" t="s">
        <v>32</v>
      </c>
      <c r="K1410" s="1">
        <v>44657.861122685186</v>
      </c>
      <c r="L1410" t="s">
        <v>164</v>
      </c>
      <c r="N1410" s="4">
        <v>44662.861122685186</v>
      </c>
      <c r="O1410" t="s">
        <v>164</v>
      </c>
      <c r="R1410" s="4">
        <v>44658.861122685186</v>
      </c>
      <c r="T1410">
        <v>0</v>
      </c>
      <c r="AC1410" s="2">
        <f t="shared" si="189"/>
        <v>3</v>
      </c>
      <c r="AD1410" s="2">
        <f t="shared" si="190"/>
        <v>12</v>
      </c>
      <c r="AE1410" s="2">
        <f t="shared" si="191"/>
        <v>9</v>
      </c>
      <c r="AF1410" s="2">
        <f t="shared" si="192"/>
        <v>13</v>
      </c>
      <c r="AG1410" s="2">
        <f t="shared" si="193"/>
        <v>1</v>
      </c>
      <c r="AH1410" s="4">
        <f t="shared" si="194"/>
        <v>44748.861122685186</v>
      </c>
      <c r="AI1410" s="2" t="str">
        <f t="shared" si="195"/>
        <v/>
      </c>
      <c r="AJ1410" s="2" t="str">
        <f t="shared" si="196"/>
        <v/>
      </c>
      <c r="AK1410" s="2" t="str">
        <f t="shared" si="197"/>
        <v/>
      </c>
    </row>
    <row r="1411" spans="1:37" x14ac:dyDescent="0.25">
      <c r="A1411">
        <v>1934</v>
      </c>
      <c r="B1411" t="s">
        <v>1556</v>
      </c>
      <c r="C1411" t="s">
        <v>1362</v>
      </c>
      <c r="D1411" t="s">
        <v>1535</v>
      </c>
      <c r="E1411" t="s">
        <v>827</v>
      </c>
      <c r="F1411" t="s">
        <v>1557</v>
      </c>
      <c r="G1411" t="s">
        <v>38</v>
      </c>
      <c r="H1411" s="1">
        <v>45177.30609953704</v>
      </c>
      <c r="I1411" s="1">
        <v>45178.30609953704</v>
      </c>
      <c r="J1411" t="s">
        <v>32</v>
      </c>
      <c r="K1411" s="1">
        <v>45194.30609953704</v>
      </c>
      <c r="L1411" t="s">
        <v>39</v>
      </c>
      <c r="N1411" s="4">
        <v>45199.30609953704</v>
      </c>
      <c r="O1411" t="s">
        <v>39</v>
      </c>
      <c r="R1411" s="4">
        <v>45198.30609953704</v>
      </c>
      <c r="T1411">
        <v>0</v>
      </c>
      <c r="AC1411" s="2">
        <f t="shared" ref="AC1411:AC1474" si="198">IF(AND(I1411&lt;&gt;"",H1411&lt;&gt;""), I1411-H1411, "")</f>
        <v>1</v>
      </c>
      <c r="AD1411" s="2">
        <f t="shared" ref="AD1411:AD1474" si="199">IF(AND(K1411&lt;&gt;"",H1411&lt;&gt;""), K1411-H1411, "")</f>
        <v>17</v>
      </c>
      <c r="AE1411" s="2">
        <f t="shared" ref="AE1411:AE1474" si="200">IF(AND(K1411&lt;&gt;"",I1411&lt;&gt;""), K1411-I1411, "")</f>
        <v>16</v>
      </c>
      <c r="AF1411" s="2">
        <f t="shared" ref="AF1411:AF1474" si="201">IF(AND(R1411&lt;&gt;"",H1411&lt;&gt;""), R1411-H1411, "")</f>
        <v>21</v>
      </c>
      <c r="AG1411" s="2">
        <f t="shared" ref="AG1411:AG1474" si="202">IF(AND(R1411&lt;&gt;"",K1411&lt;&gt;""), R1411-K1411, "")</f>
        <v>4</v>
      </c>
      <c r="AH1411" s="4">
        <f t="shared" ref="AH1411:AH1474" si="203">IF(R1411&lt;&gt;"", R1411+90, "")</f>
        <v>45288.30609953704</v>
      </c>
      <c r="AI1411" s="2" t="str">
        <f t="shared" ref="AI1411:AI1474" si="204">IF(AND(U1411&lt;&gt;"",S1411&lt;&gt;""), U1411-S1411, "")</f>
        <v/>
      </c>
      <c r="AJ1411" s="2" t="str">
        <f t="shared" ref="AJ1411:AJ1474" si="205">IF(AND(Z1411&lt;&gt;"",R1411&lt;&gt;""), Z1411-R1411, "")</f>
        <v/>
      </c>
      <c r="AK1411" s="2" t="str">
        <f t="shared" ref="AK1411:AK1474" si="206">IF(AND(W1411&lt;&gt;"",R1411&lt;&gt;""), W1411-R1411, "")</f>
        <v/>
      </c>
    </row>
    <row r="1412" spans="1:37" x14ac:dyDescent="0.25">
      <c r="A1412">
        <v>1878</v>
      </c>
      <c r="B1412" t="s">
        <v>1558</v>
      </c>
      <c r="C1412" t="s">
        <v>1362</v>
      </c>
      <c r="D1412" t="s">
        <v>1535</v>
      </c>
      <c r="E1412" t="s">
        <v>827</v>
      </c>
      <c r="F1412" t="s">
        <v>1557</v>
      </c>
      <c r="G1412" t="s">
        <v>38</v>
      </c>
      <c r="H1412" s="1">
        <v>44579.732974537037</v>
      </c>
      <c r="I1412" s="1">
        <v>44580.732974537037</v>
      </c>
      <c r="J1412" t="s">
        <v>32</v>
      </c>
      <c r="K1412" s="1">
        <v>44594.732974537037</v>
      </c>
      <c r="L1412" t="s">
        <v>33</v>
      </c>
      <c r="M1412" t="s">
        <v>108</v>
      </c>
      <c r="T1412">
        <v>0</v>
      </c>
      <c r="Y1412" t="s">
        <v>35</v>
      </c>
      <c r="AC1412" s="2">
        <f t="shared" si="198"/>
        <v>1</v>
      </c>
      <c r="AD1412" s="2">
        <f t="shared" si="199"/>
        <v>15</v>
      </c>
      <c r="AE1412" s="2">
        <f t="shared" si="200"/>
        <v>14</v>
      </c>
      <c r="AF1412" s="2" t="str">
        <f t="shared" si="201"/>
        <v/>
      </c>
      <c r="AG1412" s="2" t="str">
        <f t="shared" si="202"/>
        <v/>
      </c>
      <c r="AH1412" s="4" t="str">
        <f t="shared" si="203"/>
        <v/>
      </c>
      <c r="AI1412" s="2" t="str">
        <f t="shared" si="204"/>
        <v/>
      </c>
      <c r="AJ1412" s="2" t="str">
        <f t="shared" si="205"/>
        <v/>
      </c>
      <c r="AK1412" s="2" t="str">
        <f t="shared" si="206"/>
        <v/>
      </c>
    </row>
    <row r="1413" spans="1:37" x14ac:dyDescent="0.25">
      <c r="A1413">
        <v>1715</v>
      </c>
      <c r="B1413" t="s">
        <v>1559</v>
      </c>
      <c r="C1413" t="s">
        <v>1362</v>
      </c>
      <c r="D1413" t="s">
        <v>1535</v>
      </c>
      <c r="E1413" t="s">
        <v>827</v>
      </c>
      <c r="F1413" t="s">
        <v>1557</v>
      </c>
      <c r="G1413" t="s">
        <v>38</v>
      </c>
      <c r="H1413" s="1">
        <v>44563.077685185184</v>
      </c>
      <c r="I1413" s="1">
        <v>44567.077685185184</v>
      </c>
      <c r="J1413" t="s">
        <v>32</v>
      </c>
      <c r="K1413" s="1">
        <v>44572.077685185184</v>
      </c>
      <c r="L1413" t="s">
        <v>33</v>
      </c>
      <c r="M1413" t="s">
        <v>34</v>
      </c>
      <c r="R1413" s="4">
        <v>44574.077685185184</v>
      </c>
      <c r="T1413">
        <v>0</v>
      </c>
      <c r="Y1413" t="s">
        <v>35</v>
      </c>
      <c r="AC1413" s="2">
        <f t="shared" si="198"/>
        <v>4</v>
      </c>
      <c r="AD1413" s="2">
        <f t="shared" si="199"/>
        <v>9</v>
      </c>
      <c r="AE1413" s="2">
        <f t="shared" si="200"/>
        <v>5</v>
      </c>
      <c r="AF1413" s="2">
        <f t="shared" si="201"/>
        <v>11</v>
      </c>
      <c r="AG1413" s="2">
        <f t="shared" si="202"/>
        <v>2</v>
      </c>
      <c r="AH1413" s="4">
        <f t="shared" si="203"/>
        <v>44664.077685185184</v>
      </c>
      <c r="AI1413" s="2" t="str">
        <f t="shared" si="204"/>
        <v/>
      </c>
      <c r="AJ1413" s="2" t="str">
        <f t="shared" si="205"/>
        <v/>
      </c>
      <c r="AK1413" s="2" t="str">
        <f t="shared" si="206"/>
        <v/>
      </c>
    </row>
    <row r="1414" spans="1:37" x14ac:dyDescent="0.25">
      <c r="A1414">
        <v>1696</v>
      </c>
      <c r="B1414" t="s">
        <v>1560</v>
      </c>
      <c r="C1414" t="s">
        <v>1362</v>
      </c>
      <c r="D1414" t="s">
        <v>1535</v>
      </c>
      <c r="E1414" t="s">
        <v>827</v>
      </c>
      <c r="F1414" t="s">
        <v>1557</v>
      </c>
      <c r="G1414" t="s">
        <v>38</v>
      </c>
      <c r="H1414" s="1">
        <v>44985.764687499999</v>
      </c>
      <c r="I1414" s="1">
        <v>44987.764687499999</v>
      </c>
      <c r="J1414" t="s">
        <v>32</v>
      </c>
      <c r="K1414" s="1">
        <v>45005.764687499999</v>
      </c>
      <c r="L1414" t="s">
        <v>33</v>
      </c>
      <c r="M1414" t="s">
        <v>34</v>
      </c>
      <c r="T1414">
        <v>0</v>
      </c>
      <c r="Y1414" t="s">
        <v>55</v>
      </c>
      <c r="AC1414" s="2">
        <f t="shared" si="198"/>
        <v>2</v>
      </c>
      <c r="AD1414" s="2">
        <f t="shared" si="199"/>
        <v>20</v>
      </c>
      <c r="AE1414" s="2">
        <f t="shared" si="200"/>
        <v>18</v>
      </c>
      <c r="AF1414" s="2" t="str">
        <f t="shared" si="201"/>
        <v/>
      </c>
      <c r="AG1414" s="2" t="str">
        <f t="shared" si="202"/>
        <v/>
      </c>
      <c r="AH1414" s="4" t="str">
        <f t="shared" si="203"/>
        <v/>
      </c>
      <c r="AI1414" s="2" t="str">
        <f t="shared" si="204"/>
        <v/>
      </c>
      <c r="AJ1414" s="2" t="str">
        <f t="shared" si="205"/>
        <v/>
      </c>
      <c r="AK1414" s="2" t="str">
        <f t="shared" si="206"/>
        <v/>
      </c>
    </row>
    <row r="1415" spans="1:37" x14ac:dyDescent="0.25">
      <c r="A1415">
        <v>1695</v>
      </c>
      <c r="B1415" t="s">
        <v>1561</v>
      </c>
      <c r="C1415" t="s">
        <v>1362</v>
      </c>
      <c r="D1415" t="s">
        <v>1535</v>
      </c>
      <c r="E1415" t="s">
        <v>827</v>
      </c>
      <c r="F1415" t="s">
        <v>1557</v>
      </c>
      <c r="G1415" t="s">
        <v>38</v>
      </c>
      <c r="H1415" s="1">
        <v>44981.764687499999</v>
      </c>
      <c r="I1415" s="1">
        <v>44983.764687499999</v>
      </c>
      <c r="J1415" t="s">
        <v>32</v>
      </c>
      <c r="K1415" s="1">
        <v>45001.764687499999</v>
      </c>
      <c r="L1415" t="s">
        <v>33</v>
      </c>
      <c r="M1415" t="s">
        <v>51</v>
      </c>
      <c r="T1415">
        <v>0</v>
      </c>
      <c r="Y1415" t="s">
        <v>55</v>
      </c>
      <c r="AC1415" s="2">
        <f t="shared" si="198"/>
        <v>2</v>
      </c>
      <c r="AD1415" s="2">
        <f t="shared" si="199"/>
        <v>20</v>
      </c>
      <c r="AE1415" s="2">
        <f t="shared" si="200"/>
        <v>18</v>
      </c>
      <c r="AF1415" s="2" t="str">
        <f t="shared" si="201"/>
        <v/>
      </c>
      <c r="AG1415" s="2" t="str">
        <f t="shared" si="202"/>
        <v/>
      </c>
      <c r="AH1415" s="4" t="str">
        <f t="shared" si="203"/>
        <v/>
      </c>
      <c r="AI1415" s="2" t="str">
        <f t="shared" si="204"/>
        <v/>
      </c>
      <c r="AJ1415" s="2" t="str">
        <f t="shared" si="205"/>
        <v/>
      </c>
      <c r="AK1415" s="2" t="str">
        <f t="shared" si="206"/>
        <v/>
      </c>
    </row>
    <row r="1416" spans="1:37" x14ac:dyDescent="0.25">
      <c r="A1416">
        <v>1555</v>
      </c>
      <c r="B1416" t="s">
        <v>1562</v>
      </c>
      <c r="C1416" t="s">
        <v>1362</v>
      </c>
      <c r="D1416" t="s">
        <v>1535</v>
      </c>
      <c r="E1416" t="s">
        <v>827</v>
      </c>
      <c r="F1416" t="s">
        <v>1557</v>
      </c>
      <c r="G1416" t="s">
        <v>38</v>
      </c>
      <c r="H1416" s="1">
        <v>44897.597222222219</v>
      </c>
      <c r="I1416" s="1">
        <v>44901.597222222219</v>
      </c>
      <c r="J1416" t="s">
        <v>32</v>
      </c>
      <c r="K1416" s="1">
        <v>44913.597222222219</v>
      </c>
      <c r="L1416" t="s">
        <v>33</v>
      </c>
      <c r="M1416" t="s">
        <v>34</v>
      </c>
      <c r="R1416" s="4">
        <v>44915.597222222219</v>
      </c>
      <c r="T1416">
        <v>0</v>
      </c>
      <c r="Y1416" t="s">
        <v>35</v>
      </c>
      <c r="AC1416" s="2">
        <f t="shared" si="198"/>
        <v>4</v>
      </c>
      <c r="AD1416" s="2">
        <f t="shared" si="199"/>
        <v>16</v>
      </c>
      <c r="AE1416" s="2">
        <f t="shared" si="200"/>
        <v>12</v>
      </c>
      <c r="AF1416" s="2">
        <f t="shared" si="201"/>
        <v>18</v>
      </c>
      <c r="AG1416" s="2">
        <f t="shared" si="202"/>
        <v>2</v>
      </c>
      <c r="AH1416" s="4">
        <f t="shared" si="203"/>
        <v>45005.597222222219</v>
      </c>
      <c r="AI1416" s="2" t="str">
        <f t="shared" si="204"/>
        <v/>
      </c>
      <c r="AJ1416" s="2" t="str">
        <f t="shared" si="205"/>
        <v/>
      </c>
      <c r="AK1416" s="2" t="str">
        <f t="shared" si="206"/>
        <v/>
      </c>
    </row>
    <row r="1417" spans="1:37" x14ac:dyDescent="0.25">
      <c r="A1417">
        <v>1358</v>
      </c>
      <c r="B1417" t="s">
        <v>1563</v>
      </c>
      <c r="C1417" t="s">
        <v>1362</v>
      </c>
      <c r="D1417" t="s">
        <v>1535</v>
      </c>
      <c r="E1417" t="s">
        <v>827</v>
      </c>
      <c r="F1417" t="s">
        <v>1557</v>
      </c>
      <c r="G1417" t="s">
        <v>38</v>
      </c>
      <c r="H1417" s="1">
        <v>44767.055451388886</v>
      </c>
      <c r="I1417" s="1">
        <v>44768.055451388886</v>
      </c>
      <c r="J1417" t="s">
        <v>32</v>
      </c>
      <c r="K1417" s="1">
        <v>44786.055451388886</v>
      </c>
      <c r="L1417" t="s">
        <v>33</v>
      </c>
      <c r="M1417" t="s">
        <v>51</v>
      </c>
      <c r="R1417" s="4">
        <v>44788.055451388886</v>
      </c>
      <c r="T1417">
        <v>0</v>
      </c>
      <c r="Y1417" t="s">
        <v>35</v>
      </c>
      <c r="AC1417" s="2">
        <f t="shared" si="198"/>
        <v>1</v>
      </c>
      <c r="AD1417" s="2">
        <f t="shared" si="199"/>
        <v>19</v>
      </c>
      <c r="AE1417" s="2">
        <f t="shared" si="200"/>
        <v>18</v>
      </c>
      <c r="AF1417" s="2">
        <f t="shared" si="201"/>
        <v>21</v>
      </c>
      <c r="AG1417" s="2">
        <f t="shared" si="202"/>
        <v>2</v>
      </c>
      <c r="AH1417" s="4">
        <f t="shared" si="203"/>
        <v>44878.055451388886</v>
      </c>
      <c r="AI1417" s="2" t="str">
        <f t="shared" si="204"/>
        <v/>
      </c>
      <c r="AJ1417" s="2" t="str">
        <f t="shared" si="205"/>
        <v/>
      </c>
      <c r="AK1417" s="2" t="str">
        <f t="shared" si="206"/>
        <v/>
      </c>
    </row>
    <row r="1418" spans="1:37" x14ac:dyDescent="0.25">
      <c r="A1418">
        <v>1356</v>
      </c>
      <c r="B1418" t="s">
        <v>1564</v>
      </c>
      <c r="C1418" t="s">
        <v>1362</v>
      </c>
      <c r="D1418" t="s">
        <v>1535</v>
      </c>
      <c r="E1418" t="s">
        <v>827</v>
      </c>
      <c r="F1418" t="s">
        <v>1557</v>
      </c>
      <c r="G1418" t="s">
        <v>38</v>
      </c>
      <c r="H1418" s="1">
        <v>44768.055451388886</v>
      </c>
      <c r="I1418" s="1">
        <v>44770.055451388886</v>
      </c>
      <c r="J1418" t="s">
        <v>32</v>
      </c>
      <c r="K1418" s="1">
        <v>44779.055451388886</v>
      </c>
      <c r="L1418" t="s">
        <v>33</v>
      </c>
      <c r="M1418" t="s">
        <v>67</v>
      </c>
      <c r="T1418">
        <v>0</v>
      </c>
      <c r="Y1418" t="s">
        <v>35</v>
      </c>
      <c r="AC1418" s="2">
        <f t="shared" si="198"/>
        <v>2</v>
      </c>
      <c r="AD1418" s="2">
        <f t="shared" si="199"/>
        <v>11</v>
      </c>
      <c r="AE1418" s="2">
        <f t="shared" si="200"/>
        <v>9</v>
      </c>
      <c r="AF1418" s="2" t="str">
        <f t="shared" si="201"/>
        <v/>
      </c>
      <c r="AG1418" s="2" t="str">
        <f t="shared" si="202"/>
        <v/>
      </c>
      <c r="AH1418" s="4" t="str">
        <f t="shared" si="203"/>
        <v/>
      </c>
      <c r="AI1418" s="2" t="str">
        <f t="shared" si="204"/>
        <v/>
      </c>
      <c r="AJ1418" s="2" t="str">
        <f t="shared" si="205"/>
        <v/>
      </c>
      <c r="AK1418" s="2" t="str">
        <f t="shared" si="206"/>
        <v/>
      </c>
    </row>
    <row r="1419" spans="1:37" x14ac:dyDescent="0.25">
      <c r="A1419">
        <v>1355</v>
      </c>
      <c r="B1419" t="s">
        <v>1565</v>
      </c>
      <c r="C1419" t="s">
        <v>1362</v>
      </c>
      <c r="D1419" t="s">
        <v>1535</v>
      </c>
      <c r="E1419" t="s">
        <v>827</v>
      </c>
      <c r="F1419" t="s">
        <v>1557</v>
      </c>
      <c r="G1419" t="s">
        <v>38</v>
      </c>
      <c r="H1419" s="1">
        <v>44766.055451388886</v>
      </c>
      <c r="I1419" s="1">
        <v>44769.055451388886</v>
      </c>
      <c r="J1419" t="s">
        <v>32</v>
      </c>
      <c r="K1419" s="1">
        <v>44774.055451388886</v>
      </c>
      <c r="L1419" t="s">
        <v>33</v>
      </c>
      <c r="M1419" t="s">
        <v>92</v>
      </c>
      <c r="R1419" s="4">
        <v>44775.055451388886</v>
      </c>
      <c r="T1419">
        <v>0</v>
      </c>
      <c r="Y1419" t="s">
        <v>35</v>
      </c>
      <c r="AC1419" s="2">
        <f t="shared" si="198"/>
        <v>3</v>
      </c>
      <c r="AD1419" s="2">
        <f t="shared" si="199"/>
        <v>8</v>
      </c>
      <c r="AE1419" s="2">
        <f t="shared" si="200"/>
        <v>5</v>
      </c>
      <c r="AF1419" s="2">
        <f t="shared" si="201"/>
        <v>9</v>
      </c>
      <c r="AG1419" s="2">
        <f t="shared" si="202"/>
        <v>1</v>
      </c>
      <c r="AH1419" s="4">
        <f t="shared" si="203"/>
        <v>44865.055451388886</v>
      </c>
      <c r="AI1419" s="2" t="str">
        <f t="shared" si="204"/>
        <v/>
      </c>
      <c r="AJ1419" s="2" t="str">
        <f t="shared" si="205"/>
        <v/>
      </c>
      <c r="AK1419" s="2" t="str">
        <f t="shared" si="206"/>
        <v/>
      </c>
    </row>
    <row r="1420" spans="1:37" x14ac:dyDescent="0.25">
      <c r="A1420">
        <v>1249</v>
      </c>
      <c r="B1420" t="s">
        <v>1566</v>
      </c>
      <c r="C1420" t="s">
        <v>1362</v>
      </c>
      <c r="D1420" t="s">
        <v>1535</v>
      </c>
      <c r="E1420" t="s">
        <v>827</v>
      </c>
      <c r="F1420" t="s">
        <v>1557</v>
      </c>
      <c r="G1420" t="s">
        <v>38</v>
      </c>
      <c r="H1420" s="1">
        <v>44735.839942129627</v>
      </c>
      <c r="I1420" s="1">
        <v>44737.839942129627</v>
      </c>
      <c r="J1420" t="s">
        <v>32</v>
      </c>
      <c r="K1420" s="1">
        <v>44758.839942129627</v>
      </c>
      <c r="L1420" t="s">
        <v>33</v>
      </c>
      <c r="M1420" t="s">
        <v>92</v>
      </c>
      <c r="R1420" s="4">
        <v>44762.839942129627</v>
      </c>
      <c r="T1420">
        <v>0</v>
      </c>
      <c r="Y1420" t="s">
        <v>35</v>
      </c>
      <c r="AC1420" s="2">
        <f t="shared" si="198"/>
        <v>2</v>
      </c>
      <c r="AD1420" s="2">
        <f t="shared" si="199"/>
        <v>23</v>
      </c>
      <c r="AE1420" s="2">
        <f t="shared" si="200"/>
        <v>21</v>
      </c>
      <c r="AF1420" s="2">
        <f t="shared" si="201"/>
        <v>27</v>
      </c>
      <c r="AG1420" s="2">
        <f t="shared" si="202"/>
        <v>4</v>
      </c>
      <c r="AH1420" s="4">
        <f t="shared" si="203"/>
        <v>44852.839942129627</v>
      </c>
      <c r="AI1420" s="2" t="str">
        <f t="shared" si="204"/>
        <v/>
      </c>
      <c r="AJ1420" s="2" t="str">
        <f t="shared" si="205"/>
        <v/>
      </c>
      <c r="AK1420" s="2" t="str">
        <f t="shared" si="206"/>
        <v/>
      </c>
    </row>
    <row r="1421" spans="1:37" x14ac:dyDescent="0.25">
      <c r="A1421">
        <v>1248</v>
      </c>
      <c r="B1421" t="s">
        <v>1567</v>
      </c>
      <c r="C1421" t="s">
        <v>1362</v>
      </c>
      <c r="D1421" t="s">
        <v>1535</v>
      </c>
      <c r="E1421" t="s">
        <v>827</v>
      </c>
      <c r="F1421" t="s">
        <v>1557</v>
      </c>
      <c r="G1421" t="s">
        <v>38</v>
      </c>
      <c r="H1421" s="1">
        <v>44738.839942129627</v>
      </c>
      <c r="I1421" s="1">
        <v>44740.839942129627</v>
      </c>
      <c r="J1421" t="s">
        <v>32</v>
      </c>
      <c r="K1421" s="1">
        <v>44757.839942129627</v>
      </c>
      <c r="L1421" t="s">
        <v>39</v>
      </c>
      <c r="N1421" s="4">
        <v>44762.839942129627</v>
      </c>
      <c r="O1421" t="s">
        <v>39</v>
      </c>
      <c r="R1421" s="4">
        <v>44758.839942129627</v>
      </c>
      <c r="T1421">
        <v>0</v>
      </c>
      <c r="AC1421" s="2">
        <f t="shared" si="198"/>
        <v>2</v>
      </c>
      <c r="AD1421" s="2">
        <f t="shared" si="199"/>
        <v>19</v>
      </c>
      <c r="AE1421" s="2">
        <f t="shared" si="200"/>
        <v>17</v>
      </c>
      <c r="AF1421" s="2">
        <f t="shared" si="201"/>
        <v>20</v>
      </c>
      <c r="AG1421" s="2">
        <f t="shared" si="202"/>
        <v>1</v>
      </c>
      <c r="AH1421" s="4">
        <f t="shared" si="203"/>
        <v>44848.839942129627</v>
      </c>
      <c r="AI1421" s="2" t="str">
        <f t="shared" si="204"/>
        <v/>
      </c>
      <c r="AJ1421" s="2" t="str">
        <f t="shared" si="205"/>
        <v/>
      </c>
      <c r="AK1421" s="2" t="str">
        <f t="shared" si="206"/>
        <v/>
      </c>
    </row>
    <row r="1422" spans="1:37" x14ac:dyDescent="0.25">
      <c r="A1422">
        <v>1221</v>
      </c>
      <c r="B1422" t="s">
        <v>1568</v>
      </c>
      <c r="C1422" t="s">
        <v>1362</v>
      </c>
      <c r="D1422" t="s">
        <v>1535</v>
      </c>
      <c r="E1422" t="s">
        <v>827</v>
      </c>
      <c r="F1422" t="s">
        <v>1557</v>
      </c>
      <c r="G1422" t="s">
        <v>38</v>
      </c>
      <c r="H1422" s="1">
        <v>44735.14203703704</v>
      </c>
      <c r="I1422" s="1">
        <v>44739.14203703704</v>
      </c>
      <c r="J1422" t="s">
        <v>32</v>
      </c>
      <c r="K1422" s="1">
        <v>44753.14203703704</v>
      </c>
      <c r="L1422" t="s">
        <v>33</v>
      </c>
      <c r="M1422" t="s">
        <v>67</v>
      </c>
      <c r="R1422" s="4">
        <v>44755.14203703704</v>
      </c>
      <c r="T1422">
        <v>0</v>
      </c>
      <c r="Y1422" t="s">
        <v>55</v>
      </c>
      <c r="AC1422" s="2">
        <f t="shared" si="198"/>
        <v>4</v>
      </c>
      <c r="AD1422" s="2">
        <f t="shared" si="199"/>
        <v>18</v>
      </c>
      <c r="AE1422" s="2">
        <f t="shared" si="200"/>
        <v>14</v>
      </c>
      <c r="AF1422" s="2">
        <f t="shared" si="201"/>
        <v>20</v>
      </c>
      <c r="AG1422" s="2">
        <f t="shared" si="202"/>
        <v>2</v>
      </c>
      <c r="AH1422" s="4">
        <f t="shared" si="203"/>
        <v>44845.14203703704</v>
      </c>
      <c r="AI1422" s="2" t="str">
        <f t="shared" si="204"/>
        <v/>
      </c>
      <c r="AJ1422" s="2" t="str">
        <f t="shared" si="205"/>
        <v/>
      </c>
      <c r="AK1422" s="2" t="str">
        <f t="shared" si="206"/>
        <v/>
      </c>
    </row>
    <row r="1423" spans="1:37" x14ac:dyDescent="0.25">
      <c r="A1423">
        <v>1204</v>
      </c>
      <c r="B1423" t="s">
        <v>1569</v>
      </c>
      <c r="C1423" t="s">
        <v>1362</v>
      </c>
      <c r="D1423" t="s">
        <v>1535</v>
      </c>
      <c r="E1423" t="s">
        <v>827</v>
      </c>
      <c r="F1423" t="s">
        <v>1557</v>
      </c>
      <c r="G1423" t="s">
        <v>38</v>
      </c>
      <c r="H1423" s="1">
        <v>44768.205266203702</v>
      </c>
      <c r="I1423" s="1">
        <v>44769.205266203702</v>
      </c>
      <c r="J1423" t="s">
        <v>32</v>
      </c>
      <c r="K1423" s="1">
        <v>44784.205266203702</v>
      </c>
      <c r="L1423" t="s">
        <v>33</v>
      </c>
      <c r="M1423" t="s">
        <v>34</v>
      </c>
      <c r="T1423">
        <v>0</v>
      </c>
      <c r="Y1423" t="s">
        <v>35</v>
      </c>
      <c r="AC1423" s="2">
        <f t="shared" si="198"/>
        <v>1</v>
      </c>
      <c r="AD1423" s="2">
        <f t="shared" si="199"/>
        <v>16</v>
      </c>
      <c r="AE1423" s="2">
        <f t="shared" si="200"/>
        <v>15</v>
      </c>
      <c r="AF1423" s="2" t="str">
        <f t="shared" si="201"/>
        <v/>
      </c>
      <c r="AG1423" s="2" t="str">
        <f t="shared" si="202"/>
        <v/>
      </c>
      <c r="AH1423" s="4" t="str">
        <f t="shared" si="203"/>
        <v/>
      </c>
      <c r="AI1423" s="2" t="str">
        <f t="shared" si="204"/>
        <v/>
      </c>
      <c r="AJ1423" s="2" t="str">
        <f t="shared" si="205"/>
        <v/>
      </c>
      <c r="AK1423" s="2" t="str">
        <f t="shared" si="206"/>
        <v/>
      </c>
    </row>
    <row r="1424" spans="1:37" x14ac:dyDescent="0.25">
      <c r="A1424">
        <v>1195</v>
      </c>
      <c r="B1424" t="s">
        <v>1570</v>
      </c>
      <c r="C1424" t="s">
        <v>1362</v>
      </c>
      <c r="D1424" t="s">
        <v>1535</v>
      </c>
      <c r="E1424" t="s">
        <v>827</v>
      </c>
      <c r="F1424" t="s">
        <v>1557</v>
      </c>
      <c r="G1424" t="s">
        <v>38</v>
      </c>
      <c r="H1424" s="1">
        <v>44764.966006944444</v>
      </c>
      <c r="I1424" s="1">
        <v>44768.966006944444</v>
      </c>
      <c r="J1424" t="s">
        <v>32</v>
      </c>
      <c r="K1424" s="1">
        <v>44780.966006944444</v>
      </c>
      <c r="L1424" t="s">
        <v>33</v>
      </c>
      <c r="M1424" t="s">
        <v>51</v>
      </c>
      <c r="R1424" s="4">
        <v>44783.966006944444</v>
      </c>
      <c r="T1424">
        <v>0</v>
      </c>
      <c r="Y1424" t="s">
        <v>55</v>
      </c>
      <c r="AC1424" s="2">
        <f t="shared" si="198"/>
        <v>4</v>
      </c>
      <c r="AD1424" s="2">
        <f t="shared" si="199"/>
        <v>16</v>
      </c>
      <c r="AE1424" s="2">
        <f t="shared" si="200"/>
        <v>12</v>
      </c>
      <c r="AF1424" s="2">
        <f t="shared" si="201"/>
        <v>19</v>
      </c>
      <c r="AG1424" s="2">
        <f t="shared" si="202"/>
        <v>3</v>
      </c>
      <c r="AH1424" s="4">
        <f t="shared" si="203"/>
        <v>44873.966006944444</v>
      </c>
      <c r="AI1424" s="2" t="str">
        <f t="shared" si="204"/>
        <v/>
      </c>
      <c r="AJ1424" s="2" t="str">
        <f t="shared" si="205"/>
        <v/>
      </c>
      <c r="AK1424" s="2" t="str">
        <f t="shared" si="206"/>
        <v/>
      </c>
    </row>
    <row r="1425" spans="1:37" x14ac:dyDescent="0.25">
      <c r="A1425">
        <v>1180</v>
      </c>
      <c r="B1425" t="s">
        <v>1571</v>
      </c>
      <c r="C1425" t="s">
        <v>1362</v>
      </c>
      <c r="D1425" t="s">
        <v>1535</v>
      </c>
      <c r="E1425" t="s">
        <v>827</v>
      </c>
      <c r="F1425" t="s">
        <v>1557</v>
      </c>
      <c r="G1425" t="s">
        <v>38</v>
      </c>
      <c r="H1425" s="1">
        <v>45062.041770833333</v>
      </c>
      <c r="I1425" s="1">
        <v>45064.041770833333</v>
      </c>
      <c r="J1425" t="s">
        <v>32</v>
      </c>
      <c r="K1425" s="1">
        <v>45076.041770833333</v>
      </c>
      <c r="L1425" t="s">
        <v>164</v>
      </c>
      <c r="N1425" s="4">
        <v>45078.041770833333</v>
      </c>
      <c r="O1425" t="s">
        <v>164</v>
      </c>
      <c r="R1425" s="4">
        <v>45077.041770833333</v>
      </c>
      <c r="T1425">
        <v>0</v>
      </c>
      <c r="AC1425" s="2">
        <f t="shared" si="198"/>
        <v>2</v>
      </c>
      <c r="AD1425" s="2">
        <f t="shared" si="199"/>
        <v>14</v>
      </c>
      <c r="AE1425" s="2">
        <f t="shared" si="200"/>
        <v>12</v>
      </c>
      <c r="AF1425" s="2">
        <f t="shared" si="201"/>
        <v>15</v>
      </c>
      <c r="AG1425" s="2">
        <f t="shared" si="202"/>
        <v>1</v>
      </c>
      <c r="AH1425" s="4">
        <f t="shared" si="203"/>
        <v>45167.041770833333</v>
      </c>
      <c r="AI1425" s="2" t="str">
        <f t="shared" si="204"/>
        <v/>
      </c>
      <c r="AJ1425" s="2" t="str">
        <f t="shared" si="205"/>
        <v/>
      </c>
      <c r="AK1425" s="2" t="str">
        <f t="shared" si="206"/>
        <v/>
      </c>
    </row>
    <row r="1426" spans="1:37" x14ac:dyDescent="0.25">
      <c r="A1426">
        <v>1173</v>
      </c>
      <c r="B1426" t="s">
        <v>1572</v>
      </c>
      <c r="C1426" t="s">
        <v>1362</v>
      </c>
      <c r="D1426" t="s">
        <v>1535</v>
      </c>
      <c r="E1426" t="s">
        <v>827</v>
      </c>
      <c r="F1426" t="s">
        <v>1557</v>
      </c>
      <c r="G1426" t="s">
        <v>38</v>
      </c>
      <c r="H1426" s="1">
        <v>45057.041770833333</v>
      </c>
      <c r="I1426" s="1">
        <v>45060.041770833333</v>
      </c>
      <c r="J1426" t="s">
        <v>32</v>
      </c>
      <c r="K1426" s="1">
        <v>45083.041770833333</v>
      </c>
      <c r="L1426" t="s">
        <v>39</v>
      </c>
      <c r="N1426" s="4">
        <v>45086.041770833333</v>
      </c>
      <c r="O1426" t="s">
        <v>39</v>
      </c>
      <c r="R1426" s="4">
        <v>45085.041770833333</v>
      </c>
      <c r="T1426">
        <v>0</v>
      </c>
      <c r="AC1426" s="2">
        <f t="shared" si="198"/>
        <v>3</v>
      </c>
      <c r="AD1426" s="2">
        <f t="shared" si="199"/>
        <v>26</v>
      </c>
      <c r="AE1426" s="2">
        <f t="shared" si="200"/>
        <v>23</v>
      </c>
      <c r="AF1426" s="2">
        <f t="shared" si="201"/>
        <v>28</v>
      </c>
      <c r="AG1426" s="2">
        <f t="shared" si="202"/>
        <v>2</v>
      </c>
      <c r="AH1426" s="4">
        <f t="shared" si="203"/>
        <v>45175.041770833333</v>
      </c>
      <c r="AI1426" s="2" t="str">
        <f t="shared" si="204"/>
        <v/>
      </c>
      <c r="AJ1426" s="2" t="str">
        <f t="shared" si="205"/>
        <v/>
      </c>
      <c r="AK1426" s="2" t="str">
        <f t="shared" si="206"/>
        <v/>
      </c>
    </row>
    <row r="1427" spans="1:37" x14ac:dyDescent="0.25">
      <c r="A1427">
        <v>1109</v>
      </c>
      <c r="B1427" t="s">
        <v>1573</v>
      </c>
      <c r="C1427" t="s">
        <v>1362</v>
      </c>
      <c r="D1427" t="s">
        <v>1535</v>
      </c>
      <c r="E1427" t="s">
        <v>827</v>
      </c>
      <c r="F1427" t="s">
        <v>1557</v>
      </c>
      <c r="G1427" t="s">
        <v>38</v>
      </c>
      <c r="H1427" s="1">
        <v>44675.953865740739</v>
      </c>
      <c r="I1427" s="1">
        <v>44677.953865740739</v>
      </c>
      <c r="J1427" t="s">
        <v>32</v>
      </c>
      <c r="K1427" s="1">
        <v>44682.953865740739</v>
      </c>
      <c r="L1427" t="s">
        <v>33</v>
      </c>
      <c r="M1427" t="s">
        <v>92</v>
      </c>
      <c r="R1427" s="4">
        <v>44684.953865740739</v>
      </c>
      <c r="T1427">
        <v>0</v>
      </c>
      <c r="Y1427" t="s">
        <v>55</v>
      </c>
      <c r="AC1427" s="2">
        <f t="shared" si="198"/>
        <v>2</v>
      </c>
      <c r="AD1427" s="2">
        <f t="shared" si="199"/>
        <v>7</v>
      </c>
      <c r="AE1427" s="2">
        <f t="shared" si="200"/>
        <v>5</v>
      </c>
      <c r="AF1427" s="2">
        <f t="shared" si="201"/>
        <v>9</v>
      </c>
      <c r="AG1427" s="2">
        <f t="shared" si="202"/>
        <v>2</v>
      </c>
      <c r="AH1427" s="4">
        <f t="shared" si="203"/>
        <v>44774.953865740739</v>
      </c>
      <c r="AI1427" s="2" t="str">
        <f t="shared" si="204"/>
        <v/>
      </c>
      <c r="AJ1427" s="2" t="str">
        <f t="shared" si="205"/>
        <v/>
      </c>
      <c r="AK1427" s="2" t="str">
        <f t="shared" si="206"/>
        <v/>
      </c>
    </row>
    <row r="1428" spans="1:37" x14ac:dyDescent="0.25">
      <c r="A1428">
        <v>1075</v>
      </c>
      <c r="B1428" t="s">
        <v>1574</v>
      </c>
      <c r="C1428" t="s">
        <v>1362</v>
      </c>
      <c r="D1428" t="s">
        <v>1535</v>
      </c>
      <c r="E1428" t="s">
        <v>827</v>
      </c>
      <c r="F1428" t="s">
        <v>1557</v>
      </c>
      <c r="G1428" t="s">
        <v>38</v>
      </c>
      <c r="H1428" s="1">
        <v>44604.990740740737</v>
      </c>
      <c r="I1428" s="1">
        <v>44605.990740740737</v>
      </c>
      <c r="J1428" t="s">
        <v>32</v>
      </c>
      <c r="K1428" s="1">
        <v>44621.990740740737</v>
      </c>
      <c r="L1428" t="s">
        <v>39</v>
      </c>
      <c r="N1428" s="4">
        <v>44628.990740740737</v>
      </c>
      <c r="O1428" t="s">
        <v>39</v>
      </c>
      <c r="R1428" s="4">
        <v>44624.990740740737</v>
      </c>
      <c r="T1428">
        <v>0</v>
      </c>
      <c r="AC1428" s="2">
        <f t="shared" si="198"/>
        <v>1</v>
      </c>
      <c r="AD1428" s="2">
        <f t="shared" si="199"/>
        <v>17</v>
      </c>
      <c r="AE1428" s="2">
        <f t="shared" si="200"/>
        <v>16</v>
      </c>
      <c r="AF1428" s="2">
        <f t="shared" si="201"/>
        <v>20</v>
      </c>
      <c r="AG1428" s="2">
        <f t="shared" si="202"/>
        <v>3</v>
      </c>
      <c r="AH1428" s="4">
        <f t="shared" si="203"/>
        <v>44714.990740740737</v>
      </c>
      <c r="AI1428" s="2" t="str">
        <f t="shared" si="204"/>
        <v/>
      </c>
      <c r="AJ1428" s="2" t="str">
        <f t="shared" si="205"/>
        <v/>
      </c>
      <c r="AK1428" s="2" t="str">
        <f t="shared" si="206"/>
        <v/>
      </c>
    </row>
    <row r="1429" spans="1:37" x14ac:dyDescent="0.25">
      <c r="A1429">
        <v>1071</v>
      </c>
      <c r="B1429" t="s">
        <v>1575</v>
      </c>
      <c r="C1429" t="s">
        <v>1362</v>
      </c>
      <c r="D1429" t="s">
        <v>1535</v>
      </c>
      <c r="E1429" t="s">
        <v>827</v>
      </c>
      <c r="F1429" t="s">
        <v>1557</v>
      </c>
      <c r="G1429" t="s">
        <v>38</v>
      </c>
      <c r="H1429" s="1">
        <v>44597.990740740737</v>
      </c>
      <c r="I1429" s="1">
        <v>44601.990740740737</v>
      </c>
      <c r="J1429" t="s">
        <v>32</v>
      </c>
      <c r="K1429" s="1">
        <v>44620.990740740737</v>
      </c>
      <c r="L1429" t="s">
        <v>57</v>
      </c>
      <c r="N1429" s="4">
        <v>44628.990740740737</v>
      </c>
      <c r="O1429" t="s">
        <v>57</v>
      </c>
      <c r="P1429" s="4">
        <v>44621.990740740737</v>
      </c>
      <c r="Q1429" s="4">
        <v>44622.990740740737</v>
      </c>
      <c r="R1429" s="4">
        <v>44624.990740740737</v>
      </c>
      <c r="S1429" s="4">
        <v>44627.990740740737</v>
      </c>
      <c r="T1429">
        <v>1</v>
      </c>
      <c r="U1429" s="4">
        <v>44629.990740740737</v>
      </c>
      <c r="V1429" s="4">
        <v>44631.990740740737</v>
      </c>
      <c r="W1429" s="4">
        <v>44633.990740740737</v>
      </c>
      <c r="Z1429" s="4">
        <v>44655.990740740737</v>
      </c>
      <c r="AC1429" s="2">
        <f t="shared" si="198"/>
        <v>4</v>
      </c>
      <c r="AD1429" s="2">
        <f t="shared" si="199"/>
        <v>23</v>
      </c>
      <c r="AE1429" s="2">
        <f t="shared" si="200"/>
        <v>19</v>
      </c>
      <c r="AF1429" s="2">
        <f t="shared" si="201"/>
        <v>27</v>
      </c>
      <c r="AG1429" s="2">
        <f t="shared" si="202"/>
        <v>4</v>
      </c>
      <c r="AH1429" s="4">
        <f t="shared" si="203"/>
        <v>44714.990740740737</v>
      </c>
      <c r="AI1429" s="2">
        <f t="shared" si="204"/>
        <v>2</v>
      </c>
      <c r="AJ1429" s="2">
        <f t="shared" si="205"/>
        <v>31</v>
      </c>
      <c r="AK1429" s="2">
        <f t="shared" si="206"/>
        <v>9</v>
      </c>
    </row>
    <row r="1430" spans="1:37" x14ac:dyDescent="0.25">
      <c r="A1430">
        <v>2849</v>
      </c>
      <c r="B1430" t="s">
        <v>1576</v>
      </c>
      <c r="C1430" t="s">
        <v>1577</v>
      </c>
      <c r="D1430" t="s">
        <v>1578</v>
      </c>
      <c r="E1430" t="s">
        <v>96</v>
      </c>
      <c r="F1430" t="s">
        <v>1579</v>
      </c>
      <c r="G1430" t="s">
        <v>98</v>
      </c>
      <c r="H1430" s="1">
        <v>44655.443379629629</v>
      </c>
      <c r="I1430" s="1">
        <v>44656.443379629629</v>
      </c>
      <c r="J1430" t="s">
        <v>32</v>
      </c>
      <c r="K1430" s="1">
        <v>44668.443379629629</v>
      </c>
      <c r="L1430" t="s">
        <v>33</v>
      </c>
      <c r="M1430" t="s">
        <v>67</v>
      </c>
      <c r="R1430" s="4">
        <v>44670.443379629629</v>
      </c>
      <c r="T1430">
        <v>0</v>
      </c>
      <c r="Y1430" t="s">
        <v>55</v>
      </c>
      <c r="AC1430" s="2">
        <f t="shared" si="198"/>
        <v>1</v>
      </c>
      <c r="AD1430" s="2">
        <f t="shared" si="199"/>
        <v>13</v>
      </c>
      <c r="AE1430" s="2">
        <f t="shared" si="200"/>
        <v>12</v>
      </c>
      <c r="AF1430" s="2">
        <f t="shared" si="201"/>
        <v>15</v>
      </c>
      <c r="AG1430" s="2">
        <f t="shared" si="202"/>
        <v>2</v>
      </c>
      <c r="AH1430" s="4">
        <f t="shared" si="203"/>
        <v>44760.443379629629</v>
      </c>
      <c r="AI1430" s="2" t="str">
        <f t="shared" si="204"/>
        <v/>
      </c>
      <c r="AJ1430" s="2" t="str">
        <f t="shared" si="205"/>
        <v/>
      </c>
      <c r="AK1430" s="2" t="str">
        <f t="shared" si="206"/>
        <v/>
      </c>
    </row>
    <row r="1431" spans="1:37" x14ac:dyDescent="0.25">
      <c r="A1431">
        <v>2772</v>
      </c>
      <c r="B1431" t="s">
        <v>1580</v>
      </c>
      <c r="C1431" t="s">
        <v>1577</v>
      </c>
      <c r="D1431" t="s">
        <v>1578</v>
      </c>
      <c r="E1431" t="s">
        <v>96</v>
      </c>
      <c r="F1431" t="s">
        <v>1579</v>
      </c>
      <c r="G1431" t="s">
        <v>98</v>
      </c>
      <c r="H1431" s="1">
        <v>44684.777986111112</v>
      </c>
      <c r="I1431" s="1">
        <v>44686.777986111112</v>
      </c>
      <c r="J1431" t="s">
        <v>32</v>
      </c>
      <c r="K1431" s="1">
        <v>44693.777986111112</v>
      </c>
      <c r="L1431" t="s">
        <v>33</v>
      </c>
      <c r="M1431" t="s">
        <v>51</v>
      </c>
      <c r="T1431">
        <v>0</v>
      </c>
      <c r="Y1431" t="s">
        <v>55</v>
      </c>
      <c r="AC1431" s="2">
        <f t="shared" si="198"/>
        <v>2</v>
      </c>
      <c r="AD1431" s="2">
        <f t="shared" si="199"/>
        <v>9</v>
      </c>
      <c r="AE1431" s="2">
        <f t="shared" si="200"/>
        <v>7</v>
      </c>
      <c r="AF1431" s="2" t="str">
        <f t="shared" si="201"/>
        <v/>
      </c>
      <c r="AG1431" s="2" t="str">
        <f t="shared" si="202"/>
        <v/>
      </c>
      <c r="AH1431" s="4" t="str">
        <f t="shared" si="203"/>
        <v/>
      </c>
      <c r="AI1431" s="2" t="str">
        <f t="shared" si="204"/>
        <v/>
      </c>
      <c r="AJ1431" s="2" t="str">
        <f t="shared" si="205"/>
        <v/>
      </c>
      <c r="AK1431" s="2" t="str">
        <f t="shared" si="206"/>
        <v/>
      </c>
    </row>
    <row r="1432" spans="1:37" x14ac:dyDescent="0.25">
      <c r="A1432">
        <v>2690</v>
      </c>
      <c r="B1432" t="s">
        <v>1581</v>
      </c>
      <c r="C1432" t="s">
        <v>1577</v>
      </c>
      <c r="D1432" t="s">
        <v>1578</v>
      </c>
      <c r="E1432" t="s">
        <v>96</v>
      </c>
      <c r="F1432" t="s">
        <v>1579</v>
      </c>
      <c r="G1432" t="s">
        <v>98</v>
      </c>
      <c r="H1432" s="1">
        <v>45134.716412037036</v>
      </c>
      <c r="I1432" s="1">
        <v>45137.716412037036</v>
      </c>
      <c r="J1432" t="s">
        <v>32</v>
      </c>
      <c r="K1432" s="1">
        <v>45160.716412037036</v>
      </c>
      <c r="L1432" t="s">
        <v>33</v>
      </c>
      <c r="M1432" t="s">
        <v>34</v>
      </c>
      <c r="T1432">
        <v>0</v>
      </c>
      <c r="Y1432" t="s">
        <v>55</v>
      </c>
      <c r="AC1432" s="2">
        <f t="shared" si="198"/>
        <v>3</v>
      </c>
      <c r="AD1432" s="2">
        <f t="shared" si="199"/>
        <v>26</v>
      </c>
      <c r="AE1432" s="2">
        <f t="shared" si="200"/>
        <v>23</v>
      </c>
      <c r="AF1432" s="2" t="str">
        <f t="shared" si="201"/>
        <v/>
      </c>
      <c r="AG1432" s="2" t="str">
        <f t="shared" si="202"/>
        <v/>
      </c>
      <c r="AH1432" s="4" t="str">
        <f t="shared" si="203"/>
        <v/>
      </c>
      <c r="AI1432" s="2" t="str">
        <f t="shared" si="204"/>
        <v/>
      </c>
      <c r="AJ1432" s="2" t="str">
        <f t="shared" si="205"/>
        <v/>
      </c>
      <c r="AK1432" s="2" t="str">
        <f t="shared" si="206"/>
        <v/>
      </c>
    </row>
    <row r="1433" spans="1:37" x14ac:dyDescent="0.25">
      <c r="A1433">
        <v>2685</v>
      </c>
      <c r="B1433" t="s">
        <v>1582</v>
      </c>
      <c r="C1433" t="s">
        <v>1577</v>
      </c>
      <c r="D1433" t="s">
        <v>1578</v>
      </c>
      <c r="E1433" t="s">
        <v>96</v>
      </c>
      <c r="F1433" t="s">
        <v>1579</v>
      </c>
      <c r="G1433" t="s">
        <v>98</v>
      </c>
      <c r="H1433" s="1">
        <v>45137.716412037036</v>
      </c>
      <c r="I1433" s="1">
        <v>45141.716412037036</v>
      </c>
      <c r="J1433" t="s">
        <v>32</v>
      </c>
      <c r="K1433" s="1">
        <v>45154.716412037036</v>
      </c>
      <c r="L1433" t="s">
        <v>33</v>
      </c>
      <c r="M1433" t="s">
        <v>108</v>
      </c>
      <c r="T1433">
        <v>0</v>
      </c>
      <c r="Y1433" t="s">
        <v>55</v>
      </c>
      <c r="AC1433" s="2">
        <f t="shared" si="198"/>
        <v>4</v>
      </c>
      <c r="AD1433" s="2">
        <f t="shared" si="199"/>
        <v>17</v>
      </c>
      <c r="AE1433" s="2">
        <f t="shared" si="200"/>
        <v>13</v>
      </c>
      <c r="AF1433" s="2" t="str">
        <f t="shared" si="201"/>
        <v/>
      </c>
      <c r="AG1433" s="2" t="str">
        <f t="shared" si="202"/>
        <v/>
      </c>
      <c r="AH1433" s="4" t="str">
        <f t="shared" si="203"/>
        <v/>
      </c>
      <c r="AI1433" s="2" t="str">
        <f t="shared" si="204"/>
        <v/>
      </c>
      <c r="AJ1433" s="2" t="str">
        <f t="shared" si="205"/>
        <v/>
      </c>
      <c r="AK1433" s="2" t="str">
        <f t="shared" si="206"/>
        <v/>
      </c>
    </row>
    <row r="1434" spans="1:37" x14ac:dyDescent="0.25">
      <c r="A1434">
        <v>2323</v>
      </c>
      <c r="B1434" t="s">
        <v>1583</v>
      </c>
      <c r="C1434" t="s">
        <v>1577</v>
      </c>
      <c r="D1434" t="s">
        <v>1578</v>
      </c>
      <c r="E1434" t="s">
        <v>96</v>
      </c>
      <c r="F1434" t="s">
        <v>1579</v>
      </c>
      <c r="G1434" t="s">
        <v>98</v>
      </c>
      <c r="H1434" s="1">
        <v>44597.265613425923</v>
      </c>
      <c r="I1434" s="1">
        <v>44598.265613425923</v>
      </c>
      <c r="J1434" t="s">
        <v>32</v>
      </c>
      <c r="K1434" s="1">
        <v>44617.265613425923</v>
      </c>
      <c r="L1434" t="s">
        <v>33</v>
      </c>
      <c r="M1434" t="s">
        <v>92</v>
      </c>
      <c r="T1434">
        <v>0</v>
      </c>
      <c r="Y1434" t="s">
        <v>55</v>
      </c>
      <c r="AC1434" s="2">
        <f t="shared" si="198"/>
        <v>1</v>
      </c>
      <c r="AD1434" s="2">
        <f t="shared" si="199"/>
        <v>20</v>
      </c>
      <c r="AE1434" s="2">
        <f t="shared" si="200"/>
        <v>19</v>
      </c>
      <c r="AF1434" s="2" t="str">
        <f t="shared" si="201"/>
        <v/>
      </c>
      <c r="AG1434" s="2" t="str">
        <f t="shared" si="202"/>
        <v/>
      </c>
      <c r="AH1434" s="4" t="str">
        <f t="shared" si="203"/>
        <v/>
      </c>
      <c r="AI1434" s="2" t="str">
        <f t="shared" si="204"/>
        <v/>
      </c>
      <c r="AJ1434" s="2" t="str">
        <f t="shared" si="205"/>
        <v/>
      </c>
      <c r="AK1434" s="2" t="str">
        <f t="shared" si="206"/>
        <v/>
      </c>
    </row>
    <row r="1435" spans="1:37" x14ac:dyDescent="0.25">
      <c r="A1435">
        <v>2278</v>
      </c>
      <c r="B1435" t="s">
        <v>1584</v>
      </c>
      <c r="C1435" t="s">
        <v>1577</v>
      </c>
      <c r="D1435" t="s">
        <v>1578</v>
      </c>
      <c r="E1435" t="s">
        <v>96</v>
      </c>
      <c r="F1435" t="s">
        <v>1579</v>
      </c>
      <c r="G1435" t="s">
        <v>98</v>
      </c>
      <c r="H1435" s="1">
        <v>45165.90388888889</v>
      </c>
      <c r="I1435" s="1">
        <v>45166.90388888889</v>
      </c>
      <c r="J1435" t="s">
        <v>32</v>
      </c>
      <c r="K1435" s="1">
        <v>45175.90388888889</v>
      </c>
      <c r="L1435" t="s">
        <v>33</v>
      </c>
      <c r="M1435" t="s">
        <v>108</v>
      </c>
      <c r="R1435" s="4">
        <v>45178.90388888889</v>
      </c>
      <c r="T1435">
        <v>0</v>
      </c>
      <c r="Y1435" t="s">
        <v>35</v>
      </c>
      <c r="AC1435" s="2">
        <f t="shared" si="198"/>
        <v>1</v>
      </c>
      <c r="AD1435" s="2">
        <f t="shared" si="199"/>
        <v>10</v>
      </c>
      <c r="AE1435" s="2">
        <f t="shared" si="200"/>
        <v>9</v>
      </c>
      <c r="AF1435" s="2">
        <f t="shared" si="201"/>
        <v>13</v>
      </c>
      <c r="AG1435" s="2">
        <f t="shared" si="202"/>
        <v>3</v>
      </c>
      <c r="AH1435" s="4">
        <f t="shared" si="203"/>
        <v>45268.90388888889</v>
      </c>
      <c r="AI1435" s="2" t="str">
        <f t="shared" si="204"/>
        <v/>
      </c>
      <c r="AJ1435" s="2" t="str">
        <f t="shared" si="205"/>
        <v/>
      </c>
      <c r="AK1435" s="2" t="str">
        <f t="shared" si="206"/>
        <v/>
      </c>
    </row>
    <row r="1436" spans="1:37" x14ac:dyDescent="0.25">
      <c r="A1436">
        <v>2223</v>
      </c>
      <c r="B1436" t="s">
        <v>1585</v>
      </c>
      <c r="C1436" t="s">
        <v>1577</v>
      </c>
      <c r="D1436" t="s">
        <v>1578</v>
      </c>
      <c r="E1436" t="s">
        <v>96</v>
      </c>
      <c r="F1436" t="s">
        <v>1579</v>
      </c>
      <c r="G1436" t="s">
        <v>98</v>
      </c>
      <c r="H1436" s="1">
        <v>45157.534872685188</v>
      </c>
      <c r="I1436" s="1">
        <v>45159.534872685188</v>
      </c>
      <c r="J1436" t="s">
        <v>32</v>
      </c>
      <c r="K1436" s="1">
        <v>45164.534872685188</v>
      </c>
      <c r="L1436" t="s">
        <v>33</v>
      </c>
      <c r="M1436" t="s">
        <v>51</v>
      </c>
      <c r="R1436" s="4">
        <v>45168.534872685188</v>
      </c>
      <c r="T1436">
        <v>0</v>
      </c>
      <c r="Y1436" t="s">
        <v>55</v>
      </c>
      <c r="AC1436" s="2">
        <f t="shared" si="198"/>
        <v>2</v>
      </c>
      <c r="AD1436" s="2">
        <f t="shared" si="199"/>
        <v>7</v>
      </c>
      <c r="AE1436" s="2">
        <f t="shared" si="200"/>
        <v>5</v>
      </c>
      <c r="AF1436" s="2">
        <f t="shared" si="201"/>
        <v>11</v>
      </c>
      <c r="AG1436" s="2">
        <f t="shared" si="202"/>
        <v>4</v>
      </c>
      <c r="AH1436" s="4">
        <f t="shared" si="203"/>
        <v>45258.534872685188</v>
      </c>
      <c r="AI1436" s="2" t="str">
        <f t="shared" si="204"/>
        <v/>
      </c>
      <c r="AJ1436" s="2" t="str">
        <f t="shared" si="205"/>
        <v/>
      </c>
      <c r="AK1436" s="2" t="str">
        <f t="shared" si="206"/>
        <v/>
      </c>
    </row>
    <row r="1437" spans="1:37" x14ac:dyDescent="0.25">
      <c r="A1437">
        <v>2180</v>
      </c>
      <c r="B1437" t="s">
        <v>1586</v>
      </c>
      <c r="C1437" t="s">
        <v>1577</v>
      </c>
      <c r="D1437" t="s">
        <v>1578</v>
      </c>
      <c r="E1437" t="s">
        <v>96</v>
      </c>
      <c r="F1437" t="s">
        <v>1579</v>
      </c>
      <c r="G1437" t="s">
        <v>98</v>
      </c>
      <c r="H1437" s="1">
        <v>44757.601967592593</v>
      </c>
      <c r="I1437" s="1">
        <v>44758.601967592593</v>
      </c>
      <c r="J1437" t="s">
        <v>32</v>
      </c>
      <c r="K1437" s="1">
        <v>44770.601967592593</v>
      </c>
      <c r="L1437" t="s">
        <v>33</v>
      </c>
      <c r="M1437" t="s">
        <v>34</v>
      </c>
      <c r="R1437" s="4">
        <v>44772.601967592593</v>
      </c>
      <c r="T1437">
        <v>0</v>
      </c>
      <c r="Y1437" t="s">
        <v>35</v>
      </c>
      <c r="AC1437" s="2">
        <f t="shared" si="198"/>
        <v>1</v>
      </c>
      <c r="AD1437" s="2">
        <f t="shared" si="199"/>
        <v>13</v>
      </c>
      <c r="AE1437" s="2">
        <f t="shared" si="200"/>
        <v>12</v>
      </c>
      <c r="AF1437" s="2">
        <f t="shared" si="201"/>
        <v>15</v>
      </c>
      <c r="AG1437" s="2">
        <f t="shared" si="202"/>
        <v>2</v>
      </c>
      <c r="AH1437" s="4">
        <f t="shared" si="203"/>
        <v>44862.601967592593</v>
      </c>
      <c r="AI1437" s="2" t="str">
        <f t="shared" si="204"/>
        <v/>
      </c>
      <c r="AJ1437" s="2" t="str">
        <f t="shared" si="205"/>
        <v/>
      </c>
      <c r="AK1437" s="2" t="str">
        <f t="shared" si="206"/>
        <v/>
      </c>
    </row>
    <row r="1438" spans="1:37" x14ac:dyDescent="0.25">
      <c r="A1438">
        <v>2175</v>
      </c>
      <c r="B1438" t="s">
        <v>1587</v>
      </c>
      <c r="C1438" t="s">
        <v>1577</v>
      </c>
      <c r="D1438" t="s">
        <v>1578</v>
      </c>
      <c r="E1438" t="s">
        <v>96</v>
      </c>
      <c r="F1438" t="s">
        <v>1579</v>
      </c>
      <c r="G1438" t="s">
        <v>98</v>
      </c>
      <c r="H1438" s="1">
        <v>44750.601967592593</v>
      </c>
      <c r="I1438" s="1">
        <v>44754.601967592593</v>
      </c>
      <c r="J1438" t="s">
        <v>32</v>
      </c>
      <c r="K1438" s="1">
        <v>44762.601967592593</v>
      </c>
      <c r="L1438" t="s">
        <v>33</v>
      </c>
      <c r="M1438" t="s">
        <v>51</v>
      </c>
      <c r="R1438" s="4">
        <v>44763.601967592593</v>
      </c>
      <c r="T1438">
        <v>0</v>
      </c>
      <c r="Y1438" t="s">
        <v>55</v>
      </c>
      <c r="AC1438" s="2">
        <f t="shared" si="198"/>
        <v>4</v>
      </c>
      <c r="AD1438" s="2">
        <f t="shared" si="199"/>
        <v>12</v>
      </c>
      <c r="AE1438" s="2">
        <f t="shared" si="200"/>
        <v>8</v>
      </c>
      <c r="AF1438" s="2">
        <f t="shared" si="201"/>
        <v>13</v>
      </c>
      <c r="AG1438" s="2">
        <f t="shared" si="202"/>
        <v>1</v>
      </c>
      <c r="AH1438" s="4">
        <f t="shared" si="203"/>
        <v>44853.601967592593</v>
      </c>
      <c r="AI1438" s="2" t="str">
        <f t="shared" si="204"/>
        <v/>
      </c>
      <c r="AJ1438" s="2" t="str">
        <f t="shared" si="205"/>
        <v/>
      </c>
      <c r="AK1438" s="2" t="str">
        <f t="shared" si="206"/>
        <v/>
      </c>
    </row>
    <row r="1439" spans="1:37" x14ac:dyDescent="0.25">
      <c r="A1439">
        <v>2084</v>
      </c>
      <c r="B1439" t="s">
        <v>1588</v>
      </c>
      <c r="C1439" t="s">
        <v>1577</v>
      </c>
      <c r="D1439" t="s">
        <v>1578</v>
      </c>
      <c r="E1439" t="s">
        <v>96</v>
      </c>
      <c r="F1439" t="s">
        <v>1579</v>
      </c>
      <c r="G1439" t="s">
        <v>98</v>
      </c>
      <c r="H1439" s="1">
        <v>44836.879004629627</v>
      </c>
      <c r="I1439" s="1">
        <v>44839.879004629627</v>
      </c>
      <c r="J1439" t="s">
        <v>32</v>
      </c>
      <c r="K1439" s="1">
        <v>44846.879004629627</v>
      </c>
      <c r="L1439" t="s">
        <v>33</v>
      </c>
      <c r="M1439" t="s">
        <v>51</v>
      </c>
      <c r="R1439" s="4">
        <v>44850.879004629627</v>
      </c>
      <c r="T1439">
        <v>0</v>
      </c>
      <c r="Y1439" t="s">
        <v>35</v>
      </c>
      <c r="AC1439" s="2">
        <f t="shared" si="198"/>
        <v>3</v>
      </c>
      <c r="AD1439" s="2">
        <f t="shared" si="199"/>
        <v>10</v>
      </c>
      <c r="AE1439" s="2">
        <f t="shared" si="200"/>
        <v>7</v>
      </c>
      <c r="AF1439" s="2">
        <f t="shared" si="201"/>
        <v>14</v>
      </c>
      <c r="AG1439" s="2">
        <f t="shared" si="202"/>
        <v>4</v>
      </c>
      <c r="AH1439" s="4">
        <f t="shared" si="203"/>
        <v>44940.879004629627</v>
      </c>
      <c r="AI1439" s="2" t="str">
        <f t="shared" si="204"/>
        <v/>
      </c>
      <c r="AJ1439" s="2" t="str">
        <f t="shared" si="205"/>
        <v/>
      </c>
      <c r="AK1439" s="2" t="str">
        <f t="shared" si="206"/>
        <v/>
      </c>
    </row>
    <row r="1440" spans="1:37" x14ac:dyDescent="0.25">
      <c r="A1440">
        <v>1890</v>
      </c>
      <c r="B1440" t="s">
        <v>1589</v>
      </c>
      <c r="C1440" t="s">
        <v>1577</v>
      </c>
      <c r="D1440" t="s">
        <v>1578</v>
      </c>
      <c r="E1440" t="s">
        <v>96</v>
      </c>
      <c r="F1440" t="s">
        <v>1579</v>
      </c>
      <c r="G1440" t="s">
        <v>98</v>
      </c>
      <c r="H1440" s="1">
        <v>44838.425185185188</v>
      </c>
      <c r="I1440" s="1">
        <v>44842.425185185188</v>
      </c>
      <c r="J1440" t="s">
        <v>32</v>
      </c>
      <c r="K1440" s="1">
        <v>44863.425185185188</v>
      </c>
      <c r="L1440" t="s">
        <v>33</v>
      </c>
      <c r="M1440" t="s">
        <v>51</v>
      </c>
      <c r="T1440">
        <v>0</v>
      </c>
      <c r="Y1440" t="s">
        <v>55</v>
      </c>
      <c r="AC1440" s="2">
        <f t="shared" si="198"/>
        <v>4</v>
      </c>
      <c r="AD1440" s="2">
        <f t="shared" si="199"/>
        <v>25</v>
      </c>
      <c r="AE1440" s="2">
        <f t="shared" si="200"/>
        <v>21</v>
      </c>
      <c r="AF1440" s="2" t="str">
        <f t="shared" si="201"/>
        <v/>
      </c>
      <c r="AG1440" s="2" t="str">
        <f t="shared" si="202"/>
        <v/>
      </c>
      <c r="AH1440" s="4" t="str">
        <f t="shared" si="203"/>
        <v/>
      </c>
      <c r="AI1440" s="2" t="str">
        <f t="shared" si="204"/>
        <v/>
      </c>
      <c r="AJ1440" s="2" t="str">
        <f t="shared" si="205"/>
        <v/>
      </c>
      <c r="AK1440" s="2" t="str">
        <f t="shared" si="206"/>
        <v/>
      </c>
    </row>
    <row r="1441" spans="1:37" x14ac:dyDescent="0.25">
      <c r="A1441">
        <v>1883</v>
      </c>
      <c r="B1441" t="s">
        <v>1590</v>
      </c>
      <c r="C1441" t="s">
        <v>1577</v>
      </c>
      <c r="D1441" t="s">
        <v>1578</v>
      </c>
      <c r="E1441" t="s">
        <v>96</v>
      </c>
      <c r="F1441" t="s">
        <v>1579</v>
      </c>
      <c r="G1441" t="s">
        <v>98</v>
      </c>
      <c r="H1441" s="1">
        <v>44842.425185185188</v>
      </c>
      <c r="I1441" s="1">
        <v>44846.425185185188</v>
      </c>
      <c r="J1441" t="s">
        <v>32</v>
      </c>
      <c r="K1441" s="1">
        <v>44855.425185185188</v>
      </c>
      <c r="L1441" t="s">
        <v>33</v>
      </c>
      <c r="M1441" t="s">
        <v>92</v>
      </c>
      <c r="R1441" s="4">
        <v>44857.425185185188</v>
      </c>
      <c r="T1441">
        <v>0</v>
      </c>
      <c r="Y1441" t="s">
        <v>35</v>
      </c>
      <c r="AC1441" s="2">
        <f t="shared" si="198"/>
        <v>4</v>
      </c>
      <c r="AD1441" s="2">
        <f t="shared" si="199"/>
        <v>13</v>
      </c>
      <c r="AE1441" s="2">
        <f t="shared" si="200"/>
        <v>9</v>
      </c>
      <c r="AF1441" s="2">
        <f t="shared" si="201"/>
        <v>15</v>
      </c>
      <c r="AG1441" s="2">
        <f t="shared" si="202"/>
        <v>2</v>
      </c>
      <c r="AH1441" s="4">
        <f t="shared" si="203"/>
        <v>44947.425185185188</v>
      </c>
      <c r="AI1441" s="2" t="str">
        <f t="shared" si="204"/>
        <v/>
      </c>
      <c r="AJ1441" s="2" t="str">
        <f t="shared" si="205"/>
        <v/>
      </c>
      <c r="AK1441" s="2" t="str">
        <f t="shared" si="206"/>
        <v/>
      </c>
    </row>
    <row r="1442" spans="1:37" x14ac:dyDescent="0.25">
      <c r="A1442">
        <v>1845</v>
      </c>
      <c r="B1442" t="s">
        <v>1591</v>
      </c>
      <c r="C1442" t="s">
        <v>1577</v>
      </c>
      <c r="D1442" t="s">
        <v>1578</v>
      </c>
      <c r="E1442" t="s">
        <v>96</v>
      </c>
      <c r="F1442" t="s">
        <v>1579</v>
      </c>
      <c r="G1442" t="s">
        <v>98</v>
      </c>
      <c r="H1442" s="1">
        <v>44610.970185185186</v>
      </c>
      <c r="I1442" s="1">
        <v>44612.970185185186</v>
      </c>
      <c r="J1442" t="s">
        <v>32</v>
      </c>
      <c r="K1442" s="1">
        <v>44626.970185185186</v>
      </c>
      <c r="L1442" t="s">
        <v>33</v>
      </c>
      <c r="M1442" t="s">
        <v>34</v>
      </c>
      <c r="T1442">
        <v>0</v>
      </c>
      <c r="Y1442" t="s">
        <v>35</v>
      </c>
      <c r="AC1442" s="2">
        <f t="shared" si="198"/>
        <v>2</v>
      </c>
      <c r="AD1442" s="2">
        <f t="shared" si="199"/>
        <v>16</v>
      </c>
      <c r="AE1442" s="2">
        <f t="shared" si="200"/>
        <v>14</v>
      </c>
      <c r="AF1442" s="2" t="str">
        <f t="shared" si="201"/>
        <v/>
      </c>
      <c r="AG1442" s="2" t="str">
        <f t="shared" si="202"/>
        <v/>
      </c>
      <c r="AH1442" s="4" t="str">
        <f t="shared" si="203"/>
        <v/>
      </c>
      <c r="AI1442" s="2" t="str">
        <f t="shared" si="204"/>
        <v/>
      </c>
      <c r="AJ1442" s="2" t="str">
        <f t="shared" si="205"/>
        <v/>
      </c>
      <c r="AK1442" s="2" t="str">
        <f t="shared" si="206"/>
        <v/>
      </c>
    </row>
    <row r="1443" spans="1:37" x14ac:dyDescent="0.25">
      <c r="A1443">
        <v>1757</v>
      </c>
      <c r="B1443" t="s">
        <v>1592</v>
      </c>
      <c r="C1443" t="s">
        <v>1577</v>
      </c>
      <c r="D1443" t="s">
        <v>1578</v>
      </c>
      <c r="E1443" t="s">
        <v>96</v>
      </c>
      <c r="F1443" t="s">
        <v>1579</v>
      </c>
      <c r="G1443" t="s">
        <v>98</v>
      </c>
      <c r="H1443" s="1">
        <v>44708.645821759259</v>
      </c>
      <c r="I1443" s="1">
        <v>44712.645821759259</v>
      </c>
      <c r="J1443" t="s">
        <v>32</v>
      </c>
      <c r="K1443" s="1">
        <v>44727.645821759259</v>
      </c>
      <c r="L1443" t="s">
        <v>33</v>
      </c>
      <c r="M1443" t="s">
        <v>34</v>
      </c>
      <c r="T1443">
        <v>0</v>
      </c>
      <c r="Y1443" t="s">
        <v>35</v>
      </c>
      <c r="AC1443" s="2">
        <f t="shared" si="198"/>
        <v>4</v>
      </c>
      <c r="AD1443" s="2">
        <f t="shared" si="199"/>
        <v>19</v>
      </c>
      <c r="AE1443" s="2">
        <f t="shared" si="200"/>
        <v>15</v>
      </c>
      <c r="AF1443" s="2" t="str">
        <f t="shared" si="201"/>
        <v/>
      </c>
      <c r="AG1443" s="2" t="str">
        <f t="shared" si="202"/>
        <v/>
      </c>
      <c r="AH1443" s="4" t="str">
        <f t="shared" si="203"/>
        <v/>
      </c>
      <c r="AI1443" s="2" t="str">
        <f t="shared" si="204"/>
        <v/>
      </c>
      <c r="AJ1443" s="2" t="str">
        <f t="shared" si="205"/>
        <v/>
      </c>
      <c r="AK1443" s="2" t="str">
        <f t="shared" si="206"/>
        <v/>
      </c>
    </row>
    <row r="1444" spans="1:37" x14ac:dyDescent="0.25">
      <c r="A1444">
        <v>1702</v>
      </c>
      <c r="B1444" t="s">
        <v>1593</v>
      </c>
      <c r="C1444" t="s">
        <v>1577</v>
      </c>
      <c r="D1444" t="s">
        <v>1578</v>
      </c>
      <c r="E1444" t="s">
        <v>96</v>
      </c>
      <c r="F1444" t="s">
        <v>1579</v>
      </c>
      <c r="G1444" t="s">
        <v>98</v>
      </c>
      <c r="H1444" s="1">
        <v>44984.751342592594</v>
      </c>
      <c r="I1444" s="1">
        <v>44988.751342592594</v>
      </c>
      <c r="J1444" t="s">
        <v>32</v>
      </c>
      <c r="K1444" s="1">
        <v>45007.751342592594</v>
      </c>
      <c r="L1444" t="s">
        <v>33</v>
      </c>
      <c r="M1444" t="s">
        <v>34</v>
      </c>
      <c r="T1444">
        <v>0</v>
      </c>
      <c r="Y1444" t="s">
        <v>55</v>
      </c>
      <c r="AC1444" s="2">
        <f t="shared" si="198"/>
        <v>4</v>
      </c>
      <c r="AD1444" s="2">
        <f t="shared" si="199"/>
        <v>23</v>
      </c>
      <c r="AE1444" s="2">
        <f t="shared" si="200"/>
        <v>19</v>
      </c>
      <c r="AF1444" s="2" t="str">
        <f t="shared" si="201"/>
        <v/>
      </c>
      <c r="AG1444" s="2" t="str">
        <f t="shared" si="202"/>
        <v/>
      </c>
      <c r="AH1444" s="4" t="str">
        <f t="shared" si="203"/>
        <v/>
      </c>
      <c r="AI1444" s="2" t="str">
        <f t="shared" si="204"/>
        <v/>
      </c>
      <c r="AJ1444" s="2" t="str">
        <f t="shared" si="205"/>
        <v/>
      </c>
      <c r="AK1444" s="2" t="str">
        <f t="shared" si="206"/>
        <v/>
      </c>
    </row>
    <row r="1445" spans="1:37" x14ac:dyDescent="0.25">
      <c r="A1445">
        <v>1677</v>
      </c>
      <c r="B1445" t="s">
        <v>1594</v>
      </c>
      <c r="C1445" t="s">
        <v>1577</v>
      </c>
      <c r="D1445" t="s">
        <v>1578</v>
      </c>
      <c r="E1445" t="s">
        <v>96</v>
      </c>
      <c r="F1445" t="s">
        <v>1579</v>
      </c>
      <c r="G1445" t="s">
        <v>98</v>
      </c>
      <c r="H1445" s="1">
        <v>44870.144270833334</v>
      </c>
      <c r="I1445" s="1">
        <v>44871.144270833334</v>
      </c>
      <c r="J1445" t="s">
        <v>32</v>
      </c>
      <c r="K1445" s="1">
        <v>44885.144270833334</v>
      </c>
      <c r="L1445" t="s">
        <v>33</v>
      </c>
      <c r="M1445" t="s">
        <v>34</v>
      </c>
      <c r="R1445" s="4">
        <v>44887.144270833334</v>
      </c>
      <c r="T1445">
        <v>0</v>
      </c>
      <c r="Y1445" t="s">
        <v>35</v>
      </c>
      <c r="AC1445" s="2">
        <f t="shared" si="198"/>
        <v>1</v>
      </c>
      <c r="AD1445" s="2">
        <f t="shared" si="199"/>
        <v>15</v>
      </c>
      <c r="AE1445" s="2">
        <f t="shared" si="200"/>
        <v>14</v>
      </c>
      <c r="AF1445" s="2">
        <f t="shared" si="201"/>
        <v>17</v>
      </c>
      <c r="AG1445" s="2">
        <f t="shared" si="202"/>
        <v>2</v>
      </c>
      <c r="AH1445" s="4">
        <f t="shared" si="203"/>
        <v>44977.144270833334</v>
      </c>
      <c r="AI1445" s="2" t="str">
        <f t="shared" si="204"/>
        <v/>
      </c>
      <c r="AJ1445" s="2" t="str">
        <f t="shared" si="205"/>
        <v/>
      </c>
      <c r="AK1445" s="2" t="str">
        <f t="shared" si="206"/>
        <v/>
      </c>
    </row>
    <row r="1446" spans="1:37" x14ac:dyDescent="0.25">
      <c r="A1446">
        <v>1635</v>
      </c>
      <c r="B1446" t="s">
        <v>1595</v>
      </c>
      <c r="C1446" t="s">
        <v>1577</v>
      </c>
      <c r="D1446" t="s">
        <v>1578</v>
      </c>
      <c r="E1446" t="s">
        <v>96</v>
      </c>
      <c r="F1446" t="s">
        <v>1579</v>
      </c>
      <c r="G1446" t="s">
        <v>98</v>
      </c>
      <c r="H1446" s="1">
        <v>45171.320416666669</v>
      </c>
      <c r="I1446" s="1">
        <v>45172.320416666669</v>
      </c>
      <c r="J1446" t="s">
        <v>32</v>
      </c>
      <c r="K1446" s="1">
        <v>45184.320416666669</v>
      </c>
      <c r="L1446" t="s">
        <v>33</v>
      </c>
      <c r="M1446" t="s">
        <v>67</v>
      </c>
      <c r="R1446" s="4">
        <v>45188.320416666669</v>
      </c>
      <c r="T1446">
        <v>0</v>
      </c>
      <c r="Y1446" t="s">
        <v>55</v>
      </c>
      <c r="AC1446" s="2">
        <f t="shared" si="198"/>
        <v>1</v>
      </c>
      <c r="AD1446" s="2">
        <f t="shared" si="199"/>
        <v>13</v>
      </c>
      <c r="AE1446" s="2">
        <f t="shared" si="200"/>
        <v>12</v>
      </c>
      <c r="AF1446" s="2">
        <f t="shared" si="201"/>
        <v>17</v>
      </c>
      <c r="AG1446" s="2">
        <f t="shared" si="202"/>
        <v>4</v>
      </c>
      <c r="AH1446" s="4">
        <f t="shared" si="203"/>
        <v>45278.320416666669</v>
      </c>
      <c r="AI1446" s="2" t="str">
        <f t="shared" si="204"/>
        <v/>
      </c>
      <c r="AJ1446" s="2" t="str">
        <f t="shared" si="205"/>
        <v/>
      </c>
      <c r="AK1446" s="2" t="str">
        <f t="shared" si="206"/>
        <v/>
      </c>
    </row>
    <row r="1447" spans="1:37" x14ac:dyDescent="0.25">
      <c r="A1447">
        <v>1585</v>
      </c>
      <c r="B1447" t="s">
        <v>1596</v>
      </c>
      <c r="C1447" t="s">
        <v>1577</v>
      </c>
      <c r="D1447" t="s">
        <v>1578</v>
      </c>
      <c r="E1447" t="s">
        <v>96</v>
      </c>
      <c r="F1447" t="s">
        <v>1579</v>
      </c>
      <c r="G1447" t="s">
        <v>98</v>
      </c>
      <c r="H1447" s="1">
        <v>45184.840821759259</v>
      </c>
      <c r="I1447" s="1">
        <v>45186.840821759259</v>
      </c>
      <c r="J1447" t="s">
        <v>32</v>
      </c>
      <c r="K1447" s="1">
        <v>45202.840821759259</v>
      </c>
      <c r="L1447" t="s">
        <v>33</v>
      </c>
      <c r="M1447" t="s">
        <v>67</v>
      </c>
      <c r="R1447" s="4">
        <v>45204.840821759259</v>
      </c>
      <c r="T1447">
        <v>0</v>
      </c>
      <c r="Y1447" t="s">
        <v>35</v>
      </c>
      <c r="AC1447" s="2">
        <f t="shared" si="198"/>
        <v>2</v>
      </c>
      <c r="AD1447" s="2">
        <f t="shared" si="199"/>
        <v>18</v>
      </c>
      <c r="AE1447" s="2">
        <f t="shared" si="200"/>
        <v>16</v>
      </c>
      <c r="AF1447" s="2">
        <f t="shared" si="201"/>
        <v>20</v>
      </c>
      <c r="AG1447" s="2">
        <f t="shared" si="202"/>
        <v>2</v>
      </c>
      <c r="AH1447" s="4">
        <f t="shared" si="203"/>
        <v>45294.840821759259</v>
      </c>
      <c r="AI1447" s="2" t="str">
        <f t="shared" si="204"/>
        <v/>
      </c>
      <c r="AJ1447" s="2" t="str">
        <f t="shared" si="205"/>
        <v/>
      </c>
      <c r="AK1447" s="2" t="str">
        <f t="shared" si="206"/>
        <v/>
      </c>
    </row>
    <row r="1448" spans="1:37" x14ac:dyDescent="0.25">
      <c r="A1448">
        <v>1581</v>
      </c>
      <c r="B1448" t="s">
        <v>1597</v>
      </c>
      <c r="C1448" t="s">
        <v>1577</v>
      </c>
      <c r="D1448" t="s">
        <v>1578</v>
      </c>
      <c r="E1448" t="s">
        <v>96</v>
      </c>
      <c r="F1448" t="s">
        <v>1579</v>
      </c>
      <c r="G1448" t="s">
        <v>98</v>
      </c>
      <c r="H1448" s="1">
        <v>45180.840821759259</v>
      </c>
      <c r="I1448" s="1">
        <v>45184.840821759259</v>
      </c>
      <c r="J1448" t="s">
        <v>32</v>
      </c>
      <c r="K1448" s="1">
        <v>45198.840821759259</v>
      </c>
      <c r="L1448" t="s">
        <v>33</v>
      </c>
      <c r="M1448" t="s">
        <v>51</v>
      </c>
      <c r="T1448">
        <v>0</v>
      </c>
      <c r="Y1448" t="s">
        <v>35</v>
      </c>
      <c r="AC1448" s="2">
        <f t="shared" si="198"/>
        <v>4</v>
      </c>
      <c r="AD1448" s="2">
        <f t="shared" si="199"/>
        <v>18</v>
      </c>
      <c r="AE1448" s="2">
        <f t="shared" si="200"/>
        <v>14</v>
      </c>
      <c r="AF1448" s="2" t="str">
        <f t="shared" si="201"/>
        <v/>
      </c>
      <c r="AG1448" s="2" t="str">
        <f t="shared" si="202"/>
        <v/>
      </c>
      <c r="AH1448" s="4" t="str">
        <f t="shared" si="203"/>
        <v/>
      </c>
      <c r="AI1448" s="2" t="str">
        <f t="shared" si="204"/>
        <v/>
      </c>
      <c r="AJ1448" s="2" t="str">
        <f t="shared" si="205"/>
        <v/>
      </c>
      <c r="AK1448" s="2" t="str">
        <f t="shared" si="206"/>
        <v/>
      </c>
    </row>
    <row r="1449" spans="1:37" x14ac:dyDescent="0.25">
      <c r="A1449">
        <v>1568</v>
      </c>
      <c r="B1449" t="s">
        <v>1598</v>
      </c>
      <c r="C1449" t="s">
        <v>1577</v>
      </c>
      <c r="D1449" t="s">
        <v>1578</v>
      </c>
      <c r="E1449" t="s">
        <v>96</v>
      </c>
      <c r="F1449" t="s">
        <v>1579</v>
      </c>
      <c r="G1449" t="s">
        <v>98</v>
      </c>
      <c r="H1449" s="1">
        <v>44640.490486111114</v>
      </c>
      <c r="I1449" s="1">
        <v>44641.490486111114</v>
      </c>
      <c r="J1449" t="s">
        <v>32</v>
      </c>
      <c r="K1449" s="1">
        <v>44654.490486111114</v>
      </c>
      <c r="L1449" t="s">
        <v>33</v>
      </c>
      <c r="M1449" t="s">
        <v>51</v>
      </c>
      <c r="T1449">
        <v>0</v>
      </c>
      <c r="Y1449" t="s">
        <v>35</v>
      </c>
      <c r="AC1449" s="2">
        <f t="shared" si="198"/>
        <v>1</v>
      </c>
      <c r="AD1449" s="2">
        <f t="shared" si="199"/>
        <v>14</v>
      </c>
      <c r="AE1449" s="2">
        <f t="shared" si="200"/>
        <v>13</v>
      </c>
      <c r="AF1449" s="2" t="str">
        <f t="shared" si="201"/>
        <v/>
      </c>
      <c r="AG1449" s="2" t="str">
        <f t="shared" si="202"/>
        <v/>
      </c>
      <c r="AH1449" s="4" t="str">
        <f t="shared" si="203"/>
        <v/>
      </c>
      <c r="AI1449" s="2" t="str">
        <f t="shared" si="204"/>
        <v/>
      </c>
      <c r="AJ1449" s="2" t="str">
        <f t="shared" si="205"/>
        <v/>
      </c>
      <c r="AK1449" s="2" t="str">
        <f t="shared" si="206"/>
        <v/>
      </c>
    </row>
    <row r="1450" spans="1:37" x14ac:dyDescent="0.25">
      <c r="A1450">
        <v>1524</v>
      </c>
      <c r="B1450" t="s">
        <v>1599</v>
      </c>
      <c r="C1450" t="s">
        <v>1577</v>
      </c>
      <c r="D1450" t="s">
        <v>1578</v>
      </c>
      <c r="E1450" t="s">
        <v>96</v>
      </c>
      <c r="F1450" t="s">
        <v>1579</v>
      </c>
      <c r="G1450" t="s">
        <v>98</v>
      </c>
      <c r="H1450" s="1">
        <v>44928.025208333333</v>
      </c>
      <c r="I1450" s="1">
        <v>44931.025208333333</v>
      </c>
      <c r="J1450" t="s">
        <v>32</v>
      </c>
      <c r="K1450" s="1">
        <v>44938.025208333333</v>
      </c>
      <c r="L1450" t="s">
        <v>33</v>
      </c>
      <c r="M1450" t="s">
        <v>51</v>
      </c>
      <c r="T1450">
        <v>0</v>
      </c>
      <c r="Y1450" t="s">
        <v>35</v>
      </c>
      <c r="AC1450" s="2">
        <f t="shared" si="198"/>
        <v>3</v>
      </c>
      <c r="AD1450" s="2">
        <f t="shared" si="199"/>
        <v>10</v>
      </c>
      <c r="AE1450" s="2">
        <f t="shared" si="200"/>
        <v>7</v>
      </c>
      <c r="AF1450" s="2" t="str">
        <f t="shared" si="201"/>
        <v/>
      </c>
      <c r="AG1450" s="2" t="str">
        <f t="shared" si="202"/>
        <v/>
      </c>
      <c r="AH1450" s="4" t="str">
        <f t="shared" si="203"/>
        <v/>
      </c>
      <c r="AI1450" s="2" t="str">
        <f t="shared" si="204"/>
        <v/>
      </c>
      <c r="AJ1450" s="2" t="str">
        <f t="shared" si="205"/>
        <v/>
      </c>
      <c r="AK1450" s="2" t="str">
        <f t="shared" si="206"/>
        <v/>
      </c>
    </row>
    <row r="1451" spans="1:37" x14ac:dyDescent="0.25">
      <c r="A1451">
        <v>1514</v>
      </c>
      <c r="B1451" t="s">
        <v>1600</v>
      </c>
      <c r="C1451" t="s">
        <v>1577</v>
      </c>
      <c r="D1451" t="s">
        <v>1578</v>
      </c>
      <c r="E1451" t="s">
        <v>96</v>
      </c>
      <c r="F1451" t="s">
        <v>1579</v>
      </c>
      <c r="G1451" t="s">
        <v>98</v>
      </c>
      <c r="H1451" s="1">
        <v>44920.208773148152</v>
      </c>
      <c r="I1451" s="1">
        <v>44923.208773148152</v>
      </c>
      <c r="J1451" t="s">
        <v>32</v>
      </c>
      <c r="K1451" s="1">
        <v>44934.208773148152</v>
      </c>
      <c r="L1451" t="s">
        <v>33</v>
      </c>
      <c r="M1451" t="s">
        <v>34</v>
      </c>
      <c r="R1451" s="4">
        <v>44938.208773148152</v>
      </c>
      <c r="T1451">
        <v>0</v>
      </c>
      <c r="Y1451" t="s">
        <v>55</v>
      </c>
      <c r="AC1451" s="2">
        <f t="shared" si="198"/>
        <v>3</v>
      </c>
      <c r="AD1451" s="2">
        <f t="shared" si="199"/>
        <v>14</v>
      </c>
      <c r="AE1451" s="2">
        <f t="shared" si="200"/>
        <v>11</v>
      </c>
      <c r="AF1451" s="2">
        <f t="shared" si="201"/>
        <v>18</v>
      </c>
      <c r="AG1451" s="2">
        <f t="shared" si="202"/>
        <v>4</v>
      </c>
      <c r="AH1451" s="4">
        <f t="shared" si="203"/>
        <v>45028.208773148152</v>
      </c>
      <c r="AI1451" s="2" t="str">
        <f t="shared" si="204"/>
        <v/>
      </c>
      <c r="AJ1451" s="2" t="str">
        <f t="shared" si="205"/>
        <v/>
      </c>
      <c r="AK1451" s="2" t="str">
        <f t="shared" si="206"/>
        <v/>
      </c>
    </row>
    <row r="1452" spans="1:37" x14ac:dyDescent="0.25">
      <c r="A1452">
        <v>1434</v>
      </c>
      <c r="B1452" t="s">
        <v>1601</v>
      </c>
      <c r="C1452" t="s">
        <v>1577</v>
      </c>
      <c r="D1452" t="s">
        <v>1578</v>
      </c>
      <c r="E1452" t="s">
        <v>96</v>
      </c>
      <c r="F1452" t="s">
        <v>1579</v>
      </c>
      <c r="G1452" t="s">
        <v>98</v>
      </c>
      <c r="H1452" s="1">
        <v>45086.936932870369</v>
      </c>
      <c r="I1452" s="1">
        <v>45090.936932870369</v>
      </c>
      <c r="J1452" t="s">
        <v>32</v>
      </c>
      <c r="K1452" s="1">
        <v>45096.936932870369</v>
      </c>
      <c r="L1452" t="s">
        <v>33</v>
      </c>
      <c r="M1452" t="s">
        <v>34</v>
      </c>
      <c r="T1452">
        <v>0</v>
      </c>
      <c r="Y1452" t="s">
        <v>35</v>
      </c>
      <c r="AC1452" s="2">
        <f t="shared" si="198"/>
        <v>4</v>
      </c>
      <c r="AD1452" s="2">
        <f t="shared" si="199"/>
        <v>10</v>
      </c>
      <c r="AE1452" s="2">
        <f t="shared" si="200"/>
        <v>6</v>
      </c>
      <c r="AF1452" s="2" t="str">
        <f t="shared" si="201"/>
        <v/>
      </c>
      <c r="AG1452" s="2" t="str">
        <f t="shared" si="202"/>
        <v/>
      </c>
      <c r="AH1452" s="4" t="str">
        <f t="shared" si="203"/>
        <v/>
      </c>
      <c r="AI1452" s="2" t="str">
        <f t="shared" si="204"/>
        <v/>
      </c>
      <c r="AJ1452" s="2" t="str">
        <f t="shared" si="205"/>
        <v/>
      </c>
      <c r="AK1452" s="2" t="str">
        <f t="shared" si="206"/>
        <v/>
      </c>
    </row>
    <row r="1453" spans="1:37" x14ac:dyDescent="0.25">
      <c r="A1453">
        <v>1288</v>
      </c>
      <c r="B1453" t="s">
        <v>1602</v>
      </c>
      <c r="C1453" t="s">
        <v>1577</v>
      </c>
      <c r="D1453" t="s">
        <v>1578</v>
      </c>
      <c r="E1453" t="s">
        <v>96</v>
      </c>
      <c r="F1453" t="s">
        <v>1579</v>
      </c>
      <c r="G1453" t="s">
        <v>98</v>
      </c>
      <c r="H1453" s="1">
        <v>44643.736006944448</v>
      </c>
      <c r="I1453" s="1">
        <v>44645.736006944448</v>
      </c>
      <c r="J1453" t="s">
        <v>32</v>
      </c>
      <c r="K1453" s="1">
        <v>44658.736006944448</v>
      </c>
      <c r="L1453" t="s">
        <v>33</v>
      </c>
      <c r="M1453" t="s">
        <v>34</v>
      </c>
      <c r="R1453" s="4">
        <v>44660.736006944448</v>
      </c>
      <c r="T1453">
        <v>0</v>
      </c>
      <c r="Y1453" t="s">
        <v>55</v>
      </c>
      <c r="AC1453" s="2">
        <f t="shared" si="198"/>
        <v>2</v>
      </c>
      <c r="AD1453" s="2">
        <f t="shared" si="199"/>
        <v>15</v>
      </c>
      <c r="AE1453" s="2">
        <f t="shared" si="200"/>
        <v>13</v>
      </c>
      <c r="AF1453" s="2">
        <f t="shared" si="201"/>
        <v>17</v>
      </c>
      <c r="AG1453" s="2">
        <f t="shared" si="202"/>
        <v>2</v>
      </c>
      <c r="AH1453" s="4">
        <f t="shared" si="203"/>
        <v>44750.736006944448</v>
      </c>
      <c r="AI1453" s="2" t="str">
        <f t="shared" si="204"/>
        <v/>
      </c>
      <c r="AJ1453" s="2" t="str">
        <f t="shared" si="205"/>
        <v/>
      </c>
      <c r="AK1453" s="2" t="str">
        <f t="shared" si="206"/>
        <v/>
      </c>
    </row>
    <row r="1454" spans="1:37" x14ac:dyDescent="0.25">
      <c r="A1454">
        <v>1262</v>
      </c>
      <c r="B1454" t="s">
        <v>1603</v>
      </c>
      <c r="C1454" t="s">
        <v>1577</v>
      </c>
      <c r="D1454" t="s">
        <v>1578</v>
      </c>
      <c r="E1454" t="s">
        <v>96</v>
      </c>
      <c r="F1454" t="s">
        <v>1579</v>
      </c>
      <c r="G1454" t="s">
        <v>98</v>
      </c>
      <c r="H1454" s="1">
        <v>44998.913287037038</v>
      </c>
      <c r="I1454" s="1">
        <v>45002.913287037038</v>
      </c>
      <c r="J1454" t="s">
        <v>32</v>
      </c>
      <c r="K1454" s="1">
        <v>45014.913287037038</v>
      </c>
      <c r="L1454" t="s">
        <v>33</v>
      </c>
      <c r="M1454" t="s">
        <v>92</v>
      </c>
      <c r="R1454" s="4">
        <v>45017.913287037038</v>
      </c>
      <c r="T1454">
        <v>0</v>
      </c>
      <c r="Y1454" t="s">
        <v>35</v>
      </c>
      <c r="AC1454" s="2">
        <f t="shared" si="198"/>
        <v>4</v>
      </c>
      <c r="AD1454" s="2">
        <f t="shared" si="199"/>
        <v>16</v>
      </c>
      <c r="AE1454" s="2">
        <f t="shared" si="200"/>
        <v>12</v>
      </c>
      <c r="AF1454" s="2">
        <f t="shared" si="201"/>
        <v>19</v>
      </c>
      <c r="AG1454" s="2">
        <f t="shared" si="202"/>
        <v>3</v>
      </c>
      <c r="AH1454" s="4">
        <f t="shared" si="203"/>
        <v>45107.913287037038</v>
      </c>
      <c r="AI1454" s="2" t="str">
        <f t="shared" si="204"/>
        <v/>
      </c>
      <c r="AJ1454" s="2" t="str">
        <f t="shared" si="205"/>
        <v/>
      </c>
      <c r="AK1454" s="2" t="str">
        <f t="shared" si="206"/>
        <v/>
      </c>
    </row>
    <row r="1455" spans="1:37" x14ac:dyDescent="0.25">
      <c r="A1455">
        <v>1256</v>
      </c>
      <c r="B1455" t="s">
        <v>1604</v>
      </c>
      <c r="C1455" t="s">
        <v>1577</v>
      </c>
      <c r="D1455" t="s">
        <v>1578</v>
      </c>
      <c r="E1455" t="s">
        <v>96</v>
      </c>
      <c r="F1455" t="s">
        <v>1579</v>
      </c>
      <c r="G1455" t="s">
        <v>98</v>
      </c>
      <c r="H1455" s="1">
        <v>44738.170439814814</v>
      </c>
      <c r="I1455" s="1">
        <v>44741.170439814814</v>
      </c>
      <c r="J1455" t="s">
        <v>32</v>
      </c>
      <c r="K1455" s="1">
        <v>44751.170439814814</v>
      </c>
      <c r="L1455" t="s">
        <v>33</v>
      </c>
      <c r="M1455" t="s">
        <v>67</v>
      </c>
      <c r="R1455" s="4">
        <v>44755.170439814814</v>
      </c>
      <c r="T1455">
        <v>0</v>
      </c>
      <c r="Y1455" t="s">
        <v>35</v>
      </c>
      <c r="AC1455" s="2">
        <f t="shared" si="198"/>
        <v>3</v>
      </c>
      <c r="AD1455" s="2">
        <f t="shared" si="199"/>
        <v>13</v>
      </c>
      <c r="AE1455" s="2">
        <f t="shared" si="200"/>
        <v>10</v>
      </c>
      <c r="AF1455" s="2">
        <f t="shared" si="201"/>
        <v>17</v>
      </c>
      <c r="AG1455" s="2">
        <f t="shared" si="202"/>
        <v>4</v>
      </c>
      <c r="AH1455" s="4">
        <f t="shared" si="203"/>
        <v>44845.170439814814</v>
      </c>
      <c r="AI1455" s="2" t="str">
        <f t="shared" si="204"/>
        <v/>
      </c>
      <c r="AJ1455" s="2" t="str">
        <f t="shared" si="205"/>
        <v/>
      </c>
      <c r="AK1455" s="2" t="str">
        <f t="shared" si="206"/>
        <v/>
      </c>
    </row>
    <row r="1456" spans="1:37" x14ac:dyDescent="0.25">
      <c r="A1456">
        <v>1150</v>
      </c>
      <c r="B1456" t="s">
        <v>1605</v>
      </c>
      <c r="C1456" t="s">
        <v>1577</v>
      </c>
      <c r="D1456" t="s">
        <v>1578</v>
      </c>
      <c r="E1456" t="s">
        <v>96</v>
      </c>
      <c r="F1456" t="s">
        <v>1579</v>
      </c>
      <c r="G1456" t="s">
        <v>98</v>
      </c>
      <c r="H1456" s="1">
        <v>45142.067280092589</v>
      </c>
      <c r="I1456" s="1">
        <v>45146.067280092589</v>
      </c>
      <c r="J1456" t="s">
        <v>32</v>
      </c>
      <c r="K1456" s="1">
        <v>45155.067280092589</v>
      </c>
      <c r="L1456" t="s">
        <v>33</v>
      </c>
      <c r="M1456" t="s">
        <v>108</v>
      </c>
      <c r="T1456">
        <v>0</v>
      </c>
      <c r="Y1456" t="s">
        <v>55</v>
      </c>
      <c r="AC1456" s="2">
        <f t="shared" si="198"/>
        <v>4</v>
      </c>
      <c r="AD1456" s="2">
        <f t="shared" si="199"/>
        <v>13</v>
      </c>
      <c r="AE1456" s="2">
        <f t="shared" si="200"/>
        <v>9</v>
      </c>
      <c r="AF1456" s="2" t="str">
        <f t="shared" si="201"/>
        <v/>
      </c>
      <c r="AG1456" s="2" t="str">
        <f t="shared" si="202"/>
        <v/>
      </c>
      <c r="AH1456" s="4" t="str">
        <f t="shared" si="203"/>
        <v/>
      </c>
      <c r="AI1456" s="2" t="str">
        <f t="shared" si="204"/>
        <v/>
      </c>
      <c r="AJ1456" s="2" t="str">
        <f t="shared" si="205"/>
        <v/>
      </c>
      <c r="AK1456" s="2" t="str">
        <f t="shared" si="206"/>
        <v/>
      </c>
    </row>
    <row r="1457" spans="1:37" x14ac:dyDescent="0.25">
      <c r="A1457">
        <v>1120</v>
      </c>
      <c r="B1457" t="s">
        <v>1606</v>
      </c>
      <c r="C1457" t="s">
        <v>1577</v>
      </c>
      <c r="D1457" t="s">
        <v>1578</v>
      </c>
      <c r="E1457" t="s">
        <v>96</v>
      </c>
      <c r="F1457" t="s">
        <v>1579</v>
      </c>
      <c r="G1457" t="s">
        <v>98</v>
      </c>
      <c r="H1457" s="1">
        <v>45019.266469907408</v>
      </c>
      <c r="I1457" s="1">
        <v>45023.266469907408</v>
      </c>
      <c r="J1457" t="s">
        <v>32</v>
      </c>
      <c r="K1457" s="1">
        <v>45036.266469907408</v>
      </c>
      <c r="L1457" t="s">
        <v>33</v>
      </c>
      <c r="M1457" t="s">
        <v>108</v>
      </c>
      <c r="R1457" s="4">
        <v>45037.266469907408</v>
      </c>
      <c r="T1457">
        <v>0</v>
      </c>
      <c r="Y1457" t="s">
        <v>35</v>
      </c>
      <c r="AC1457" s="2">
        <f t="shared" si="198"/>
        <v>4</v>
      </c>
      <c r="AD1457" s="2">
        <f t="shared" si="199"/>
        <v>17</v>
      </c>
      <c r="AE1457" s="2">
        <f t="shared" si="200"/>
        <v>13</v>
      </c>
      <c r="AF1457" s="2">
        <f t="shared" si="201"/>
        <v>18</v>
      </c>
      <c r="AG1457" s="2">
        <f t="shared" si="202"/>
        <v>1</v>
      </c>
      <c r="AH1457" s="4">
        <f t="shared" si="203"/>
        <v>45127.266469907408</v>
      </c>
      <c r="AI1457" s="2" t="str">
        <f t="shared" si="204"/>
        <v/>
      </c>
      <c r="AJ1457" s="2" t="str">
        <f t="shared" si="205"/>
        <v/>
      </c>
      <c r="AK1457" s="2" t="str">
        <f t="shared" si="206"/>
        <v/>
      </c>
    </row>
    <row r="1458" spans="1:37" x14ac:dyDescent="0.25">
      <c r="A1458">
        <v>1112</v>
      </c>
      <c r="B1458" t="s">
        <v>1607</v>
      </c>
      <c r="C1458" t="s">
        <v>1577</v>
      </c>
      <c r="D1458" t="s">
        <v>1578</v>
      </c>
      <c r="E1458" t="s">
        <v>96</v>
      </c>
      <c r="F1458" t="s">
        <v>1579</v>
      </c>
      <c r="G1458" t="s">
        <v>98</v>
      </c>
      <c r="H1458" s="1">
        <v>45022.266469907408</v>
      </c>
      <c r="I1458" s="1">
        <v>45026.266469907408</v>
      </c>
      <c r="J1458" t="s">
        <v>32</v>
      </c>
      <c r="K1458" s="1">
        <v>45040.266469907408</v>
      </c>
      <c r="L1458" t="s">
        <v>33</v>
      </c>
      <c r="M1458" t="s">
        <v>92</v>
      </c>
      <c r="R1458" s="4">
        <v>45043.266469907408</v>
      </c>
      <c r="T1458">
        <v>0</v>
      </c>
      <c r="Y1458" t="s">
        <v>35</v>
      </c>
      <c r="AC1458" s="2">
        <f t="shared" si="198"/>
        <v>4</v>
      </c>
      <c r="AD1458" s="2">
        <f t="shared" si="199"/>
        <v>18</v>
      </c>
      <c r="AE1458" s="2">
        <f t="shared" si="200"/>
        <v>14</v>
      </c>
      <c r="AF1458" s="2">
        <f t="shared" si="201"/>
        <v>21</v>
      </c>
      <c r="AG1458" s="2">
        <f t="shared" si="202"/>
        <v>3</v>
      </c>
      <c r="AH1458" s="4">
        <f t="shared" si="203"/>
        <v>45133.266469907408</v>
      </c>
      <c r="AI1458" s="2" t="str">
        <f t="shared" si="204"/>
        <v/>
      </c>
      <c r="AJ1458" s="2" t="str">
        <f t="shared" si="205"/>
        <v/>
      </c>
      <c r="AK1458" s="2" t="str">
        <f t="shared" si="206"/>
        <v/>
      </c>
    </row>
    <row r="1459" spans="1:37" x14ac:dyDescent="0.25">
      <c r="A1459">
        <v>1068</v>
      </c>
      <c r="B1459" t="s">
        <v>1608</v>
      </c>
      <c r="C1459" t="s">
        <v>1577</v>
      </c>
      <c r="D1459" t="s">
        <v>1578</v>
      </c>
      <c r="E1459" t="s">
        <v>96</v>
      </c>
      <c r="F1459" t="s">
        <v>1579</v>
      </c>
      <c r="G1459" t="s">
        <v>98</v>
      </c>
      <c r="H1459" s="1">
        <v>44777.414236111108</v>
      </c>
      <c r="I1459" s="1">
        <v>44781.414236111108</v>
      </c>
      <c r="J1459" t="s">
        <v>32</v>
      </c>
      <c r="K1459" s="1">
        <v>44804.414236111108</v>
      </c>
      <c r="L1459" t="s">
        <v>33</v>
      </c>
      <c r="M1459" t="s">
        <v>92</v>
      </c>
      <c r="R1459" s="4">
        <v>44805.414236111108</v>
      </c>
      <c r="T1459">
        <v>0</v>
      </c>
      <c r="Y1459" t="s">
        <v>55</v>
      </c>
      <c r="AC1459" s="2">
        <f t="shared" si="198"/>
        <v>4</v>
      </c>
      <c r="AD1459" s="2">
        <f t="shared" si="199"/>
        <v>27</v>
      </c>
      <c r="AE1459" s="2">
        <f t="shared" si="200"/>
        <v>23</v>
      </c>
      <c r="AF1459" s="2">
        <f t="shared" si="201"/>
        <v>28</v>
      </c>
      <c r="AG1459" s="2">
        <f t="shared" si="202"/>
        <v>1</v>
      </c>
      <c r="AH1459" s="4">
        <f t="shared" si="203"/>
        <v>44895.414236111108</v>
      </c>
      <c r="AI1459" s="2" t="str">
        <f t="shared" si="204"/>
        <v/>
      </c>
      <c r="AJ1459" s="2" t="str">
        <f t="shared" si="205"/>
        <v/>
      </c>
      <c r="AK1459" s="2" t="str">
        <f t="shared" si="206"/>
        <v/>
      </c>
    </row>
    <row r="1460" spans="1:37" x14ac:dyDescent="0.25">
      <c r="A1460">
        <v>1067</v>
      </c>
      <c r="B1460" t="s">
        <v>1609</v>
      </c>
      <c r="C1460" t="s">
        <v>1577</v>
      </c>
      <c r="D1460" t="s">
        <v>1578</v>
      </c>
      <c r="E1460" t="s">
        <v>96</v>
      </c>
      <c r="F1460" t="s">
        <v>1579</v>
      </c>
      <c r="G1460" t="s">
        <v>98</v>
      </c>
      <c r="H1460" s="1">
        <v>44782.414236111108</v>
      </c>
      <c r="I1460" s="1">
        <v>44784.414236111108</v>
      </c>
      <c r="J1460" t="s">
        <v>32</v>
      </c>
      <c r="K1460" s="1">
        <v>44790.414236111108</v>
      </c>
      <c r="L1460" t="s">
        <v>33</v>
      </c>
      <c r="M1460" t="s">
        <v>92</v>
      </c>
      <c r="R1460" s="4">
        <v>44791.414236111108</v>
      </c>
      <c r="T1460">
        <v>0</v>
      </c>
      <c r="Y1460" t="s">
        <v>55</v>
      </c>
      <c r="AC1460" s="2">
        <f t="shared" si="198"/>
        <v>2</v>
      </c>
      <c r="AD1460" s="2">
        <f t="shared" si="199"/>
        <v>8</v>
      </c>
      <c r="AE1460" s="2">
        <f t="shared" si="200"/>
        <v>6</v>
      </c>
      <c r="AF1460" s="2">
        <f t="shared" si="201"/>
        <v>9</v>
      </c>
      <c r="AG1460" s="2">
        <f t="shared" si="202"/>
        <v>1</v>
      </c>
      <c r="AH1460" s="4">
        <f t="shared" si="203"/>
        <v>44881.414236111108</v>
      </c>
      <c r="AI1460" s="2" t="str">
        <f t="shared" si="204"/>
        <v/>
      </c>
      <c r="AJ1460" s="2" t="str">
        <f t="shared" si="205"/>
        <v/>
      </c>
      <c r="AK1460" s="2" t="str">
        <f t="shared" si="206"/>
        <v/>
      </c>
    </row>
    <row r="1461" spans="1:37" x14ac:dyDescent="0.25">
      <c r="A1461">
        <v>1032</v>
      </c>
      <c r="B1461" t="s">
        <v>1610</v>
      </c>
      <c r="C1461" t="s">
        <v>1577</v>
      </c>
      <c r="D1461" t="s">
        <v>1578</v>
      </c>
      <c r="E1461" t="s">
        <v>96</v>
      </c>
      <c r="F1461" t="s">
        <v>1579</v>
      </c>
      <c r="G1461" t="s">
        <v>98</v>
      </c>
      <c r="H1461" s="1">
        <v>44988.822372685187</v>
      </c>
      <c r="I1461" s="1">
        <v>44990.822372685187</v>
      </c>
      <c r="J1461" t="s">
        <v>32</v>
      </c>
      <c r="K1461" s="1">
        <v>45004.822372685187</v>
      </c>
      <c r="L1461" t="s">
        <v>33</v>
      </c>
      <c r="M1461" t="s">
        <v>34</v>
      </c>
      <c r="T1461">
        <v>0</v>
      </c>
      <c r="Y1461" t="s">
        <v>35</v>
      </c>
      <c r="AC1461" s="2">
        <f t="shared" si="198"/>
        <v>2</v>
      </c>
      <c r="AD1461" s="2">
        <f t="shared" si="199"/>
        <v>16</v>
      </c>
      <c r="AE1461" s="2">
        <f t="shared" si="200"/>
        <v>14</v>
      </c>
      <c r="AF1461" s="2" t="str">
        <f t="shared" si="201"/>
        <v/>
      </c>
      <c r="AG1461" s="2" t="str">
        <f t="shared" si="202"/>
        <v/>
      </c>
      <c r="AH1461" s="4" t="str">
        <f t="shared" si="203"/>
        <v/>
      </c>
      <c r="AI1461" s="2" t="str">
        <f t="shared" si="204"/>
        <v/>
      </c>
      <c r="AJ1461" s="2" t="str">
        <f t="shared" si="205"/>
        <v/>
      </c>
      <c r="AK1461" s="2" t="str">
        <f t="shared" si="206"/>
        <v/>
      </c>
    </row>
    <row r="1462" spans="1:37" x14ac:dyDescent="0.25">
      <c r="A1462">
        <v>1019</v>
      </c>
      <c r="B1462" t="s">
        <v>1611</v>
      </c>
      <c r="C1462" t="s">
        <v>1577</v>
      </c>
      <c r="D1462" t="s">
        <v>1578</v>
      </c>
      <c r="E1462" t="s">
        <v>96</v>
      </c>
      <c r="F1462" t="s">
        <v>1579</v>
      </c>
      <c r="G1462" t="s">
        <v>98</v>
      </c>
      <c r="H1462" s="1">
        <v>44595.329571759263</v>
      </c>
      <c r="I1462" s="1">
        <v>44598.329571759263</v>
      </c>
      <c r="J1462" t="s">
        <v>32</v>
      </c>
      <c r="K1462" s="1">
        <v>44606.329571759263</v>
      </c>
      <c r="L1462" t="s">
        <v>33</v>
      </c>
      <c r="M1462" t="s">
        <v>67</v>
      </c>
      <c r="R1462" s="4">
        <v>44609.329571759263</v>
      </c>
      <c r="T1462">
        <v>0</v>
      </c>
      <c r="Y1462" t="s">
        <v>55</v>
      </c>
      <c r="AC1462" s="2">
        <f t="shared" si="198"/>
        <v>3</v>
      </c>
      <c r="AD1462" s="2">
        <f t="shared" si="199"/>
        <v>11</v>
      </c>
      <c r="AE1462" s="2">
        <f t="shared" si="200"/>
        <v>8</v>
      </c>
      <c r="AF1462" s="2">
        <f t="shared" si="201"/>
        <v>14</v>
      </c>
      <c r="AG1462" s="2">
        <f t="shared" si="202"/>
        <v>3</v>
      </c>
      <c r="AH1462" s="4">
        <f t="shared" si="203"/>
        <v>44699.329571759263</v>
      </c>
      <c r="AI1462" s="2" t="str">
        <f t="shared" si="204"/>
        <v/>
      </c>
      <c r="AJ1462" s="2" t="str">
        <f t="shared" si="205"/>
        <v/>
      </c>
      <c r="AK1462" s="2" t="str">
        <f t="shared" si="206"/>
        <v/>
      </c>
    </row>
    <row r="1463" spans="1:37" x14ac:dyDescent="0.25">
      <c r="A1463">
        <v>210</v>
      </c>
      <c r="B1463" t="s">
        <v>1612</v>
      </c>
      <c r="C1463" t="s">
        <v>1577</v>
      </c>
      <c r="D1463" t="s">
        <v>1578</v>
      </c>
      <c r="E1463" t="s">
        <v>96</v>
      </c>
      <c r="F1463" t="s">
        <v>1579</v>
      </c>
      <c r="G1463" t="s">
        <v>98</v>
      </c>
      <c r="H1463" s="1">
        <v>44747.342893518522</v>
      </c>
      <c r="I1463" s="1">
        <v>44749.342893518522</v>
      </c>
      <c r="J1463" t="s">
        <v>32</v>
      </c>
      <c r="K1463" s="1">
        <v>44770.342893518522</v>
      </c>
      <c r="L1463" t="s">
        <v>33</v>
      </c>
      <c r="M1463" t="s">
        <v>92</v>
      </c>
      <c r="T1463">
        <v>0</v>
      </c>
      <c r="Y1463" t="s">
        <v>35</v>
      </c>
      <c r="AC1463" s="2">
        <f t="shared" si="198"/>
        <v>2</v>
      </c>
      <c r="AD1463" s="2">
        <f t="shared" si="199"/>
        <v>23</v>
      </c>
      <c r="AE1463" s="2">
        <f t="shared" si="200"/>
        <v>21</v>
      </c>
      <c r="AF1463" s="2" t="str">
        <f t="shared" si="201"/>
        <v/>
      </c>
      <c r="AG1463" s="2" t="str">
        <f t="shared" si="202"/>
        <v/>
      </c>
      <c r="AH1463" s="4" t="str">
        <f t="shared" si="203"/>
        <v/>
      </c>
      <c r="AI1463" s="2" t="str">
        <f t="shared" si="204"/>
        <v/>
      </c>
      <c r="AJ1463" s="2" t="str">
        <f t="shared" si="205"/>
        <v/>
      </c>
      <c r="AK1463" s="2" t="str">
        <f t="shared" si="206"/>
        <v/>
      </c>
    </row>
    <row r="1464" spans="1:37" x14ac:dyDescent="0.25">
      <c r="A1464">
        <v>203</v>
      </c>
      <c r="B1464" t="s">
        <v>1613</v>
      </c>
      <c r="C1464" t="s">
        <v>1577</v>
      </c>
      <c r="D1464" t="s">
        <v>1578</v>
      </c>
      <c r="E1464" t="s">
        <v>96</v>
      </c>
      <c r="F1464" t="s">
        <v>1579</v>
      </c>
      <c r="G1464" t="s">
        <v>98</v>
      </c>
      <c r="H1464" s="1">
        <v>44748.342893518522</v>
      </c>
      <c r="I1464" s="1">
        <v>44752.342893518522</v>
      </c>
      <c r="J1464" t="s">
        <v>32</v>
      </c>
      <c r="K1464" s="1">
        <v>44763.342893518522</v>
      </c>
      <c r="L1464" t="s">
        <v>57</v>
      </c>
      <c r="N1464" s="4">
        <v>44766.342893518522</v>
      </c>
      <c r="O1464" t="s">
        <v>57</v>
      </c>
      <c r="P1464" s="4">
        <v>44764.342893518522</v>
      </c>
      <c r="Q1464" s="4">
        <v>44766.342893518522</v>
      </c>
      <c r="R1464" s="4">
        <v>44764.342893518522</v>
      </c>
      <c r="S1464" s="4">
        <v>44766.342893518522</v>
      </c>
      <c r="T1464">
        <v>1</v>
      </c>
      <c r="U1464" s="4">
        <v>44767.342893518522</v>
      </c>
      <c r="V1464" s="4">
        <v>44769.342893518522</v>
      </c>
      <c r="W1464" s="4">
        <v>44771.342893518522</v>
      </c>
      <c r="Z1464" s="4">
        <v>44782.342893518522</v>
      </c>
      <c r="AC1464" s="2">
        <f t="shared" si="198"/>
        <v>4</v>
      </c>
      <c r="AD1464" s="2">
        <f t="shared" si="199"/>
        <v>15</v>
      </c>
      <c r="AE1464" s="2">
        <f t="shared" si="200"/>
        <v>11</v>
      </c>
      <c r="AF1464" s="2">
        <f t="shared" si="201"/>
        <v>16</v>
      </c>
      <c r="AG1464" s="2">
        <f t="shared" si="202"/>
        <v>1</v>
      </c>
      <c r="AH1464" s="4">
        <f t="shared" si="203"/>
        <v>44854.342893518522</v>
      </c>
      <c r="AI1464" s="2">
        <f t="shared" si="204"/>
        <v>1</v>
      </c>
      <c r="AJ1464" s="2">
        <f t="shared" si="205"/>
        <v>18</v>
      </c>
      <c r="AK1464" s="2">
        <f t="shared" si="206"/>
        <v>7</v>
      </c>
    </row>
    <row r="1465" spans="1:37" x14ac:dyDescent="0.25">
      <c r="A1465">
        <v>176</v>
      </c>
      <c r="B1465" t="s">
        <v>1614</v>
      </c>
      <c r="C1465" t="s">
        <v>1577</v>
      </c>
      <c r="D1465" t="s">
        <v>1578</v>
      </c>
      <c r="E1465" t="s">
        <v>96</v>
      </c>
      <c r="F1465" t="s">
        <v>1579</v>
      </c>
      <c r="G1465" t="s">
        <v>98</v>
      </c>
      <c r="H1465" s="1">
        <v>45090.370925925927</v>
      </c>
      <c r="I1465" s="1">
        <v>45091.370925925927</v>
      </c>
      <c r="J1465" t="s">
        <v>32</v>
      </c>
      <c r="K1465" s="1">
        <v>45101.370925925927</v>
      </c>
      <c r="L1465" t="s">
        <v>33</v>
      </c>
      <c r="M1465" t="s">
        <v>51</v>
      </c>
      <c r="R1465" s="4">
        <v>45102.370925925927</v>
      </c>
      <c r="T1465">
        <v>0</v>
      </c>
      <c r="Y1465" t="s">
        <v>55</v>
      </c>
      <c r="AC1465" s="2">
        <f t="shared" si="198"/>
        <v>1</v>
      </c>
      <c r="AD1465" s="2">
        <f t="shared" si="199"/>
        <v>11</v>
      </c>
      <c r="AE1465" s="2">
        <f t="shared" si="200"/>
        <v>10</v>
      </c>
      <c r="AF1465" s="2">
        <f t="shared" si="201"/>
        <v>12</v>
      </c>
      <c r="AG1465" s="2">
        <f t="shared" si="202"/>
        <v>1</v>
      </c>
      <c r="AH1465" s="4">
        <f t="shared" si="203"/>
        <v>45192.370925925927</v>
      </c>
      <c r="AI1465" s="2" t="str">
        <f t="shared" si="204"/>
        <v/>
      </c>
      <c r="AJ1465" s="2" t="str">
        <f t="shared" si="205"/>
        <v/>
      </c>
      <c r="AK1465" s="2" t="str">
        <f t="shared" si="206"/>
        <v/>
      </c>
    </row>
    <row r="1466" spans="1:37" x14ac:dyDescent="0.25">
      <c r="A1466">
        <v>171</v>
      </c>
      <c r="B1466" t="s">
        <v>1615</v>
      </c>
      <c r="C1466" t="s">
        <v>1577</v>
      </c>
      <c r="D1466" t="s">
        <v>1578</v>
      </c>
      <c r="E1466" t="s">
        <v>96</v>
      </c>
      <c r="F1466" t="s">
        <v>1579</v>
      </c>
      <c r="G1466" t="s">
        <v>98</v>
      </c>
      <c r="H1466" s="1">
        <v>45092.370925925927</v>
      </c>
      <c r="I1466" s="1">
        <v>45094.370925925927</v>
      </c>
      <c r="J1466" t="s">
        <v>32</v>
      </c>
      <c r="K1466" s="1">
        <v>45106.370925925927</v>
      </c>
      <c r="L1466" t="s">
        <v>33</v>
      </c>
      <c r="M1466" t="s">
        <v>34</v>
      </c>
      <c r="R1466" s="4">
        <v>45109.370925925927</v>
      </c>
      <c r="T1466">
        <v>0</v>
      </c>
      <c r="Y1466" t="s">
        <v>55</v>
      </c>
      <c r="AC1466" s="2">
        <f t="shared" si="198"/>
        <v>2</v>
      </c>
      <c r="AD1466" s="2">
        <f t="shared" si="199"/>
        <v>14</v>
      </c>
      <c r="AE1466" s="2">
        <f t="shared" si="200"/>
        <v>12</v>
      </c>
      <c r="AF1466" s="2">
        <f t="shared" si="201"/>
        <v>17</v>
      </c>
      <c r="AG1466" s="2">
        <f t="shared" si="202"/>
        <v>3</v>
      </c>
      <c r="AH1466" s="4">
        <f t="shared" si="203"/>
        <v>45199.370925925927</v>
      </c>
      <c r="AI1466" s="2" t="str">
        <f t="shared" si="204"/>
        <v/>
      </c>
      <c r="AJ1466" s="2" t="str">
        <f t="shared" si="205"/>
        <v/>
      </c>
      <c r="AK1466" s="2" t="str">
        <f t="shared" si="206"/>
        <v/>
      </c>
    </row>
    <row r="1467" spans="1:37" x14ac:dyDescent="0.25">
      <c r="A1467">
        <v>110</v>
      </c>
      <c r="B1467" t="s">
        <v>1616</v>
      </c>
      <c r="C1467" t="s">
        <v>1577</v>
      </c>
      <c r="D1467" t="s">
        <v>1578</v>
      </c>
      <c r="E1467" t="s">
        <v>96</v>
      </c>
      <c r="F1467" t="s">
        <v>1579</v>
      </c>
      <c r="G1467" t="s">
        <v>98</v>
      </c>
      <c r="H1467" s="1">
        <v>45014.880046296297</v>
      </c>
      <c r="I1467" s="1">
        <v>45018.880046296297</v>
      </c>
      <c r="J1467" t="s">
        <v>32</v>
      </c>
      <c r="K1467" s="1">
        <v>45026.880046296297</v>
      </c>
      <c r="L1467" t="s">
        <v>39</v>
      </c>
      <c r="N1467" s="4">
        <v>45030.880046296297</v>
      </c>
      <c r="O1467" t="s">
        <v>39</v>
      </c>
      <c r="R1467" s="4">
        <v>45029.880046296297</v>
      </c>
      <c r="T1467">
        <v>0</v>
      </c>
      <c r="AC1467" s="2">
        <f t="shared" si="198"/>
        <v>4</v>
      </c>
      <c r="AD1467" s="2">
        <f t="shared" si="199"/>
        <v>12</v>
      </c>
      <c r="AE1467" s="2">
        <f t="shared" si="200"/>
        <v>8</v>
      </c>
      <c r="AF1467" s="2">
        <f t="shared" si="201"/>
        <v>15</v>
      </c>
      <c r="AG1467" s="2">
        <f t="shared" si="202"/>
        <v>3</v>
      </c>
      <c r="AH1467" s="4">
        <f t="shared" si="203"/>
        <v>45119.880046296297</v>
      </c>
      <c r="AI1467" s="2" t="str">
        <f t="shared" si="204"/>
        <v/>
      </c>
      <c r="AJ1467" s="2" t="str">
        <f t="shared" si="205"/>
        <v/>
      </c>
      <c r="AK1467" s="2" t="str">
        <f t="shared" si="206"/>
        <v/>
      </c>
    </row>
    <row r="1468" spans="1:37" x14ac:dyDescent="0.25">
      <c r="A1468">
        <v>109</v>
      </c>
      <c r="B1468" t="s">
        <v>1617</v>
      </c>
      <c r="C1468" t="s">
        <v>1577</v>
      </c>
      <c r="D1468" t="s">
        <v>1578</v>
      </c>
      <c r="E1468" t="s">
        <v>96</v>
      </c>
      <c r="F1468" t="s">
        <v>1579</v>
      </c>
      <c r="G1468" t="s">
        <v>98</v>
      </c>
      <c r="H1468" s="1">
        <v>45009.880046296297</v>
      </c>
      <c r="I1468" s="1">
        <v>45013.880046296297</v>
      </c>
      <c r="J1468" t="s">
        <v>32</v>
      </c>
      <c r="K1468" s="1">
        <v>45025.880046296297</v>
      </c>
      <c r="L1468" t="s">
        <v>39</v>
      </c>
      <c r="N1468" s="4">
        <v>45032.880046296297</v>
      </c>
      <c r="O1468" t="s">
        <v>39</v>
      </c>
      <c r="R1468" s="4">
        <v>45028.880046296297</v>
      </c>
      <c r="T1468">
        <v>0</v>
      </c>
      <c r="AC1468" s="2">
        <f t="shared" si="198"/>
        <v>4</v>
      </c>
      <c r="AD1468" s="2">
        <f t="shared" si="199"/>
        <v>16</v>
      </c>
      <c r="AE1468" s="2">
        <f t="shared" si="200"/>
        <v>12</v>
      </c>
      <c r="AF1468" s="2">
        <f t="shared" si="201"/>
        <v>19</v>
      </c>
      <c r="AG1468" s="2">
        <f t="shared" si="202"/>
        <v>3</v>
      </c>
      <c r="AH1468" s="4">
        <f t="shared" si="203"/>
        <v>45118.880046296297</v>
      </c>
      <c r="AI1468" s="2" t="str">
        <f t="shared" si="204"/>
        <v/>
      </c>
      <c r="AJ1468" s="2" t="str">
        <f t="shared" si="205"/>
        <v/>
      </c>
      <c r="AK1468" s="2" t="str">
        <f t="shared" si="206"/>
        <v/>
      </c>
    </row>
    <row r="1469" spans="1:37" x14ac:dyDescent="0.25">
      <c r="A1469">
        <v>104</v>
      </c>
      <c r="B1469" t="s">
        <v>1618</v>
      </c>
      <c r="C1469" t="s">
        <v>1577</v>
      </c>
      <c r="D1469" t="s">
        <v>1578</v>
      </c>
      <c r="E1469" t="s">
        <v>96</v>
      </c>
      <c r="F1469" t="s">
        <v>1579</v>
      </c>
      <c r="G1469" t="s">
        <v>98</v>
      </c>
      <c r="H1469" s="1">
        <v>45014.880046296297</v>
      </c>
      <c r="I1469" s="1">
        <v>45017.880046296297</v>
      </c>
      <c r="J1469" t="s">
        <v>32</v>
      </c>
      <c r="K1469" s="1">
        <v>45024.880046296297</v>
      </c>
      <c r="L1469" t="s">
        <v>57</v>
      </c>
      <c r="N1469" s="4">
        <v>45030.880046296297</v>
      </c>
      <c r="O1469" t="s">
        <v>57</v>
      </c>
      <c r="P1469" s="4">
        <v>45025.880046296297</v>
      </c>
      <c r="Q1469" s="4">
        <v>45029.880046296297</v>
      </c>
      <c r="R1469" s="4">
        <v>45027.880046296297</v>
      </c>
      <c r="S1469" s="4">
        <v>45028.880046296297</v>
      </c>
      <c r="T1469">
        <v>1</v>
      </c>
      <c r="U1469" s="4">
        <v>45029.880046296297</v>
      </c>
      <c r="V1469" s="4">
        <v>45030.880046296297</v>
      </c>
      <c r="W1469" s="4">
        <v>45032.880046296297</v>
      </c>
      <c r="Z1469" s="4">
        <v>45045.880046296297</v>
      </c>
      <c r="AC1469" s="2">
        <f t="shared" si="198"/>
        <v>3</v>
      </c>
      <c r="AD1469" s="2">
        <f t="shared" si="199"/>
        <v>10</v>
      </c>
      <c r="AE1469" s="2">
        <f t="shared" si="200"/>
        <v>7</v>
      </c>
      <c r="AF1469" s="2">
        <f t="shared" si="201"/>
        <v>13</v>
      </c>
      <c r="AG1469" s="2">
        <f t="shared" si="202"/>
        <v>3</v>
      </c>
      <c r="AH1469" s="4">
        <f t="shared" si="203"/>
        <v>45117.880046296297</v>
      </c>
      <c r="AI1469" s="2">
        <f t="shared" si="204"/>
        <v>1</v>
      </c>
      <c r="AJ1469" s="2">
        <f t="shared" si="205"/>
        <v>18</v>
      </c>
      <c r="AK1469" s="2">
        <f t="shared" si="206"/>
        <v>5</v>
      </c>
    </row>
    <row r="1470" spans="1:37" x14ac:dyDescent="0.25">
      <c r="A1470">
        <v>98</v>
      </c>
      <c r="B1470" t="s">
        <v>1619</v>
      </c>
      <c r="C1470" t="s">
        <v>1577</v>
      </c>
      <c r="D1470" t="s">
        <v>1578</v>
      </c>
      <c r="E1470" t="s">
        <v>96</v>
      </c>
      <c r="F1470" t="s">
        <v>1579</v>
      </c>
      <c r="G1470" t="s">
        <v>98</v>
      </c>
      <c r="H1470" s="1">
        <v>44840.587280092594</v>
      </c>
      <c r="I1470" s="1">
        <v>44841.587280092594</v>
      </c>
      <c r="J1470" t="s">
        <v>32</v>
      </c>
      <c r="K1470" s="1">
        <v>44855.587280092594</v>
      </c>
      <c r="L1470" t="s">
        <v>57</v>
      </c>
      <c r="N1470" s="4">
        <v>44860.587280092594</v>
      </c>
      <c r="O1470" t="s">
        <v>57</v>
      </c>
      <c r="P1470" s="4">
        <v>44857.587280092594</v>
      </c>
      <c r="Q1470" s="4">
        <v>44861.587280092594</v>
      </c>
      <c r="R1470" s="4">
        <v>44858.587280092594</v>
      </c>
      <c r="S1470" s="4">
        <v>44864.587280092594</v>
      </c>
      <c r="T1470">
        <v>1</v>
      </c>
      <c r="U1470" s="4">
        <v>44866.587280092594</v>
      </c>
      <c r="V1470" s="4">
        <v>44868.587280092594</v>
      </c>
      <c r="W1470" s="4">
        <v>44869.587280092594</v>
      </c>
      <c r="Z1470" s="4">
        <v>44888.587280092594</v>
      </c>
      <c r="AC1470" s="2">
        <f t="shared" si="198"/>
        <v>1</v>
      </c>
      <c r="AD1470" s="2">
        <f t="shared" si="199"/>
        <v>15</v>
      </c>
      <c r="AE1470" s="2">
        <f t="shared" si="200"/>
        <v>14</v>
      </c>
      <c r="AF1470" s="2">
        <f t="shared" si="201"/>
        <v>18</v>
      </c>
      <c r="AG1470" s="2">
        <f t="shared" si="202"/>
        <v>3</v>
      </c>
      <c r="AH1470" s="4">
        <f t="shared" si="203"/>
        <v>44948.587280092594</v>
      </c>
      <c r="AI1470" s="2">
        <f t="shared" si="204"/>
        <v>2</v>
      </c>
      <c r="AJ1470" s="2">
        <f t="shared" si="205"/>
        <v>30</v>
      </c>
      <c r="AK1470" s="2">
        <f t="shared" si="206"/>
        <v>11</v>
      </c>
    </row>
    <row r="1471" spans="1:37" x14ac:dyDescent="0.25">
      <c r="A1471">
        <v>94</v>
      </c>
      <c r="B1471" t="s">
        <v>1620</v>
      </c>
      <c r="C1471" t="s">
        <v>1577</v>
      </c>
      <c r="D1471" t="s">
        <v>1578</v>
      </c>
      <c r="E1471" t="s">
        <v>96</v>
      </c>
      <c r="F1471" t="s">
        <v>1579</v>
      </c>
      <c r="G1471" t="s">
        <v>98</v>
      </c>
      <c r="H1471" s="1">
        <v>44842.587280092594</v>
      </c>
      <c r="I1471" s="1">
        <v>44843.587280092594</v>
      </c>
      <c r="J1471" t="s">
        <v>32</v>
      </c>
      <c r="K1471" s="1">
        <v>44850.587280092594</v>
      </c>
      <c r="L1471" t="s">
        <v>164</v>
      </c>
      <c r="N1471" s="4">
        <v>44857.587280092594</v>
      </c>
      <c r="O1471" t="s">
        <v>164</v>
      </c>
      <c r="R1471" s="4">
        <v>44853.587280092594</v>
      </c>
      <c r="T1471">
        <v>0</v>
      </c>
      <c r="AC1471" s="2">
        <f t="shared" si="198"/>
        <v>1</v>
      </c>
      <c r="AD1471" s="2">
        <f t="shared" si="199"/>
        <v>8</v>
      </c>
      <c r="AE1471" s="2">
        <f t="shared" si="200"/>
        <v>7</v>
      </c>
      <c r="AF1471" s="2">
        <f t="shared" si="201"/>
        <v>11</v>
      </c>
      <c r="AG1471" s="2">
        <f t="shared" si="202"/>
        <v>3</v>
      </c>
      <c r="AH1471" s="4">
        <f t="shared" si="203"/>
        <v>44943.587280092594</v>
      </c>
      <c r="AI1471" s="2" t="str">
        <f t="shared" si="204"/>
        <v/>
      </c>
      <c r="AJ1471" s="2" t="str">
        <f t="shared" si="205"/>
        <v/>
      </c>
      <c r="AK1471" s="2" t="str">
        <f t="shared" si="206"/>
        <v/>
      </c>
    </row>
    <row r="1472" spans="1:37" x14ac:dyDescent="0.25">
      <c r="A1472">
        <v>28</v>
      </c>
      <c r="B1472" t="s">
        <v>1621</v>
      </c>
      <c r="C1472" t="s">
        <v>1577</v>
      </c>
      <c r="D1472" t="s">
        <v>1578</v>
      </c>
      <c r="E1472" t="s">
        <v>96</v>
      </c>
      <c r="F1472" t="s">
        <v>1579</v>
      </c>
      <c r="G1472" t="s">
        <v>98</v>
      </c>
      <c r="H1472" s="1">
        <v>44922.453449074077</v>
      </c>
      <c r="I1472" s="1">
        <v>44926.453449074077</v>
      </c>
      <c r="J1472" t="s">
        <v>32</v>
      </c>
      <c r="K1472" s="1">
        <v>44943.453449074077</v>
      </c>
      <c r="L1472" t="s">
        <v>33</v>
      </c>
      <c r="M1472" t="s">
        <v>67</v>
      </c>
      <c r="R1472" s="4">
        <v>44944.453449074077</v>
      </c>
      <c r="T1472">
        <v>0</v>
      </c>
      <c r="Y1472" t="s">
        <v>35</v>
      </c>
      <c r="AC1472" s="2">
        <f t="shared" si="198"/>
        <v>4</v>
      </c>
      <c r="AD1472" s="2">
        <f t="shared" si="199"/>
        <v>21</v>
      </c>
      <c r="AE1472" s="2">
        <f t="shared" si="200"/>
        <v>17</v>
      </c>
      <c r="AF1472" s="2">
        <f t="shared" si="201"/>
        <v>22</v>
      </c>
      <c r="AG1472" s="2">
        <f t="shared" si="202"/>
        <v>1</v>
      </c>
      <c r="AH1472" s="4">
        <f t="shared" si="203"/>
        <v>45034.453449074077</v>
      </c>
      <c r="AI1472" s="2" t="str">
        <f t="shared" si="204"/>
        <v/>
      </c>
      <c r="AJ1472" s="2" t="str">
        <f t="shared" si="205"/>
        <v/>
      </c>
      <c r="AK1472" s="2" t="str">
        <f t="shared" si="206"/>
        <v/>
      </c>
    </row>
    <row r="1473" spans="1:37" x14ac:dyDescent="0.25">
      <c r="A1473">
        <v>22</v>
      </c>
      <c r="B1473" t="s">
        <v>1622</v>
      </c>
      <c r="C1473" t="s">
        <v>1577</v>
      </c>
      <c r="D1473" t="s">
        <v>1578</v>
      </c>
      <c r="E1473" t="s">
        <v>96</v>
      </c>
      <c r="F1473" t="s">
        <v>1579</v>
      </c>
      <c r="G1473" t="s">
        <v>98</v>
      </c>
      <c r="H1473" s="1">
        <v>44922.453449074077</v>
      </c>
      <c r="I1473" s="1">
        <v>44924.453449074077</v>
      </c>
      <c r="J1473" t="s">
        <v>32</v>
      </c>
      <c r="K1473" s="1">
        <v>44938.453449074077</v>
      </c>
      <c r="L1473" t="s">
        <v>33</v>
      </c>
      <c r="M1473" t="s">
        <v>108</v>
      </c>
      <c r="R1473" s="4">
        <v>44939.453449074077</v>
      </c>
      <c r="T1473">
        <v>0</v>
      </c>
      <c r="Y1473" t="s">
        <v>55</v>
      </c>
      <c r="AC1473" s="2">
        <f t="shared" si="198"/>
        <v>2</v>
      </c>
      <c r="AD1473" s="2">
        <f t="shared" si="199"/>
        <v>16</v>
      </c>
      <c r="AE1473" s="2">
        <f t="shared" si="200"/>
        <v>14</v>
      </c>
      <c r="AF1473" s="2">
        <f t="shared" si="201"/>
        <v>17</v>
      </c>
      <c r="AG1473" s="2">
        <f t="shared" si="202"/>
        <v>1</v>
      </c>
      <c r="AH1473" s="4">
        <f t="shared" si="203"/>
        <v>45029.453449074077</v>
      </c>
      <c r="AI1473" s="2" t="str">
        <f t="shared" si="204"/>
        <v/>
      </c>
      <c r="AJ1473" s="2" t="str">
        <f t="shared" si="205"/>
        <v/>
      </c>
      <c r="AK1473" s="2" t="str">
        <f t="shared" si="206"/>
        <v/>
      </c>
    </row>
    <row r="1474" spans="1:37" x14ac:dyDescent="0.25">
      <c r="A1474">
        <v>16</v>
      </c>
      <c r="B1474" t="s">
        <v>1623</v>
      </c>
      <c r="C1474" t="s">
        <v>1577</v>
      </c>
      <c r="D1474" t="s">
        <v>1578</v>
      </c>
      <c r="E1474" t="s">
        <v>96</v>
      </c>
      <c r="F1474" t="s">
        <v>1579</v>
      </c>
      <c r="G1474" t="s">
        <v>98</v>
      </c>
      <c r="H1474" s="1">
        <v>44635.901284722226</v>
      </c>
      <c r="I1474" s="1">
        <v>44638.901284722226</v>
      </c>
      <c r="J1474" t="s">
        <v>32</v>
      </c>
      <c r="K1474" s="1">
        <v>44644.901284722226</v>
      </c>
      <c r="L1474" t="s">
        <v>57</v>
      </c>
      <c r="N1474" s="4">
        <v>44649.901284722226</v>
      </c>
      <c r="O1474" t="s">
        <v>57</v>
      </c>
      <c r="P1474" s="4">
        <v>44645.901284722226</v>
      </c>
      <c r="Q1474" s="4">
        <v>44647.901284722226</v>
      </c>
      <c r="R1474" s="4">
        <v>44647.901284722226</v>
      </c>
      <c r="S1474" s="4">
        <v>44657.901284722226</v>
      </c>
      <c r="T1474">
        <v>1</v>
      </c>
      <c r="U1474" s="4">
        <v>44659.901284722226</v>
      </c>
      <c r="V1474" s="4">
        <v>44660.901284722226</v>
      </c>
      <c r="W1474" s="4">
        <v>44663.901284722226</v>
      </c>
      <c r="Z1474" s="4">
        <v>44680.901284722226</v>
      </c>
      <c r="AC1474" s="2">
        <f t="shared" si="198"/>
        <v>3</v>
      </c>
      <c r="AD1474" s="2">
        <f t="shared" si="199"/>
        <v>9</v>
      </c>
      <c r="AE1474" s="2">
        <f t="shared" si="200"/>
        <v>6</v>
      </c>
      <c r="AF1474" s="2">
        <f t="shared" si="201"/>
        <v>12</v>
      </c>
      <c r="AG1474" s="2">
        <f t="shared" si="202"/>
        <v>3</v>
      </c>
      <c r="AH1474" s="4">
        <f t="shared" si="203"/>
        <v>44737.901284722226</v>
      </c>
      <c r="AI1474" s="2">
        <f t="shared" si="204"/>
        <v>2</v>
      </c>
      <c r="AJ1474" s="2">
        <f t="shared" si="205"/>
        <v>33</v>
      </c>
      <c r="AK1474" s="2">
        <f t="shared" si="206"/>
        <v>16</v>
      </c>
    </row>
    <row r="1475" spans="1:37" x14ac:dyDescent="0.25">
      <c r="A1475">
        <v>14</v>
      </c>
      <c r="B1475" t="s">
        <v>1624</v>
      </c>
      <c r="C1475" t="s">
        <v>1577</v>
      </c>
      <c r="D1475" t="s">
        <v>1578</v>
      </c>
      <c r="E1475" t="s">
        <v>96</v>
      </c>
      <c r="F1475" t="s">
        <v>1579</v>
      </c>
      <c r="G1475" t="s">
        <v>98</v>
      </c>
      <c r="H1475" s="1">
        <v>44638.901284722226</v>
      </c>
      <c r="I1475" s="1">
        <v>44641.901284722226</v>
      </c>
      <c r="J1475" t="s">
        <v>32</v>
      </c>
      <c r="K1475" s="1">
        <v>44649.901284722226</v>
      </c>
      <c r="L1475" t="s">
        <v>33</v>
      </c>
      <c r="M1475" t="s">
        <v>92</v>
      </c>
      <c r="T1475">
        <v>0</v>
      </c>
      <c r="Y1475" t="s">
        <v>35</v>
      </c>
      <c r="AC1475" s="2">
        <f t="shared" ref="AC1475:AC1538" si="207">IF(AND(I1475&lt;&gt;"",H1475&lt;&gt;""), I1475-H1475, "")</f>
        <v>3</v>
      </c>
      <c r="AD1475" s="2">
        <f t="shared" ref="AD1475:AD1538" si="208">IF(AND(K1475&lt;&gt;"",H1475&lt;&gt;""), K1475-H1475, "")</f>
        <v>11</v>
      </c>
      <c r="AE1475" s="2">
        <f t="shared" ref="AE1475:AE1538" si="209">IF(AND(K1475&lt;&gt;"",I1475&lt;&gt;""), K1475-I1475, "")</f>
        <v>8</v>
      </c>
      <c r="AF1475" s="2" t="str">
        <f t="shared" ref="AF1475:AF1538" si="210">IF(AND(R1475&lt;&gt;"",H1475&lt;&gt;""), R1475-H1475, "")</f>
        <v/>
      </c>
      <c r="AG1475" s="2" t="str">
        <f t="shared" ref="AG1475:AG1538" si="211">IF(AND(R1475&lt;&gt;"",K1475&lt;&gt;""), R1475-K1475, "")</f>
        <v/>
      </c>
      <c r="AH1475" s="4" t="str">
        <f t="shared" ref="AH1475:AH1538" si="212">IF(R1475&lt;&gt;"", R1475+90, "")</f>
        <v/>
      </c>
      <c r="AI1475" s="2" t="str">
        <f t="shared" ref="AI1475:AI1538" si="213">IF(AND(U1475&lt;&gt;"",S1475&lt;&gt;""), U1475-S1475, "")</f>
        <v/>
      </c>
      <c r="AJ1475" s="2" t="str">
        <f t="shared" ref="AJ1475:AJ1538" si="214">IF(AND(Z1475&lt;&gt;"",R1475&lt;&gt;""), Z1475-R1475, "")</f>
        <v/>
      </c>
      <c r="AK1475" s="2" t="str">
        <f t="shared" ref="AK1475:AK1538" si="215">IF(AND(W1475&lt;&gt;"",R1475&lt;&gt;""), W1475-R1475, "")</f>
        <v/>
      </c>
    </row>
    <row r="1476" spans="1:37" x14ac:dyDescent="0.25">
      <c r="A1476">
        <v>2850</v>
      </c>
      <c r="B1476" t="s">
        <v>1625</v>
      </c>
      <c r="C1476" t="s">
        <v>1577</v>
      </c>
      <c r="D1476" t="s">
        <v>1626</v>
      </c>
      <c r="E1476" t="s">
        <v>1391</v>
      </c>
      <c r="F1476" t="s">
        <v>1627</v>
      </c>
      <c r="G1476" t="s">
        <v>144</v>
      </c>
      <c r="H1476" s="1">
        <v>44652.443379629629</v>
      </c>
      <c r="I1476" s="1">
        <v>44655.443379629629</v>
      </c>
      <c r="J1476" t="s">
        <v>44</v>
      </c>
      <c r="K1476" s="1"/>
      <c r="T1476">
        <v>0</v>
      </c>
      <c r="AC1476" s="2">
        <f t="shared" si="207"/>
        <v>3</v>
      </c>
      <c r="AD1476" s="2" t="str">
        <f t="shared" si="208"/>
        <v/>
      </c>
      <c r="AE1476" s="2" t="str">
        <f t="shared" si="209"/>
        <v/>
      </c>
      <c r="AF1476" s="2" t="str">
        <f t="shared" si="210"/>
        <v/>
      </c>
      <c r="AG1476" s="2" t="str">
        <f t="shared" si="211"/>
        <v/>
      </c>
      <c r="AH1476" s="4" t="str">
        <f t="shared" si="212"/>
        <v/>
      </c>
      <c r="AI1476" s="2" t="str">
        <f t="shared" si="213"/>
        <v/>
      </c>
      <c r="AJ1476" s="2" t="str">
        <f t="shared" si="214"/>
        <v/>
      </c>
      <c r="AK1476" s="2" t="str">
        <f t="shared" si="215"/>
        <v/>
      </c>
    </row>
    <row r="1477" spans="1:37" x14ac:dyDescent="0.25">
      <c r="A1477">
        <v>2846</v>
      </c>
      <c r="B1477" t="s">
        <v>1628</v>
      </c>
      <c r="C1477" t="s">
        <v>1577</v>
      </c>
      <c r="D1477" t="s">
        <v>1626</v>
      </c>
      <c r="E1477" t="s">
        <v>1391</v>
      </c>
      <c r="F1477" t="s">
        <v>1627</v>
      </c>
      <c r="G1477" t="s">
        <v>144</v>
      </c>
      <c r="H1477" s="1">
        <v>44652.443379629629</v>
      </c>
      <c r="I1477" s="1">
        <v>44655.443379629629</v>
      </c>
      <c r="J1477" t="s">
        <v>32</v>
      </c>
      <c r="K1477" s="1">
        <v>44665.443379629629</v>
      </c>
      <c r="L1477" t="s">
        <v>33</v>
      </c>
      <c r="M1477" t="s">
        <v>51</v>
      </c>
      <c r="T1477">
        <v>0</v>
      </c>
      <c r="Y1477" t="s">
        <v>35</v>
      </c>
      <c r="AC1477" s="2">
        <f t="shared" si="207"/>
        <v>3</v>
      </c>
      <c r="AD1477" s="2">
        <f t="shared" si="208"/>
        <v>13</v>
      </c>
      <c r="AE1477" s="2">
        <f t="shared" si="209"/>
        <v>10</v>
      </c>
      <c r="AF1477" s="2" t="str">
        <f t="shared" si="210"/>
        <v/>
      </c>
      <c r="AG1477" s="2" t="str">
        <f t="shared" si="211"/>
        <v/>
      </c>
      <c r="AH1477" s="4" t="str">
        <f t="shared" si="212"/>
        <v/>
      </c>
      <c r="AI1477" s="2" t="str">
        <f t="shared" si="213"/>
        <v/>
      </c>
      <c r="AJ1477" s="2" t="str">
        <f t="shared" si="214"/>
        <v/>
      </c>
      <c r="AK1477" s="2" t="str">
        <f t="shared" si="215"/>
        <v/>
      </c>
    </row>
    <row r="1478" spans="1:37" x14ac:dyDescent="0.25">
      <c r="A1478">
        <v>2842</v>
      </c>
      <c r="B1478" t="s">
        <v>1629</v>
      </c>
      <c r="C1478" t="s">
        <v>1577</v>
      </c>
      <c r="D1478" t="s">
        <v>1626</v>
      </c>
      <c r="E1478" t="s">
        <v>1391</v>
      </c>
      <c r="F1478" t="s">
        <v>1627</v>
      </c>
      <c r="G1478" t="s">
        <v>144</v>
      </c>
      <c r="H1478" s="1">
        <v>44656.443379629629</v>
      </c>
      <c r="I1478" s="1">
        <v>44657.443379629629</v>
      </c>
      <c r="J1478" t="s">
        <v>32</v>
      </c>
      <c r="K1478" s="1">
        <v>44668.443379629629</v>
      </c>
      <c r="L1478" t="s">
        <v>33</v>
      </c>
      <c r="M1478" t="s">
        <v>34</v>
      </c>
      <c r="T1478">
        <v>0</v>
      </c>
      <c r="Y1478" t="s">
        <v>35</v>
      </c>
      <c r="AC1478" s="2">
        <f t="shared" si="207"/>
        <v>1</v>
      </c>
      <c r="AD1478" s="2">
        <f t="shared" si="208"/>
        <v>12</v>
      </c>
      <c r="AE1478" s="2">
        <f t="shared" si="209"/>
        <v>11</v>
      </c>
      <c r="AF1478" s="2" t="str">
        <f t="shared" si="210"/>
        <v/>
      </c>
      <c r="AG1478" s="2" t="str">
        <f t="shared" si="211"/>
        <v/>
      </c>
      <c r="AH1478" s="4" t="str">
        <f t="shared" si="212"/>
        <v/>
      </c>
      <c r="AI1478" s="2" t="str">
        <f t="shared" si="213"/>
        <v/>
      </c>
      <c r="AJ1478" s="2" t="str">
        <f t="shared" si="214"/>
        <v/>
      </c>
      <c r="AK1478" s="2" t="str">
        <f t="shared" si="215"/>
        <v/>
      </c>
    </row>
    <row r="1479" spans="1:37" x14ac:dyDescent="0.25">
      <c r="A1479">
        <v>2841</v>
      </c>
      <c r="B1479" t="s">
        <v>1630</v>
      </c>
      <c r="C1479" t="s">
        <v>1577</v>
      </c>
      <c r="D1479" t="s">
        <v>1626</v>
      </c>
      <c r="E1479" t="s">
        <v>1391</v>
      </c>
      <c r="F1479" t="s">
        <v>1627</v>
      </c>
      <c r="G1479" t="s">
        <v>144</v>
      </c>
      <c r="H1479" s="1">
        <v>44655.443379629629</v>
      </c>
      <c r="I1479" s="1">
        <v>44657.443379629629</v>
      </c>
      <c r="J1479" t="s">
        <v>44</v>
      </c>
      <c r="K1479" s="1"/>
      <c r="T1479">
        <v>0</v>
      </c>
      <c r="AC1479" s="2">
        <f t="shared" si="207"/>
        <v>2</v>
      </c>
      <c r="AD1479" s="2" t="str">
        <f t="shared" si="208"/>
        <v/>
      </c>
      <c r="AE1479" s="2" t="str">
        <f t="shared" si="209"/>
        <v/>
      </c>
      <c r="AF1479" s="2" t="str">
        <f t="shared" si="210"/>
        <v/>
      </c>
      <c r="AG1479" s="2" t="str">
        <f t="shared" si="211"/>
        <v/>
      </c>
      <c r="AH1479" s="4" t="str">
        <f t="shared" si="212"/>
        <v/>
      </c>
      <c r="AI1479" s="2" t="str">
        <f t="shared" si="213"/>
        <v/>
      </c>
      <c r="AJ1479" s="2" t="str">
        <f t="shared" si="214"/>
        <v/>
      </c>
      <c r="AK1479" s="2" t="str">
        <f t="shared" si="215"/>
        <v/>
      </c>
    </row>
    <row r="1480" spans="1:37" x14ac:dyDescent="0.25">
      <c r="A1480">
        <v>2754</v>
      </c>
      <c r="B1480" t="s">
        <v>1631</v>
      </c>
      <c r="C1480" t="s">
        <v>1577</v>
      </c>
      <c r="D1480" t="s">
        <v>1626</v>
      </c>
      <c r="E1480" t="s">
        <v>1391</v>
      </c>
      <c r="F1480" t="s">
        <v>1627</v>
      </c>
      <c r="G1480" t="s">
        <v>144</v>
      </c>
      <c r="H1480" s="1">
        <v>45026.765081018515</v>
      </c>
      <c r="I1480" s="1">
        <v>45030.765081018515</v>
      </c>
      <c r="J1480" t="s">
        <v>32</v>
      </c>
      <c r="K1480" s="1">
        <v>45048.765081018515</v>
      </c>
      <c r="L1480" t="s">
        <v>33</v>
      </c>
      <c r="M1480" t="s">
        <v>67</v>
      </c>
      <c r="R1480" s="4">
        <v>45052.765081018515</v>
      </c>
      <c r="T1480">
        <v>0</v>
      </c>
      <c r="Y1480" t="s">
        <v>35</v>
      </c>
      <c r="AC1480" s="2">
        <f t="shared" si="207"/>
        <v>4</v>
      </c>
      <c r="AD1480" s="2">
        <f t="shared" si="208"/>
        <v>22</v>
      </c>
      <c r="AE1480" s="2">
        <f t="shared" si="209"/>
        <v>18</v>
      </c>
      <c r="AF1480" s="2">
        <f t="shared" si="210"/>
        <v>26</v>
      </c>
      <c r="AG1480" s="2">
        <f t="shared" si="211"/>
        <v>4</v>
      </c>
      <c r="AH1480" s="4">
        <f t="shared" si="212"/>
        <v>45142.765081018515</v>
      </c>
      <c r="AI1480" s="2" t="str">
        <f t="shared" si="213"/>
        <v/>
      </c>
      <c r="AJ1480" s="2" t="str">
        <f t="shared" si="214"/>
        <v/>
      </c>
      <c r="AK1480" s="2" t="str">
        <f t="shared" si="215"/>
        <v/>
      </c>
    </row>
    <row r="1481" spans="1:37" x14ac:dyDescent="0.25">
      <c r="A1481">
        <v>2753</v>
      </c>
      <c r="B1481" t="s">
        <v>1632</v>
      </c>
      <c r="C1481" t="s">
        <v>1577</v>
      </c>
      <c r="D1481" t="s">
        <v>1626</v>
      </c>
      <c r="E1481" t="s">
        <v>1391</v>
      </c>
      <c r="F1481" t="s">
        <v>1627</v>
      </c>
      <c r="G1481" t="s">
        <v>144</v>
      </c>
      <c r="H1481" s="1">
        <v>45024.765081018515</v>
      </c>
      <c r="I1481" s="1">
        <v>45028.765081018515</v>
      </c>
      <c r="J1481" t="s">
        <v>44</v>
      </c>
      <c r="K1481" s="1"/>
      <c r="T1481">
        <v>0</v>
      </c>
      <c r="AC1481" s="2">
        <f t="shared" si="207"/>
        <v>4</v>
      </c>
      <c r="AD1481" s="2" t="str">
        <f t="shared" si="208"/>
        <v/>
      </c>
      <c r="AE1481" s="2" t="str">
        <f t="shared" si="209"/>
        <v/>
      </c>
      <c r="AF1481" s="2" t="str">
        <f t="shared" si="210"/>
        <v/>
      </c>
      <c r="AG1481" s="2" t="str">
        <f t="shared" si="211"/>
        <v/>
      </c>
      <c r="AH1481" s="4" t="str">
        <f t="shared" si="212"/>
        <v/>
      </c>
      <c r="AI1481" s="2" t="str">
        <f t="shared" si="213"/>
        <v/>
      </c>
      <c r="AJ1481" s="2" t="str">
        <f t="shared" si="214"/>
        <v/>
      </c>
      <c r="AK1481" s="2" t="str">
        <f t="shared" si="215"/>
        <v/>
      </c>
    </row>
    <row r="1482" spans="1:37" x14ac:dyDescent="0.25">
      <c r="A1482">
        <v>2751</v>
      </c>
      <c r="B1482" t="s">
        <v>1633</v>
      </c>
      <c r="C1482" t="s">
        <v>1577</v>
      </c>
      <c r="D1482" t="s">
        <v>1626</v>
      </c>
      <c r="E1482" t="s">
        <v>1391</v>
      </c>
      <c r="F1482" t="s">
        <v>1627</v>
      </c>
      <c r="G1482" t="s">
        <v>144</v>
      </c>
      <c r="H1482" s="1">
        <v>45028.765081018515</v>
      </c>
      <c r="I1482" s="1">
        <v>45029.765081018515</v>
      </c>
      <c r="J1482" t="s">
        <v>32</v>
      </c>
      <c r="K1482" s="1">
        <v>45033.765081018515</v>
      </c>
      <c r="L1482" t="s">
        <v>33</v>
      </c>
      <c r="M1482" t="s">
        <v>67</v>
      </c>
      <c r="R1482" s="4">
        <v>45034.765081018515</v>
      </c>
      <c r="T1482">
        <v>0</v>
      </c>
      <c r="Y1482" t="s">
        <v>55</v>
      </c>
      <c r="AC1482" s="2">
        <f t="shared" si="207"/>
        <v>1</v>
      </c>
      <c r="AD1482" s="2">
        <f t="shared" si="208"/>
        <v>5</v>
      </c>
      <c r="AE1482" s="2">
        <f t="shared" si="209"/>
        <v>4</v>
      </c>
      <c r="AF1482" s="2">
        <f t="shared" si="210"/>
        <v>6</v>
      </c>
      <c r="AG1482" s="2">
        <f t="shared" si="211"/>
        <v>1</v>
      </c>
      <c r="AH1482" s="4">
        <f t="shared" si="212"/>
        <v>45124.765081018515</v>
      </c>
      <c r="AI1482" s="2" t="str">
        <f t="shared" si="213"/>
        <v/>
      </c>
      <c r="AJ1482" s="2" t="str">
        <f t="shared" si="214"/>
        <v/>
      </c>
      <c r="AK1482" s="2" t="str">
        <f t="shared" si="215"/>
        <v/>
      </c>
    </row>
    <row r="1483" spans="1:37" x14ac:dyDescent="0.25">
      <c r="A1483">
        <v>2688</v>
      </c>
      <c r="B1483" t="s">
        <v>1634</v>
      </c>
      <c r="C1483" t="s">
        <v>1577</v>
      </c>
      <c r="D1483" t="s">
        <v>1626</v>
      </c>
      <c r="E1483" t="s">
        <v>1391</v>
      </c>
      <c r="F1483" t="s">
        <v>1627</v>
      </c>
      <c r="G1483" t="s">
        <v>144</v>
      </c>
      <c r="H1483" s="1">
        <v>45137.716412037036</v>
      </c>
      <c r="I1483" s="1">
        <v>45141.716412037036</v>
      </c>
      <c r="J1483" t="s">
        <v>32</v>
      </c>
      <c r="K1483" s="1">
        <v>45151.716412037036</v>
      </c>
      <c r="L1483" t="s">
        <v>39</v>
      </c>
      <c r="N1483" s="4">
        <v>45156.716412037036</v>
      </c>
      <c r="O1483" t="s">
        <v>39</v>
      </c>
      <c r="R1483" s="4">
        <v>45155.716412037036</v>
      </c>
      <c r="T1483">
        <v>0</v>
      </c>
      <c r="AC1483" s="2">
        <f t="shared" si="207"/>
        <v>4</v>
      </c>
      <c r="AD1483" s="2">
        <f t="shared" si="208"/>
        <v>14</v>
      </c>
      <c r="AE1483" s="2">
        <f t="shared" si="209"/>
        <v>10</v>
      </c>
      <c r="AF1483" s="2">
        <f t="shared" si="210"/>
        <v>18</v>
      </c>
      <c r="AG1483" s="2">
        <f t="shared" si="211"/>
        <v>4</v>
      </c>
      <c r="AH1483" s="4">
        <f t="shared" si="212"/>
        <v>45245.716412037036</v>
      </c>
      <c r="AI1483" s="2" t="str">
        <f t="shared" si="213"/>
        <v/>
      </c>
      <c r="AJ1483" s="2" t="str">
        <f t="shared" si="214"/>
        <v/>
      </c>
      <c r="AK1483" s="2" t="str">
        <f t="shared" si="215"/>
        <v/>
      </c>
    </row>
    <row r="1484" spans="1:37" x14ac:dyDescent="0.25">
      <c r="A1484">
        <v>2681</v>
      </c>
      <c r="B1484" t="s">
        <v>1635</v>
      </c>
      <c r="C1484" t="s">
        <v>1577</v>
      </c>
      <c r="D1484" t="s">
        <v>1626</v>
      </c>
      <c r="E1484" t="s">
        <v>1391</v>
      </c>
      <c r="F1484" t="s">
        <v>1627</v>
      </c>
      <c r="G1484" t="s">
        <v>144</v>
      </c>
      <c r="H1484" s="1">
        <v>45139.716412037036</v>
      </c>
      <c r="I1484" s="1">
        <v>45141.716412037036</v>
      </c>
      <c r="J1484" t="s">
        <v>32</v>
      </c>
      <c r="K1484" s="1">
        <v>45150.716412037036</v>
      </c>
      <c r="L1484" t="s">
        <v>164</v>
      </c>
      <c r="N1484" s="4">
        <v>45155.716412037036</v>
      </c>
      <c r="O1484" t="s">
        <v>164</v>
      </c>
      <c r="R1484" s="4">
        <v>45152.716412037036</v>
      </c>
      <c r="T1484">
        <v>0</v>
      </c>
      <c r="AC1484" s="2">
        <f t="shared" si="207"/>
        <v>2</v>
      </c>
      <c r="AD1484" s="2">
        <f t="shared" si="208"/>
        <v>11</v>
      </c>
      <c r="AE1484" s="2">
        <f t="shared" si="209"/>
        <v>9</v>
      </c>
      <c r="AF1484" s="2">
        <f t="shared" si="210"/>
        <v>13</v>
      </c>
      <c r="AG1484" s="2">
        <f t="shared" si="211"/>
        <v>2</v>
      </c>
      <c r="AH1484" s="4">
        <f t="shared" si="212"/>
        <v>45242.716412037036</v>
      </c>
      <c r="AI1484" s="2" t="str">
        <f t="shared" si="213"/>
        <v/>
      </c>
      <c r="AJ1484" s="2" t="str">
        <f t="shared" si="214"/>
        <v/>
      </c>
      <c r="AK1484" s="2" t="str">
        <f t="shared" si="215"/>
        <v/>
      </c>
    </row>
    <row r="1485" spans="1:37" x14ac:dyDescent="0.25">
      <c r="A1485">
        <v>2674</v>
      </c>
      <c r="B1485" t="s">
        <v>1636</v>
      </c>
      <c r="C1485" t="s">
        <v>1577</v>
      </c>
      <c r="D1485" t="s">
        <v>1626</v>
      </c>
      <c r="E1485" t="s">
        <v>1391</v>
      </c>
      <c r="F1485" t="s">
        <v>1627</v>
      </c>
      <c r="G1485" t="s">
        <v>144</v>
      </c>
      <c r="H1485" s="1">
        <v>44601.141087962962</v>
      </c>
      <c r="I1485" s="1">
        <v>44604.141087962962</v>
      </c>
      <c r="J1485" t="s">
        <v>32</v>
      </c>
      <c r="K1485" s="1">
        <v>44622.141087962962</v>
      </c>
      <c r="L1485" t="s">
        <v>33</v>
      </c>
      <c r="M1485" t="s">
        <v>108</v>
      </c>
      <c r="R1485" s="4">
        <v>44626.141087962962</v>
      </c>
      <c r="T1485">
        <v>0</v>
      </c>
      <c r="Y1485" t="s">
        <v>55</v>
      </c>
      <c r="AC1485" s="2">
        <f t="shared" si="207"/>
        <v>3</v>
      </c>
      <c r="AD1485" s="2">
        <f t="shared" si="208"/>
        <v>21</v>
      </c>
      <c r="AE1485" s="2">
        <f t="shared" si="209"/>
        <v>18</v>
      </c>
      <c r="AF1485" s="2">
        <f t="shared" si="210"/>
        <v>25</v>
      </c>
      <c r="AG1485" s="2">
        <f t="shared" si="211"/>
        <v>4</v>
      </c>
      <c r="AH1485" s="4">
        <f t="shared" si="212"/>
        <v>44716.141087962962</v>
      </c>
      <c r="AI1485" s="2" t="str">
        <f t="shared" si="213"/>
        <v/>
      </c>
      <c r="AJ1485" s="2" t="str">
        <f t="shared" si="214"/>
        <v/>
      </c>
      <c r="AK1485" s="2" t="str">
        <f t="shared" si="215"/>
        <v/>
      </c>
    </row>
    <row r="1486" spans="1:37" x14ac:dyDescent="0.25">
      <c r="A1486">
        <v>2671</v>
      </c>
      <c r="B1486" t="s">
        <v>1637</v>
      </c>
      <c r="C1486" t="s">
        <v>1577</v>
      </c>
      <c r="D1486" t="s">
        <v>1626</v>
      </c>
      <c r="E1486" t="s">
        <v>1391</v>
      </c>
      <c r="F1486" t="s">
        <v>1627</v>
      </c>
      <c r="G1486" t="s">
        <v>144</v>
      </c>
      <c r="H1486" s="1">
        <v>44605.141087962962</v>
      </c>
      <c r="I1486" s="1">
        <v>44607.141087962962</v>
      </c>
      <c r="J1486" t="s">
        <v>32</v>
      </c>
      <c r="K1486" s="1">
        <v>44610.141087962962</v>
      </c>
      <c r="L1486" t="s">
        <v>164</v>
      </c>
      <c r="N1486" s="4">
        <v>44612.141087962962</v>
      </c>
      <c r="O1486" t="s">
        <v>164</v>
      </c>
      <c r="R1486" s="4">
        <v>44611.141087962962</v>
      </c>
      <c r="T1486">
        <v>0</v>
      </c>
      <c r="AC1486" s="2">
        <f t="shared" si="207"/>
        <v>2</v>
      </c>
      <c r="AD1486" s="2">
        <f t="shared" si="208"/>
        <v>5</v>
      </c>
      <c r="AE1486" s="2">
        <f t="shared" si="209"/>
        <v>3</v>
      </c>
      <c r="AF1486" s="2">
        <f t="shared" si="210"/>
        <v>6</v>
      </c>
      <c r="AG1486" s="2">
        <f t="shared" si="211"/>
        <v>1</v>
      </c>
      <c r="AH1486" s="4">
        <f t="shared" si="212"/>
        <v>44701.141087962962</v>
      </c>
      <c r="AI1486" s="2" t="str">
        <f t="shared" si="213"/>
        <v/>
      </c>
      <c r="AJ1486" s="2" t="str">
        <f t="shared" si="214"/>
        <v/>
      </c>
      <c r="AK1486" s="2" t="str">
        <f t="shared" si="215"/>
        <v/>
      </c>
    </row>
    <row r="1487" spans="1:37" x14ac:dyDescent="0.25">
      <c r="A1487">
        <v>2545</v>
      </c>
      <c r="B1487" t="s">
        <v>1638</v>
      </c>
      <c r="C1487" t="s">
        <v>1577</v>
      </c>
      <c r="D1487" t="s">
        <v>1626</v>
      </c>
      <c r="E1487" t="s">
        <v>1391</v>
      </c>
      <c r="F1487" t="s">
        <v>1627</v>
      </c>
      <c r="G1487" t="s">
        <v>144</v>
      </c>
      <c r="H1487" s="1">
        <v>45104.479166666664</v>
      </c>
      <c r="I1487" s="1">
        <v>45107.479166666664</v>
      </c>
      <c r="J1487" t="s">
        <v>32</v>
      </c>
      <c r="K1487" s="1">
        <v>45127.479166666664</v>
      </c>
      <c r="L1487" t="s">
        <v>33</v>
      </c>
      <c r="M1487" t="s">
        <v>67</v>
      </c>
      <c r="T1487">
        <v>0</v>
      </c>
      <c r="Y1487" t="s">
        <v>55</v>
      </c>
      <c r="AC1487" s="2">
        <f t="shared" si="207"/>
        <v>3</v>
      </c>
      <c r="AD1487" s="2">
        <f t="shared" si="208"/>
        <v>23</v>
      </c>
      <c r="AE1487" s="2">
        <f t="shared" si="209"/>
        <v>20</v>
      </c>
      <c r="AF1487" s="2" t="str">
        <f t="shared" si="210"/>
        <v/>
      </c>
      <c r="AG1487" s="2" t="str">
        <f t="shared" si="211"/>
        <v/>
      </c>
      <c r="AH1487" s="4" t="str">
        <f t="shared" si="212"/>
        <v/>
      </c>
      <c r="AI1487" s="2" t="str">
        <f t="shared" si="213"/>
        <v/>
      </c>
      <c r="AJ1487" s="2" t="str">
        <f t="shared" si="214"/>
        <v/>
      </c>
      <c r="AK1487" s="2" t="str">
        <f t="shared" si="215"/>
        <v/>
      </c>
    </row>
    <row r="1488" spans="1:37" x14ac:dyDescent="0.25">
      <c r="A1488">
        <v>2541</v>
      </c>
      <c r="B1488" t="s">
        <v>1639</v>
      </c>
      <c r="C1488" t="s">
        <v>1577</v>
      </c>
      <c r="D1488" t="s">
        <v>1626</v>
      </c>
      <c r="E1488" t="s">
        <v>1391</v>
      </c>
      <c r="F1488" t="s">
        <v>1627</v>
      </c>
      <c r="G1488" t="s">
        <v>144</v>
      </c>
      <c r="H1488" s="1">
        <v>45107.479166666664</v>
      </c>
      <c r="I1488" s="1">
        <v>45110.479166666664</v>
      </c>
      <c r="J1488" t="s">
        <v>32</v>
      </c>
      <c r="K1488" s="1">
        <v>45128.479166666664</v>
      </c>
      <c r="L1488" t="s">
        <v>57</v>
      </c>
      <c r="N1488" s="4">
        <v>45132.479166666664</v>
      </c>
      <c r="O1488" t="s">
        <v>57</v>
      </c>
      <c r="P1488" s="4">
        <v>45130.479166666664</v>
      </c>
      <c r="Q1488" s="4">
        <v>45133.479166666664</v>
      </c>
      <c r="R1488" s="4">
        <v>45131.479166666664</v>
      </c>
      <c r="S1488" s="4">
        <v>45139.479166666664</v>
      </c>
      <c r="T1488">
        <v>1</v>
      </c>
      <c r="U1488" s="4">
        <v>45142.479166666664</v>
      </c>
      <c r="V1488" s="4">
        <v>45144.479166666664</v>
      </c>
      <c r="W1488" s="4">
        <v>45145.479166666664</v>
      </c>
      <c r="Z1488" s="4">
        <v>45160.479166666664</v>
      </c>
      <c r="AC1488" s="2">
        <f t="shared" si="207"/>
        <v>3</v>
      </c>
      <c r="AD1488" s="2">
        <f t="shared" si="208"/>
        <v>21</v>
      </c>
      <c r="AE1488" s="2">
        <f t="shared" si="209"/>
        <v>18</v>
      </c>
      <c r="AF1488" s="2">
        <f t="shared" si="210"/>
        <v>24</v>
      </c>
      <c r="AG1488" s="2">
        <f t="shared" si="211"/>
        <v>3</v>
      </c>
      <c r="AH1488" s="4">
        <f t="shared" si="212"/>
        <v>45221.479166666664</v>
      </c>
      <c r="AI1488" s="2">
        <f t="shared" si="213"/>
        <v>3</v>
      </c>
      <c r="AJ1488" s="2">
        <f t="shared" si="214"/>
        <v>29</v>
      </c>
      <c r="AK1488" s="2">
        <f t="shared" si="215"/>
        <v>14</v>
      </c>
    </row>
    <row r="1489" spans="1:37" x14ac:dyDescent="0.25">
      <c r="A1489">
        <v>2479</v>
      </c>
      <c r="B1489" t="s">
        <v>1640</v>
      </c>
      <c r="C1489" t="s">
        <v>1577</v>
      </c>
      <c r="D1489" t="s">
        <v>1626</v>
      </c>
      <c r="E1489" t="s">
        <v>1391</v>
      </c>
      <c r="F1489" t="s">
        <v>1627</v>
      </c>
      <c r="G1489" t="s">
        <v>144</v>
      </c>
      <c r="H1489" s="1">
        <v>44915.430844907409</v>
      </c>
      <c r="I1489" s="1">
        <v>44918.430844907409</v>
      </c>
      <c r="J1489" t="s">
        <v>32</v>
      </c>
      <c r="K1489" s="1">
        <v>44928.430844907409</v>
      </c>
      <c r="L1489" t="s">
        <v>39</v>
      </c>
      <c r="N1489" s="4">
        <v>44934.430844907409</v>
      </c>
      <c r="O1489" t="s">
        <v>39</v>
      </c>
      <c r="R1489" s="4">
        <v>44930.430844907409</v>
      </c>
      <c r="T1489">
        <v>0</v>
      </c>
      <c r="AC1489" s="2">
        <f t="shared" si="207"/>
        <v>3</v>
      </c>
      <c r="AD1489" s="2">
        <f t="shared" si="208"/>
        <v>13</v>
      </c>
      <c r="AE1489" s="2">
        <f t="shared" si="209"/>
        <v>10</v>
      </c>
      <c r="AF1489" s="2">
        <f t="shared" si="210"/>
        <v>15</v>
      </c>
      <c r="AG1489" s="2">
        <f t="shared" si="211"/>
        <v>2</v>
      </c>
      <c r="AH1489" s="4">
        <f t="shared" si="212"/>
        <v>45020.430844907409</v>
      </c>
      <c r="AI1489" s="2" t="str">
        <f t="shared" si="213"/>
        <v/>
      </c>
      <c r="AJ1489" s="2" t="str">
        <f t="shared" si="214"/>
        <v/>
      </c>
      <c r="AK1489" s="2" t="str">
        <f t="shared" si="215"/>
        <v/>
      </c>
    </row>
    <row r="1490" spans="1:37" x14ac:dyDescent="0.25">
      <c r="A1490">
        <v>2471</v>
      </c>
      <c r="B1490" t="s">
        <v>1641</v>
      </c>
      <c r="C1490" t="s">
        <v>1577</v>
      </c>
      <c r="D1490" t="s">
        <v>1626</v>
      </c>
      <c r="E1490" t="s">
        <v>1391</v>
      </c>
      <c r="F1490" t="s">
        <v>1627</v>
      </c>
      <c r="G1490" t="s">
        <v>144</v>
      </c>
      <c r="H1490" s="1">
        <v>44912.430844907409</v>
      </c>
      <c r="I1490" s="1">
        <v>44915.430844907409</v>
      </c>
      <c r="J1490" t="s">
        <v>32</v>
      </c>
      <c r="K1490" s="1">
        <v>44932.430844907409</v>
      </c>
      <c r="L1490" t="s">
        <v>57</v>
      </c>
      <c r="N1490" s="4">
        <v>44936.430844907409</v>
      </c>
      <c r="O1490" t="s">
        <v>57</v>
      </c>
      <c r="P1490" s="4">
        <v>44933.430844907409</v>
      </c>
      <c r="Q1490" s="4">
        <v>44934.430844907409</v>
      </c>
      <c r="R1490" s="4">
        <v>44933.430844907409</v>
      </c>
      <c r="S1490" s="4">
        <v>44943.430844907409</v>
      </c>
      <c r="T1490">
        <v>1</v>
      </c>
      <c r="U1490" s="4">
        <v>44946.430844907409</v>
      </c>
      <c r="V1490" s="4">
        <v>44949.430844907409</v>
      </c>
      <c r="W1490" s="4">
        <v>44952.430844907409</v>
      </c>
      <c r="Z1490" s="4">
        <v>44973.430844907409</v>
      </c>
      <c r="AC1490" s="2">
        <f t="shared" si="207"/>
        <v>3</v>
      </c>
      <c r="AD1490" s="2">
        <f t="shared" si="208"/>
        <v>20</v>
      </c>
      <c r="AE1490" s="2">
        <f t="shared" si="209"/>
        <v>17</v>
      </c>
      <c r="AF1490" s="2">
        <f t="shared" si="210"/>
        <v>21</v>
      </c>
      <c r="AG1490" s="2">
        <f t="shared" si="211"/>
        <v>1</v>
      </c>
      <c r="AH1490" s="4">
        <f t="shared" si="212"/>
        <v>45023.430844907409</v>
      </c>
      <c r="AI1490" s="2">
        <f t="shared" si="213"/>
        <v>3</v>
      </c>
      <c r="AJ1490" s="2">
        <f t="shared" si="214"/>
        <v>40</v>
      </c>
      <c r="AK1490" s="2">
        <f t="shared" si="215"/>
        <v>19</v>
      </c>
    </row>
    <row r="1491" spans="1:37" x14ac:dyDescent="0.25">
      <c r="A1491">
        <v>2355</v>
      </c>
      <c r="B1491" t="s">
        <v>1642</v>
      </c>
      <c r="C1491" t="s">
        <v>1577</v>
      </c>
      <c r="D1491" t="s">
        <v>1626</v>
      </c>
      <c r="E1491" t="s">
        <v>1391</v>
      </c>
      <c r="F1491" t="s">
        <v>1627</v>
      </c>
      <c r="G1491" t="s">
        <v>144</v>
      </c>
      <c r="H1491" s="1">
        <v>45026.526319444441</v>
      </c>
      <c r="I1491" s="1">
        <v>45027.526319444441</v>
      </c>
      <c r="J1491" t="s">
        <v>44</v>
      </c>
      <c r="K1491" s="1"/>
      <c r="T1491">
        <v>0</v>
      </c>
      <c r="AC1491" s="2">
        <f t="shared" si="207"/>
        <v>1</v>
      </c>
      <c r="AD1491" s="2" t="str">
        <f t="shared" si="208"/>
        <v/>
      </c>
      <c r="AE1491" s="2" t="str">
        <f t="shared" si="209"/>
        <v/>
      </c>
      <c r="AF1491" s="2" t="str">
        <f t="shared" si="210"/>
        <v/>
      </c>
      <c r="AG1491" s="2" t="str">
        <f t="shared" si="211"/>
        <v/>
      </c>
      <c r="AH1491" s="4" t="str">
        <f t="shared" si="212"/>
        <v/>
      </c>
      <c r="AI1491" s="2" t="str">
        <f t="shared" si="213"/>
        <v/>
      </c>
      <c r="AJ1491" s="2" t="str">
        <f t="shared" si="214"/>
        <v/>
      </c>
      <c r="AK1491" s="2" t="str">
        <f t="shared" si="215"/>
        <v/>
      </c>
    </row>
    <row r="1492" spans="1:37" x14ac:dyDescent="0.25">
      <c r="A1492">
        <v>2354</v>
      </c>
      <c r="B1492" t="s">
        <v>1643</v>
      </c>
      <c r="C1492" t="s">
        <v>1577</v>
      </c>
      <c r="D1492" t="s">
        <v>1626</v>
      </c>
      <c r="E1492" t="s">
        <v>1391</v>
      </c>
      <c r="F1492" t="s">
        <v>1627</v>
      </c>
      <c r="G1492" t="s">
        <v>144</v>
      </c>
      <c r="H1492" s="1">
        <v>45027.526319444441</v>
      </c>
      <c r="I1492" s="1">
        <v>45031.526319444441</v>
      </c>
      <c r="J1492" t="s">
        <v>32</v>
      </c>
      <c r="K1492" s="1">
        <v>45043.526319444441</v>
      </c>
      <c r="L1492" t="s">
        <v>33</v>
      </c>
      <c r="M1492" t="s">
        <v>92</v>
      </c>
      <c r="R1492" s="4">
        <v>45046.526319444441</v>
      </c>
      <c r="T1492">
        <v>0</v>
      </c>
      <c r="Y1492" t="s">
        <v>55</v>
      </c>
      <c r="AC1492" s="2">
        <f t="shared" si="207"/>
        <v>4</v>
      </c>
      <c r="AD1492" s="2">
        <f t="shared" si="208"/>
        <v>16</v>
      </c>
      <c r="AE1492" s="2">
        <f t="shared" si="209"/>
        <v>12</v>
      </c>
      <c r="AF1492" s="2">
        <f t="shared" si="210"/>
        <v>19</v>
      </c>
      <c r="AG1492" s="2">
        <f t="shared" si="211"/>
        <v>3</v>
      </c>
      <c r="AH1492" s="4">
        <f t="shared" si="212"/>
        <v>45136.526319444441</v>
      </c>
      <c r="AI1492" s="2" t="str">
        <f t="shared" si="213"/>
        <v/>
      </c>
      <c r="AJ1492" s="2" t="str">
        <f t="shared" si="214"/>
        <v/>
      </c>
      <c r="AK1492" s="2" t="str">
        <f t="shared" si="215"/>
        <v/>
      </c>
    </row>
    <row r="1493" spans="1:37" x14ac:dyDescent="0.25">
      <c r="A1493">
        <v>2309</v>
      </c>
      <c r="B1493" t="s">
        <v>1644</v>
      </c>
      <c r="C1493" t="s">
        <v>1577</v>
      </c>
      <c r="D1493" t="s">
        <v>1626</v>
      </c>
      <c r="E1493" t="s">
        <v>1391</v>
      </c>
      <c r="F1493" t="s">
        <v>1627</v>
      </c>
      <c r="G1493" t="s">
        <v>144</v>
      </c>
      <c r="H1493" s="1">
        <v>45099.08085648148</v>
      </c>
      <c r="I1493" s="1">
        <v>45101.08085648148</v>
      </c>
      <c r="J1493" t="s">
        <v>44</v>
      </c>
      <c r="K1493" s="1"/>
      <c r="T1493">
        <v>0</v>
      </c>
      <c r="AC1493" s="2">
        <f t="shared" si="207"/>
        <v>2</v>
      </c>
      <c r="AD1493" s="2" t="str">
        <f t="shared" si="208"/>
        <v/>
      </c>
      <c r="AE1493" s="2" t="str">
        <f t="shared" si="209"/>
        <v/>
      </c>
      <c r="AF1493" s="2" t="str">
        <f t="shared" si="210"/>
        <v/>
      </c>
      <c r="AG1493" s="2" t="str">
        <f t="shared" si="211"/>
        <v/>
      </c>
      <c r="AH1493" s="4" t="str">
        <f t="shared" si="212"/>
        <v/>
      </c>
      <c r="AI1493" s="2" t="str">
        <f t="shared" si="213"/>
        <v/>
      </c>
      <c r="AJ1493" s="2" t="str">
        <f t="shared" si="214"/>
        <v/>
      </c>
      <c r="AK1493" s="2" t="str">
        <f t="shared" si="215"/>
        <v/>
      </c>
    </row>
    <row r="1494" spans="1:37" x14ac:dyDescent="0.25">
      <c r="A1494">
        <v>2283</v>
      </c>
      <c r="B1494" t="s">
        <v>1645</v>
      </c>
      <c r="C1494" t="s">
        <v>1577</v>
      </c>
      <c r="D1494" t="s">
        <v>1626</v>
      </c>
      <c r="E1494" t="s">
        <v>1391</v>
      </c>
      <c r="F1494" t="s">
        <v>1627</v>
      </c>
      <c r="G1494" t="s">
        <v>144</v>
      </c>
      <c r="H1494" s="1">
        <v>44762.489282407405</v>
      </c>
      <c r="I1494" s="1">
        <v>44764.489282407405</v>
      </c>
      <c r="J1494" t="s">
        <v>32</v>
      </c>
      <c r="K1494" s="1">
        <v>44781.489282407405</v>
      </c>
      <c r="L1494" t="s">
        <v>57</v>
      </c>
      <c r="N1494" s="4">
        <v>44785.489282407405</v>
      </c>
      <c r="O1494" t="s">
        <v>57</v>
      </c>
      <c r="P1494" s="4">
        <v>44782.489282407405</v>
      </c>
      <c r="Q1494" s="4">
        <v>44785.489282407405</v>
      </c>
      <c r="R1494" s="4">
        <v>44783.489282407405</v>
      </c>
      <c r="S1494" s="4">
        <v>44793.489282407405</v>
      </c>
      <c r="T1494">
        <v>1</v>
      </c>
      <c r="U1494" s="4">
        <v>44795.489282407405</v>
      </c>
      <c r="V1494" s="4">
        <v>44796.489282407405</v>
      </c>
      <c r="W1494" s="4">
        <v>44799.489282407405</v>
      </c>
      <c r="Z1494" s="4">
        <v>44818.489282407405</v>
      </c>
      <c r="AC1494" s="2">
        <f t="shared" si="207"/>
        <v>2</v>
      </c>
      <c r="AD1494" s="2">
        <f t="shared" si="208"/>
        <v>19</v>
      </c>
      <c r="AE1494" s="2">
        <f t="shared" si="209"/>
        <v>17</v>
      </c>
      <c r="AF1494" s="2">
        <f t="shared" si="210"/>
        <v>21</v>
      </c>
      <c r="AG1494" s="2">
        <f t="shared" si="211"/>
        <v>2</v>
      </c>
      <c r="AH1494" s="4">
        <f t="shared" si="212"/>
        <v>44873.489282407405</v>
      </c>
      <c r="AI1494" s="2">
        <f t="shared" si="213"/>
        <v>2</v>
      </c>
      <c r="AJ1494" s="2">
        <f t="shared" si="214"/>
        <v>35</v>
      </c>
      <c r="AK1494" s="2">
        <f t="shared" si="215"/>
        <v>16</v>
      </c>
    </row>
    <row r="1495" spans="1:37" x14ac:dyDescent="0.25">
      <c r="A1495">
        <v>2234</v>
      </c>
      <c r="B1495" t="s">
        <v>1646</v>
      </c>
      <c r="C1495" t="s">
        <v>1577</v>
      </c>
      <c r="D1495" t="s">
        <v>1626</v>
      </c>
      <c r="E1495" t="s">
        <v>1391</v>
      </c>
      <c r="F1495" t="s">
        <v>1627</v>
      </c>
      <c r="G1495" t="s">
        <v>144</v>
      </c>
      <c r="H1495" s="1">
        <v>45034.959444444445</v>
      </c>
      <c r="I1495" s="1">
        <v>45035.959444444445</v>
      </c>
      <c r="J1495" t="s">
        <v>44</v>
      </c>
      <c r="K1495" s="1"/>
      <c r="T1495">
        <v>0</v>
      </c>
      <c r="AC1495" s="2">
        <f t="shared" si="207"/>
        <v>1</v>
      </c>
      <c r="AD1495" s="2" t="str">
        <f t="shared" si="208"/>
        <v/>
      </c>
      <c r="AE1495" s="2" t="str">
        <f t="shared" si="209"/>
        <v/>
      </c>
      <c r="AF1495" s="2" t="str">
        <f t="shared" si="210"/>
        <v/>
      </c>
      <c r="AG1495" s="2" t="str">
        <f t="shared" si="211"/>
        <v/>
      </c>
      <c r="AH1495" s="4" t="str">
        <f t="shared" si="212"/>
        <v/>
      </c>
      <c r="AI1495" s="2" t="str">
        <f t="shared" si="213"/>
        <v/>
      </c>
      <c r="AJ1495" s="2" t="str">
        <f t="shared" si="214"/>
        <v/>
      </c>
      <c r="AK1495" s="2" t="str">
        <f t="shared" si="215"/>
        <v/>
      </c>
    </row>
    <row r="1496" spans="1:37" x14ac:dyDescent="0.25">
      <c r="A1496">
        <v>2224</v>
      </c>
      <c r="B1496" t="s">
        <v>1647</v>
      </c>
      <c r="C1496" t="s">
        <v>1577</v>
      </c>
      <c r="D1496" t="s">
        <v>1626</v>
      </c>
      <c r="E1496" t="s">
        <v>1391</v>
      </c>
      <c r="F1496" t="s">
        <v>1627</v>
      </c>
      <c r="G1496" t="s">
        <v>144</v>
      </c>
      <c r="H1496" s="1">
        <v>45157.534872685188</v>
      </c>
      <c r="I1496" s="1">
        <v>45160.534872685188</v>
      </c>
      <c r="J1496" t="s">
        <v>32</v>
      </c>
      <c r="K1496" s="1">
        <v>45173.534872685188</v>
      </c>
      <c r="L1496" t="s">
        <v>33</v>
      </c>
      <c r="M1496" t="s">
        <v>34</v>
      </c>
      <c r="T1496">
        <v>0</v>
      </c>
      <c r="Y1496" t="s">
        <v>55</v>
      </c>
      <c r="AC1496" s="2">
        <f t="shared" si="207"/>
        <v>3</v>
      </c>
      <c r="AD1496" s="2">
        <f t="shared" si="208"/>
        <v>16</v>
      </c>
      <c r="AE1496" s="2">
        <f t="shared" si="209"/>
        <v>13</v>
      </c>
      <c r="AF1496" s="2" t="str">
        <f t="shared" si="210"/>
        <v/>
      </c>
      <c r="AG1496" s="2" t="str">
        <f t="shared" si="211"/>
        <v/>
      </c>
      <c r="AH1496" s="4" t="str">
        <f t="shared" si="212"/>
        <v/>
      </c>
      <c r="AI1496" s="2" t="str">
        <f t="shared" si="213"/>
        <v/>
      </c>
      <c r="AJ1496" s="2" t="str">
        <f t="shared" si="214"/>
        <v/>
      </c>
      <c r="AK1496" s="2" t="str">
        <f t="shared" si="215"/>
        <v/>
      </c>
    </row>
    <row r="1497" spans="1:37" x14ac:dyDescent="0.25">
      <c r="A1497">
        <v>2171</v>
      </c>
      <c r="B1497" t="s">
        <v>1648</v>
      </c>
      <c r="C1497" t="s">
        <v>1577</v>
      </c>
      <c r="D1497" t="s">
        <v>1626</v>
      </c>
      <c r="E1497" t="s">
        <v>1391</v>
      </c>
      <c r="F1497" t="s">
        <v>1627</v>
      </c>
      <c r="G1497" t="s">
        <v>144</v>
      </c>
      <c r="H1497" s="1">
        <v>44753.601967592593</v>
      </c>
      <c r="I1497" s="1">
        <v>44757.601967592593</v>
      </c>
      <c r="J1497" t="s">
        <v>32</v>
      </c>
      <c r="K1497" s="1">
        <v>44762.601967592593</v>
      </c>
      <c r="L1497" t="s">
        <v>33</v>
      </c>
      <c r="M1497" t="s">
        <v>67</v>
      </c>
      <c r="R1497" s="4">
        <v>44763.601967592593</v>
      </c>
      <c r="T1497">
        <v>0</v>
      </c>
      <c r="Y1497" t="s">
        <v>35</v>
      </c>
      <c r="AC1497" s="2">
        <f t="shared" si="207"/>
        <v>4</v>
      </c>
      <c r="AD1497" s="2">
        <f t="shared" si="208"/>
        <v>9</v>
      </c>
      <c r="AE1497" s="2">
        <f t="shared" si="209"/>
        <v>5</v>
      </c>
      <c r="AF1497" s="2">
        <f t="shared" si="210"/>
        <v>10</v>
      </c>
      <c r="AG1497" s="2">
        <f t="shared" si="211"/>
        <v>1</v>
      </c>
      <c r="AH1497" s="4">
        <f t="shared" si="212"/>
        <v>44853.601967592593</v>
      </c>
      <c r="AI1497" s="2" t="str">
        <f t="shared" si="213"/>
        <v/>
      </c>
      <c r="AJ1497" s="2" t="str">
        <f t="shared" si="214"/>
        <v/>
      </c>
      <c r="AK1497" s="2" t="str">
        <f t="shared" si="215"/>
        <v/>
      </c>
    </row>
    <row r="1498" spans="1:37" x14ac:dyDescent="0.25">
      <c r="A1498">
        <v>2088</v>
      </c>
      <c r="B1498" t="s">
        <v>1649</v>
      </c>
      <c r="C1498" t="s">
        <v>1577</v>
      </c>
      <c r="D1498" t="s">
        <v>1626</v>
      </c>
      <c r="E1498" t="s">
        <v>1391</v>
      </c>
      <c r="F1498" t="s">
        <v>1627</v>
      </c>
      <c r="G1498" t="s">
        <v>144</v>
      </c>
      <c r="H1498" s="1">
        <v>44834.879004629627</v>
      </c>
      <c r="I1498" s="1">
        <v>44835.879004629627</v>
      </c>
      <c r="J1498" t="s">
        <v>32</v>
      </c>
      <c r="K1498" s="1">
        <v>44855.879004629627</v>
      </c>
      <c r="L1498" t="s">
        <v>33</v>
      </c>
      <c r="M1498" t="s">
        <v>67</v>
      </c>
      <c r="R1498" s="4">
        <v>44857.879004629627</v>
      </c>
      <c r="T1498">
        <v>0</v>
      </c>
      <c r="Y1498" t="s">
        <v>35</v>
      </c>
      <c r="AC1498" s="2">
        <f t="shared" si="207"/>
        <v>1</v>
      </c>
      <c r="AD1498" s="2">
        <f t="shared" si="208"/>
        <v>21</v>
      </c>
      <c r="AE1498" s="2">
        <f t="shared" si="209"/>
        <v>20</v>
      </c>
      <c r="AF1498" s="2">
        <f t="shared" si="210"/>
        <v>23</v>
      </c>
      <c r="AG1498" s="2">
        <f t="shared" si="211"/>
        <v>2</v>
      </c>
      <c r="AH1498" s="4">
        <f t="shared" si="212"/>
        <v>44947.879004629627</v>
      </c>
      <c r="AI1498" s="2" t="str">
        <f t="shared" si="213"/>
        <v/>
      </c>
      <c r="AJ1498" s="2" t="str">
        <f t="shared" si="214"/>
        <v/>
      </c>
      <c r="AK1498" s="2" t="str">
        <f t="shared" si="215"/>
        <v/>
      </c>
    </row>
    <row r="1499" spans="1:37" x14ac:dyDescent="0.25">
      <c r="A1499">
        <v>2023</v>
      </c>
      <c r="B1499" t="s">
        <v>1650</v>
      </c>
      <c r="C1499" t="s">
        <v>1577</v>
      </c>
      <c r="D1499" t="s">
        <v>1626</v>
      </c>
      <c r="E1499" t="s">
        <v>1391</v>
      </c>
      <c r="F1499" t="s">
        <v>1627</v>
      </c>
      <c r="G1499" t="s">
        <v>144</v>
      </c>
      <c r="H1499" s="1">
        <v>44783.679872685185</v>
      </c>
      <c r="I1499" s="1">
        <v>44784.679872685185</v>
      </c>
      <c r="J1499" t="s">
        <v>32</v>
      </c>
      <c r="K1499" s="1">
        <v>44803.679872685185</v>
      </c>
      <c r="L1499" t="s">
        <v>33</v>
      </c>
      <c r="M1499" t="s">
        <v>108</v>
      </c>
      <c r="T1499">
        <v>0</v>
      </c>
      <c r="Y1499" t="s">
        <v>35</v>
      </c>
      <c r="AC1499" s="2">
        <f t="shared" si="207"/>
        <v>1</v>
      </c>
      <c r="AD1499" s="2">
        <f t="shared" si="208"/>
        <v>20</v>
      </c>
      <c r="AE1499" s="2">
        <f t="shared" si="209"/>
        <v>19</v>
      </c>
      <c r="AF1499" s="2" t="str">
        <f t="shared" si="210"/>
        <v/>
      </c>
      <c r="AG1499" s="2" t="str">
        <f t="shared" si="211"/>
        <v/>
      </c>
      <c r="AH1499" s="4" t="str">
        <f t="shared" si="212"/>
        <v/>
      </c>
      <c r="AI1499" s="2" t="str">
        <f t="shared" si="213"/>
        <v/>
      </c>
      <c r="AJ1499" s="2" t="str">
        <f t="shared" si="214"/>
        <v/>
      </c>
      <c r="AK1499" s="2" t="str">
        <f t="shared" si="215"/>
        <v/>
      </c>
    </row>
    <row r="1500" spans="1:37" x14ac:dyDescent="0.25">
      <c r="A1500">
        <v>2000</v>
      </c>
      <c r="B1500" t="s">
        <v>1651</v>
      </c>
      <c r="C1500" t="s">
        <v>1577</v>
      </c>
      <c r="D1500" t="s">
        <v>1626</v>
      </c>
      <c r="E1500" t="s">
        <v>1391</v>
      </c>
      <c r="F1500" t="s">
        <v>1627</v>
      </c>
      <c r="G1500" t="s">
        <v>144</v>
      </c>
      <c r="H1500" s="1">
        <v>45015.653923611113</v>
      </c>
      <c r="I1500" s="1">
        <v>45018.653923611113</v>
      </c>
      <c r="J1500" t="s">
        <v>32</v>
      </c>
      <c r="K1500" s="1">
        <v>45028.653923611113</v>
      </c>
      <c r="L1500" t="s">
        <v>57</v>
      </c>
      <c r="N1500" s="4">
        <v>45033.653923611113</v>
      </c>
      <c r="O1500" t="s">
        <v>57</v>
      </c>
      <c r="P1500" s="4">
        <v>45029.653923611113</v>
      </c>
      <c r="Q1500" s="4">
        <v>45031.653923611113</v>
      </c>
      <c r="R1500" s="4">
        <v>45031.653923611113</v>
      </c>
      <c r="S1500" s="4">
        <v>45032.653923611113</v>
      </c>
      <c r="T1500">
        <v>1</v>
      </c>
      <c r="U1500" s="4">
        <v>45035.653923611113</v>
      </c>
      <c r="V1500" s="4">
        <v>45037.653923611113</v>
      </c>
      <c r="W1500" s="4">
        <v>45039.653923611113</v>
      </c>
      <c r="Z1500" s="4">
        <v>45056.653923611113</v>
      </c>
      <c r="AC1500" s="2">
        <f t="shared" si="207"/>
        <v>3</v>
      </c>
      <c r="AD1500" s="2">
        <f t="shared" si="208"/>
        <v>13</v>
      </c>
      <c r="AE1500" s="2">
        <f t="shared" si="209"/>
        <v>10</v>
      </c>
      <c r="AF1500" s="2">
        <f t="shared" si="210"/>
        <v>16</v>
      </c>
      <c r="AG1500" s="2">
        <f t="shared" si="211"/>
        <v>3</v>
      </c>
      <c r="AH1500" s="4">
        <f t="shared" si="212"/>
        <v>45121.653923611113</v>
      </c>
      <c r="AI1500" s="2">
        <f t="shared" si="213"/>
        <v>3</v>
      </c>
      <c r="AJ1500" s="2">
        <f t="shared" si="214"/>
        <v>25</v>
      </c>
      <c r="AK1500" s="2">
        <f t="shared" si="215"/>
        <v>8</v>
      </c>
    </row>
    <row r="1501" spans="1:37" x14ac:dyDescent="0.25">
      <c r="A1501">
        <v>1998</v>
      </c>
      <c r="B1501" t="s">
        <v>1652</v>
      </c>
      <c r="C1501" t="s">
        <v>1577</v>
      </c>
      <c r="D1501" t="s">
        <v>1626</v>
      </c>
      <c r="E1501" t="s">
        <v>1391</v>
      </c>
      <c r="F1501" t="s">
        <v>1627</v>
      </c>
      <c r="G1501" t="s">
        <v>144</v>
      </c>
      <c r="H1501" s="1">
        <v>45017.653923611113</v>
      </c>
      <c r="I1501" s="1">
        <v>45019.653923611113</v>
      </c>
      <c r="J1501" t="s">
        <v>32</v>
      </c>
      <c r="K1501" s="1">
        <v>45023.653923611113</v>
      </c>
      <c r="L1501" t="s">
        <v>33</v>
      </c>
      <c r="M1501" t="s">
        <v>67</v>
      </c>
      <c r="T1501">
        <v>0</v>
      </c>
      <c r="Y1501" t="s">
        <v>35</v>
      </c>
      <c r="AC1501" s="2">
        <f t="shared" si="207"/>
        <v>2</v>
      </c>
      <c r="AD1501" s="2">
        <f t="shared" si="208"/>
        <v>6</v>
      </c>
      <c r="AE1501" s="2">
        <f t="shared" si="209"/>
        <v>4</v>
      </c>
      <c r="AF1501" s="2" t="str">
        <f t="shared" si="210"/>
        <v/>
      </c>
      <c r="AG1501" s="2" t="str">
        <f t="shared" si="211"/>
        <v/>
      </c>
      <c r="AH1501" s="4" t="str">
        <f t="shared" si="212"/>
        <v/>
      </c>
      <c r="AI1501" s="2" t="str">
        <f t="shared" si="213"/>
        <v/>
      </c>
      <c r="AJ1501" s="2" t="str">
        <f t="shared" si="214"/>
        <v/>
      </c>
      <c r="AK1501" s="2" t="str">
        <f t="shared" si="215"/>
        <v/>
      </c>
    </row>
    <row r="1502" spans="1:37" x14ac:dyDescent="0.25">
      <c r="A1502">
        <v>1997</v>
      </c>
      <c r="B1502" t="s">
        <v>1653</v>
      </c>
      <c r="C1502" t="s">
        <v>1577</v>
      </c>
      <c r="D1502" t="s">
        <v>1626</v>
      </c>
      <c r="E1502" t="s">
        <v>1391</v>
      </c>
      <c r="F1502" t="s">
        <v>1627</v>
      </c>
      <c r="G1502" t="s">
        <v>144</v>
      </c>
      <c r="H1502" s="1">
        <v>45013.653923611113</v>
      </c>
      <c r="I1502" s="1">
        <v>45017.653923611113</v>
      </c>
      <c r="J1502" t="s">
        <v>44</v>
      </c>
      <c r="K1502" s="1"/>
      <c r="T1502">
        <v>0</v>
      </c>
      <c r="AC1502" s="2">
        <f t="shared" si="207"/>
        <v>4</v>
      </c>
      <c r="AD1502" s="2" t="str">
        <f t="shared" si="208"/>
        <v/>
      </c>
      <c r="AE1502" s="2" t="str">
        <f t="shared" si="209"/>
        <v/>
      </c>
      <c r="AF1502" s="2" t="str">
        <f t="shared" si="210"/>
        <v/>
      </c>
      <c r="AG1502" s="2" t="str">
        <f t="shared" si="211"/>
        <v/>
      </c>
      <c r="AH1502" s="4" t="str">
        <f t="shared" si="212"/>
        <v/>
      </c>
      <c r="AI1502" s="2" t="str">
        <f t="shared" si="213"/>
        <v/>
      </c>
      <c r="AJ1502" s="2" t="str">
        <f t="shared" si="214"/>
        <v/>
      </c>
      <c r="AK1502" s="2" t="str">
        <f t="shared" si="215"/>
        <v/>
      </c>
    </row>
    <row r="1503" spans="1:37" x14ac:dyDescent="0.25">
      <c r="A1503">
        <v>1995</v>
      </c>
      <c r="B1503" t="s">
        <v>1654</v>
      </c>
      <c r="C1503" t="s">
        <v>1577</v>
      </c>
      <c r="D1503" t="s">
        <v>1626</v>
      </c>
      <c r="E1503" t="s">
        <v>1391</v>
      </c>
      <c r="F1503" t="s">
        <v>1627</v>
      </c>
      <c r="G1503" t="s">
        <v>144</v>
      </c>
      <c r="H1503" s="1">
        <v>45018.653923611113</v>
      </c>
      <c r="I1503" s="1">
        <v>45019.653923611113</v>
      </c>
      <c r="J1503" t="s">
        <v>32</v>
      </c>
      <c r="K1503" s="1">
        <v>45037.653923611113</v>
      </c>
      <c r="L1503" t="s">
        <v>164</v>
      </c>
      <c r="N1503" s="4">
        <v>45042.653923611113</v>
      </c>
      <c r="O1503" t="s">
        <v>164</v>
      </c>
      <c r="R1503" s="4">
        <v>45038.653923611113</v>
      </c>
      <c r="T1503">
        <v>0</v>
      </c>
      <c r="AC1503" s="2">
        <f t="shared" si="207"/>
        <v>1</v>
      </c>
      <c r="AD1503" s="2">
        <f t="shared" si="208"/>
        <v>19</v>
      </c>
      <c r="AE1503" s="2">
        <f t="shared" si="209"/>
        <v>18</v>
      </c>
      <c r="AF1503" s="2">
        <f t="shared" si="210"/>
        <v>20</v>
      </c>
      <c r="AG1503" s="2">
        <f t="shared" si="211"/>
        <v>1</v>
      </c>
      <c r="AH1503" s="4">
        <f t="shared" si="212"/>
        <v>45128.653923611113</v>
      </c>
      <c r="AI1503" s="2" t="str">
        <f t="shared" si="213"/>
        <v/>
      </c>
      <c r="AJ1503" s="2" t="str">
        <f t="shared" si="214"/>
        <v/>
      </c>
      <c r="AK1503" s="2" t="str">
        <f t="shared" si="215"/>
        <v/>
      </c>
    </row>
    <row r="1504" spans="1:37" x14ac:dyDescent="0.25">
      <c r="A1504">
        <v>1993</v>
      </c>
      <c r="B1504" t="s">
        <v>1655</v>
      </c>
      <c r="C1504" t="s">
        <v>1577</v>
      </c>
      <c r="D1504" t="s">
        <v>1626</v>
      </c>
      <c r="E1504" t="s">
        <v>1391</v>
      </c>
      <c r="F1504" t="s">
        <v>1627</v>
      </c>
      <c r="G1504" t="s">
        <v>144</v>
      </c>
      <c r="H1504" s="1">
        <v>45014.653923611113</v>
      </c>
      <c r="I1504" s="1">
        <v>45016.653923611113</v>
      </c>
      <c r="J1504" t="s">
        <v>32</v>
      </c>
      <c r="K1504" s="1">
        <v>45030.653923611113</v>
      </c>
      <c r="L1504" t="s">
        <v>33</v>
      </c>
      <c r="M1504" t="s">
        <v>34</v>
      </c>
      <c r="R1504" s="4">
        <v>45033.653923611113</v>
      </c>
      <c r="T1504">
        <v>0</v>
      </c>
      <c r="Y1504" t="s">
        <v>55</v>
      </c>
      <c r="AC1504" s="2">
        <f t="shared" si="207"/>
        <v>2</v>
      </c>
      <c r="AD1504" s="2">
        <f t="shared" si="208"/>
        <v>16</v>
      </c>
      <c r="AE1504" s="2">
        <f t="shared" si="209"/>
        <v>14</v>
      </c>
      <c r="AF1504" s="2">
        <f t="shared" si="210"/>
        <v>19</v>
      </c>
      <c r="AG1504" s="2">
        <f t="shared" si="211"/>
        <v>3</v>
      </c>
      <c r="AH1504" s="4">
        <f t="shared" si="212"/>
        <v>45123.653923611113</v>
      </c>
      <c r="AI1504" s="2" t="str">
        <f t="shared" si="213"/>
        <v/>
      </c>
      <c r="AJ1504" s="2" t="str">
        <f t="shared" si="214"/>
        <v/>
      </c>
      <c r="AK1504" s="2" t="str">
        <f t="shared" si="215"/>
        <v/>
      </c>
    </row>
    <row r="1505" spans="1:37" x14ac:dyDescent="0.25">
      <c r="A1505">
        <v>1870</v>
      </c>
      <c r="B1505" t="s">
        <v>1656</v>
      </c>
      <c r="C1505" t="s">
        <v>1577</v>
      </c>
      <c r="D1505" t="s">
        <v>1626</v>
      </c>
      <c r="E1505" t="s">
        <v>1391</v>
      </c>
      <c r="F1505" t="s">
        <v>1627</v>
      </c>
      <c r="G1505" t="s">
        <v>144</v>
      </c>
      <c r="H1505" s="1">
        <v>44641.350624999999</v>
      </c>
      <c r="I1505" s="1">
        <v>44644.350624999999</v>
      </c>
      <c r="J1505" t="s">
        <v>32</v>
      </c>
      <c r="K1505" s="1">
        <v>44650.350624999999</v>
      </c>
      <c r="L1505" t="s">
        <v>33</v>
      </c>
      <c r="M1505" t="s">
        <v>108</v>
      </c>
      <c r="R1505" s="4">
        <v>44654.350624999999</v>
      </c>
      <c r="T1505">
        <v>0</v>
      </c>
      <c r="Y1505" t="s">
        <v>55</v>
      </c>
      <c r="AC1505" s="2">
        <f t="shared" si="207"/>
        <v>3</v>
      </c>
      <c r="AD1505" s="2">
        <f t="shared" si="208"/>
        <v>9</v>
      </c>
      <c r="AE1505" s="2">
        <f t="shared" si="209"/>
        <v>6</v>
      </c>
      <c r="AF1505" s="2">
        <f t="shared" si="210"/>
        <v>13</v>
      </c>
      <c r="AG1505" s="2">
        <f t="shared" si="211"/>
        <v>4</v>
      </c>
      <c r="AH1505" s="4">
        <f t="shared" si="212"/>
        <v>44744.350624999999</v>
      </c>
      <c r="AI1505" s="2" t="str">
        <f t="shared" si="213"/>
        <v/>
      </c>
      <c r="AJ1505" s="2" t="str">
        <f t="shared" si="214"/>
        <v/>
      </c>
      <c r="AK1505" s="2" t="str">
        <f t="shared" si="215"/>
        <v/>
      </c>
    </row>
    <row r="1506" spans="1:37" x14ac:dyDescent="0.25">
      <c r="A1506">
        <v>1866</v>
      </c>
      <c r="B1506" t="s">
        <v>1657</v>
      </c>
      <c r="C1506" t="s">
        <v>1577</v>
      </c>
      <c r="D1506" t="s">
        <v>1626</v>
      </c>
      <c r="E1506" t="s">
        <v>1391</v>
      </c>
      <c r="F1506" t="s">
        <v>1627</v>
      </c>
      <c r="G1506" t="s">
        <v>144</v>
      </c>
      <c r="H1506" s="1">
        <v>44643.350624999999</v>
      </c>
      <c r="I1506" s="1">
        <v>44644.350624999999</v>
      </c>
      <c r="J1506" t="s">
        <v>32</v>
      </c>
      <c r="K1506" s="1">
        <v>44650.350624999999</v>
      </c>
      <c r="L1506" t="s">
        <v>57</v>
      </c>
      <c r="N1506" s="4">
        <v>44654.350624999999</v>
      </c>
      <c r="O1506" t="s">
        <v>57</v>
      </c>
      <c r="P1506" s="4">
        <v>44651.350624999999</v>
      </c>
      <c r="Q1506" s="4">
        <v>44653.350624999999</v>
      </c>
      <c r="R1506" s="4">
        <v>44651.350624999999</v>
      </c>
      <c r="S1506" s="4">
        <v>44660.350624999999</v>
      </c>
      <c r="T1506">
        <v>1</v>
      </c>
      <c r="U1506" s="4">
        <v>44661.350624999999</v>
      </c>
      <c r="V1506" s="4">
        <v>44662.350624999999</v>
      </c>
      <c r="W1506" s="4">
        <v>44663.350624999999</v>
      </c>
      <c r="Z1506" s="4">
        <v>44685.350624999999</v>
      </c>
      <c r="AC1506" s="2">
        <f t="shared" si="207"/>
        <v>1</v>
      </c>
      <c r="AD1506" s="2">
        <f t="shared" si="208"/>
        <v>7</v>
      </c>
      <c r="AE1506" s="2">
        <f t="shared" si="209"/>
        <v>6</v>
      </c>
      <c r="AF1506" s="2">
        <f t="shared" si="210"/>
        <v>8</v>
      </c>
      <c r="AG1506" s="2">
        <f t="shared" si="211"/>
        <v>1</v>
      </c>
      <c r="AH1506" s="4">
        <f t="shared" si="212"/>
        <v>44741.350624999999</v>
      </c>
      <c r="AI1506" s="2">
        <f t="shared" si="213"/>
        <v>1</v>
      </c>
      <c r="AJ1506" s="2">
        <f t="shared" si="214"/>
        <v>34</v>
      </c>
      <c r="AK1506" s="2">
        <f t="shared" si="215"/>
        <v>12</v>
      </c>
    </row>
    <row r="1507" spans="1:37" x14ac:dyDescent="0.25">
      <c r="A1507">
        <v>1861</v>
      </c>
      <c r="B1507" t="s">
        <v>1658</v>
      </c>
      <c r="C1507" t="s">
        <v>1577</v>
      </c>
      <c r="D1507" t="s">
        <v>1626</v>
      </c>
      <c r="E1507" t="s">
        <v>1391</v>
      </c>
      <c r="F1507" t="s">
        <v>1627</v>
      </c>
      <c r="G1507" t="s">
        <v>144</v>
      </c>
      <c r="H1507" s="1">
        <v>44639.350624999999</v>
      </c>
      <c r="I1507" s="1">
        <v>44640.350624999999</v>
      </c>
      <c r="J1507" t="s">
        <v>32</v>
      </c>
      <c r="K1507" s="1">
        <v>44650.350624999999</v>
      </c>
      <c r="L1507" t="s">
        <v>39</v>
      </c>
      <c r="N1507" s="4">
        <v>44656.350624999999</v>
      </c>
      <c r="O1507" t="s">
        <v>39</v>
      </c>
      <c r="R1507" s="4">
        <v>44652.350624999999</v>
      </c>
      <c r="T1507">
        <v>0</v>
      </c>
      <c r="AC1507" s="2">
        <f t="shared" si="207"/>
        <v>1</v>
      </c>
      <c r="AD1507" s="2">
        <f t="shared" si="208"/>
        <v>11</v>
      </c>
      <c r="AE1507" s="2">
        <f t="shared" si="209"/>
        <v>10</v>
      </c>
      <c r="AF1507" s="2">
        <f t="shared" si="210"/>
        <v>13</v>
      </c>
      <c r="AG1507" s="2">
        <f t="shared" si="211"/>
        <v>2</v>
      </c>
      <c r="AH1507" s="4">
        <f t="shared" si="212"/>
        <v>44742.350624999999</v>
      </c>
      <c r="AI1507" s="2" t="str">
        <f t="shared" si="213"/>
        <v/>
      </c>
      <c r="AJ1507" s="2" t="str">
        <f t="shared" si="214"/>
        <v/>
      </c>
      <c r="AK1507" s="2" t="str">
        <f t="shared" si="215"/>
        <v/>
      </c>
    </row>
    <row r="1508" spans="1:37" x14ac:dyDescent="0.25">
      <c r="A1508">
        <v>1850</v>
      </c>
      <c r="B1508" t="s">
        <v>1659</v>
      </c>
      <c r="C1508" t="s">
        <v>1577</v>
      </c>
      <c r="D1508" t="s">
        <v>1626</v>
      </c>
      <c r="E1508" t="s">
        <v>1391</v>
      </c>
      <c r="F1508" t="s">
        <v>1627</v>
      </c>
      <c r="G1508" t="s">
        <v>144</v>
      </c>
      <c r="H1508" s="1">
        <v>44612.970185185186</v>
      </c>
      <c r="I1508" s="1">
        <v>44613.970185185186</v>
      </c>
      <c r="J1508" t="s">
        <v>32</v>
      </c>
      <c r="K1508" s="1">
        <v>44631.970185185186</v>
      </c>
      <c r="L1508" t="s">
        <v>33</v>
      </c>
      <c r="M1508" t="s">
        <v>34</v>
      </c>
      <c r="T1508">
        <v>0</v>
      </c>
      <c r="Y1508" t="s">
        <v>55</v>
      </c>
      <c r="AC1508" s="2">
        <f t="shared" si="207"/>
        <v>1</v>
      </c>
      <c r="AD1508" s="2">
        <f t="shared" si="208"/>
        <v>19</v>
      </c>
      <c r="AE1508" s="2">
        <f t="shared" si="209"/>
        <v>18</v>
      </c>
      <c r="AF1508" s="2" t="str">
        <f t="shared" si="210"/>
        <v/>
      </c>
      <c r="AG1508" s="2" t="str">
        <f t="shared" si="211"/>
        <v/>
      </c>
      <c r="AH1508" s="4" t="str">
        <f t="shared" si="212"/>
        <v/>
      </c>
      <c r="AI1508" s="2" t="str">
        <f t="shared" si="213"/>
        <v/>
      </c>
      <c r="AJ1508" s="2" t="str">
        <f t="shared" si="214"/>
        <v/>
      </c>
      <c r="AK1508" s="2" t="str">
        <f t="shared" si="215"/>
        <v/>
      </c>
    </row>
    <row r="1509" spans="1:37" x14ac:dyDescent="0.25">
      <c r="A1509">
        <v>1848</v>
      </c>
      <c r="B1509" t="s">
        <v>1660</v>
      </c>
      <c r="C1509" t="s">
        <v>1577</v>
      </c>
      <c r="D1509" t="s">
        <v>1626</v>
      </c>
      <c r="E1509" t="s">
        <v>1391</v>
      </c>
      <c r="F1509" t="s">
        <v>1627</v>
      </c>
      <c r="G1509" t="s">
        <v>144</v>
      </c>
      <c r="H1509" s="1">
        <v>44606.970185185186</v>
      </c>
      <c r="I1509" s="1">
        <v>44609.970185185186</v>
      </c>
      <c r="J1509" t="s">
        <v>32</v>
      </c>
      <c r="K1509" s="1">
        <v>44627.970185185186</v>
      </c>
      <c r="L1509" t="s">
        <v>33</v>
      </c>
      <c r="M1509" t="s">
        <v>51</v>
      </c>
      <c r="T1509">
        <v>0</v>
      </c>
      <c r="Y1509" t="s">
        <v>35</v>
      </c>
      <c r="AC1509" s="2">
        <f t="shared" si="207"/>
        <v>3</v>
      </c>
      <c r="AD1509" s="2">
        <f t="shared" si="208"/>
        <v>21</v>
      </c>
      <c r="AE1509" s="2">
        <f t="shared" si="209"/>
        <v>18</v>
      </c>
      <c r="AF1509" s="2" t="str">
        <f t="shared" si="210"/>
        <v/>
      </c>
      <c r="AG1509" s="2" t="str">
        <f t="shared" si="211"/>
        <v/>
      </c>
      <c r="AH1509" s="4" t="str">
        <f t="shared" si="212"/>
        <v/>
      </c>
      <c r="AI1509" s="2" t="str">
        <f t="shared" si="213"/>
        <v/>
      </c>
      <c r="AJ1509" s="2" t="str">
        <f t="shared" si="214"/>
        <v/>
      </c>
      <c r="AK1509" s="2" t="str">
        <f t="shared" si="215"/>
        <v/>
      </c>
    </row>
    <row r="1510" spans="1:37" x14ac:dyDescent="0.25">
      <c r="A1510">
        <v>1844</v>
      </c>
      <c r="B1510" t="s">
        <v>1661</v>
      </c>
      <c r="C1510" t="s">
        <v>1577</v>
      </c>
      <c r="D1510" t="s">
        <v>1626</v>
      </c>
      <c r="E1510" t="s">
        <v>1391</v>
      </c>
      <c r="F1510" t="s">
        <v>1627</v>
      </c>
      <c r="G1510" t="s">
        <v>144</v>
      </c>
      <c r="H1510" s="1">
        <v>44612.970185185186</v>
      </c>
      <c r="I1510" s="1">
        <v>44614.970185185186</v>
      </c>
      <c r="J1510" t="s">
        <v>32</v>
      </c>
      <c r="K1510" s="1">
        <v>44620.970185185186</v>
      </c>
      <c r="L1510" t="s">
        <v>57</v>
      </c>
      <c r="N1510" s="4">
        <v>44623.970185185186</v>
      </c>
      <c r="O1510" t="s">
        <v>57</v>
      </c>
      <c r="P1510" s="4">
        <v>44622.970185185186</v>
      </c>
      <c r="Q1510" s="4">
        <v>44625.970185185186</v>
      </c>
      <c r="R1510" s="4">
        <v>44622.970185185186</v>
      </c>
      <c r="S1510" s="4">
        <v>44625.970185185186</v>
      </c>
      <c r="T1510">
        <v>1</v>
      </c>
      <c r="U1510" s="4">
        <v>44627.970185185186</v>
      </c>
      <c r="V1510" s="4">
        <v>44628.970185185186</v>
      </c>
      <c r="W1510" s="4">
        <v>44629.970185185186</v>
      </c>
      <c r="Z1510" s="4">
        <v>44646.970185185186</v>
      </c>
      <c r="AC1510" s="2">
        <f t="shared" si="207"/>
        <v>2</v>
      </c>
      <c r="AD1510" s="2">
        <f t="shared" si="208"/>
        <v>8</v>
      </c>
      <c r="AE1510" s="2">
        <f t="shared" si="209"/>
        <v>6</v>
      </c>
      <c r="AF1510" s="2">
        <f t="shared" si="210"/>
        <v>10</v>
      </c>
      <c r="AG1510" s="2">
        <f t="shared" si="211"/>
        <v>2</v>
      </c>
      <c r="AH1510" s="4">
        <f t="shared" si="212"/>
        <v>44712.970185185186</v>
      </c>
      <c r="AI1510" s="2">
        <f t="shared" si="213"/>
        <v>2</v>
      </c>
      <c r="AJ1510" s="2">
        <f t="shared" si="214"/>
        <v>24</v>
      </c>
      <c r="AK1510" s="2">
        <f t="shared" si="215"/>
        <v>7</v>
      </c>
    </row>
    <row r="1511" spans="1:37" x14ac:dyDescent="0.25">
      <c r="A1511">
        <v>1760</v>
      </c>
      <c r="B1511" t="s">
        <v>1662</v>
      </c>
      <c r="C1511" t="s">
        <v>1577</v>
      </c>
      <c r="D1511" t="s">
        <v>1626</v>
      </c>
      <c r="E1511" t="s">
        <v>1391</v>
      </c>
      <c r="F1511" t="s">
        <v>1627</v>
      </c>
      <c r="G1511" t="s">
        <v>144</v>
      </c>
      <c r="H1511" s="1">
        <v>44709.645821759259</v>
      </c>
      <c r="I1511" s="1">
        <v>44712.645821759259</v>
      </c>
      <c r="J1511" t="s">
        <v>32</v>
      </c>
      <c r="K1511" s="1">
        <v>44734.645821759259</v>
      </c>
      <c r="L1511" t="s">
        <v>33</v>
      </c>
      <c r="M1511" t="s">
        <v>34</v>
      </c>
      <c r="R1511" s="4">
        <v>44738.645821759259</v>
      </c>
      <c r="T1511">
        <v>0</v>
      </c>
      <c r="Y1511" t="s">
        <v>35</v>
      </c>
      <c r="AC1511" s="2">
        <f t="shared" si="207"/>
        <v>3</v>
      </c>
      <c r="AD1511" s="2">
        <f t="shared" si="208"/>
        <v>25</v>
      </c>
      <c r="AE1511" s="2">
        <f t="shared" si="209"/>
        <v>22</v>
      </c>
      <c r="AF1511" s="2">
        <f t="shared" si="210"/>
        <v>29</v>
      </c>
      <c r="AG1511" s="2">
        <f t="shared" si="211"/>
        <v>4</v>
      </c>
      <c r="AH1511" s="4">
        <f t="shared" si="212"/>
        <v>44828.645821759259</v>
      </c>
      <c r="AI1511" s="2" t="str">
        <f t="shared" si="213"/>
        <v/>
      </c>
      <c r="AJ1511" s="2" t="str">
        <f t="shared" si="214"/>
        <v/>
      </c>
      <c r="AK1511" s="2" t="str">
        <f t="shared" si="215"/>
        <v/>
      </c>
    </row>
    <row r="1512" spans="1:37" x14ac:dyDescent="0.25">
      <c r="A1512">
        <v>1756</v>
      </c>
      <c r="B1512" t="s">
        <v>1663</v>
      </c>
      <c r="C1512" t="s">
        <v>1577</v>
      </c>
      <c r="D1512" t="s">
        <v>1626</v>
      </c>
      <c r="E1512" t="s">
        <v>1391</v>
      </c>
      <c r="F1512" t="s">
        <v>1627</v>
      </c>
      <c r="G1512" t="s">
        <v>144</v>
      </c>
      <c r="H1512" s="1">
        <v>44709.645821759259</v>
      </c>
      <c r="I1512" s="1">
        <v>44713.645821759259</v>
      </c>
      <c r="J1512" t="s">
        <v>32</v>
      </c>
      <c r="K1512" s="1">
        <v>44723.645821759259</v>
      </c>
      <c r="L1512" t="s">
        <v>33</v>
      </c>
      <c r="M1512" t="s">
        <v>108</v>
      </c>
      <c r="T1512">
        <v>0</v>
      </c>
      <c r="Y1512" t="s">
        <v>35</v>
      </c>
      <c r="AC1512" s="2">
        <f t="shared" si="207"/>
        <v>4</v>
      </c>
      <c r="AD1512" s="2">
        <f t="shared" si="208"/>
        <v>14</v>
      </c>
      <c r="AE1512" s="2">
        <f t="shared" si="209"/>
        <v>10</v>
      </c>
      <c r="AF1512" s="2" t="str">
        <f t="shared" si="210"/>
        <v/>
      </c>
      <c r="AG1512" s="2" t="str">
        <f t="shared" si="211"/>
        <v/>
      </c>
      <c r="AH1512" s="4" t="str">
        <f t="shared" si="212"/>
        <v/>
      </c>
      <c r="AI1512" s="2" t="str">
        <f t="shared" si="213"/>
        <v/>
      </c>
      <c r="AJ1512" s="2" t="str">
        <f t="shared" si="214"/>
        <v/>
      </c>
      <c r="AK1512" s="2" t="str">
        <f t="shared" si="215"/>
        <v/>
      </c>
    </row>
    <row r="1513" spans="1:37" x14ac:dyDescent="0.25">
      <c r="A1513">
        <v>1740</v>
      </c>
      <c r="B1513" t="s">
        <v>1664</v>
      </c>
      <c r="C1513" t="s">
        <v>1577</v>
      </c>
      <c r="D1513" t="s">
        <v>1626</v>
      </c>
      <c r="E1513" t="s">
        <v>1391</v>
      </c>
      <c r="F1513" t="s">
        <v>1627</v>
      </c>
      <c r="G1513" t="s">
        <v>144</v>
      </c>
      <c r="H1513" s="1">
        <v>44564.634641203702</v>
      </c>
      <c r="I1513" s="1">
        <v>44565.634641203702</v>
      </c>
      <c r="J1513" t="s">
        <v>32</v>
      </c>
      <c r="K1513" s="1">
        <v>44581.634641203702</v>
      </c>
      <c r="L1513" t="s">
        <v>57</v>
      </c>
      <c r="N1513" s="4">
        <v>44588.634641203702</v>
      </c>
      <c r="O1513" t="s">
        <v>57</v>
      </c>
      <c r="P1513" s="4">
        <v>44582.634641203702</v>
      </c>
      <c r="Q1513" s="4">
        <v>44586.634641203702</v>
      </c>
      <c r="R1513" s="4">
        <v>44585.634641203702</v>
      </c>
      <c r="S1513" s="4">
        <v>44586.634641203702</v>
      </c>
      <c r="T1513">
        <v>1</v>
      </c>
      <c r="U1513" s="4">
        <v>44590.634641203702</v>
      </c>
      <c r="V1513" s="4">
        <v>44592.634641203702</v>
      </c>
      <c r="W1513" s="4">
        <v>44594.634641203702</v>
      </c>
      <c r="Z1513" s="4">
        <v>44616.634641203702</v>
      </c>
      <c r="AC1513" s="2">
        <f t="shared" si="207"/>
        <v>1</v>
      </c>
      <c r="AD1513" s="2">
        <f t="shared" si="208"/>
        <v>17</v>
      </c>
      <c r="AE1513" s="2">
        <f t="shared" si="209"/>
        <v>16</v>
      </c>
      <c r="AF1513" s="2">
        <f t="shared" si="210"/>
        <v>21</v>
      </c>
      <c r="AG1513" s="2">
        <f t="shared" si="211"/>
        <v>4</v>
      </c>
      <c r="AH1513" s="4">
        <f t="shared" si="212"/>
        <v>44675.634641203702</v>
      </c>
      <c r="AI1513" s="2">
        <f t="shared" si="213"/>
        <v>4</v>
      </c>
      <c r="AJ1513" s="2">
        <f t="shared" si="214"/>
        <v>31</v>
      </c>
      <c r="AK1513" s="2">
        <f t="shared" si="215"/>
        <v>9</v>
      </c>
    </row>
    <row r="1514" spans="1:37" x14ac:dyDescent="0.25">
      <c r="A1514">
        <v>1737</v>
      </c>
      <c r="B1514" t="s">
        <v>1665</v>
      </c>
      <c r="C1514" t="s">
        <v>1577</v>
      </c>
      <c r="D1514" t="s">
        <v>1626</v>
      </c>
      <c r="E1514" t="s">
        <v>1391</v>
      </c>
      <c r="F1514" t="s">
        <v>1627</v>
      </c>
      <c r="G1514" t="s">
        <v>144</v>
      </c>
      <c r="H1514" s="1">
        <v>44564.634641203702</v>
      </c>
      <c r="I1514" s="1">
        <v>44566.634641203702</v>
      </c>
      <c r="J1514" t="s">
        <v>32</v>
      </c>
      <c r="K1514" s="1">
        <v>44573.634641203702</v>
      </c>
      <c r="L1514" t="s">
        <v>33</v>
      </c>
      <c r="M1514" t="s">
        <v>51</v>
      </c>
      <c r="R1514" s="4">
        <v>44575.634641203702</v>
      </c>
      <c r="T1514">
        <v>0</v>
      </c>
      <c r="Y1514" t="s">
        <v>35</v>
      </c>
      <c r="AC1514" s="2">
        <f t="shared" si="207"/>
        <v>2</v>
      </c>
      <c r="AD1514" s="2">
        <f t="shared" si="208"/>
        <v>9</v>
      </c>
      <c r="AE1514" s="2">
        <f t="shared" si="209"/>
        <v>7</v>
      </c>
      <c r="AF1514" s="2">
        <f t="shared" si="210"/>
        <v>11</v>
      </c>
      <c r="AG1514" s="2">
        <f t="shared" si="211"/>
        <v>2</v>
      </c>
      <c r="AH1514" s="4">
        <f t="shared" si="212"/>
        <v>44665.634641203702</v>
      </c>
      <c r="AI1514" s="2" t="str">
        <f t="shared" si="213"/>
        <v/>
      </c>
      <c r="AJ1514" s="2" t="str">
        <f t="shared" si="214"/>
        <v/>
      </c>
      <c r="AK1514" s="2" t="str">
        <f t="shared" si="215"/>
        <v/>
      </c>
    </row>
    <row r="1515" spans="1:37" x14ac:dyDescent="0.25">
      <c r="A1515">
        <v>1736</v>
      </c>
      <c r="B1515" t="s">
        <v>1666</v>
      </c>
      <c r="C1515" t="s">
        <v>1577</v>
      </c>
      <c r="D1515" t="s">
        <v>1626</v>
      </c>
      <c r="E1515" t="s">
        <v>1391</v>
      </c>
      <c r="F1515" t="s">
        <v>1627</v>
      </c>
      <c r="G1515" t="s">
        <v>144</v>
      </c>
      <c r="H1515" s="1">
        <v>44561.634641203702</v>
      </c>
      <c r="I1515" s="1">
        <v>44564.634641203702</v>
      </c>
      <c r="J1515" t="s">
        <v>32</v>
      </c>
      <c r="K1515" s="1">
        <v>44579.634641203702</v>
      </c>
      <c r="L1515" t="s">
        <v>39</v>
      </c>
      <c r="N1515" s="4">
        <v>44585.634641203702</v>
      </c>
      <c r="O1515" t="s">
        <v>39</v>
      </c>
      <c r="R1515" s="4">
        <v>44583.634641203702</v>
      </c>
      <c r="T1515">
        <v>0</v>
      </c>
      <c r="AC1515" s="2">
        <f t="shared" si="207"/>
        <v>3</v>
      </c>
      <c r="AD1515" s="2">
        <f t="shared" si="208"/>
        <v>18</v>
      </c>
      <c r="AE1515" s="2">
        <f t="shared" si="209"/>
        <v>15</v>
      </c>
      <c r="AF1515" s="2">
        <f t="shared" si="210"/>
        <v>22</v>
      </c>
      <c r="AG1515" s="2">
        <f t="shared" si="211"/>
        <v>4</v>
      </c>
      <c r="AH1515" s="4">
        <f t="shared" si="212"/>
        <v>44673.634641203702</v>
      </c>
      <c r="AI1515" s="2" t="str">
        <f t="shared" si="213"/>
        <v/>
      </c>
      <c r="AJ1515" s="2" t="str">
        <f t="shared" si="214"/>
        <v/>
      </c>
      <c r="AK1515" s="2" t="str">
        <f t="shared" si="215"/>
        <v/>
      </c>
    </row>
    <row r="1516" spans="1:37" x14ac:dyDescent="0.25">
      <c r="A1516">
        <v>1735</v>
      </c>
      <c r="B1516" t="s">
        <v>1667</v>
      </c>
      <c r="C1516" t="s">
        <v>1577</v>
      </c>
      <c r="D1516" t="s">
        <v>1626</v>
      </c>
      <c r="E1516" t="s">
        <v>1391</v>
      </c>
      <c r="F1516" t="s">
        <v>1627</v>
      </c>
      <c r="G1516" t="s">
        <v>144</v>
      </c>
      <c r="H1516" s="1">
        <v>44562.634641203702</v>
      </c>
      <c r="I1516" s="1">
        <v>44564.634641203702</v>
      </c>
      <c r="J1516" t="s">
        <v>32</v>
      </c>
      <c r="K1516" s="1">
        <v>44574.634641203702</v>
      </c>
      <c r="L1516" t="s">
        <v>39</v>
      </c>
      <c r="N1516" s="4">
        <v>44579.634641203702</v>
      </c>
      <c r="O1516" t="s">
        <v>39</v>
      </c>
      <c r="R1516" s="4">
        <v>44577.634641203702</v>
      </c>
      <c r="T1516">
        <v>0</v>
      </c>
      <c r="AC1516" s="2">
        <f t="shared" si="207"/>
        <v>2</v>
      </c>
      <c r="AD1516" s="2">
        <f t="shared" si="208"/>
        <v>12</v>
      </c>
      <c r="AE1516" s="2">
        <f t="shared" si="209"/>
        <v>10</v>
      </c>
      <c r="AF1516" s="2">
        <f t="shared" si="210"/>
        <v>15</v>
      </c>
      <c r="AG1516" s="2">
        <f t="shared" si="211"/>
        <v>3</v>
      </c>
      <c r="AH1516" s="4">
        <f t="shared" si="212"/>
        <v>44667.634641203702</v>
      </c>
      <c r="AI1516" s="2" t="str">
        <f t="shared" si="213"/>
        <v/>
      </c>
      <c r="AJ1516" s="2" t="str">
        <f t="shared" si="214"/>
        <v/>
      </c>
      <c r="AK1516" s="2" t="str">
        <f t="shared" si="215"/>
        <v/>
      </c>
    </row>
    <row r="1517" spans="1:37" x14ac:dyDescent="0.25">
      <c r="A1517">
        <v>1708</v>
      </c>
      <c r="B1517" t="s">
        <v>1668</v>
      </c>
      <c r="C1517" t="s">
        <v>1577</v>
      </c>
      <c r="D1517" t="s">
        <v>1626</v>
      </c>
      <c r="E1517" t="s">
        <v>1391</v>
      </c>
      <c r="F1517" t="s">
        <v>1627</v>
      </c>
      <c r="G1517" t="s">
        <v>144</v>
      </c>
      <c r="H1517" s="1">
        <v>44988.751342592594</v>
      </c>
      <c r="I1517" s="1">
        <v>44992.751342592594</v>
      </c>
      <c r="J1517" t="s">
        <v>32</v>
      </c>
      <c r="K1517" s="1">
        <v>44998.751342592594</v>
      </c>
      <c r="L1517" t="s">
        <v>39</v>
      </c>
      <c r="N1517" s="4">
        <v>45003.751342592594</v>
      </c>
      <c r="O1517" t="s">
        <v>39</v>
      </c>
      <c r="R1517" s="4">
        <v>44999.751342592594</v>
      </c>
      <c r="T1517">
        <v>0</v>
      </c>
      <c r="AC1517" s="2">
        <f t="shared" si="207"/>
        <v>4</v>
      </c>
      <c r="AD1517" s="2">
        <f t="shared" si="208"/>
        <v>10</v>
      </c>
      <c r="AE1517" s="2">
        <f t="shared" si="209"/>
        <v>6</v>
      </c>
      <c r="AF1517" s="2">
        <f t="shared" si="210"/>
        <v>11</v>
      </c>
      <c r="AG1517" s="2">
        <f t="shared" si="211"/>
        <v>1</v>
      </c>
      <c r="AH1517" s="4">
        <f t="shared" si="212"/>
        <v>45089.751342592594</v>
      </c>
      <c r="AI1517" s="2" t="str">
        <f t="shared" si="213"/>
        <v/>
      </c>
      <c r="AJ1517" s="2" t="str">
        <f t="shared" si="214"/>
        <v/>
      </c>
      <c r="AK1517" s="2" t="str">
        <f t="shared" si="215"/>
        <v/>
      </c>
    </row>
    <row r="1518" spans="1:37" x14ac:dyDescent="0.25">
      <c r="A1518">
        <v>1703</v>
      </c>
      <c r="B1518" t="s">
        <v>1669</v>
      </c>
      <c r="C1518" t="s">
        <v>1577</v>
      </c>
      <c r="D1518" t="s">
        <v>1626</v>
      </c>
      <c r="E1518" t="s">
        <v>1391</v>
      </c>
      <c r="F1518" t="s">
        <v>1627</v>
      </c>
      <c r="G1518" t="s">
        <v>144</v>
      </c>
      <c r="H1518" s="1">
        <v>44988.751342592594</v>
      </c>
      <c r="I1518" s="1">
        <v>44992.751342592594</v>
      </c>
      <c r="J1518" t="s">
        <v>32</v>
      </c>
      <c r="K1518" s="1">
        <v>45004.751342592594</v>
      </c>
      <c r="L1518" t="s">
        <v>39</v>
      </c>
      <c r="N1518" s="4">
        <v>45010.751342592594</v>
      </c>
      <c r="O1518" t="s">
        <v>39</v>
      </c>
      <c r="R1518" s="4">
        <v>45006.751342592594</v>
      </c>
      <c r="T1518">
        <v>0</v>
      </c>
      <c r="AC1518" s="2">
        <f t="shared" si="207"/>
        <v>4</v>
      </c>
      <c r="AD1518" s="2">
        <f t="shared" si="208"/>
        <v>16</v>
      </c>
      <c r="AE1518" s="2">
        <f t="shared" si="209"/>
        <v>12</v>
      </c>
      <c r="AF1518" s="2">
        <f t="shared" si="210"/>
        <v>18</v>
      </c>
      <c r="AG1518" s="2">
        <f t="shared" si="211"/>
        <v>2</v>
      </c>
      <c r="AH1518" s="4">
        <f t="shared" si="212"/>
        <v>45096.751342592594</v>
      </c>
      <c r="AI1518" s="2" t="str">
        <f t="shared" si="213"/>
        <v/>
      </c>
      <c r="AJ1518" s="2" t="str">
        <f t="shared" si="214"/>
        <v/>
      </c>
      <c r="AK1518" s="2" t="str">
        <f t="shared" si="215"/>
        <v/>
      </c>
    </row>
    <row r="1519" spans="1:37" x14ac:dyDescent="0.25">
      <c r="A1519">
        <v>1701</v>
      </c>
      <c r="B1519" t="s">
        <v>1670</v>
      </c>
      <c r="C1519" t="s">
        <v>1577</v>
      </c>
      <c r="D1519" t="s">
        <v>1626</v>
      </c>
      <c r="E1519" t="s">
        <v>1391</v>
      </c>
      <c r="F1519" t="s">
        <v>1627</v>
      </c>
      <c r="G1519" t="s">
        <v>144</v>
      </c>
      <c r="H1519" s="1">
        <v>44985.751342592594</v>
      </c>
      <c r="I1519" s="1">
        <v>44988.751342592594</v>
      </c>
      <c r="J1519" t="s">
        <v>32</v>
      </c>
      <c r="K1519" s="1">
        <v>45012.751342592594</v>
      </c>
      <c r="L1519" t="s">
        <v>39</v>
      </c>
      <c r="N1519" s="4">
        <v>45016.751342592594</v>
      </c>
      <c r="O1519" t="s">
        <v>39</v>
      </c>
      <c r="R1519" s="4">
        <v>45013.751342592594</v>
      </c>
      <c r="T1519">
        <v>0</v>
      </c>
      <c r="AC1519" s="2">
        <f t="shared" si="207"/>
        <v>3</v>
      </c>
      <c r="AD1519" s="2">
        <f t="shared" si="208"/>
        <v>27</v>
      </c>
      <c r="AE1519" s="2">
        <f t="shared" si="209"/>
        <v>24</v>
      </c>
      <c r="AF1519" s="2">
        <f t="shared" si="210"/>
        <v>28</v>
      </c>
      <c r="AG1519" s="2">
        <f t="shared" si="211"/>
        <v>1</v>
      </c>
      <c r="AH1519" s="4">
        <f t="shared" si="212"/>
        <v>45103.751342592594</v>
      </c>
      <c r="AI1519" s="2" t="str">
        <f t="shared" si="213"/>
        <v/>
      </c>
      <c r="AJ1519" s="2" t="str">
        <f t="shared" si="214"/>
        <v/>
      </c>
      <c r="AK1519" s="2" t="str">
        <f t="shared" si="215"/>
        <v/>
      </c>
    </row>
    <row r="1520" spans="1:37" x14ac:dyDescent="0.25">
      <c r="A1520">
        <v>1678</v>
      </c>
      <c r="B1520" t="s">
        <v>1671</v>
      </c>
      <c r="C1520" t="s">
        <v>1577</v>
      </c>
      <c r="D1520" t="s">
        <v>1626</v>
      </c>
      <c r="E1520" t="s">
        <v>1391</v>
      </c>
      <c r="F1520" t="s">
        <v>1627</v>
      </c>
      <c r="G1520" t="s">
        <v>144</v>
      </c>
      <c r="H1520" s="1">
        <v>44869.144270833334</v>
      </c>
      <c r="I1520" s="1">
        <v>44872.144270833334</v>
      </c>
      <c r="J1520" t="s">
        <v>32</v>
      </c>
      <c r="K1520" s="1">
        <v>44884.144270833334</v>
      </c>
      <c r="L1520" t="s">
        <v>33</v>
      </c>
      <c r="M1520" t="s">
        <v>67</v>
      </c>
      <c r="T1520">
        <v>0</v>
      </c>
      <c r="Y1520" t="s">
        <v>55</v>
      </c>
      <c r="AC1520" s="2">
        <f t="shared" si="207"/>
        <v>3</v>
      </c>
      <c r="AD1520" s="2">
        <f t="shared" si="208"/>
        <v>15</v>
      </c>
      <c r="AE1520" s="2">
        <f t="shared" si="209"/>
        <v>12</v>
      </c>
      <c r="AF1520" s="2" t="str">
        <f t="shared" si="210"/>
        <v/>
      </c>
      <c r="AG1520" s="2" t="str">
        <f t="shared" si="211"/>
        <v/>
      </c>
      <c r="AH1520" s="4" t="str">
        <f t="shared" si="212"/>
        <v/>
      </c>
      <c r="AI1520" s="2" t="str">
        <f t="shared" si="213"/>
        <v/>
      </c>
      <c r="AJ1520" s="2" t="str">
        <f t="shared" si="214"/>
        <v/>
      </c>
      <c r="AK1520" s="2" t="str">
        <f t="shared" si="215"/>
        <v/>
      </c>
    </row>
    <row r="1521" spans="1:37" x14ac:dyDescent="0.25">
      <c r="A1521">
        <v>1675</v>
      </c>
      <c r="B1521" t="s">
        <v>1672</v>
      </c>
      <c r="C1521" t="s">
        <v>1577</v>
      </c>
      <c r="D1521" t="s">
        <v>1626</v>
      </c>
      <c r="E1521" t="s">
        <v>1391</v>
      </c>
      <c r="F1521" t="s">
        <v>1627</v>
      </c>
      <c r="G1521" t="s">
        <v>144</v>
      </c>
      <c r="H1521" s="1">
        <v>44873.144270833334</v>
      </c>
      <c r="I1521" s="1">
        <v>44874.144270833334</v>
      </c>
      <c r="J1521" t="s">
        <v>44</v>
      </c>
      <c r="K1521" s="1"/>
      <c r="T1521">
        <v>0</v>
      </c>
      <c r="AC1521" s="2">
        <f t="shared" si="207"/>
        <v>1</v>
      </c>
      <c r="AD1521" s="2" t="str">
        <f t="shared" si="208"/>
        <v/>
      </c>
      <c r="AE1521" s="2" t="str">
        <f t="shared" si="209"/>
        <v/>
      </c>
      <c r="AF1521" s="2" t="str">
        <f t="shared" si="210"/>
        <v/>
      </c>
      <c r="AG1521" s="2" t="str">
        <f t="shared" si="211"/>
        <v/>
      </c>
      <c r="AH1521" s="4" t="str">
        <f t="shared" si="212"/>
        <v/>
      </c>
      <c r="AI1521" s="2" t="str">
        <f t="shared" si="213"/>
        <v/>
      </c>
      <c r="AJ1521" s="2" t="str">
        <f t="shared" si="214"/>
        <v/>
      </c>
      <c r="AK1521" s="2" t="str">
        <f t="shared" si="215"/>
        <v/>
      </c>
    </row>
    <row r="1522" spans="1:37" x14ac:dyDescent="0.25">
      <c r="A1522">
        <v>1638</v>
      </c>
      <c r="B1522" t="s">
        <v>1673</v>
      </c>
      <c r="C1522" t="s">
        <v>1577</v>
      </c>
      <c r="D1522" t="s">
        <v>1626</v>
      </c>
      <c r="E1522" t="s">
        <v>1391</v>
      </c>
      <c r="F1522" t="s">
        <v>1627</v>
      </c>
      <c r="G1522" t="s">
        <v>144</v>
      </c>
      <c r="H1522" s="1">
        <v>45172.320416666669</v>
      </c>
      <c r="I1522" s="1">
        <v>45174.320416666669</v>
      </c>
      <c r="J1522" t="s">
        <v>32</v>
      </c>
      <c r="K1522" s="1">
        <v>45187.320416666669</v>
      </c>
      <c r="L1522" t="s">
        <v>164</v>
      </c>
      <c r="N1522" s="4">
        <v>45189.320416666669</v>
      </c>
      <c r="O1522" t="s">
        <v>164</v>
      </c>
      <c r="R1522" s="4">
        <v>45188.320416666669</v>
      </c>
      <c r="T1522">
        <v>0</v>
      </c>
      <c r="AC1522" s="2">
        <f t="shared" si="207"/>
        <v>2</v>
      </c>
      <c r="AD1522" s="2">
        <f t="shared" si="208"/>
        <v>15</v>
      </c>
      <c r="AE1522" s="2">
        <f t="shared" si="209"/>
        <v>13</v>
      </c>
      <c r="AF1522" s="2">
        <f t="shared" si="210"/>
        <v>16</v>
      </c>
      <c r="AG1522" s="2">
        <f t="shared" si="211"/>
        <v>1</v>
      </c>
      <c r="AH1522" s="4">
        <f t="shared" si="212"/>
        <v>45278.320416666669</v>
      </c>
      <c r="AI1522" s="2" t="str">
        <f t="shared" si="213"/>
        <v/>
      </c>
      <c r="AJ1522" s="2" t="str">
        <f t="shared" si="214"/>
        <v/>
      </c>
      <c r="AK1522" s="2" t="str">
        <f t="shared" si="215"/>
        <v/>
      </c>
    </row>
    <row r="1523" spans="1:37" x14ac:dyDescent="0.25">
      <c r="A1523">
        <v>1636</v>
      </c>
      <c r="B1523" t="s">
        <v>1674</v>
      </c>
      <c r="C1523" t="s">
        <v>1577</v>
      </c>
      <c r="D1523" t="s">
        <v>1626</v>
      </c>
      <c r="E1523" t="s">
        <v>1391</v>
      </c>
      <c r="F1523" t="s">
        <v>1627</v>
      </c>
      <c r="G1523" t="s">
        <v>144</v>
      </c>
      <c r="H1523" s="1">
        <v>45176.320416666669</v>
      </c>
      <c r="I1523" s="1">
        <v>45177.320416666669</v>
      </c>
      <c r="J1523" t="s">
        <v>32</v>
      </c>
      <c r="K1523" s="1">
        <v>45183.320416666669</v>
      </c>
      <c r="L1523" t="s">
        <v>33</v>
      </c>
      <c r="M1523" t="s">
        <v>34</v>
      </c>
      <c r="R1523" s="4">
        <v>45185.320416666669</v>
      </c>
      <c r="T1523">
        <v>0</v>
      </c>
      <c r="Y1523" t="s">
        <v>55</v>
      </c>
      <c r="AC1523" s="2">
        <f t="shared" si="207"/>
        <v>1</v>
      </c>
      <c r="AD1523" s="2">
        <f t="shared" si="208"/>
        <v>7</v>
      </c>
      <c r="AE1523" s="2">
        <f t="shared" si="209"/>
        <v>6</v>
      </c>
      <c r="AF1523" s="2">
        <f t="shared" si="210"/>
        <v>9</v>
      </c>
      <c r="AG1523" s="2">
        <f t="shared" si="211"/>
        <v>2</v>
      </c>
      <c r="AH1523" s="4">
        <f t="shared" si="212"/>
        <v>45275.320416666669</v>
      </c>
      <c r="AI1523" s="2" t="str">
        <f t="shared" si="213"/>
        <v/>
      </c>
      <c r="AJ1523" s="2" t="str">
        <f t="shared" si="214"/>
        <v/>
      </c>
      <c r="AK1523" s="2" t="str">
        <f t="shared" si="215"/>
        <v/>
      </c>
    </row>
    <row r="1524" spans="1:37" x14ac:dyDescent="0.25">
      <c r="A1524">
        <v>1633</v>
      </c>
      <c r="B1524" t="s">
        <v>1675</v>
      </c>
      <c r="C1524" t="s">
        <v>1577</v>
      </c>
      <c r="D1524" t="s">
        <v>1626</v>
      </c>
      <c r="E1524" t="s">
        <v>1391</v>
      </c>
      <c r="F1524" t="s">
        <v>1627</v>
      </c>
      <c r="G1524" t="s">
        <v>144</v>
      </c>
      <c r="H1524" s="1">
        <v>45176.320416666669</v>
      </c>
      <c r="I1524" s="1">
        <v>45177.320416666669</v>
      </c>
      <c r="J1524" t="s">
        <v>32</v>
      </c>
      <c r="K1524" s="1">
        <v>45181.320416666669</v>
      </c>
      <c r="L1524" t="s">
        <v>33</v>
      </c>
      <c r="M1524" t="s">
        <v>92</v>
      </c>
      <c r="T1524">
        <v>0</v>
      </c>
      <c r="Y1524" t="s">
        <v>35</v>
      </c>
      <c r="AC1524" s="2">
        <f t="shared" si="207"/>
        <v>1</v>
      </c>
      <c r="AD1524" s="2">
        <f t="shared" si="208"/>
        <v>5</v>
      </c>
      <c r="AE1524" s="2">
        <f t="shared" si="209"/>
        <v>4</v>
      </c>
      <c r="AF1524" s="2" t="str">
        <f t="shared" si="210"/>
        <v/>
      </c>
      <c r="AG1524" s="2" t="str">
        <f t="shared" si="211"/>
        <v/>
      </c>
      <c r="AH1524" s="4" t="str">
        <f t="shared" si="212"/>
        <v/>
      </c>
      <c r="AI1524" s="2" t="str">
        <f t="shared" si="213"/>
        <v/>
      </c>
      <c r="AJ1524" s="2" t="str">
        <f t="shared" si="214"/>
        <v/>
      </c>
      <c r="AK1524" s="2" t="str">
        <f t="shared" si="215"/>
        <v/>
      </c>
    </row>
    <row r="1525" spans="1:37" x14ac:dyDescent="0.25">
      <c r="A1525">
        <v>1567</v>
      </c>
      <c r="B1525" t="s">
        <v>1676</v>
      </c>
      <c r="C1525" t="s">
        <v>1577</v>
      </c>
      <c r="D1525" t="s">
        <v>1626</v>
      </c>
      <c r="E1525" t="s">
        <v>1391</v>
      </c>
      <c r="F1525" t="s">
        <v>1627</v>
      </c>
      <c r="G1525" t="s">
        <v>144</v>
      </c>
      <c r="H1525" s="1">
        <v>44638.490486111114</v>
      </c>
      <c r="I1525" s="1">
        <v>44640.490486111114</v>
      </c>
      <c r="J1525" t="s">
        <v>32</v>
      </c>
      <c r="K1525" s="1">
        <v>44660.490486111114</v>
      </c>
      <c r="L1525" t="s">
        <v>57</v>
      </c>
      <c r="N1525" s="4">
        <v>44663.490486111114</v>
      </c>
      <c r="O1525" t="s">
        <v>57</v>
      </c>
      <c r="P1525" s="4">
        <v>44661.490486111114</v>
      </c>
      <c r="Q1525" s="4">
        <v>44663.490486111114</v>
      </c>
      <c r="R1525" s="4">
        <v>44662.490486111114</v>
      </c>
      <c r="S1525" s="4">
        <v>44670.490486111114</v>
      </c>
      <c r="T1525">
        <v>1</v>
      </c>
      <c r="U1525" s="4">
        <v>44673.490486111114</v>
      </c>
      <c r="V1525" s="4">
        <v>44676.490486111114</v>
      </c>
      <c r="W1525" s="4">
        <v>44678.490486111114</v>
      </c>
      <c r="Z1525" s="4">
        <v>44687.490486111114</v>
      </c>
      <c r="AC1525" s="2">
        <f t="shared" si="207"/>
        <v>2</v>
      </c>
      <c r="AD1525" s="2">
        <f t="shared" si="208"/>
        <v>22</v>
      </c>
      <c r="AE1525" s="2">
        <f t="shared" si="209"/>
        <v>20</v>
      </c>
      <c r="AF1525" s="2">
        <f t="shared" si="210"/>
        <v>24</v>
      </c>
      <c r="AG1525" s="2">
        <f t="shared" si="211"/>
        <v>2</v>
      </c>
      <c r="AH1525" s="4">
        <f t="shared" si="212"/>
        <v>44752.490486111114</v>
      </c>
      <c r="AI1525" s="2">
        <f t="shared" si="213"/>
        <v>3</v>
      </c>
      <c r="AJ1525" s="2">
        <f t="shared" si="214"/>
        <v>25</v>
      </c>
      <c r="AK1525" s="2">
        <f t="shared" si="215"/>
        <v>16</v>
      </c>
    </row>
    <row r="1526" spans="1:37" x14ac:dyDescent="0.25">
      <c r="A1526">
        <v>1564</v>
      </c>
      <c r="B1526" t="s">
        <v>1677</v>
      </c>
      <c r="C1526" t="s">
        <v>1577</v>
      </c>
      <c r="D1526" t="s">
        <v>1626</v>
      </c>
      <c r="E1526" t="s">
        <v>1391</v>
      </c>
      <c r="F1526" t="s">
        <v>1627</v>
      </c>
      <c r="G1526" t="s">
        <v>144</v>
      </c>
      <c r="H1526" s="1">
        <v>44635.490486111114</v>
      </c>
      <c r="I1526" s="1">
        <v>44639.490486111114</v>
      </c>
      <c r="J1526" t="s">
        <v>44</v>
      </c>
      <c r="K1526" s="1"/>
      <c r="T1526">
        <v>0</v>
      </c>
      <c r="AC1526" s="2">
        <f t="shared" si="207"/>
        <v>4</v>
      </c>
      <c r="AD1526" s="2" t="str">
        <f t="shared" si="208"/>
        <v/>
      </c>
      <c r="AE1526" s="2" t="str">
        <f t="shared" si="209"/>
        <v/>
      </c>
      <c r="AF1526" s="2" t="str">
        <f t="shared" si="210"/>
        <v/>
      </c>
      <c r="AG1526" s="2" t="str">
        <f t="shared" si="211"/>
        <v/>
      </c>
      <c r="AH1526" s="4" t="str">
        <f t="shared" si="212"/>
        <v/>
      </c>
      <c r="AI1526" s="2" t="str">
        <f t="shared" si="213"/>
        <v/>
      </c>
      <c r="AJ1526" s="2" t="str">
        <f t="shared" si="214"/>
        <v/>
      </c>
      <c r="AK1526" s="2" t="str">
        <f t="shared" si="215"/>
        <v/>
      </c>
    </row>
    <row r="1527" spans="1:37" x14ac:dyDescent="0.25">
      <c r="A1527">
        <v>1562</v>
      </c>
      <c r="B1527" t="s">
        <v>1678</v>
      </c>
      <c r="C1527" t="s">
        <v>1577</v>
      </c>
      <c r="D1527" t="s">
        <v>1626</v>
      </c>
      <c r="E1527" t="s">
        <v>1391</v>
      </c>
      <c r="F1527" t="s">
        <v>1627</v>
      </c>
      <c r="G1527" t="s">
        <v>144</v>
      </c>
      <c r="H1527" s="1">
        <v>44638.490486111114</v>
      </c>
      <c r="I1527" s="1">
        <v>44642.490486111114</v>
      </c>
      <c r="J1527" t="s">
        <v>32</v>
      </c>
      <c r="K1527" s="1">
        <v>44650.490486111114</v>
      </c>
      <c r="L1527" t="s">
        <v>57</v>
      </c>
      <c r="N1527" s="4">
        <v>44654.490486111114</v>
      </c>
      <c r="O1527" t="s">
        <v>57</v>
      </c>
      <c r="P1527" s="4">
        <v>44651.490486111114</v>
      </c>
      <c r="Q1527" s="4">
        <v>44654.490486111114</v>
      </c>
      <c r="R1527" s="4">
        <v>44652.490486111114</v>
      </c>
      <c r="S1527" s="4">
        <v>44658.490486111114</v>
      </c>
      <c r="T1527">
        <v>1</v>
      </c>
      <c r="U1527" s="4">
        <v>44661.490486111114</v>
      </c>
      <c r="V1527" s="4">
        <v>44663.490486111114</v>
      </c>
      <c r="W1527" s="4">
        <v>44664.490486111114</v>
      </c>
      <c r="Z1527" s="4">
        <v>44675.490486111114</v>
      </c>
      <c r="AC1527" s="2">
        <f t="shared" si="207"/>
        <v>4</v>
      </c>
      <c r="AD1527" s="2">
        <f t="shared" si="208"/>
        <v>12</v>
      </c>
      <c r="AE1527" s="2">
        <f t="shared" si="209"/>
        <v>8</v>
      </c>
      <c r="AF1527" s="2">
        <f t="shared" si="210"/>
        <v>14</v>
      </c>
      <c r="AG1527" s="2">
        <f t="shared" si="211"/>
        <v>2</v>
      </c>
      <c r="AH1527" s="4">
        <f t="shared" si="212"/>
        <v>44742.490486111114</v>
      </c>
      <c r="AI1527" s="2">
        <f t="shared" si="213"/>
        <v>3</v>
      </c>
      <c r="AJ1527" s="2">
        <f t="shared" si="214"/>
        <v>23</v>
      </c>
      <c r="AK1527" s="2">
        <f t="shared" si="215"/>
        <v>12</v>
      </c>
    </row>
    <row r="1528" spans="1:37" x14ac:dyDescent="0.25">
      <c r="A1528">
        <v>1549</v>
      </c>
      <c r="B1528" t="s">
        <v>1679</v>
      </c>
      <c r="C1528" t="s">
        <v>1577</v>
      </c>
      <c r="D1528" t="s">
        <v>1626</v>
      </c>
      <c r="E1528" t="s">
        <v>1391</v>
      </c>
      <c r="F1528" t="s">
        <v>1627</v>
      </c>
      <c r="G1528" t="s">
        <v>144</v>
      </c>
      <c r="H1528" s="1">
        <v>45071.849814814814</v>
      </c>
      <c r="I1528" s="1">
        <v>45075.849814814814</v>
      </c>
      <c r="J1528" t="s">
        <v>32</v>
      </c>
      <c r="K1528" s="1">
        <v>45088.849814814814</v>
      </c>
      <c r="L1528" t="s">
        <v>33</v>
      </c>
      <c r="M1528" t="s">
        <v>108</v>
      </c>
      <c r="T1528">
        <v>0</v>
      </c>
      <c r="Y1528" t="s">
        <v>55</v>
      </c>
      <c r="AC1528" s="2">
        <f t="shared" si="207"/>
        <v>4</v>
      </c>
      <c r="AD1528" s="2">
        <f t="shared" si="208"/>
        <v>17</v>
      </c>
      <c r="AE1528" s="2">
        <f t="shared" si="209"/>
        <v>13</v>
      </c>
      <c r="AF1528" s="2" t="str">
        <f t="shared" si="210"/>
        <v/>
      </c>
      <c r="AG1528" s="2" t="str">
        <f t="shared" si="211"/>
        <v/>
      </c>
      <c r="AH1528" s="4" t="str">
        <f t="shared" si="212"/>
        <v/>
      </c>
      <c r="AI1528" s="2" t="str">
        <f t="shared" si="213"/>
        <v/>
      </c>
      <c r="AJ1528" s="2" t="str">
        <f t="shared" si="214"/>
        <v/>
      </c>
      <c r="AK1528" s="2" t="str">
        <f t="shared" si="215"/>
        <v/>
      </c>
    </row>
    <row r="1529" spans="1:37" x14ac:dyDescent="0.25">
      <c r="A1529">
        <v>1542</v>
      </c>
      <c r="B1529" t="s">
        <v>1680</v>
      </c>
      <c r="C1529" t="s">
        <v>1577</v>
      </c>
      <c r="D1529" t="s">
        <v>1626</v>
      </c>
      <c r="E1529" t="s">
        <v>1391</v>
      </c>
      <c r="F1529" t="s">
        <v>1627</v>
      </c>
      <c r="G1529" t="s">
        <v>144</v>
      </c>
      <c r="H1529" s="1">
        <v>45069.849814814814</v>
      </c>
      <c r="I1529" s="1">
        <v>45073.849814814814</v>
      </c>
      <c r="J1529" t="s">
        <v>32</v>
      </c>
      <c r="K1529" s="1">
        <v>45094.849814814814</v>
      </c>
      <c r="L1529" t="s">
        <v>33</v>
      </c>
      <c r="M1529" t="s">
        <v>34</v>
      </c>
      <c r="R1529" s="4">
        <v>45097.849814814814</v>
      </c>
      <c r="T1529">
        <v>0</v>
      </c>
      <c r="Y1529" t="s">
        <v>55</v>
      </c>
      <c r="AC1529" s="2">
        <f t="shared" si="207"/>
        <v>4</v>
      </c>
      <c r="AD1529" s="2">
        <f t="shared" si="208"/>
        <v>25</v>
      </c>
      <c r="AE1529" s="2">
        <f t="shared" si="209"/>
        <v>21</v>
      </c>
      <c r="AF1529" s="2">
        <f t="shared" si="210"/>
        <v>28</v>
      </c>
      <c r="AG1529" s="2">
        <f t="shared" si="211"/>
        <v>3</v>
      </c>
      <c r="AH1529" s="4">
        <f t="shared" si="212"/>
        <v>45187.849814814814</v>
      </c>
      <c r="AI1529" s="2" t="str">
        <f t="shared" si="213"/>
        <v/>
      </c>
      <c r="AJ1529" s="2" t="str">
        <f t="shared" si="214"/>
        <v/>
      </c>
      <c r="AK1529" s="2" t="str">
        <f t="shared" si="215"/>
        <v/>
      </c>
    </row>
    <row r="1530" spans="1:37" x14ac:dyDescent="0.25">
      <c r="A1530">
        <v>1526</v>
      </c>
      <c r="B1530" t="s">
        <v>1681</v>
      </c>
      <c r="C1530" t="s">
        <v>1577</v>
      </c>
      <c r="D1530" t="s">
        <v>1626</v>
      </c>
      <c r="E1530" t="s">
        <v>1391</v>
      </c>
      <c r="F1530" t="s">
        <v>1627</v>
      </c>
      <c r="G1530" t="s">
        <v>144</v>
      </c>
      <c r="H1530" s="1">
        <v>44928.025208333333</v>
      </c>
      <c r="I1530" s="1">
        <v>44931.025208333333</v>
      </c>
      <c r="J1530" t="s">
        <v>32</v>
      </c>
      <c r="K1530" s="1">
        <v>44940.025208333333</v>
      </c>
      <c r="L1530" t="s">
        <v>39</v>
      </c>
      <c r="N1530" s="4">
        <v>44945.025208333333</v>
      </c>
      <c r="O1530" t="s">
        <v>39</v>
      </c>
      <c r="R1530" s="4">
        <v>44941.025208333333</v>
      </c>
      <c r="T1530">
        <v>0</v>
      </c>
      <c r="AC1530" s="2">
        <f t="shared" si="207"/>
        <v>3</v>
      </c>
      <c r="AD1530" s="2">
        <f t="shared" si="208"/>
        <v>12</v>
      </c>
      <c r="AE1530" s="2">
        <f t="shared" si="209"/>
        <v>9</v>
      </c>
      <c r="AF1530" s="2">
        <f t="shared" si="210"/>
        <v>13</v>
      </c>
      <c r="AG1530" s="2">
        <f t="shared" si="211"/>
        <v>1</v>
      </c>
      <c r="AH1530" s="4">
        <f t="shared" si="212"/>
        <v>45031.025208333333</v>
      </c>
      <c r="AI1530" s="2" t="str">
        <f t="shared" si="213"/>
        <v/>
      </c>
      <c r="AJ1530" s="2" t="str">
        <f t="shared" si="214"/>
        <v/>
      </c>
      <c r="AK1530" s="2" t="str">
        <f t="shared" si="215"/>
        <v/>
      </c>
    </row>
    <row r="1531" spans="1:37" x14ac:dyDescent="0.25">
      <c r="A1531">
        <v>1521</v>
      </c>
      <c r="B1531" t="s">
        <v>1682</v>
      </c>
      <c r="C1531" t="s">
        <v>1577</v>
      </c>
      <c r="D1531" t="s">
        <v>1626</v>
      </c>
      <c r="E1531" t="s">
        <v>1391</v>
      </c>
      <c r="F1531" t="s">
        <v>1627</v>
      </c>
      <c r="G1531" t="s">
        <v>144</v>
      </c>
      <c r="H1531" s="1">
        <v>44925.025208333333</v>
      </c>
      <c r="I1531" s="1">
        <v>44927.025208333333</v>
      </c>
      <c r="J1531" t="s">
        <v>32</v>
      </c>
      <c r="K1531" s="1">
        <v>44936.025208333333</v>
      </c>
      <c r="L1531" t="s">
        <v>33</v>
      </c>
      <c r="M1531" t="s">
        <v>92</v>
      </c>
      <c r="T1531">
        <v>0</v>
      </c>
      <c r="Y1531" t="s">
        <v>35</v>
      </c>
      <c r="AC1531" s="2">
        <f t="shared" si="207"/>
        <v>2</v>
      </c>
      <c r="AD1531" s="2">
        <f t="shared" si="208"/>
        <v>11</v>
      </c>
      <c r="AE1531" s="2">
        <f t="shared" si="209"/>
        <v>9</v>
      </c>
      <c r="AF1531" s="2" t="str">
        <f t="shared" si="210"/>
        <v/>
      </c>
      <c r="AG1531" s="2" t="str">
        <f t="shared" si="211"/>
        <v/>
      </c>
      <c r="AH1531" s="4" t="str">
        <f t="shared" si="212"/>
        <v/>
      </c>
      <c r="AI1531" s="2" t="str">
        <f t="shared" si="213"/>
        <v/>
      </c>
      <c r="AJ1531" s="2" t="str">
        <f t="shared" si="214"/>
        <v/>
      </c>
      <c r="AK1531" s="2" t="str">
        <f t="shared" si="215"/>
        <v/>
      </c>
    </row>
    <row r="1532" spans="1:37" x14ac:dyDescent="0.25">
      <c r="A1532">
        <v>1517</v>
      </c>
      <c r="B1532" t="s">
        <v>1683</v>
      </c>
      <c r="C1532" t="s">
        <v>1577</v>
      </c>
      <c r="D1532" t="s">
        <v>1626</v>
      </c>
      <c r="E1532" t="s">
        <v>1391</v>
      </c>
      <c r="F1532" t="s">
        <v>1627</v>
      </c>
      <c r="G1532" t="s">
        <v>144</v>
      </c>
      <c r="H1532" s="1">
        <v>44922.208773148152</v>
      </c>
      <c r="I1532" s="1">
        <v>44925.208773148152</v>
      </c>
      <c r="J1532" t="s">
        <v>32</v>
      </c>
      <c r="K1532" s="1">
        <v>44932.208773148152</v>
      </c>
      <c r="L1532" t="s">
        <v>57</v>
      </c>
      <c r="N1532" s="4">
        <v>44938.208773148152</v>
      </c>
      <c r="O1532" t="s">
        <v>57</v>
      </c>
      <c r="P1532" s="4">
        <v>44933.208773148152</v>
      </c>
      <c r="Q1532" s="4">
        <v>44936.208773148152</v>
      </c>
      <c r="R1532" s="4">
        <v>44934.208773148152</v>
      </c>
      <c r="S1532" s="4">
        <v>44935.208773148152</v>
      </c>
      <c r="T1532">
        <v>1</v>
      </c>
      <c r="U1532" s="4">
        <v>44938.208773148152</v>
      </c>
      <c r="V1532" s="4">
        <v>44941.208773148152</v>
      </c>
      <c r="W1532" s="4">
        <v>44942.208773148152</v>
      </c>
      <c r="Z1532" s="4">
        <v>44957.208773148152</v>
      </c>
      <c r="AC1532" s="2">
        <f t="shared" si="207"/>
        <v>3</v>
      </c>
      <c r="AD1532" s="2">
        <f t="shared" si="208"/>
        <v>10</v>
      </c>
      <c r="AE1532" s="2">
        <f t="shared" si="209"/>
        <v>7</v>
      </c>
      <c r="AF1532" s="2">
        <f t="shared" si="210"/>
        <v>12</v>
      </c>
      <c r="AG1532" s="2">
        <f t="shared" si="211"/>
        <v>2</v>
      </c>
      <c r="AH1532" s="4">
        <f t="shared" si="212"/>
        <v>45024.208773148152</v>
      </c>
      <c r="AI1532" s="2">
        <f t="shared" si="213"/>
        <v>3</v>
      </c>
      <c r="AJ1532" s="2">
        <f t="shared" si="214"/>
        <v>23</v>
      </c>
      <c r="AK1532" s="2">
        <f t="shared" si="215"/>
        <v>8</v>
      </c>
    </row>
    <row r="1533" spans="1:37" x14ac:dyDescent="0.25">
      <c r="A1533">
        <v>1400</v>
      </c>
      <c r="B1533" t="s">
        <v>1684</v>
      </c>
      <c r="C1533" t="s">
        <v>1577</v>
      </c>
      <c r="D1533" t="s">
        <v>1626</v>
      </c>
      <c r="E1533" t="s">
        <v>1391</v>
      </c>
      <c r="F1533" t="s">
        <v>1627</v>
      </c>
      <c r="G1533" t="s">
        <v>144</v>
      </c>
      <c r="H1533" s="1">
        <v>44787.359849537039</v>
      </c>
      <c r="I1533" s="1">
        <v>44790.359849537039</v>
      </c>
      <c r="J1533" t="s">
        <v>32</v>
      </c>
      <c r="K1533" s="1">
        <v>44806.359849537039</v>
      </c>
      <c r="L1533" t="s">
        <v>39</v>
      </c>
      <c r="N1533" s="4">
        <v>44813.359849537039</v>
      </c>
      <c r="O1533" t="s">
        <v>39</v>
      </c>
      <c r="R1533" s="4">
        <v>44809.359849537039</v>
      </c>
      <c r="T1533">
        <v>0</v>
      </c>
      <c r="AC1533" s="2">
        <f t="shared" si="207"/>
        <v>3</v>
      </c>
      <c r="AD1533" s="2">
        <f t="shared" si="208"/>
        <v>19</v>
      </c>
      <c r="AE1533" s="2">
        <f t="shared" si="209"/>
        <v>16</v>
      </c>
      <c r="AF1533" s="2">
        <f t="shared" si="210"/>
        <v>22</v>
      </c>
      <c r="AG1533" s="2">
        <f t="shared" si="211"/>
        <v>3</v>
      </c>
      <c r="AH1533" s="4">
        <f t="shared" si="212"/>
        <v>44899.359849537039</v>
      </c>
      <c r="AI1533" s="2" t="str">
        <f t="shared" si="213"/>
        <v/>
      </c>
      <c r="AJ1533" s="2" t="str">
        <f t="shared" si="214"/>
        <v/>
      </c>
      <c r="AK1533" s="2" t="str">
        <f t="shared" si="215"/>
        <v/>
      </c>
    </row>
    <row r="1534" spans="1:37" x14ac:dyDescent="0.25">
      <c r="A1534">
        <v>1396</v>
      </c>
      <c r="B1534" t="s">
        <v>1685</v>
      </c>
      <c r="C1534" t="s">
        <v>1577</v>
      </c>
      <c r="D1534" t="s">
        <v>1626</v>
      </c>
      <c r="E1534" t="s">
        <v>1391</v>
      </c>
      <c r="F1534" t="s">
        <v>1627</v>
      </c>
      <c r="G1534" t="s">
        <v>144</v>
      </c>
      <c r="H1534" s="1">
        <v>44789.359849537039</v>
      </c>
      <c r="I1534" s="1">
        <v>44790.359849537039</v>
      </c>
      <c r="J1534" t="s">
        <v>44</v>
      </c>
      <c r="K1534" s="1"/>
      <c r="T1534">
        <v>0</v>
      </c>
      <c r="AC1534" s="2">
        <f t="shared" si="207"/>
        <v>1</v>
      </c>
      <c r="AD1534" s="2" t="str">
        <f t="shared" si="208"/>
        <v/>
      </c>
      <c r="AE1534" s="2" t="str">
        <f t="shared" si="209"/>
        <v/>
      </c>
      <c r="AF1534" s="2" t="str">
        <f t="shared" si="210"/>
        <v/>
      </c>
      <c r="AG1534" s="2" t="str">
        <f t="shared" si="211"/>
        <v/>
      </c>
      <c r="AH1534" s="4" t="str">
        <f t="shared" si="212"/>
        <v/>
      </c>
      <c r="AI1534" s="2" t="str">
        <f t="shared" si="213"/>
        <v/>
      </c>
      <c r="AJ1534" s="2" t="str">
        <f t="shared" si="214"/>
        <v/>
      </c>
      <c r="AK1534" s="2" t="str">
        <f t="shared" si="215"/>
        <v/>
      </c>
    </row>
    <row r="1535" spans="1:37" x14ac:dyDescent="0.25">
      <c r="A1535">
        <v>1340</v>
      </c>
      <c r="B1535" t="s">
        <v>1686</v>
      </c>
      <c r="C1535" t="s">
        <v>1577</v>
      </c>
      <c r="D1535" t="s">
        <v>1626</v>
      </c>
      <c r="E1535" t="s">
        <v>1391</v>
      </c>
      <c r="F1535" t="s">
        <v>1627</v>
      </c>
      <c r="G1535" t="s">
        <v>144</v>
      </c>
      <c r="H1535" s="1">
        <v>45165.691018518519</v>
      </c>
      <c r="I1535" s="1">
        <v>45169.691018518519</v>
      </c>
      <c r="J1535" t="s">
        <v>44</v>
      </c>
      <c r="K1535" s="1"/>
      <c r="T1535">
        <v>0</v>
      </c>
      <c r="AC1535" s="2">
        <f t="shared" si="207"/>
        <v>4</v>
      </c>
      <c r="AD1535" s="2" t="str">
        <f t="shared" si="208"/>
        <v/>
      </c>
      <c r="AE1535" s="2" t="str">
        <f t="shared" si="209"/>
        <v/>
      </c>
      <c r="AF1535" s="2" t="str">
        <f t="shared" si="210"/>
        <v/>
      </c>
      <c r="AG1535" s="2" t="str">
        <f t="shared" si="211"/>
        <v/>
      </c>
      <c r="AH1535" s="4" t="str">
        <f t="shared" si="212"/>
        <v/>
      </c>
      <c r="AI1535" s="2" t="str">
        <f t="shared" si="213"/>
        <v/>
      </c>
      <c r="AJ1535" s="2" t="str">
        <f t="shared" si="214"/>
        <v/>
      </c>
      <c r="AK1535" s="2" t="str">
        <f t="shared" si="215"/>
        <v/>
      </c>
    </row>
    <row r="1536" spans="1:37" x14ac:dyDescent="0.25">
      <c r="A1536">
        <v>1337</v>
      </c>
      <c r="B1536" t="s">
        <v>1687</v>
      </c>
      <c r="C1536" t="s">
        <v>1577</v>
      </c>
      <c r="D1536" t="s">
        <v>1626</v>
      </c>
      <c r="E1536" t="s">
        <v>1391</v>
      </c>
      <c r="F1536" t="s">
        <v>1627</v>
      </c>
      <c r="G1536" t="s">
        <v>144</v>
      </c>
      <c r="H1536" s="1">
        <v>45167.691018518519</v>
      </c>
      <c r="I1536" s="1">
        <v>45169.691018518519</v>
      </c>
      <c r="J1536" t="s">
        <v>32</v>
      </c>
      <c r="K1536" s="1">
        <v>45190.691018518519</v>
      </c>
      <c r="L1536" t="s">
        <v>33</v>
      </c>
      <c r="M1536" t="s">
        <v>51</v>
      </c>
      <c r="T1536">
        <v>0</v>
      </c>
      <c r="Y1536" t="s">
        <v>55</v>
      </c>
      <c r="AC1536" s="2">
        <f t="shared" si="207"/>
        <v>2</v>
      </c>
      <c r="AD1536" s="2">
        <f t="shared" si="208"/>
        <v>23</v>
      </c>
      <c r="AE1536" s="2">
        <f t="shared" si="209"/>
        <v>21</v>
      </c>
      <c r="AF1536" s="2" t="str">
        <f t="shared" si="210"/>
        <v/>
      </c>
      <c r="AG1536" s="2" t="str">
        <f t="shared" si="211"/>
        <v/>
      </c>
      <c r="AH1536" s="4" t="str">
        <f t="shared" si="212"/>
        <v/>
      </c>
      <c r="AI1536" s="2" t="str">
        <f t="shared" si="213"/>
        <v/>
      </c>
      <c r="AJ1536" s="2" t="str">
        <f t="shared" si="214"/>
        <v/>
      </c>
      <c r="AK1536" s="2" t="str">
        <f t="shared" si="215"/>
        <v/>
      </c>
    </row>
    <row r="1537" spans="1:37" x14ac:dyDescent="0.25">
      <c r="A1537">
        <v>1309</v>
      </c>
      <c r="B1537" t="s">
        <v>1688</v>
      </c>
      <c r="C1537" t="s">
        <v>1577</v>
      </c>
      <c r="D1537" t="s">
        <v>1626</v>
      </c>
      <c r="E1537" t="s">
        <v>1391</v>
      </c>
      <c r="F1537" t="s">
        <v>1627</v>
      </c>
      <c r="G1537" t="s">
        <v>144</v>
      </c>
      <c r="H1537" s="1">
        <v>44915.189664351848</v>
      </c>
      <c r="I1537" s="1">
        <v>44918.189664351848</v>
      </c>
      <c r="J1537" t="s">
        <v>32</v>
      </c>
      <c r="K1537" s="1">
        <v>44934.189664351848</v>
      </c>
      <c r="L1537" t="s">
        <v>164</v>
      </c>
      <c r="N1537" s="4">
        <v>44938.189664351848</v>
      </c>
      <c r="O1537" t="s">
        <v>164</v>
      </c>
      <c r="R1537" s="4">
        <v>44936.189664351848</v>
      </c>
      <c r="T1537">
        <v>0</v>
      </c>
      <c r="AC1537" s="2">
        <f t="shared" si="207"/>
        <v>3</v>
      </c>
      <c r="AD1537" s="2">
        <f t="shared" si="208"/>
        <v>19</v>
      </c>
      <c r="AE1537" s="2">
        <f t="shared" si="209"/>
        <v>16</v>
      </c>
      <c r="AF1537" s="2">
        <f t="shared" si="210"/>
        <v>21</v>
      </c>
      <c r="AG1537" s="2">
        <f t="shared" si="211"/>
        <v>2</v>
      </c>
      <c r="AH1537" s="4">
        <f t="shared" si="212"/>
        <v>45026.189664351848</v>
      </c>
      <c r="AI1537" s="2" t="str">
        <f t="shared" si="213"/>
        <v/>
      </c>
      <c r="AJ1537" s="2" t="str">
        <f t="shared" si="214"/>
        <v/>
      </c>
      <c r="AK1537" s="2" t="str">
        <f t="shared" si="215"/>
        <v/>
      </c>
    </row>
    <row r="1538" spans="1:37" x14ac:dyDescent="0.25">
      <c r="A1538">
        <v>1270</v>
      </c>
      <c r="B1538" t="s">
        <v>1689</v>
      </c>
      <c r="C1538" t="s">
        <v>1577</v>
      </c>
      <c r="D1538" t="s">
        <v>1626</v>
      </c>
      <c r="E1538" t="s">
        <v>1391</v>
      </c>
      <c r="F1538" t="s">
        <v>1627</v>
      </c>
      <c r="G1538" t="s">
        <v>144</v>
      </c>
      <c r="H1538" s="1">
        <v>44999.913287037038</v>
      </c>
      <c r="I1538" s="1">
        <v>45000.913287037038</v>
      </c>
      <c r="J1538" t="s">
        <v>32</v>
      </c>
      <c r="K1538" s="1">
        <v>45012.913287037038</v>
      </c>
      <c r="L1538" t="s">
        <v>57</v>
      </c>
      <c r="N1538" s="4">
        <v>45018.913287037038</v>
      </c>
      <c r="O1538" t="s">
        <v>57</v>
      </c>
      <c r="P1538" s="4">
        <v>45014.913287037038</v>
      </c>
      <c r="Q1538" s="4">
        <v>45017.913287037038</v>
      </c>
      <c r="R1538" s="4">
        <v>45016.913287037038</v>
      </c>
      <c r="S1538" s="4">
        <v>45022.913287037038</v>
      </c>
      <c r="T1538">
        <v>1</v>
      </c>
      <c r="U1538" s="4">
        <v>45024.913287037038</v>
      </c>
      <c r="V1538" s="4">
        <v>45027.913287037038</v>
      </c>
      <c r="W1538" s="4">
        <v>45029.913287037038</v>
      </c>
      <c r="Z1538" s="4">
        <v>45038.913287037038</v>
      </c>
      <c r="AC1538" s="2">
        <f t="shared" si="207"/>
        <v>1</v>
      </c>
      <c r="AD1538" s="2">
        <f t="shared" si="208"/>
        <v>13</v>
      </c>
      <c r="AE1538" s="2">
        <f t="shared" si="209"/>
        <v>12</v>
      </c>
      <c r="AF1538" s="2">
        <f t="shared" si="210"/>
        <v>17</v>
      </c>
      <c r="AG1538" s="2">
        <f t="shared" si="211"/>
        <v>4</v>
      </c>
      <c r="AH1538" s="4">
        <f t="shared" si="212"/>
        <v>45106.913287037038</v>
      </c>
      <c r="AI1538" s="2">
        <f t="shared" si="213"/>
        <v>2</v>
      </c>
      <c r="AJ1538" s="2">
        <f t="shared" si="214"/>
        <v>22</v>
      </c>
      <c r="AK1538" s="2">
        <f t="shared" si="215"/>
        <v>13</v>
      </c>
    </row>
    <row r="1539" spans="1:37" x14ac:dyDescent="0.25">
      <c r="A1539">
        <v>1269</v>
      </c>
      <c r="B1539" t="s">
        <v>1690</v>
      </c>
      <c r="C1539" t="s">
        <v>1577</v>
      </c>
      <c r="D1539" t="s">
        <v>1626</v>
      </c>
      <c r="E1539" t="s">
        <v>1391</v>
      </c>
      <c r="F1539" t="s">
        <v>1627</v>
      </c>
      <c r="G1539" t="s">
        <v>144</v>
      </c>
      <c r="H1539" s="1">
        <v>44997.913287037038</v>
      </c>
      <c r="I1539" s="1">
        <v>45001.913287037038</v>
      </c>
      <c r="J1539" t="s">
        <v>32</v>
      </c>
      <c r="K1539" s="1">
        <v>45020.913287037038</v>
      </c>
      <c r="L1539" t="s">
        <v>164</v>
      </c>
      <c r="N1539" s="4">
        <v>45024.913287037038</v>
      </c>
      <c r="O1539" t="s">
        <v>164</v>
      </c>
      <c r="R1539" s="4">
        <v>45021.913287037038</v>
      </c>
      <c r="T1539">
        <v>0</v>
      </c>
      <c r="AC1539" s="2">
        <f t="shared" ref="AC1539:AC1602" si="216">IF(AND(I1539&lt;&gt;"",H1539&lt;&gt;""), I1539-H1539, "")</f>
        <v>4</v>
      </c>
      <c r="AD1539" s="2">
        <f t="shared" ref="AD1539:AD1602" si="217">IF(AND(K1539&lt;&gt;"",H1539&lt;&gt;""), K1539-H1539, "")</f>
        <v>23</v>
      </c>
      <c r="AE1539" s="2">
        <f t="shared" ref="AE1539:AE1602" si="218">IF(AND(K1539&lt;&gt;"",I1539&lt;&gt;""), K1539-I1539, "")</f>
        <v>19</v>
      </c>
      <c r="AF1539" s="2">
        <f t="shared" ref="AF1539:AF1602" si="219">IF(AND(R1539&lt;&gt;"",H1539&lt;&gt;""), R1539-H1539, "")</f>
        <v>24</v>
      </c>
      <c r="AG1539" s="2">
        <f t="shared" ref="AG1539:AG1602" si="220">IF(AND(R1539&lt;&gt;"",K1539&lt;&gt;""), R1539-K1539, "")</f>
        <v>1</v>
      </c>
      <c r="AH1539" s="4">
        <f t="shared" ref="AH1539:AH1602" si="221">IF(R1539&lt;&gt;"", R1539+90, "")</f>
        <v>45111.913287037038</v>
      </c>
      <c r="AI1539" s="2" t="str">
        <f t="shared" ref="AI1539:AI1602" si="222">IF(AND(U1539&lt;&gt;"",S1539&lt;&gt;""), U1539-S1539, "")</f>
        <v/>
      </c>
      <c r="AJ1539" s="2" t="str">
        <f t="shared" ref="AJ1539:AJ1602" si="223">IF(AND(Z1539&lt;&gt;"",R1539&lt;&gt;""), Z1539-R1539, "")</f>
        <v/>
      </c>
      <c r="AK1539" s="2" t="str">
        <f t="shared" ref="AK1539:AK1602" si="224">IF(AND(W1539&lt;&gt;"",R1539&lt;&gt;""), W1539-R1539, "")</f>
        <v/>
      </c>
    </row>
    <row r="1540" spans="1:37" x14ac:dyDescent="0.25">
      <c r="A1540">
        <v>1268</v>
      </c>
      <c r="B1540" t="s">
        <v>1691</v>
      </c>
      <c r="C1540" t="s">
        <v>1577</v>
      </c>
      <c r="D1540" t="s">
        <v>1626</v>
      </c>
      <c r="E1540" t="s">
        <v>1391</v>
      </c>
      <c r="F1540" t="s">
        <v>1627</v>
      </c>
      <c r="G1540" t="s">
        <v>144</v>
      </c>
      <c r="H1540" s="1">
        <v>44999.913287037038</v>
      </c>
      <c r="I1540" s="1">
        <v>45001.913287037038</v>
      </c>
      <c r="J1540" t="s">
        <v>32</v>
      </c>
      <c r="K1540" s="1">
        <v>45019.913287037038</v>
      </c>
      <c r="L1540" t="s">
        <v>39</v>
      </c>
      <c r="N1540" s="4">
        <v>45024.913287037038</v>
      </c>
      <c r="O1540" t="s">
        <v>39</v>
      </c>
      <c r="R1540" s="4">
        <v>45020.913287037038</v>
      </c>
      <c r="T1540">
        <v>0</v>
      </c>
      <c r="AC1540" s="2">
        <f t="shared" si="216"/>
        <v>2</v>
      </c>
      <c r="AD1540" s="2">
        <f t="shared" si="217"/>
        <v>20</v>
      </c>
      <c r="AE1540" s="2">
        <f t="shared" si="218"/>
        <v>18</v>
      </c>
      <c r="AF1540" s="2">
        <f t="shared" si="219"/>
        <v>21</v>
      </c>
      <c r="AG1540" s="2">
        <f t="shared" si="220"/>
        <v>1</v>
      </c>
      <c r="AH1540" s="4">
        <f t="shared" si="221"/>
        <v>45110.913287037038</v>
      </c>
      <c r="AI1540" s="2" t="str">
        <f t="shared" si="222"/>
        <v/>
      </c>
      <c r="AJ1540" s="2" t="str">
        <f t="shared" si="223"/>
        <v/>
      </c>
      <c r="AK1540" s="2" t="str">
        <f t="shared" si="224"/>
        <v/>
      </c>
    </row>
    <row r="1541" spans="1:37" x14ac:dyDescent="0.25">
      <c r="A1541">
        <v>1264</v>
      </c>
      <c r="B1541" t="s">
        <v>1692</v>
      </c>
      <c r="C1541" t="s">
        <v>1577</v>
      </c>
      <c r="D1541" t="s">
        <v>1626</v>
      </c>
      <c r="E1541" t="s">
        <v>1391</v>
      </c>
      <c r="F1541" t="s">
        <v>1627</v>
      </c>
      <c r="G1541" t="s">
        <v>144</v>
      </c>
      <c r="H1541" s="1">
        <v>44995.913287037038</v>
      </c>
      <c r="I1541" s="1">
        <v>44999.913287037038</v>
      </c>
      <c r="J1541" t="s">
        <v>32</v>
      </c>
      <c r="K1541" s="1">
        <v>45012.913287037038</v>
      </c>
      <c r="L1541" t="s">
        <v>39</v>
      </c>
      <c r="N1541" s="4">
        <v>45018.913287037038</v>
      </c>
      <c r="O1541" t="s">
        <v>39</v>
      </c>
      <c r="R1541" s="4">
        <v>45016.913287037038</v>
      </c>
      <c r="T1541">
        <v>0</v>
      </c>
      <c r="AC1541" s="2">
        <f t="shared" si="216"/>
        <v>4</v>
      </c>
      <c r="AD1541" s="2">
        <f t="shared" si="217"/>
        <v>17</v>
      </c>
      <c r="AE1541" s="2">
        <f t="shared" si="218"/>
        <v>13</v>
      </c>
      <c r="AF1541" s="2">
        <f t="shared" si="219"/>
        <v>21</v>
      </c>
      <c r="AG1541" s="2">
        <f t="shared" si="220"/>
        <v>4</v>
      </c>
      <c r="AH1541" s="4">
        <f t="shared" si="221"/>
        <v>45106.913287037038</v>
      </c>
      <c r="AI1541" s="2" t="str">
        <f t="shared" si="222"/>
        <v/>
      </c>
      <c r="AJ1541" s="2" t="str">
        <f t="shared" si="223"/>
        <v/>
      </c>
      <c r="AK1541" s="2" t="str">
        <f t="shared" si="224"/>
        <v/>
      </c>
    </row>
    <row r="1542" spans="1:37" x14ac:dyDescent="0.25">
      <c r="A1542">
        <v>1259</v>
      </c>
      <c r="B1542" t="s">
        <v>1693</v>
      </c>
      <c r="C1542" t="s">
        <v>1577</v>
      </c>
      <c r="D1542" t="s">
        <v>1626</v>
      </c>
      <c r="E1542" t="s">
        <v>1391</v>
      </c>
      <c r="F1542" t="s">
        <v>1627</v>
      </c>
      <c r="G1542" t="s">
        <v>144</v>
      </c>
      <c r="H1542" s="1">
        <v>44735.170439814814</v>
      </c>
      <c r="I1542" s="1">
        <v>44738.170439814814</v>
      </c>
      <c r="J1542" t="s">
        <v>44</v>
      </c>
      <c r="K1542" s="1"/>
      <c r="T1542">
        <v>0</v>
      </c>
      <c r="AC1542" s="2">
        <f t="shared" si="216"/>
        <v>3</v>
      </c>
      <c r="AD1542" s="2" t="str">
        <f t="shared" si="217"/>
        <v/>
      </c>
      <c r="AE1542" s="2" t="str">
        <f t="shared" si="218"/>
        <v/>
      </c>
      <c r="AF1542" s="2" t="str">
        <f t="shared" si="219"/>
        <v/>
      </c>
      <c r="AG1542" s="2" t="str">
        <f t="shared" si="220"/>
        <v/>
      </c>
      <c r="AH1542" s="4" t="str">
        <f t="shared" si="221"/>
        <v/>
      </c>
      <c r="AI1542" s="2" t="str">
        <f t="shared" si="222"/>
        <v/>
      </c>
      <c r="AJ1542" s="2" t="str">
        <f t="shared" si="223"/>
        <v/>
      </c>
      <c r="AK1542" s="2" t="str">
        <f t="shared" si="224"/>
        <v/>
      </c>
    </row>
    <row r="1543" spans="1:37" x14ac:dyDescent="0.25">
      <c r="A1543">
        <v>1254</v>
      </c>
      <c r="B1543" t="s">
        <v>1694</v>
      </c>
      <c r="C1543" t="s">
        <v>1577</v>
      </c>
      <c r="D1543" t="s">
        <v>1626</v>
      </c>
      <c r="E1543" t="s">
        <v>1391</v>
      </c>
      <c r="F1543" t="s">
        <v>1627</v>
      </c>
      <c r="G1543" t="s">
        <v>144</v>
      </c>
      <c r="H1543" s="1">
        <v>44739.170439814814</v>
      </c>
      <c r="I1543" s="1">
        <v>44740.170439814814</v>
      </c>
      <c r="J1543" t="s">
        <v>32</v>
      </c>
      <c r="K1543" s="1">
        <v>44751.170439814814</v>
      </c>
      <c r="L1543" t="s">
        <v>33</v>
      </c>
      <c r="M1543" t="s">
        <v>34</v>
      </c>
      <c r="R1543" s="4">
        <v>44754.170439814814</v>
      </c>
      <c r="T1543">
        <v>0</v>
      </c>
      <c r="Y1543" t="s">
        <v>55</v>
      </c>
      <c r="AC1543" s="2">
        <f t="shared" si="216"/>
        <v>1</v>
      </c>
      <c r="AD1543" s="2">
        <f t="shared" si="217"/>
        <v>12</v>
      </c>
      <c r="AE1543" s="2">
        <f t="shared" si="218"/>
        <v>11</v>
      </c>
      <c r="AF1543" s="2">
        <f t="shared" si="219"/>
        <v>15</v>
      </c>
      <c r="AG1543" s="2">
        <f t="shared" si="220"/>
        <v>3</v>
      </c>
      <c r="AH1543" s="4">
        <f t="shared" si="221"/>
        <v>44844.170439814814</v>
      </c>
      <c r="AI1543" s="2" t="str">
        <f t="shared" si="222"/>
        <v/>
      </c>
      <c r="AJ1543" s="2" t="str">
        <f t="shared" si="223"/>
        <v/>
      </c>
      <c r="AK1543" s="2" t="str">
        <f t="shared" si="224"/>
        <v/>
      </c>
    </row>
    <row r="1544" spans="1:37" x14ac:dyDescent="0.25">
      <c r="A1544">
        <v>1251</v>
      </c>
      <c r="B1544" t="s">
        <v>1695</v>
      </c>
      <c r="C1544" t="s">
        <v>1577</v>
      </c>
      <c r="D1544" t="s">
        <v>1626</v>
      </c>
      <c r="E1544" t="s">
        <v>1391</v>
      </c>
      <c r="F1544" t="s">
        <v>1627</v>
      </c>
      <c r="G1544" t="s">
        <v>144</v>
      </c>
      <c r="H1544" s="1">
        <v>44733.170439814814</v>
      </c>
      <c r="I1544" s="1">
        <v>44737.170439814814</v>
      </c>
      <c r="J1544" t="s">
        <v>32</v>
      </c>
      <c r="K1544" s="1">
        <v>44758.170439814814</v>
      </c>
      <c r="L1544" t="s">
        <v>33</v>
      </c>
      <c r="M1544" t="s">
        <v>67</v>
      </c>
      <c r="T1544">
        <v>0</v>
      </c>
      <c r="Y1544" t="s">
        <v>35</v>
      </c>
      <c r="AC1544" s="2">
        <f t="shared" si="216"/>
        <v>4</v>
      </c>
      <c r="AD1544" s="2">
        <f t="shared" si="217"/>
        <v>25</v>
      </c>
      <c r="AE1544" s="2">
        <f t="shared" si="218"/>
        <v>21</v>
      </c>
      <c r="AF1544" s="2" t="str">
        <f t="shared" si="219"/>
        <v/>
      </c>
      <c r="AG1544" s="2" t="str">
        <f t="shared" si="220"/>
        <v/>
      </c>
      <c r="AH1544" s="4" t="str">
        <f t="shared" si="221"/>
        <v/>
      </c>
      <c r="AI1544" s="2" t="str">
        <f t="shared" si="222"/>
        <v/>
      </c>
      <c r="AJ1544" s="2" t="str">
        <f t="shared" si="223"/>
        <v/>
      </c>
      <c r="AK1544" s="2" t="str">
        <f t="shared" si="224"/>
        <v/>
      </c>
    </row>
    <row r="1545" spans="1:37" x14ac:dyDescent="0.25">
      <c r="A1545">
        <v>1144</v>
      </c>
      <c r="B1545" t="s">
        <v>1696</v>
      </c>
      <c r="C1545" t="s">
        <v>1577</v>
      </c>
      <c r="D1545" t="s">
        <v>1626</v>
      </c>
      <c r="E1545" t="s">
        <v>1391</v>
      </c>
      <c r="F1545" t="s">
        <v>1627</v>
      </c>
      <c r="G1545" t="s">
        <v>144</v>
      </c>
      <c r="H1545" s="1">
        <v>45139.067280092589</v>
      </c>
      <c r="I1545" s="1">
        <v>45143.067280092589</v>
      </c>
      <c r="J1545" t="s">
        <v>32</v>
      </c>
      <c r="K1545" s="1">
        <v>45154.067280092589</v>
      </c>
      <c r="L1545" t="s">
        <v>33</v>
      </c>
      <c r="M1545" t="s">
        <v>92</v>
      </c>
      <c r="T1545">
        <v>0</v>
      </c>
      <c r="Y1545" t="s">
        <v>35</v>
      </c>
      <c r="AC1545" s="2">
        <f t="shared" si="216"/>
        <v>4</v>
      </c>
      <c r="AD1545" s="2">
        <f t="shared" si="217"/>
        <v>15</v>
      </c>
      <c r="AE1545" s="2">
        <f t="shared" si="218"/>
        <v>11</v>
      </c>
      <c r="AF1545" s="2" t="str">
        <f t="shared" si="219"/>
        <v/>
      </c>
      <c r="AG1545" s="2" t="str">
        <f t="shared" si="220"/>
        <v/>
      </c>
      <c r="AH1545" s="4" t="str">
        <f t="shared" si="221"/>
        <v/>
      </c>
      <c r="AI1545" s="2" t="str">
        <f t="shared" si="222"/>
        <v/>
      </c>
      <c r="AJ1545" s="2" t="str">
        <f t="shared" si="223"/>
        <v/>
      </c>
      <c r="AK1545" s="2" t="str">
        <f t="shared" si="224"/>
        <v/>
      </c>
    </row>
    <row r="1546" spans="1:37" x14ac:dyDescent="0.25">
      <c r="A1546">
        <v>1142</v>
      </c>
      <c r="B1546" t="s">
        <v>1697</v>
      </c>
      <c r="C1546" t="s">
        <v>1577</v>
      </c>
      <c r="D1546" t="s">
        <v>1626</v>
      </c>
      <c r="E1546" t="s">
        <v>1391</v>
      </c>
      <c r="F1546" t="s">
        <v>1627</v>
      </c>
      <c r="G1546" t="s">
        <v>144</v>
      </c>
      <c r="H1546" s="1">
        <v>45141.067280092589</v>
      </c>
      <c r="I1546" s="1">
        <v>45145.067280092589</v>
      </c>
      <c r="J1546" t="s">
        <v>32</v>
      </c>
      <c r="K1546" s="1">
        <v>45155.067280092589</v>
      </c>
      <c r="L1546" t="s">
        <v>39</v>
      </c>
      <c r="N1546" s="4">
        <v>45162.067280092589</v>
      </c>
      <c r="O1546" t="s">
        <v>39</v>
      </c>
      <c r="R1546" s="4">
        <v>45159.067280092589</v>
      </c>
      <c r="T1546">
        <v>0</v>
      </c>
      <c r="AC1546" s="2">
        <f t="shared" si="216"/>
        <v>4</v>
      </c>
      <c r="AD1546" s="2">
        <f t="shared" si="217"/>
        <v>14</v>
      </c>
      <c r="AE1546" s="2">
        <f t="shared" si="218"/>
        <v>10</v>
      </c>
      <c r="AF1546" s="2">
        <f t="shared" si="219"/>
        <v>18</v>
      </c>
      <c r="AG1546" s="2">
        <f t="shared" si="220"/>
        <v>4</v>
      </c>
      <c r="AH1546" s="4">
        <f t="shared" si="221"/>
        <v>45249.067280092589</v>
      </c>
      <c r="AI1546" s="2" t="str">
        <f t="shared" si="222"/>
        <v/>
      </c>
      <c r="AJ1546" s="2" t="str">
        <f t="shared" si="223"/>
        <v/>
      </c>
      <c r="AK1546" s="2" t="str">
        <f t="shared" si="224"/>
        <v/>
      </c>
    </row>
    <row r="1547" spans="1:37" x14ac:dyDescent="0.25">
      <c r="A1547">
        <v>1141</v>
      </c>
      <c r="B1547" t="s">
        <v>1698</v>
      </c>
      <c r="C1547" t="s">
        <v>1577</v>
      </c>
      <c r="D1547" t="s">
        <v>1626</v>
      </c>
      <c r="E1547" t="s">
        <v>1391</v>
      </c>
      <c r="F1547" t="s">
        <v>1627</v>
      </c>
      <c r="G1547" t="s">
        <v>144</v>
      </c>
      <c r="H1547" s="1">
        <v>45145.067280092589</v>
      </c>
      <c r="I1547" s="1">
        <v>45146.067280092589</v>
      </c>
      <c r="J1547" t="s">
        <v>44</v>
      </c>
      <c r="K1547" s="1"/>
      <c r="T1547">
        <v>0</v>
      </c>
      <c r="AC1547" s="2">
        <f t="shared" si="216"/>
        <v>1</v>
      </c>
      <c r="AD1547" s="2" t="str">
        <f t="shared" si="217"/>
        <v/>
      </c>
      <c r="AE1547" s="2" t="str">
        <f t="shared" si="218"/>
        <v/>
      </c>
      <c r="AF1547" s="2" t="str">
        <f t="shared" si="219"/>
        <v/>
      </c>
      <c r="AG1547" s="2" t="str">
        <f t="shared" si="220"/>
        <v/>
      </c>
      <c r="AH1547" s="4" t="str">
        <f t="shared" si="221"/>
        <v/>
      </c>
      <c r="AI1547" s="2" t="str">
        <f t="shared" si="222"/>
        <v/>
      </c>
      <c r="AJ1547" s="2" t="str">
        <f t="shared" si="223"/>
        <v/>
      </c>
      <c r="AK1547" s="2" t="str">
        <f t="shared" si="224"/>
        <v/>
      </c>
    </row>
    <row r="1548" spans="1:37" x14ac:dyDescent="0.25">
      <c r="A1548">
        <v>1116</v>
      </c>
      <c r="B1548" t="s">
        <v>1699</v>
      </c>
      <c r="C1548" t="s">
        <v>1577</v>
      </c>
      <c r="D1548" t="s">
        <v>1626</v>
      </c>
      <c r="E1548" t="s">
        <v>1391</v>
      </c>
      <c r="F1548" t="s">
        <v>1627</v>
      </c>
      <c r="G1548" t="s">
        <v>144</v>
      </c>
      <c r="H1548" s="1">
        <v>45023.266469907408</v>
      </c>
      <c r="I1548" s="1">
        <v>45024.266469907408</v>
      </c>
      <c r="J1548" t="s">
        <v>32</v>
      </c>
      <c r="K1548" s="1">
        <v>45036.266469907408</v>
      </c>
      <c r="L1548" t="s">
        <v>33</v>
      </c>
      <c r="M1548" t="s">
        <v>67</v>
      </c>
      <c r="T1548">
        <v>0</v>
      </c>
      <c r="Y1548" t="s">
        <v>55</v>
      </c>
      <c r="AC1548" s="2">
        <f t="shared" si="216"/>
        <v>1</v>
      </c>
      <c r="AD1548" s="2">
        <f t="shared" si="217"/>
        <v>13</v>
      </c>
      <c r="AE1548" s="2">
        <f t="shared" si="218"/>
        <v>12</v>
      </c>
      <c r="AF1548" s="2" t="str">
        <f t="shared" si="219"/>
        <v/>
      </c>
      <c r="AG1548" s="2" t="str">
        <f t="shared" si="220"/>
        <v/>
      </c>
      <c r="AH1548" s="4" t="str">
        <f t="shared" si="221"/>
        <v/>
      </c>
      <c r="AI1548" s="2" t="str">
        <f t="shared" si="222"/>
        <v/>
      </c>
      <c r="AJ1548" s="2" t="str">
        <f t="shared" si="223"/>
        <v/>
      </c>
      <c r="AK1548" s="2" t="str">
        <f t="shared" si="224"/>
        <v/>
      </c>
    </row>
    <row r="1549" spans="1:37" x14ac:dyDescent="0.25">
      <c r="A1549">
        <v>1066</v>
      </c>
      <c r="B1549" t="s">
        <v>1700</v>
      </c>
      <c r="C1549" t="s">
        <v>1577</v>
      </c>
      <c r="D1549" t="s">
        <v>1626</v>
      </c>
      <c r="E1549" t="s">
        <v>1391</v>
      </c>
      <c r="F1549" t="s">
        <v>1627</v>
      </c>
      <c r="G1549" t="s">
        <v>144</v>
      </c>
      <c r="H1549" s="1">
        <v>44779.414236111108</v>
      </c>
      <c r="I1549" s="1">
        <v>44783.414236111108</v>
      </c>
      <c r="J1549" t="s">
        <v>32</v>
      </c>
      <c r="K1549" s="1">
        <v>44792.414236111108</v>
      </c>
      <c r="L1549" t="s">
        <v>39</v>
      </c>
      <c r="N1549" s="4">
        <v>44796.414236111108</v>
      </c>
      <c r="O1549" t="s">
        <v>39</v>
      </c>
      <c r="R1549" s="4">
        <v>44794.414236111108</v>
      </c>
      <c r="T1549">
        <v>0</v>
      </c>
      <c r="AC1549" s="2">
        <f t="shared" si="216"/>
        <v>4</v>
      </c>
      <c r="AD1549" s="2">
        <f t="shared" si="217"/>
        <v>13</v>
      </c>
      <c r="AE1549" s="2">
        <f t="shared" si="218"/>
        <v>9</v>
      </c>
      <c r="AF1549" s="2">
        <f t="shared" si="219"/>
        <v>15</v>
      </c>
      <c r="AG1549" s="2">
        <f t="shared" si="220"/>
        <v>2</v>
      </c>
      <c r="AH1549" s="4">
        <f t="shared" si="221"/>
        <v>44884.414236111108</v>
      </c>
      <c r="AI1549" s="2" t="str">
        <f t="shared" si="222"/>
        <v/>
      </c>
      <c r="AJ1549" s="2" t="str">
        <f t="shared" si="223"/>
        <v/>
      </c>
      <c r="AK1549" s="2" t="str">
        <f t="shared" si="224"/>
        <v/>
      </c>
    </row>
    <row r="1550" spans="1:37" x14ac:dyDescent="0.25">
      <c r="A1550">
        <v>1015</v>
      </c>
      <c r="B1550" t="s">
        <v>1701</v>
      </c>
      <c r="C1550" t="s">
        <v>1577</v>
      </c>
      <c r="D1550" t="s">
        <v>1626</v>
      </c>
      <c r="E1550" t="s">
        <v>1391</v>
      </c>
      <c r="F1550" t="s">
        <v>1627</v>
      </c>
      <c r="G1550" t="s">
        <v>144</v>
      </c>
      <c r="H1550" s="1">
        <v>44594.329571759263</v>
      </c>
      <c r="I1550" s="1">
        <v>44596.329571759263</v>
      </c>
      <c r="J1550" t="s">
        <v>32</v>
      </c>
      <c r="K1550" s="1">
        <v>44611.329571759263</v>
      </c>
      <c r="L1550" t="s">
        <v>39</v>
      </c>
      <c r="N1550" s="4">
        <v>44615.329571759263</v>
      </c>
      <c r="O1550" t="s">
        <v>39</v>
      </c>
      <c r="R1550" s="4">
        <v>44613.329571759263</v>
      </c>
      <c r="T1550">
        <v>0</v>
      </c>
      <c r="AC1550" s="2">
        <f t="shared" si="216"/>
        <v>2</v>
      </c>
      <c r="AD1550" s="2">
        <f t="shared" si="217"/>
        <v>17</v>
      </c>
      <c r="AE1550" s="2">
        <f t="shared" si="218"/>
        <v>15</v>
      </c>
      <c r="AF1550" s="2">
        <f t="shared" si="219"/>
        <v>19</v>
      </c>
      <c r="AG1550" s="2">
        <f t="shared" si="220"/>
        <v>2</v>
      </c>
      <c r="AH1550" s="4">
        <f t="shared" si="221"/>
        <v>44703.329571759263</v>
      </c>
      <c r="AI1550" s="2" t="str">
        <f t="shared" si="222"/>
        <v/>
      </c>
      <c r="AJ1550" s="2" t="str">
        <f t="shared" si="223"/>
        <v/>
      </c>
      <c r="AK1550" s="2" t="str">
        <f t="shared" si="224"/>
        <v/>
      </c>
    </row>
    <row r="1551" spans="1:37" x14ac:dyDescent="0.25">
      <c r="A1551">
        <v>1014</v>
      </c>
      <c r="B1551" t="s">
        <v>1702</v>
      </c>
      <c r="C1551" t="s">
        <v>1577</v>
      </c>
      <c r="D1551" t="s">
        <v>1626</v>
      </c>
      <c r="E1551" t="s">
        <v>1391</v>
      </c>
      <c r="F1551" t="s">
        <v>1627</v>
      </c>
      <c r="G1551" t="s">
        <v>144</v>
      </c>
      <c r="H1551" s="1">
        <v>44598.329571759263</v>
      </c>
      <c r="I1551" s="1">
        <v>44599.329571759263</v>
      </c>
      <c r="J1551" t="s">
        <v>32</v>
      </c>
      <c r="K1551" s="1">
        <v>44607.329571759263</v>
      </c>
      <c r="L1551" t="s">
        <v>33</v>
      </c>
      <c r="M1551" t="s">
        <v>67</v>
      </c>
      <c r="T1551">
        <v>0</v>
      </c>
      <c r="Y1551" t="s">
        <v>55</v>
      </c>
      <c r="AC1551" s="2">
        <f t="shared" si="216"/>
        <v>1</v>
      </c>
      <c r="AD1551" s="2">
        <f t="shared" si="217"/>
        <v>9</v>
      </c>
      <c r="AE1551" s="2">
        <f t="shared" si="218"/>
        <v>8</v>
      </c>
      <c r="AF1551" s="2" t="str">
        <f t="shared" si="219"/>
        <v/>
      </c>
      <c r="AG1551" s="2" t="str">
        <f t="shared" si="220"/>
        <v/>
      </c>
      <c r="AH1551" s="4" t="str">
        <f t="shared" si="221"/>
        <v/>
      </c>
      <c r="AI1551" s="2" t="str">
        <f t="shared" si="222"/>
        <v/>
      </c>
      <c r="AJ1551" s="2" t="str">
        <f t="shared" si="223"/>
        <v/>
      </c>
      <c r="AK1551" s="2" t="str">
        <f t="shared" si="224"/>
        <v/>
      </c>
    </row>
    <row r="1552" spans="1:37" x14ac:dyDescent="0.25">
      <c r="A1552">
        <v>980</v>
      </c>
      <c r="B1552" t="s">
        <v>1703</v>
      </c>
      <c r="C1552" t="s">
        <v>1577</v>
      </c>
      <c r="D1552" t="s">
        <v>1626</v>
      </c>
      <c r="E1552" t="s">
        <v>1391</v>
      </c>
      <c r="F1552" t="s">
        <v>1627</v>
      </c>
      <c r="G1552" t="s">
        <v>144</v>
      </c>
      <c r="H1552" s="1">
        <v>44759.699247685188</v>
      </c>
      <c r="I1552" s="1">
        <v>44762.699247685188</v>
      </c>
      <c r="J1552" t="s">
        <v>44</v>
      </c>
      <c r="K1552" s="1"/>
      <c r="T1552">
        <v>0</v>
      </c>
      <c r="AC1552" s="2">
        <f t="shared" si="216"/>
        <v>3</v>
      </c>
      <c r="AD1552" s="2" t="str">
        <f t="shared" si="217"/>
        <v/>
      </c>
      <c r="AE1552" s="2" t="str">
        <f t="shared" si="218"/>
        <v/>
      </c>
      <c r="AF1552" s="2" t="str">
        <f t="shared" si="219"/>
        <v/>
      </c>
      <c r="AG1552" s="2" t="str">
        <f t="shared" si="220"/>
        <v/>
      </c>
      <c r="AH1552" s="4" t="str">
        <f t="shared" si="221"/>
        <v/>
      </c>
      <c r="AI1552" s="2" t="str">
        <f t="shared" si="222"/>
        <v/>
      </c>
      <c r="AJ1552" s="2" t="str">
        <f t="shared" si="223"/>
        <v/>
      </c>
      <c r="AK1552" s="2" t="str">
        <f t="shared" si="224"/>
        <v/>
      </c>
    </row>
    <row r="1553" spans="1:37" x14ac:dyDescent="0.25">
      <c r="A1553">
        <v>976</v>
      </c>
      <c r="B1553" t="s">
        <v>1704</v>
      </c>
      <c r="C1553" t="s">
        <v>1577</v>
      </c>
      <c r="D1553" t="s">
        <v>1626</v>
      </c>
      <c r="E1553" t="s">
        <v>1391</v>
      </c>
      <c r="F1553" t="s">
        <v>1627</v>
      </c>
      <c r="G1553" t="s">
        <v>144</v>
      </c>
      <c r="H1553" s="1">
        <v>44761.699247685188</v>
      </c>
      <c r="I1553" s="1">
        <v>44763.699247685188</v>
      </c>
      <c r="J1553" t="s">
        <v>32</v>
      </c>
      <c r="K1553" s="1">
        <v>44777.699247685188</v>
      </c>
      <c r="L1553" t="s">
        <v>33</v>
      </c>
      <c r="M1553" t="s">
        <v>108</v>
      </c>
      <c r="R1553" s="4">
        <v>44778.699247685188</v>
      </c>
      <c r="T1553">
        <v>0</v>
      </c>
      <c r="Y1553" t="s">
        <v>35</v>
      </c>
      <c r="AC1553" s="2">
        <f t="shared" si="216"/>
        <v>2</v>
      </c>
      <c r="AD1553" s="2">
        <f t="shared" si="217"/>
        <v>16</v>
      </c>
      <c r="AE1553" s="2">
        <f t="shared" si="218"/>
        <v>14</v>
      </c>
      <c r="AF1553" s="2">
        <f t="shared" si="219"/>
        <v>17</v>
      </c>
      <c r="AG1553" s="2">
        <f t="shared" si="220"/>
        <v>1</v>
      </c>
      <c r="AH1553" s="4">
        <f t="shared" si="221"/>
        <v>44868.699247685188</v>
      </c>
      <c r="AI1553" s="2" t="str">
        <f t="shared" si="222"/>
        <v/>
      </c>
      <c r="AJ1553" s="2" t="str">
        <f t="shared" si="223"/>
        <v/>
      </c>
      <c r="AK1553" s="2" t="str">
        <f t="shared" si="224"/>
        <v/>
      </c>
    </row>
    <row r="1554" spans="1:37" x14ac:dyDescent="0.25">
      <c r="A1554">
        <v>973</v>
      </c>
      <c r="B1554" t="s">
        <v>1705</v>
      </c>
      <c r="C1554" t="s">
        <v>1577</v>
      </c>
      <c r="D1554" t="s">
        <v>1626</v>
      </c>
      <c r="E1554" t="s">
        <v>1391</v>
      </c>
      <c r="F1554" t="s">
        <v>1627</v>
      </c>
      <c r="G1554" t="s">
        <v>144</v>
      </c>
      <c r="H1554" s="1">
        <v>44755.699247685188</v>
      </c>
      <c r="I1554" s="1">
        <v>44759.699247685188</v>
      </c>
      <c r="J1554" t="s">
        <v>32</v>
      </c>
      <c r="K1554" s="1">
        <v>44773.699247685188</v>
      </c>
      <c r="L1554" t="s">
        <v>33</v>
      </c>
      <c r="M1554" t="s">
        <v>92</v>
      </c>
      <c r="R1554" s="4">
        <v>44774.699247685188</v>
      </c>
      <c r="T1554">
        <v>0</v>
      </c>
      <c r="Y1554" t="s">
        <v>35</v>
      </c>
      <c r="AC1554" s="2">
        <f t="shared" si="216"/>
        <v>4</v>
      </c>
      <c r="AD1554" s="2">
        <f t="shared" si="217"/>
        <v>18</v>
      </c>
      <c r="AE1554" s="2">
        <f t="shared" si="218"/>
        <v>14</v>
      </c>
      <c r="AF1554" s="2">
        <f t="shared" si="219"/>
        <v>19</v>
      </c>
      <c r="AG1554" s="2">
        <f t="shared" si="220"/>
        <v>1</v>
      </c>
      <c r="AH1554" s="4">
        <f t="shared" si="221"/>
        <v>44864.699247685188</v>
      </c>
      <c r="AI1554" s="2" t="str">
        <f t="shared" si="222"/>
        <v/>
      </c>
      <c r="AJ1554" s="2" t="str">
        <f t="shared" si="223"/>
        <v/>
      </c>
      <c r="AK1554" s="2" t="str">
        <f t="shared" si="224"/>
        <v/>
      </c>
    </row>
    <row r="1555" spans="1:37" x14ac:dyDescent="0.25">
      <c r="A1555">
        <v>968</v>
      </c>
      <c r="B1555" t="s">
        <v>1706</v>
      </c>
      <c r="C1555" t="s">
        <v>1577</v>
      </c>
      <c r="D1555" t="s">
        <v>1626</v>
      </c>
      <c r="E1555" t="s">
        <v>1391</v>
      </c>
      <c r="F1555" t="s">
        <v>1627</v>
      </c>
      <c r="G1555" t="s">
        <v>144</v>
      </c>
      <c r="H1555" s="1">
        <v>45121.340451388889</v>
      </c>
      <c r="I1555" s="1">
        <v>45122.340451388889</v>
      </c>
      <c r="J1555" t="s">
        <v>32</v>
      </c>
      <c r="K1555" s="1">
        <v>45133.340451388889</v>
      </c>
      <c r="L1555" t="s">
        <v>57</v>
      </c>
      <c r="N1555" s="4">
        <v>45137.340451388889</v>
      </c>
      <c r="O1555" t="s">
        <v>57</v>
      </c>
      <c r="P1555" s="4">
        <v>45135.340451388889</v>
      </c>
      <c r="Q1555" s="4">
        <v>45138.340451388889</v>
      </c>
      <c r="R1555" s="4">
        <v>45134.340451388889</v>
      </c>
      <c r="S1555" s="4">
        <v>45138.340451388889</v>
      </c>
      <c r="T1555">
        <v>1</v>
      </c>
      <c r="U1555" s="4">
        <v>45139.340451388889</v>
      </c>
      <c r="V1555" s="4">
        <v>45142.340451388889</v>
      </c>
      <c r="W1555" s="4">
        <v>45143.340451388889</v>
      </c>
      <c r="Z1555" s="4">
        <v>45163.340451388889</v>
      </c>
      <c r="AC1555" s="2">
        <f t="shared" si="216"/>
        <v>1</v>
      </c>
      <c r="AD1555" s="2">
        <f t="shared" si="217"/>
        <v>12</v>
      </c>
      <c r="AE1555" s="2">
        <f t="shared" si="218"/>
        <v>11</v>
      </c>
      <c r="AF1555" s="2">
        <f t="shared" si="219"/>
        <v>13</v>
      </c>
      <c r="AG1555" s="2">
        <f t="shared" si="220"/>
        <v>1</v>
      </c>
      <c r="AH1555" s="4">
        <f t="shared" si="221"/>
        <v>45224.340451388889</v>
      </c>
      <c r="AI1555" s="2">
        <f t="shared" si="222"/>
        <v>1</v>
      </c>
      <c r="AJ1555" s="2">
        <f t="shared" si="223"/>
        <v>29</v>
      </c>
      <c r="AK1555" s="2">
        <f t="shared" si="224"/>
        <v>9</v>
      </c>
    </row>
    <row r="1556" spans="1:37" x14ac:dyDescent="0.25">
      <c r="A1556">
        <v>967</v>
      </c>
      <c r="B1556" t="s">
        <v>1707</v>
      </c>
      <c r="C1556" t="s">
        <v>1577</v>
      </c>
      <c r="D1556" t="s">
        <v>1626</v>
      </c>
      <c r="E1556" t="s">
        <v>1391</v>
      </c>
      <c r="F1556" t="s">
        <v>1627</v>
      </c>
      <c r="G1556" t="s">
        <v>144</v>
      </c>
      <c r="H1556" s="1">
        <v>45122.340451388889</v>
      </c>
      <c r="I1556" s="1">
        <v>45126.340451388889</v>
      </c>
      <c r="J1556" t="s">
        <v>32</v>
      </c>
      <c r="K1556" s="1">
        <v>45139.340451388889</v>
      </c>
      <c r="L1556" t="s">
        <v>164</v>
      </c>
      <c r="N1556" s="4">
        <v>45143.340451388889</v>
      </c>
      <c r="O1556" t="s">
        <v>164</v>
      </c>
      <c r="R1556" s="4">
        <v>45140.340451388889</v>
      </c>
      <c r="T1556">
        <v>0</v>
      </c>
      <c r="AC1556" s="2">
        <f t="shared" si="216"/>
        <v>4</v>
      </c>
      <c r="AD1556" s="2">
        <f t="shared" si="217"/>
        <v>17</v>
      </c>
      <c r="AE1556" s="2">
        <f t="shared" si="218"/>
        <v>13</v>
      </c>
      <c r="AF1556" s="2">
        <f t="shared" si="219"/>
        <v>18</v>
      </c>
      <c r="AG1556" s="2">
        <f t="shared" si="220"/>
        <v>1</v>
      </c>
      <c r="AH1556" s="4">
        <f t="shared" si="221"/>
        <v>45230.340451388889</v>
      </c>
      <c r="AI1556" s="2" t="str">
        <f t="shared" si="222"/>
        <v/>
      </c>
      <c r="AJ1556" s="2" t="str">
        <f t="shared" si="223"/>
        <v/>
      </c>
      <c r="AK1556" s="2" t="str">
        <f t="shared" si="224"/>
        <v/>
      </c>
    </row>
    <row r="1557" spans="1:37" x14ac:dyDescent="0.25">
      <c r="A1557">
        <v>962</v>
      </c>
      <c r="B1557" t="s">
        <v>1708</v>
      </c>
      <c r="C1557" t="s">
        <v>1577</v>
      </c>
      <c r="D1557" t="s">
        <v>1626</v>
      </c>
      <c r="E1557" t="s">
        <v>1391</v>
      </c>
      <c r="F1557" t="s">
        <v>1627</v>
      </c>
      <c r="G1557" t="s">
        <v>144</v>
      </c>
      <c r="H1557" s="1">
        <v>45120.340451388889</v>
      </c>
      <c r="I1557" s="1">
        <v>45121.340451388889</v>
      </c>
      <c r="J1557" t="s">
        <v>32</v>
      </c>
      <c r="K1557" s="1">
        <v>45144.340451388889</v>
      </c>
      <c r="L1557" t="s">
        <v>57</v>
      </c>
      <c r="N1557" s="4">
        <v>45150.340451388889</v>
      </c>
      <c r="O1557" t="s">
        <v>57</v>
      </c>
      <c r="P1557" s="4">
        <v>45145.340451388889</v>
      </c>
      <c r="Q1557" s="4">
        <v>45147.340451388889</v>
      </c>
      <c r="R1557" s="4">
        <v>45147.340451388889</v>
      </c>
      <c r="S1557" s="4">
        <v>45153.340451388889</v>
      </c>
      <c r="T1557">
        <v>1</v>
      </c>
      <c r="U1557" s="4">
        <v>45156.340451388889</v>
      </c>
      <c r="V1557" s="4">
        <v>45158.340451388889</v>
      </c>
      <c r="W1557" s="4">
        <v>45160.340451388889</v>
      </c>
      <c r="Z1557" s="4">
        <v>45180.340451388889</v>
      </c>
      <c r="AC1557" s="2">
        <f t="shared" si="216"/>
        <v>1</v>
      </c>
      <c r="AD1557" s="2">
        <f t="shared" si="217"/>
        <v>24</v>
      </c>
      <c r="AE1557" s="2">
        <f t="shared" si="218"/>
        <v>23</v>
      </c>
      <c r="AF1557" s="2">
        <f t="shared" si="219"/>
        <v>27</v>
      </c>
      <c r="AG1557" s="2">
        <f t="shared" si="220"/>
        <v>3</v>
      </c>
      <c r="AH1557" s="4">
        <f t="shared" si="221"/>
        <v>45237.340451388889</v>
      </c>
      <c r="AI1557" s="2">
        <f t="shared" si="222"/>
        <v>3</v>
      </c>
      <c r="AJ1557" s="2">
        <f t="shared" si="223"/>
        <v>33</v>
      </c>
      <c r="AK1557" s="2">
        <f t="shared" si="224"/>
        <v>13</v>
      </c>
    </row>
    <row r="1558" spans="1:37" x14ac:dyDescent="0.25">
      <c r="A1558">
        <v>892</v>
      </c>
      <c r="B1558" t="s">
        <v>1709</v>
      </c>
      <c r="C1558" t="s">
        <v>1577</v>
      </c>
      <c r="D1558" t="s">
        <v>1626</v>
      </c>
      <c r="E1558" t="s">
        <v>1391</v>
      </c>
      <c r="F1558" t="s">
        <v>1627</v>
      </c>
      <c r="G1558" t="s">
        <v>144</v>
      </c>
      <c r="H1558" s="1">
        <v>44845.939814814818</v>
      </c>
      <c r="I1558" s="1">
        <v>44849.939814814818</v>
      </c>
      <c r="J1558" t="s">
        <v>32</v>
      </c>
      <c r="K1558" s="1">
        <v>44859.939814814818</v>
      </c>
      <c r="L1558" t="s">
        <v>57</v>
      </c>
      <c r="N1558" s="4">
        <v>44864.939814814818</v>
      </c>
      <c r="O1558" t="s">
        <v>57</v>
      </c>
      <c r="P1558" s="4">
        <v>44860.939814814818</v>
      </c>
      <c r="Q1558" s="4">
        <v>44863.939814814818</v>
      </c>
      <c r="R1558" s="4">
        <v>44860.939814814818</v>
      </c>
      <c r="S1558" s="4">
        <v>44868.939814814818</v>
      </c>
      <c r="T1558">
        <v>1</v>
      </c>
      <c r="U1558" s="4">
        <v>44871.939814814818</v>
      </c>
      <c r="V1558" s="4">
        <v>44874.939814814818</v>
      </c>
      <c r="W1558" s="4">
        <v>44876.939814814818</v>
      </c>
      <c r="Z1558" s="4">
        <v>44890.939814814818</v>
      </c>
      <c r="AC1558" s="2">
        <f t="shared" si="216"/>
        <v>4</v>
      </c>
      <c r="AD1558" s="2">
        <f t="shared" si="217"/>
        <v>14</v>
      </c>
      <c r="AE1558" s="2">
        <f t="shared" si="218"/>
        <v>10</v>
      </c>
      <c r="AF1558" s="2">
        <f t="shared" si="219"/>
        <v>15</v>
      </c>
      <c r="AG1558" s="2">
        <f t="shared" si="220"/>
        <v>1</v>
      </c>
      <c r="AH1558" s="4">
        <f t="shared" si="221"/>
        <v>44950.939814814818</v>
      </c>
      <c r="AI1558" s="2">
        <f t="shared" si="222"/>
        <v>3</v>
      </c>
      <c r="AJ1558" s="2">
        <f t="shared" si="223"/>
        <v>30</v>
      </c>
      <c r="AK1558" s="2">
        <f t="shared" si="224"/>
        <v>16</v>
      </c>
    </row>
    <row r="1559" spans="1:37" x14ac:dyDescent="0.25">
      <c r="A1559">
        <v>890</v>
      </c>
      <c r="B1559" t="s">
        <v>1710</v>
      </c>
      <c r="C1559" t="s">
        <v>1577</v>
      </c>
      <c r="D1559" t="s">
        <v>1626</v>
      </c>
      <c r="E1559" t="s">
        <v>1391</v>
      </c>
      <c r="F1559" t="s">
        <v>1627</v>
      </c>
      <c r="G1559" t="s">
        <v>144</v>
      </c>
      <c r="H1559" s="1">
        <v>44823.199942129628</v>
      </c>
      <c r="I1559" s="1">
        <v>44825.199942129628</v>
      </c>
      <c r="J1559" t="s">
        <v>32</v>
      </c>
      <c r="K1559" s="1">
        <v>44842.199942129628</v>
      </c>
      <c r="L1559" t="s">
        <v>33</v>
      </c>
      <c r="M1559" t="s">
        <v>51</v>
      </c>
      <c r="T1559">
        <v>0</v>
      </c>
      <c r="Y1559" t="s">
        <v>35</v>
      </c>
      <c r="AC1559" s="2">
        <f t="shared" si="216"/>
        <v>2</v>
      </c>
      <c r="AD1559" s="2">
        <f t="shared" si="217"/>
        <v>19</v>
      </c>
      <c r="AE1559" s="2">
        <f t="shared" si="218"/>
        <v>17</v>
      </c>
      <c r="AF1559" s="2" t="str">
        <f t="shared" si="219"/>
        <v/>
      </c>
      <c r="AG1559" s="2" t="str">
        <f t="shared" si="220"/>
        <v/>
      </c>
      <c r="AH1559" s="4" t="str">
        <f t="shared" si="221"/>
        <v/>
      </c>
      <c r="AI1559" s="2" t="str">
        <f t="shared" si="222"/>
        <v/>
      </c>
      <c r="AJ1559" s="2" t="str">
        <f t="shared" si="223"/>
        <v/>
      </c>
      <c r="AK1559" s="2" t="str">
        <f t="shared" si="224"/>
        <v/>
      </c>
    </row>
    <row r="1560" spans="1:37" x14ac:dyDescent="0.25">
      <c r="A1560">
        <v>889</v>
      </c>
      <c r="B1560" t="s">
        <v>1711</v>
      </c>
      <c r="C1560" t="s">
        <v>1577</v>
      </c>
      <c r="D1560" t="s">
        <v>1626</v>
      </c>
      <c r="E1560" t="s">
        <v>1391</v>
      </c>
      <c r="F1560" t="s">
        <v>1627</v>
      </c>
      <c r="G1560" t="s">
        <v>144</v>
      </c>
      <c r="H1560" s="1">
        <v>44826.199942129628</v>
      </c>
      <c r="I1560" s="1">
        <v>44829.199942129628</v>
      </c>
      <c r="J1560" t="s">
        <v>44</v>
      </c>
      <c r="K1560" s="1"/>
      <c r="T1560">
        <v>0</v>
      </c>
      <c r="AC1560" s="2">
        <f t="shared" si="216"/>
        <v>3</v>
      </c>
      <c r="AD1560" s="2" t="str">
        <f t="shared" si="217"/>
        <v/>
      </c>
      <c r="AE1560" s="2" t="str">
        <f t="shared" si="218"/>
        <v/>
      </c>
      <c r="AF1560" s="2" t="str">
        <f t="shared" si="219"/>
        <v/>
      </c>
      <c r="AG1560" s="2" t="str">
        <f t="shared" si="220"/>
        <v/>
      </c>
      <c r="AH1560" s="4" t="str">
        <f t="shared" si="221"/>
        <v/>
      </c>
      <c r="AI1560" s="2" t="str">
        <f t="shared" si="222"/>
        <v/>
      </c>
      <c r="AJ1560" s="2" t="str">
        <f t="shared" si="223"/>
        <v/>
      </c>
      <c r="AK1560" s="2" t="str">
        <f t="shared" si="224"/>
        <v/>
      </c>
    </row>
    <row r="1561" spans="1:37" x14ac:dyDescent="0.25">
      <c r="A1561">
        <v>885</v>
      </c>
      <c r="B1561" t="s">
        <v>1712</v>
      </c>
      <c r="C1561" t="s">
        <v>1577</v>
      </c>
      <c r="D1561" t="s">
        <v>1626</v>
      </c>
      <c r="E1561" t="s">
        <v>1391</v>
      </c>
      <c r="F1561" t="s">
        <v>1627</v>
      </c>
      <c r="G1561" t="s">
        <v>144</v>
      </c>
      <c r="H1561" s="1">
        <v>44823.199942129628</v>
      </c>
      <c r="I1561" s="1">
        <v>44827.199942129628</v>
      </c>
      <c r="J1561" t="s">
        <v>44</v>
      </c>
      <c r="K1561" s="1"/>
      <c r="T1561">
        <v>0</v>
      </c>
      <c r="AC1561" s="2">
        <f t="shared" si="216"/>
        <v>4</v>
      </c>
      <c r="AD1561" s="2" t="str">
        <f t="shared" si="217"/>
        <v/>
      </c>
      <c r="AE1561" s="2" t="str">
        <f t="shared" si="218"/>
        <v/>
      </c>
      <c r="AF1561" s="2" t="str">
        <f t="shared" si="219"/>
        <v/>
      </c>
      <c r="AG1561" s="2" t="str">
        <f t="shared" si="220"/>
        <v/>
      </c>
      <c r="AH1561" s="4" t="str">
        <f t="shared" si="221"/>
        <v/>
      </c>
      <c r="AI1561" s="2" t="str">
        <f t="shared" si="222"/>
        <v/>
      </c>
      <c r="AJ1561" s="2" t="str">
        <f t="shared" si="223"/>
        <v/>
      </c>
      <c r="AK1561" s="2" t="str">
        <f t="shared" si="224"/>
        <v/>
      </c>
    </row>
    <row r="1562" spans="1:37" x14ac:dyDescent="0.25">
      <c r="A1562">
        <v>865</v>
      </c>
      <c r="B1562" t="s">
        <v>1713</v>
      </c>
      <c r="C1562" t="s">
        <v>1577</v>
      </c>
      <c r="D1562" t="s">
        <v>1626</v>
      </c>
      <c r="E1562" t="s">
        <v>1391</v>
      </c>
      <c r="F1562" t="s">
        <v>1627</v>
      </c>
      <c r="G1562" t="s">
        <v>144</v>
      </c>
      <c r="H1562" s="1">
        <v>45125.103344907409</v>
      </c>
      <c r="I1562" s="1">
        <v>45126.103344907409</v>
      </c>
      <c r="J1562" t="s">
        <v>32</v>
      </c>
      <c r="K1562" s="1">
        <v>45141.103344907409</v>
      </c>
      <c r="L1562" t="s">
        <v>57</v>
      </c>
      <c r="N1562" s="4">
        <v>45146.103344907409</v>
      </c>
      <c r="O1562" t="s">
        <v>57</v>
      </c>
      <c r="P1562" s="4">
        <v>45143.103344907409</v>
      </c>
      <c r="Q1562" s="4">
        <v>45147.103344907409</v>
      </c>
      <c r="R1562" s="4">
        <v>45145.103344907409</v>
      </c>
      <c r="S1562" s="4">
        <v>45147.103344907409</v>
      </c>
      <c r="T1562">
        <v>1</v>
      </c>
      <c r="U1562" s="4">
        <v>45151.103344907409</v>
      </c>
      <c r="V1562" s="4">
        <v>45153.103344907409</v>
      </c>
      <c r="W1562" s="4">
        <v>45155.103344907409</v>
      </c>
      <c r="Z1562" s="4">
        <v>45172.103344907409</v>
      </c>
      <c r="AC1562" s="2">
        <f t="shared" si="216"/>
        <v>1</v>
      </c>
      <c r="AD1562" s="2">
        <f t="shared" si="217"/>
        <v>16</v>
      </c>
      <c r="AE1562" s="2">
        <f t="shared" si="218"/>
        <v>15</v>
      </c>
      <c r="AF1562" s="2">
        <f t="shared" si="219"/>
        <v>20</v>
      </c>
      <c r="AG1562" s="2">
        <f t="shared" si="220"/>
        <v>4</v>
      </c>
      <c r="AH1562" s="4">
        <f t="shared" si="221"/>
        <v>45235.103344907409</v>
      </c>
      <c r="AI1562" s="2">
        <f t="shared" si="222"/>
        <v>4</v>
      </c>
      <c r="AJ1562" s="2">
        <f t="shared" si="223"/>
        <v>27</v>
      </c>
      <c r="AK1562" s="2">
        <f t="shared" si="224"/>
        <v>10</v>
      </c>
    </row>
    <row r="1563" spans="1:37" x14ac:dyDescent="0.25">
      <c r="A1563">
        <v>860</v>
      </c>
      <c r="B1563" t="s">
        <v>1714</v>
      </c>
      <c r="C1563" t="s">
        <v>1577</v>
      </c>
      <c r="D1563" t="s">
        <v>1626</v>
      </c>
      <c r="E1563" t="s">
        <v>1391</v>
      </c>
      <c r="F1563" t="s">
        <v>1627</v>
      </c>
      <c r="G1563" t="s">
        <v>144</v>
      </c>
      <c r="H1563" s="1">
        <v>44960.002604166664</v>
      </c>
      <c r="I1563" s="1">
        <v>44962.002604166664</v>
      </c>
      <c r="J1563" t="s">
        <v>32</v>
      </c>
      <c r="K1563" s="1">
        <v>44971.002604166664</v>
      </c>
      <c r="L1563" t="s">
        <v>33</v>
      </c>
      <c r="M1563" t="s">
        <v>34</v>
      </c>
      <c r="R1563" s="4">
        <v>44972.002604166664</v>
      </c>
      <c r="T1563">
        <v>0</v>
      </c>
      <c r="Y1563" t="s">
        <v>55</v>
      </c>
      <c r="AC1563" s="2">
        <f t="shared" si="216"/>
        <v>2</v>
      </c>
      <c r="AD1563" s="2">
        <f t="shared" si="217"/>
        <v>11</v>
      </c>
      <c r="AE1563" s="2">
        <f t="shared" si="218"/>
        <v>9</v>
      </c>
      <c r="AF1563" s="2">
        <f t="shared" si="219"/>
        <v>12</v>
      </c>
      <c r="AG1563" s="2">
        <f t="shared" si="220"/>
        <v>1</v>
      </c>
      <c r="AH1563" s="4">
        <f t="shared" si="221"/>
        <v>45062.002604166664</v>
      </c>
      <c r="AI1563" s="2" t="str">
        <f t="shared" si="222"/>
        <v/>
      </c>
      <c r="AJ1563" s="2" t="str">
        <f t="shared" si="223"/>
        <v/>
      </c>
      <c r="AK1563" s="2" t="str">
        <f t="shared" si="224"/>
        <v/>
      </c>
    </row>
    <row r="1564" spans="1:37" x14ac:dyDescent="0.25">
      <c r="A1564">
        <v>858</v>
      </c>
      <c r="B1564" t="s">
        <v>1715</v>
      </c>
      <c r="C1564" t="s">
        <v>1577</v>
      </c>
      <c r="D1564" t="s">
        <v>1626</v>
      </c>
      <c r="E1564" t="s">
        <v>1391</v>
      </c>
      <c r="F1564" t="s">
        <v>1627</v>
      </c>
      <c r="G1564" t="s">
        <v>144</v>
      </c>
      <c r="H1564" s="1">
        <v>44961.002604166664</v>
      </c>
      <c r="I1564" s="1">
        <v>44962.002604166664</v>
      </c>
      <c r="J1564" t="s">
        <v>32</v>
      </c>
      <c r="K1564" s="1">
        <v>44978.002604166664</v>
      </c>
      <c r="L1564" t="s">
        <v>33</v>
      </c>
      <c r="M1564" t="s">
        <v>92</v>
      </c>
      <c r="T1564">
        <v>0</v>
      </c>
      <c r="Y1564" t="s">
        <v>35</v>
      </c>
      <c r="AC1564" s="2">
        <f t="shared" si="216"/>
        <v>1</v>
      </c>
      <c r="AD1564" s="2">
        <f t="shared" si="217"/>
        <v>17</v>
      </c>
      <c r="AE1564" s="2">
        <f t="shared" si="218"/>
        <v>16</v>
      </c>
      <c r="AF1564" s="2" t="str">
        <f t="shared" si="219"/>
        <v/>
      </c>
      <c r="AG1564" s="2" t="str">
        <f t="shared" si="220"/>
        <v/>
      </c>
      <c r="AH1564" s="4" t="str">
        <f t="shared" si="221"/>
        <v/>
      </c>
      <c r="AI1564" s="2" t="str">
        <f t="shared" si="222"/>
        <v/>
      </c>
      <c r="AJ1564" s="2" t="str">
        <f t="shared" si="223"/>
        <v/>
      </c>
      <c r="AK1564" s="2" t="str">
        <f t="shared" si="224"/>
        <v/>
      </c>
    </row>
    <row r="1565" spans="1:37" x14ac:dyDescent="0.25">
      <c r="A1565">
        <v>748</v>
      </c>
      <c r="B1565" t="s">
        <v>1716</v>
      </c>
      <c r="C1565" t="s">
        <v>1577</v>
      </c>
      <c r="D1565" t="s">
        <v>1626</v>
      </c>
      <c r="E1565" t="s">
        <v>1391</v>
      </c>
      <c r="F1565" t="s">
        <v>1627</v>
      </c>
      <c r="G1565" t="s">
        <v>144</v>
      </c>
      <c r="H1565" s="1">
        <v>44864.220567129632</v>
      </c>
      <c r="I1565" s="1">
        <v>44868.220567129632</v>
      </c>
      <c r="J1565" t="s">
        <v>32</v>
      </c>
      <c r="K1565" s="1">
        <v>44881.220567129632</v>
      </c>
      <c r="L1565" t="s">
        <v>33</v>
      </c>
      <c r="M1565" t="s">
        <v>51</v>
      </c>
      <c r="T1565">
        <v>0</v>
      </c>
      <c r="Y1565" t="s">
        <v>35</v>
      </c>
      <c r="AC1565" s="2">
        <f t="shared" si="216"/>
        <v>4</v>
      </c>
      <c r="AD1565" s="2">
        <f t="shared" si="217"/>
        <v>17</v>
      </c>
      <c r="AE1565" s="2">
        <f t="shared" si="218"/>
        <v>13</v>
      </c>
      <c r="AF1565" s="2" t="str">
        <f t="shared" si="219"/>
        <v/>
      </c>
      <c r="AG1565" s="2" t="str">
        <f t="shared" si="220"/>
        <v/>
      </c>
      <c r="AH1565" s="4" t="str">
        <f t="shared" si="221"/>
        <v/>
      </c>
      <c r="AI1565" s="2" t="str">
        <f t="shared" si="222"/>
        <v/>
      </c>
      <c r="AJ1565" s="2" t="str">
        <f t="shared" si="223"/>
        <v/>
      </c>
      <c r="AK1565" s="2" t="str">
        <f t="shared" si="224"/>
        <v/>
      </c>
    </row>
    <row r="1566" spans="1:37" x14ac:dyDescent="0.25">
      <c r="A1566">
        <v>745</v>
      </c>
      <c r="B1566" t="s">
        <v>1717</v>
      </c>
      <c r="C1566" t="s">
        <v>1577</v>
      </c>
      <c r="D1566" t="s">
        <v>1626</v>
      </c>
      <c r="E1566" t="s">
        <v>1391</v>
      </c>
      <c r="F1566" t="s">
        <v>1627</v>
      </c>
      <c r="G1566" t="s">
        <v>144</v>
      </c>
      <c r="H1566" s="1">
        <v>44869.220567129632</v>
      </c>
      <c r="I1566" s="1">
        <v>44873.220567129632</v>
      </c>
      <c r="J1566" t="s">
        <v>32</v>
      </c>
      <c r="K1566" s="1">
        <v>44891.220567129632</v>
      </c>
      <c r="L1566" t="s">
        <v>39</v>
      </c>
      <c r="N1566" s="4">
        <v>44899.220567129632</v>
      </c>
      <c r="O1566" t="s">
        <v>39</v>
      </c>
      <c r="R1566" s="4">
        <v>44895.220567129632</v>
      </c>
      <c r="T1566">
        <v>0</v>
      </c>
      <c r="AC1566" s="2">
        <f t="shared" si="216"/>
        <v>4</v>
      </c>
      <c r="AD1566" s="2">
        <f t="shared" si="217"/>
        <v>22</v>
      </c>
      <c r="AE1566" s="2">
        <f t="shared" si="218"/>
        <v>18</v>
      </c>
      <c r="AF1566" s="2">
        <f t="shared" si="219"/>
        <v>26</v>
      </c>
      <c r="AG1566" s="2">
        <f t="shared" si="220"/>
        <v>4</v>
      </c>
      <c r="AH1566" s="4">
        <f t="shared" si="221"/>
        <v>44985.220567129632</v>
      </c>
      <c r="AI1566" s="2" t="str">
        <f t="shared" si="222"/>
        <v/>
      </c>
      <c r="AJ1566" s="2" t="str">
        <f t="shared" si="223"/>
        <v/>
      </c>
      <c r="AK1566" s="2" t="str">
        <f t="shared" si="224"/>
        <v/>
      </c>
    </row>
    <row r="1567" spans="1:37" x14ac:dyDescent="0.25">
      <c r="A1567">
        <v>705</v>
      </c>
      <c r="B1567" t="s">
        <v>1718</v>
      </c>
      <c r="C1567" t="s">
        <v>1577</v>
      </c>
      <c r="D1567" t="s">
        <v>1626</v>
      </c>
      <c r="E1567" t="s">
        <v>1391</v>
      </c>
      <c r="F1567" t="s">
        <v>1627</v>
      </c>
      <c r="G1567" t="s">
        <v>144</v>
      </c>
      <c r="H1567" s="1">
        <v>45115.640983796293</v>
      </c>
      <c r="I1567" s="1">
        <v>45119.640983796293</v>
      </c>
      <c r="J1567" t="s">
        <v>32</v>
      </c>
      <c r="K1567" s="1">
        <v>45123.640983796293</v>
      </c>
      <c r="L1567" t="s">
        <v>57</v>
      </c>
      <c r="N1567" s="4">
        <v>45130.640983796293</v>
      </c>
      <c r="O1567" t="s">
        <v>57</v>
      </c>
      <c r="P1567" s="4">
        <v>45125.640983796293</v>
      </c>
      <c r="Q1567" s="4">
        <v>45128.640983796293</v>
      </c>
      <c r="R1567" s="4">
        <v>45126.640983796293</v>
      </c>
      <c r="S1567" s="4">
        <v>45133.640983796293</v>
      </c>
      <c r="T1567">
        <v>1</v>
      </c>
      <c r="U1567" s="4">
        <v>45134.640983796293</v>
      </c>
      <c r="V1567" s="4">
        <v>45136.640983796293</v>
      </c>
      <c r="W1567" s="4">
        <v>45138.640983796293</v>
      </c>
      <c r="Z1567" s="4">
        <v>45149.640983796293</v>
      </c>
      <c r="AC1567" s="2">
        <f t="shared" si="216"/>
        <v>4</v>
      </c>
      <c r="AD1567" s="2">
        <f t="shared" si="217"/>
        <v>8</v>
      </c>
      <c r="AE1567" s="2">
        <f t="shared" si="218"/>
        <v>4</v>
      </c>
      <c r="AF1567" s="2">
        <f t="shared" si="219"/>
        <v>11</v>
      </c>
      <c r="AG1567" s="2">
        <f t="shared" si="220"/>
        <v>3</v>
      </c>
      <c r="AH1567" s="4">
        <f t="shared" si="221"/>
        <v>45216.640983796293</v>
      </c>
      <c r="AI1567" s="2">
        <f t="shared" si="222"/>
        <v>1</v>
      </c>
      <c r="AJ1567" s="2">
        <f t="shared" si="223"/>
        <v>23</v>
      </c>
      <c r="AK1567" s="2">
        <f t="shared" si="224"/>
        <v>12</v>
      </c>
    </row>
    <row r="1568" spans="1:37" x14ac:dyDescent="0.25">
      <c r="A1568">
        <v>701</v>
      </c>
      <c r="B1568" t="s">
        <v>1719</v>
      </c>
      <c r="C1568" t="s">
        <v>1577</v>
      </c>
      <c r="D1568" t="s">
        <v>1626</v>
      </c>
      <c r="E1568" t="s">
        <v>1391</v>
      </c>
      <c r="F1568" t="s">
        <v>1627</v>
      </c>
      <c r="G1568" t="s">
        <v>144</v>
      </c>
      <c r="H1568" s="1">
        <v>45118.640983796293</v>
      </c>
      <c r="I1568" s="1">
        <v>45120.640983796293</v>
      </c>
      <c r="J1568" t="s">
        <v>32</v>
      </c>
      <c r="K1568" s="1">
        <v>45127.640983796293</v>
      </c>
      <c r="L1568" t="s">
        <v>33</v>
      </c>
      <c r="M1568" t="s">
        <v>51</v>
      </c>
      <c r="T1568">
        <v>0</v>
      </c>
      <c r="Y1568" t="s">
        <v>35</v>
      </c>
      <c r="AC1568" s="2">
        <f t="shared" si="216"/>
        <v>2</v>
      </c>
      <c r="AD1568" s="2">
        <f t="shared" si="217"/>
        <v>9</v>
      </c>
      <c r="AE1568" s="2">
        <f t="shared" si="218"/>
        <v>7</v>
      </c>
      <c r="AF1568" s="2" t="str">
        <f t="shared" si="219"/>
        <v/>
      </c>
      <c r="AG1568" s="2" t="str">
        <f t="shared" si="220"/>
        <v/>
      </c>
      <c r="AH1568" s="4" t="str">
        <f t="shared" si="221"/>
        <v/>
      </c>
      <c r="AI1568" s="2" t="str">
        <f t="shared" si="222"/>
        <v/>
      </c>
      <c r="AJ1568" s="2" t="str">
        <f t="shared" si="223"/>
        <v/>
      </c>
      <c r="AK1568" s="2" t="str">
        <f t="shared" si="224"/>
        <v/>
      </c>
    </row>
    <row r="1569" spans="1:37" x14ac:dyDescent="0.25">
      <c r="A1569">
        <v>608</v>
      </c>
      <c r="B1569" t="s">
        <v>1720</v>
      </c>
      <c r="C1569" t="s">
        <v>1577</v>
      </c>
      <c r="D1569" t="s">
        <v>1626</v>
      </c>
      <c r="E1569" t="s">
        <v>1391</v>
      </c>
      <c r="F1569" t="s">
        <v>1627</v>
      </c>
      <c r="G1569" t="s">
        <v>144</v>
      </c>
      <c r="H1569" s="1">
        <v>44571.309340277781</v>
      </c>
      <c r="I1569" s="1">
        <v>44574.309340277781</v>
      </c>
      <c r="J1569" t="s">
        <v>44</v>
      </c>
      <c r="K1569" s="1"/>
      <c r="T1569">
        <v>0</v>
      </c>
      <c r="AC1569" s="2">
        <f t="shared" si="216"/>
        <v>3</v>
      </c>
      <c r="AD1569" s="2" t="str">
        <f t="shared" si="217"/>
        <v/>
      </c>
      <c r="AE1569" s="2" t="str">
        <f t="shared" si="218"/>
        <v/>
      </c>
      <c r="AF1569" s="2" t="str">
        <f t="shared" si="219"/>
        <v/>
      </c>
      <c r="AG1569" s="2" t="str">
        <f t="shared" si="220"/>
        <v/>
      </c>
      <c r="AH1569" s="4" t="str">
        <f t="shared" si="221"/>
        <v/>
      </c>
      <c r="AI1569" s="2" t="str">
        <f t="shared" si="222"/>
        <v/>
      </c>
      <c r="AJ1569" s="2" t="str">
        <f t="shared" si="223"/>
        <v/>
      </c>
      <c r="AK1569" s="2" t="str">
        <f t="shared" si="224"/>
        <v/>
      </c>
    </row>
    <row r="1570" spans="1:37" x14ac:dyDescent="0.25">
      <c r="A1570">
        <v>606</v>
      </c>
      <c r="B1570" t="s">
        <v>1721</v>
      </c>
      <c r="C1570" t="s">
        <v>1577</v>
      </c>
      <c r="D1570" t="s">
        <v>1626</v>
      </c>
      <c r="E1570" t="s">
        <v>1391</v>
      </c>
      <c r="F1570" t="s">
        <v>1627</v>
      </c>
      <c r="G1570" t="s">
        <v>144</v>
      </c>
      <c r="H1570" s="1">
        <v>44572.309340277781</v>
      </c>
      <c r="I1570" s="1">
        <v>44575.309340277781</v>
      </c>
      <c r="J1570" t="s">
        <v>44</v>
      </c>
      <c r="K1570" s="1"/>
      <c r="T1570">
        <v>0</v>
      </c>
      <c r="AC1570" s="2">
        <f t="shared" si="216"/>
        <v>3</v>
      </c>
      <c r="AD1570" s="2" t="str">
        <f t="shared" si="217"/>
        <v/>
      </c>
      <c r="AE1570" s="2" t="str">
        <f t="shared" si="218"/>
        <v/>
      </c>
      <c r="AF1570" s="2" t="str">
        <f t="shared" si="219"/>
        <v/>
      </c>
      <c r="AG1570" s="2" t="str">
        <f t="shared" si="220"/>
        <v/>
      </c>
      <c r="AH1570" s="4" t="str">
        <f t="shared" si="221"/>
        <v/>
      </c>
      <c r="AI1570" s="2" t="str">
        <f t="shared" si="222"/>
        <v/>
      </c>
      <c r="AJ1570" s="2" t="str">
        <f t="shared" si="223"/>
        <v/>
      </c>
      <c r="AK1570" s="2" t="str">
        <f t="shared" si="224"/>
        <v/>
      </c>
    </row>
    <row r="1571" spans="1:37" x14ac:dyDescent="0.25">
      <c r="A1571">
        <v>605</v>
      </c>
      <c r="B1571" t="s">
        <v>1722</v>
      </c>
      <c r="C1571" t="s">
        <v>1577</v>
      </c>
      <c r="D1571" t="s">
        <v>1626</v>
      </c>
      <c r="E1571" t="s">
        <v>1391</v>
      </c>
      <c r="F1571" t="s">
        <v>1627</v>
      </c>
      <c r="G1571" t="s">
        <v>144</v>
      </c>
      <c r="H1571" s="1">
        <v>44567.309340277781</v>
      </c>
      <c r="I1571" s="1">
        <v>44571.309340277781</v>
      </c>
      <c r="J1571" t="s">
        <v>32</v>
      </c>
      <c r="K1571" s="1">
        <v>44590.309340277781</v>
      </c>
      <c r="L1571" t="s">
        <v>57</v>
      </c>
      <c r="N1571" s="4">
        <v>44595.309340277781</v>
      </c>
      <c r="O1571" t="s">
        <v>57</v>
      </c>
      <c r="P1571" s="4">
        <v>44592.309340277781</v>
      </c>
      <c r="Q1571" s="4">
        <v>44593.309340277781</v>
      </c>
      <c r="R1571" s="4">
        <v>44593.309340277781</v>
      </c>
      <c r="S1571" s="4">
        <v>44602.309340277781</v>
      </c>
      <c r="T1571">
        <v>1</v>
      </c>
      <c r="U1571" s="4">
        <v>44605.309340277781</v>
      </c>
      <c r="V1571" s="4">
        <v>44608.309340277781</v>
      </c>
      <c r="W1571" s="4">
        <v>44611.309340277781</v>
      </c>
      <c r="Z1571" s="4">
        <v>44618.309340277781</v>
      </c>
      <c r="AC1571" s="2">
        <f t="shared" si="216"/>
        <v>4</v>
      </c>
      <c r="AD1571" s="2">
        <f t="shared" si="217"/>
        <v>23</v>
      </c>
      <c r="AE1571" s="2">
        <f t="shared" si="218"/>
        <v>19</v>
      </c>
      <c r="AF1571" s="2">
        <f t="shared" si="219"/>
        <v>26</v>
      </c>
      <c r="AG1571" s="2">
        <f t="shared" si="220"/>
        <v>3</v>
      </c>
      <c r="AH1571" s="4">
        <f t="shared" si="221"/>
        <v>44683.309340277781</v>
      </c>
      <c r="AI1571" s="2">
        <f t="shared" si="222"/>
        <v>3</v>
      </c>
      <c r="AJ1571" s="2">
        <f t="shared" si="223"/>
        <v>25</v>
      </c>
      <c r="AK1571" s="2">
        <f t="shared" si="224"/>
        <v>18</v>
      </c>
    </row>
    <row r="1572" spans="1:37" x14ac:dyDescent="0.25">
      <c r="A1572">
        <v>597</v>
      </c>
      <c r="B1572" t="s">
        <v>1723</v>
      </c>
      <c r="C1572" t="s">
        <v>1577</v>
      </c>
      <c r="D1572" t="s">
        <v>1626</v>
      </c>
      <c r="E1572" t="s">
        <v>1391</v>
      </c>
      <c r="F1572" t="s">
        <v>1627</v>
      </c>
      <c r="G1572" t="s">
        <v>144</v>
      </c>
      <c r="H1572" s="1">
        <v>44878.821550925924</v>
      </c>
      <c r="I1572" s="1">
        <v>44880.821550925924</v>
      </c>
      <c r="J1572" t="s">
        <v>44</v>
      </c>
      <c r="K1572" s="1"/>
      <c r="T1572">
        <v>0</v>
      </c>
      <c r="AC1572" s="2">
        <f t="shared" si="216"/>
        <v>2</v>
      </c>
      <c r="AD1572" s="2" t="str">
        <f t="shared" si="217"/>
        <v/>
      </c>
      <c r="AE1572" s="2" t="str">
        <f t="shared" si="218"/>
        <v/>
      </c>
      <c r="AF1572" s="2" t="str">
        <f t="shared" si="219"/>
        <v/>
      </c>
      <c r="AG1572" s="2" t="str">
        <f t="shared" si="220"/>
        <v/>
      </c>
      <c r="AH1572" s="4" t="str">
        <f t="shared" si="221"/>
        <v/>
      </c>
      <c r="AI1572" s="2" t="str">
        <f t="shared" si="222"/>
        <v/>
      </c>
      <c r="AJ1572" s="2" t="str">
        <f t="shared" si="223"/>
        <v/>
      </c>
      <c r="AK1572" s="2" t="str">
        <f t="shared" si="224"/>
        <v/>
      </c>
    </row>
    <row r="1573" spans="1:37" x14ac:dyDescent="0.25">
      <c r="A1573">
        <v>594</v>
      </c>
      <c r="B1573" t="s">
        <v>1724</v>
      </c>
      <c r="C1573" t="s">
        <v>1577</v>
      </c>
      <c r="D1573" t="s">
        <v>1626</v>
      </c>
      <c r="E1573" t="s">
        <v>1391</v>
      </c>
      <c r="F1573" t="s">
        <v>1627</v>
      </c>
      <c r="G1573" t="s">
        <v>144</v>
      </c>
      <c r="H1573" s="1">
        <v>44880.821550925924</v>
      </c>
      <c r="I1573" s="1">
        <v>44882.821550925924</v>
      </c>
      <c r="J1573" t="s">
        <v>32</v>
      </c>
      <c r="K1573" s="1">
        <v>44899.821550925924</v>
      </c>
      <c r="L1573" t="s">
        <v>57</v>
      </c>
      <c r="N1573" s="4">
        <v>44904.821550925924</v>
      </c>
      <c r="O1573" t="s">
        <v>57</v>
      </c>
      <c r="P1573" s="4">
        <v>44901.821550925924</v>
      </c>
      <c r="Q1573" s="4">
        <v>44903.821550925924</v>
      </c>
      <c r="R1573" s="4">
        <v>44903.821550925924</v>
      </c>
      <c r="S1573" s="4">
        <v>44907.821550925924</v>
      </c>
      <c r="T1573">
        <v>1</v>
      </c>
      <c r="U1573" s="4">
        <v>44910.821550925924</v>
      </c>
      <c r="V1573" s="4">
        <v>44911.821550925924</v>
      </c>
      <c r="W1573" s="4">
        <v>44913.821550925924</v>
      </c>
      <c r="Z1573" s="4">
        <v>44921.821550925924</v>
      </c>
      <c r="AC1573" s="2">
        <f t="shared" si="216"/>
        <v>2</v>
      </c>
      <c r="AD1573" s="2">
        <f t="shared" si="217"/>
        <v>19</v>
      </c>
      <c r="AE1573" s="2">
        <f t="shared" si="218"/>
        <v>17</v>
      </c>
      <c r="AF1573" s="2">
        <f t="shared" si="219"/>
        <v>23</v>
      </c>
      <c r="AG1573" s="2">
        <f t="shared" si="220"/>
        <v>4</v>
      </c>
      <c r="AH1573" s="4">
        <f t="shared" si="221"/>
        <v>44993.821550925924</v>
      </c>
      <c r="AI1573" s="2">
        <f t="shared" si="222"/>
        <v>3</v>
      </c>
      <c r="AJ1573" s="2">
        <f t="shared" si="223"/>
        <v>18</v>
      </c>
      <c r="AK1573" s="2">
        <f t="shared" si="224"/>
        <v>10</v>
      </c>
    </row>
    <row r="1574" spans="1:37" x14ac:dyDescent="0.25">
      <c r="A1574">
        <v>591</v>
      </c>
      <c r="B1574" t="s">
        <v>1725</v>
      </c>
      <c r="C1574" t="s">
        <v>1577</v>
      </c>
      <c r="D1574" t="s">
        <v>1626</v>
      </c>
      <c r="E1574" t="s">
        <v>1391</v>
      </c>
      <c r="F1574" t="s">
        <v>1627</v>
      </c>
      <c r="G1574" t="s">
        <v>144</v>
      </c>
      <c r="H1574" s="1">
        <v>44880.821550925924</v>
      </c>
      <c r="I1574" s="1">
        <v>44884.821550925924</v>
      </c>
      <c r="J1574" t="s">
        <v>32</v>
      </c>
      <c r="K1574" s="1">
        <v>44901.821550925924</v>
      </c>
      <c r="L1574" t="s">
        <v>57</v>
      </c>
      <c r="N1574" s="4">
        <v>44906.821550925924</v>
      </c>
      <c r="O1574" t="s">
        <v>57</v>
      </c>
      <c r="P1574" s="4">
        <v>44902.821550925924</v>
      </c>
      <c r="Q1574" s="4">
        <v>44904.821550925924</v>
      </c>
      <c r="R1574" s="4">
        <v>44904.821550925924</v>
      </c>
      <c r="S1574" s="4">
        <v>44905.821550925924</v>
      </c>
      <c r="T1574">
        <v>1</v>
      </c>
      <c r="U1574" s="4">
        <v>44907.821550925924</v>
      </c>
      <c r="V1574" s="4">
        <v>44908.821550925924</v>
      </c>
      <c r="W1574" s="4">
        <v>44910.821550925924</v>
      </c>
      <c r="Z1574" s="4">
        <v>44922.821550925924</v>
      </c>
      <c r="AC1574" s="2">
        <f t="shared" si="216"/>
        <v>4</v>
      </c>
      <c r="AD1574" s="2">
        <f t="shared" si="217"/>
        <v>21</v>
      </c>
      <c r="AE1574" s="2">
        <f t="shared" si="218"/>
        <v>17</v>
      </c>
      <c r="AF1574" s="2">
        <f t="shared" si="219"/>
        <v>24</v>
      </c>
      <c r="AG1574" s="2">
        <f t="shared" si="220"/>
        <v>3</v>
      </c>
      <c r="AH1574" s="4">
        <f t="shared" si="221"/>
        <v>44994.821550925924</v>
      </c>
      <c r="AI1574" s="2">
        <f t="shared" si="222"/>
        <v>2</v>
      </c>
      <c r="AJ1574" s="2">
        <f t="shared" si="223"/>
        <v>18</v>
      </c>
      <c r="AK1574" s="2">
        <f t="shared" si="224"/>
        <v>6</v>
      </c>
    </row>
    <row r="1575" spans="1:37" x14ac:dyDescent="0.25">
      <c r="A1575">
        <v>459</v>
      </c>
      <c r="B1575" t="s">
        <v>1726</v>
      </c>
      <c r="C1575" t="s">
        <v>1577</v>
      </c>
      <c r="D1575" t="s">
        <v>1626</v>
      </c>
      <c r="E1575" t="s">
        <v>1391</v>
      </c>
      <c r="F1575" t="s">
        <v>1627</v>
      </c>
      <c r="G1575" t="s">
        <v>144</v>
      </c>
      <c r="H1575" s="1">
        <v>44976.571030092593</v>
      </c>
      <c r="I1575" s="1">
        <v>44978.571030092593</v>
      </c>
      <c r="J1575" t="s">
        <v>32</v>
      </c>
      <c r="K1575" s="1">
        <v>44990.571030092593</v>
      </c>
      <c r="L1575" t="s">
        <v>57</v>
      </c>
      <c r="N1575" s="4">
        <v>44997.571030092593</v>
      </c>
      <c r="O1575" t="s">
        <v>57</v>
      </c>
      <c r="P1575" s="4">
        <v>44991.571030092593</v>
      </c>
      <c r="Q1575" s="4">
        <v>44992.571030092593</v>
      </c>
      <c r="R1575" s="4">
        <v>44994.571030092593</v>
      </c>
      <c r="S1575" s="4">
        <v>45001.571030092593</v>
      </c>
      <c r="T1575">
        <v>1</v>
      </c>
      <c r="U1575" s="4">
        <v>45002.571030092593</v>
      </c>
      <c r="V1575" s="4">
        <v>45005.571030092593</v>
      </c>
      <c r="W1575" s="4">
        <v>45007.571030092593</v>
      </c>
      <c r="Z1575" s="4">
        <v>45019.571030092593</v>
      </c>
      <c r="AC1575" s="2">
        <f t="shared" si="216"/>
        <v>2</v>
      </c>
      <c r="AD1575" s="2">
        <f t="shared" si="217"/>
        <v>14</v>
      </c>
      <c r="AE1575" s="2">
        <f t="shared" si="218"/>
        <v>12</v>
      </c>
      <c r="AF1575" s="2">
        <f t="shared" si="219"/>
        <v>18</v>
      </c>
      <c r="AG1575" s="2">
        <f t="shared" si="220"/>
        <v>4</v>
      </c>
      <c r="AH1575" s="4">
        <f t="shared" si="221"/>
        <v>45084.571030092593</v>
      </c>
      <c r="AI1575" s="2">
        <f t="shared" si="222"/>
        <v>1</v>
      </c>
      <c r="AJ1575" s="2">
        <f t="shared" si="223"/>
        <v>25</v>
      </c>
      <c r="AK1575" s="2">
        <f t="shared" si="224"/>
        <v>13</v>
      </c>
    </row>
    <row r="1576" spans="1:37" x14ac:dyDescent="0.25">
      <c r="A1576">
        <v>455</v>
      </c>
      <c r="B1576" t="s">
        <v>1727</v>
      </c>
      <c r="C1576" t="s">
        <v>1577</v>
      </c>
      <c r="D1576" t="s">
        <v>1626</v>
      </c>
      <c r="E1576" t="s">
        <v>1391</v>
      </c>
      <c r="F1576" t="s">
        <v>1627</v>
      </c>
      <c r="G1576" t="s">
        <v>144</v>
      </c>
      <c r="H1576" s="1">
        <v>44977.571030092593</v>
      </c>
      <c r="I1576" s="1">
        <v>44978.571030092593</v>
      </c>
      <c r="J1576" t="s">
        <v>32</v>
      </c>
      <c r="K1576" s="1">
        <v>44992.571030092593</v>
      </c>
      <c r="L1576" t="s">
        <v>57</v>
      </c>
      <c r="N1576" s="4">
        <v>44996.571030092593</v>
      </c>
      <c r="O1576" t="s">
        <v>57</v>
      </c>
      <c r="P1576" s="4">
        <v>44993.571030092593</v>
      </c>
      <c r="Q1576" s="4">
        <v>44997.571030092593</v>
      </c>
      <c r="R1576" s="4">
        <v>44994.571030092593</v>
      </c>
      <c r="S1576" s="4">
        <v>44996.571030092593</v>
      </c>
      <c r="T1576">
        <v>1</v>
      </c>
      <c r="U1576" s="4">
        <v>44997.571030092593</v>
      </c>
      <c r="V1576" s="4">
        <v>45000.571030092593</v>
      </c>
      <c r="W1576" s="4">
        <v>45002.571030092593</v>
      </c>
      <c r="Z1576" s="4">
        <v>45015.571030092593</v>
      </c>
      <c r="AC1576" s="2">
        <f t="shared" si="216"/>
        <v>1</v>
      </c>
      <c r="AD1576" s="2">
        <f t="shared" si="217"/>
        <v>15</v>
      </c>
      <c r="AE1576" s="2">
        <f t="shared" si="218"/>
        <v>14</v>
      </c>
      <c r="AF1576" s="2">
        <f t="shared" si="219"/>
        <v>17</v>
      </c>
      <c r="AG1576" s="2">
        <f t="shared" si="220"/>
        <v>2</v>
      </c>
      <c r="AH1576" s="4">
        <f t="shared" si="221"/>
        <v>45084.571030092593</v>
      </c>
      <c r="AI1576" s="2">
        <f t="shared" si="222"/>
        <v>1</v>
      </c>
      <c r="AJ1576" s="2">
        <f t="shared" si="223"/>
        <v>21</v>
      </c>
      <c r="AK1576" s="2">
        <f t="shared" si="224"/>
        <v>8</v>
      </c>
    </row>
    <row r="1577" spans="1:37" x14ac:dyDescent="0.25">
      <c r="A1577">
        <v>452</v>
      </c>
      <c r="B1577" t="s">
        <v>1728</v>
      </c>
      <c r="C1577" t="s">
        <v>1577</v>
      </c>
      <c r="D1577" t="s">
        <v>1626</v>
      </c>
      <c r="E1577" t="s">
        <v>1391</v>
      </c>
      <c r="F1577" t="s">
        <v>1627</v>
      </c>
      <c r="G1577" t="s">
        <v>144</v>
      </c>
      <c r="H1577" s="1">
        <v>44974.571030092593</v>
      </c>
      <c r="I1577" s="1">
        <v>44977.571030092593</v>
      </c>
      <c r="J1577" t="s">
        <v>32</v>
      </c>
      <c r="K1577" s="1">
        <v>44997.571030092593</v>
      </c>
      <c r="L1577" t="s">
        <v>33</v>
      </c>
      <c r="M1577" t="s">
        <v>92</v>
      </c>
      <c r="T1577">
        <v>0</v>
      </c>
      <c r="Y1577" t="s">
        <v>35</v>
      </c>
      <c r="AC1577" s="2">
        <f t="shared" si="216"/>
        <v>3</v>
      </c>
      <c r="AD1577" s="2">
        <f t="shared" si="217"/>
        <v>23</v>
      </c>
      <c r="AE1577" s="2">
        <f t="shared" si="218"/>
        <v>20</v>
      </c>
      <c r="AF1577" s="2" t="str">
        <f t="shared" si="219"/>
        <v/>
      </c>
      <c r="AG1577" s="2" t="str">
        <f t="shared" si="220"/>
        <v/>
      </c>
      <c r="AH1577" s="4" t="str">
        <f t="shared" si="221"/>
        <v/>
      </c>
      <c r="AI1577" s="2" t="str">
        <f t="shared" si="222"/>
        <v/>
      </c>
      <c r="AJ1577" s="2" t="str">
        <f t="shared" si="223"/>
        <v/>
      </c>
      <c r="AK1577" s="2" t="str">
        <f t="shared" si="224"/>
        <v/>
      </c>
    </row>
    <row r="1578" spans="1:37" x14ac:dyDescent="0.25">
      <c r="A1578">
        <v>400</v>
      </c>
      <c r="B1578" t="s">
        <v>1729</v>
      </c>
      <c r="C1578" t="s">
        <v>1577</v>
      </c>
      <c r="D1578" t="s">
        <v>1626</v>
      </c>
      <c r="E1578" t="s">
        <v>1391</v>
      </c>
      <c r="F1578" t="s">
        <v>1627</v>
      </c>
      <c r="G1578" t="s">
        <v>144</v>
      </c>
      <c r="H1578" s="1">
        <v>44975.686574074076</v>
      </c>
      <c r="I1578" s="1">
        <v>44976.686574074076</v>
      </c>
      <c r="J1578" t="s">
        <v>32</v>
      </c>
      <c r="K1578" s="1">
        <v>44992.686574074076</v>
      </c>
      <c r="L1578" t="s">
        <v>33</v>
      </c>
      <c r="M1578" t="s">
        <v>67</v>
      </c>
      <c r="T1578">
        <v>0</v>
      </c>
      <c r="Y1578" t="s">
        <v>55</v>
      </c>
      <c r="AC1578" s="2">
        <f t="shared" si="216"/>
        <v>1</v>
      </c>
      <c r="AD1578" s="2">
        <f t="shared" si="217"/>
        <v>17</v>
      </c>
      <c r="AE1578" s="2">
        <f t="shared" si="218"/>
        <v>16</v>
      </c>
      <c r="AF1578" s="2" t="str">
        <f t="shared" si="219"/>
        <v/>
      </c>
      <c r="AG1578" s="2" t="str">
        <f t="shared" si="220"/>
        <v/>
      </c>
      <c r="AH1578" s="4" t="str">
        <f t="shared" si="221"/>
        <v/>
      </c>
      <c r="AI1578" s="2" t="str">
        <f t="shared" si="222"/>
        <v/>
      </c>
      <c r="AJ1578" s="2" t="str">
        <f t="shared" si="223"/>
        <v/>
      </c>
      <c r="AK1578" s="2" t="str">
        <f t="shared" si="224"/>
        <v/>
      </c>
    </row>
    <row r="1579" spans="1:37" x14ac:dyDescent="0.25">
      <c r="A1579">
        <v>393</v>
      </c>
      <c r="B1579" t="s">
        <v>1730</v>
      </c>
      <c r="C1579" t="s">
        <v>1577</v>
      </c>
      <c r="D1579" t="s">
        <v>1626</v>
      </c>
      <c r="E1579" t="s">
        <v>1391</v>
      </c>
      <c r="F1579" t="s">
        <v>1627</v>
      </c>
      <c r="G1579" t="s">
        <v>144</v>
      </c>
      <c r="H1579" s="1">
        <v>44972.686574074076</v>
      </c>
      <c r="I1579" s="1">
        <v>44973.686574074076</v>
      </c>
      <c r="J1579" t="s">
        <v>32</v>
      </c>
      <c r="K1579" s="1">
        <v>44987.686574074076</v>
      </c>
      <c r="L1579" t="s">
        <v>39</v>
      </c>
      <c r="N1579" s="4">
        <v>44993.686574074076</v>
      </c>
      <c r="O1579" t="s">
        <v>39</v>
      </c>
      <c r="R1579" s="4">
        <v>44990.686574074076</v>
      </c>
      <c r="T1579">
        <v>0</v>
      </c>
      <c r="AC1579" s="2">
        <f t="shared" si="216"/>
        <v>1</v>
      </c>
      <c r="AD1579" s="2">
        <f t="shared" si="217"/>
        <v>15</v>
      </c>
      <c r="AE1579" s="2">
        <f t="shared" si="218"/>
        <v>14</v>
      </c>
      <c r="AF1579" s="2">
        <f t="shared" si="219"/>
        <v>18</v>
      </c>
      <c r="AG1579" s="2">
        <f t="shared" si="220"/>
        <v>3</v>
      </c>
      <c r="AH1579" s="4">
        <f t="shared" si="221"/>
        <v>45080.686574074076</v>
      </c>
      <c r="AI1579" s="2" t="str">
        <f t="shared" si="222"/>
        <v/>
      </c>
      <c r="AJ1579" s="2" t="str">
        <f t="shared" si="223"/>
        <v/>
      </c>
      <c r="AK1579" s="2" t="str">
        <f t="shared" si="224"/>
        <v/>
      </c>
    </row>
    <row r="1580" spans="1:37" x14ac:dyDescent="0.25">
      <c r="A1580">
        <v>345</v>
      </c>
      <c r="B1580" t="s">
        <v>1731</v>
      </c>
      <c r="C1580" t="s">
        <v>1577</v>
      </c>
      <c r="D1580" t="s">
        <v>1626</v>
      </c>
      <c r="E1580" t="s">
        <v>1391</v>
      </c>
      <c r="F1580" t="s">
        <v>1627</v>
      </c>
      <c r="G1580" t="s">
        <v>144</v>
      </c>
      <c r="H1580" s="1">
        <v>44686.644375000003</v>
      </c>
      <c r="I1580" s="1">
        <v>44688.644375000003</v>
      </c>
      <c r="J1580" t="s">
        <v>32</v>
      </c>
      <c r="K1580" s="1">
        <v>44700.644375000003</v>
      </c>
      <c r="L1580" t="s">
        <v>39</v>
      </c>
      <c r="N1580" s="4">
        <v>44704.644375000003</v>
      </c>
      <c r="O1580" t="s">
        <v>39</v>
      </c>
      <c r="R1580" s="4">
        <v>44703.644375000003</v>
      </c>
      <c r="T1580">
        <v>0</v>
      </c>
      <c r="AC1580" s="2">
        <f t="shared" si="216"/>
        <v>2</v>
      </c>
      <c r="AD1580" s="2">
        <f t="shared" si="217"/>
        <v>14</v>
      </c>
      <c r="AE1580" s="2">
        <f t="shared" si="218"/>
        <v>12</v>
      </c>
      <c r="AF1580" s="2">
        <f t="shared" si="219"/>
        <v>17</v>
      </c>
      <c r="AG1580" s="2">
        <f t="shared" si="220"/>
        <v>3</v>
      </c>
      <c r="AH1580" s="4">
        <f t="shared" si="221"/>
        <v>44793.644375000003</v>
      </c>
      <c r="AI1580" s="2" t="str">
        <f t="shared" si="222"/>
        <v/>
      </c>
      <c r="AJ1580" s="2" t="str">
        <f t="shared" si="223"/>
        <v/>
      </c>
      <c r="AK1580" s="2" t="str">
        <f t="shared" si="224"/>
        <v/>
      </c>
    </row>
    <row r="1581" spans="1:37" x14ac:dyDescent="0.25">
      <c r="A1581">
        <v>341</v>
      </c>
      <c r="B1581" t="s">
        <v>1732</v>
      </c>
      <c r="C1581" t="s">
        <v>1577</v>
      </c>
      <c r="D1581" t="s">
        <v>1626</v>
      </c>
      <c r="E1581" t="s">
        <v>1391</v>
      </c>
      <c r="F1581" t="s">
        <v>1627</v>
      </c>
      <c r="G1581" t="s">
        <v>144</v>
      </c>
      <c r="H1581" s="1">
        <v>44685.644375000003</v>
      </c>
      <c r="I1581" s="1">
        <v>44687.644375000003</v>
      </c>
      <c r="J1581" t="s">
        <v>32</v>
      </c>
      <c r="K1581" s="1">
        <v>44693.644375000003</v>
      </c>
      <c r="L1581" t="s">
        <v>164</v>
      </c>
      <c r="N1581" s="4">
        <v>44696.644375000003</v>
      </c>
      <c r="O1581" t="s">
        <v>164</v>
      </c>
      <c r="R1581" s="4">
        <v>44695.644375000003</v>
      </c>
      <c r="T1581">
        <v>0</v>
      </c>
      <c r="AC1581" s="2">
        <f t="shared" si="216"/>
        <v>2</v>
      </c>
      <c r="AD1581" s="2">
        <f t="shared" si="217"/>
        <v>8</v>
      </c>
      <c r="AE1581" s="2">
        <f t="shared" si="218"/>
        <v>6</v>
      </c>
      <c r="AF1581" s="2">
        <f t="shared" si="219"/>
        <v>10</v>
      </c>
      <c r="AG1581" s="2">
        <f t="shared" si="220"/>
        <v>2</v>
      </c>
      <c r="AH1581" s="4">
        <f t="shared" si="221"/>
        <v>44785.644375000003</v>
      </c>
      <c r="AI1581" s="2" t="str">
        <f t="shared" si="222"/>
        <v/>
      </c>
      <c r="AJ1581" s="2" t="str">
        <f t="shared" si="223"/>
        <v/>
      </c>
      <c r="AK1581" s="2" t="str">
        <f t="shared" si="224"/>
        <v/>
      </c>
    </row>
    <row r="1582" spans="1:37" x14ac:dyDescent="0.25">
      <c r="A1582">
        <v>285</v>
      </c>
      <c r="B1582" t="s">
        <v>1733</v>
      </c>
      <c r="C1582" t="s">
        <v>1577</v>
      </c>
      <c r="D1582" t="s">
        <v>1626</v>
      </c>
      <c r="E1582" t="s">
        <v>1391</v>
      </c>
      <c r="F1582" t="s">
        <v>1627</v>
      </c>
      <c r="G1582" t="s">
        <v>144</v>
      </c>
      <c r="H1582" s="1">
        <v>44698.67763888889</v>
      </c>
      <c r="I1582" s="1">
        <v>44700.67763888889</v>
      </c>
      <c r="J1582" t="s">
        <v>32</v>
      </c>
      <c r="K1582" s="1">
        <v>44714.67763888889</v>
      </c>
      <c r="L1582" t="s">
        <v>39</v>
      </c>
      <c r="N1582" s="4">
        <v>44720.67763888889</v>
      </c>
      <c r="O1582" t="s">
        <v>39</v>
      </c>
      <c r="R1582" s="4">
        <v>44718.67763888889</v>
      </c>
      <c r="T1582">
        <v>0</v>
      </c>
      <c r="AC1582" s="2">
        <f t="shared" si="216"/>
        <v>2</v>
      </c>
      <c r="AD1582" s="2">
        <f t="shared" si="217"/>
        <v>16</v>
      </c>
      <c r="AE1582" s="2">
        <f t="shared" si="218"/>
        <v>14</v>
      </c>
      <c r="AF1582" s="2">
        <f t="shared" si="219"/>
        <v>20</v>
      </c>
      <c r="AG1582" s="2">
        <f t="shared" si="220"/>
        <v>4</v>
      </c>
      <c r="AH1582" s="4">
        <f t="shared" si="221"/>
        <v>44808.67763888889</v>
      </c>
      <c r="AI1582" s="2" t="str">
        <f t="shared" si="222"/>
        <v/>
      </c>
      <c r="AJ1582" s="2" t="str">
        <f t="shared" si="223"/>
        <v/>
      </c>
      <c r="AK1582" s="2" t="str">
        <f t="shared" si="224"/>
        <v/>
      </c>
    </row>
    <row r="1583" spans="1:37" x14ac:dyDescent="0.25">
      <c r="A1583">
        <v>284</v>
      </c>
      <c r="B1583" t="s">
        <v>1734</v>
      </c>
      <c r="C1583" t="s">
        <v>1577</v>
      </c>
      <c r="D1583" t="s">
        <v>1626</v>
      </c>
      <c r="E1583" t="s">
        <v>1391</v>
      </c>
      <c r="F1583" t="s">
        <v>1627</v>
      </c>
      <c r="G1583" t="s">
        <v>144</v>
      </c>
      <c r="H1583" s="1">
        <v>44700.67763888889</v>
      </c>
      <c r="I1583" s="1">
        <v>44701.67763888889</v>
      </c>
      <c r="J1583" t="s">
        <v>32</v>
      </c>
      <c r="K1583" s="1">
        <v>44709.67763888889</v>
      </c>
      <c r="L1583" t="s">
        <v>39</v>
      </c>
      <c r="N1583" s="4">
        <v>44712.67763888889</v>
      </c>
      <c r="O1583" t="s">
        <v>39</v>
      </c>
      <c r="R1583" s="4">
        <v>44711.67763888889</v>
      </c>
      <c r="T1583">
        <v>0</v>
      </c>
      <c r="AC1583" s="2">
        <f t="shared" si="216"/>
        <v>1</v>
      </c>
      <c r="AD1583" s="2">
        <f t="shared" si="217"/>
        <v>9</v>
      </c>
      <c r="AE1583" s="2">
        <f t="shared" si="218"/>
        <v>8</v>
      </c>
      <c r="AF1583" s="2">
        <f t="shared" si="219"/>
        <v>11</v>
      </c>
      <c r="AG1583" s="2">
        <f t="shared" si="220"/>
        <v>2</v>
      </c>
      <c r="AH1583" s="4">
        <f t="shared" si="221"/>
        <v>44801.67763888889</v>
      </c>
      <c r="AI1583" s="2" t="str">
        <f t="shared" si="222"/>
        <v/>
      </c>
      <c r="AJ1583" s="2" t="str">
        <f t="shared" si="223"/>
        <v/>
      </c>
      <c r="AK1583" s="2" t="str">
        <f t="shared" si="224"/>
        <v/>
      </c>
    </row>
    <row r="1584" spans="1:37" x14ac:dyDescent="0.25">
      <c r="A1584">
        <v>207</v>
      </c>
      <c r="B1584" t="s">
        <v>1735</v>
      </c>
      <c r="C1584" t="s">
        <v>1577</v>
      </c>
      <c r="D1584" t="s">
        <v>1626</v>
      </c>
      <c r="E1584" t="s">
        <v>1391</v>
      </c>
      <c r="F1584" t="s">
        <v>1627</v>
      </c>
      <c r="G1584" t="s">
        <v>144</v>
      </c>
      <c r="H1584" s="1">
        <v>44745.342893518522</v>
      </c>
      <c r="I1584" s="1">
        <v>44748.342893518522</v>
      </c>
      <c r="J1584" t="s">
        <v>32</v>
      </c>
      <c r="K1584" s="1">
        <v>44761.342893518522</v>
      </c>
      <c r="L1584" t="s">
        <v>164</v>
      </c>
      <c r="N1584" s="4">
        <v>44764.342893518522</v>
      </c>
      <c r="O1584" t="s">
        <v>164</v>
      </c>
      <c r="R1584" s="4">
        <v>44762.342893518522</v>
      </c>
      <c r="T1584">
        <v>0</v>
      </c>
      <c r="AC1584" s="2">
        <f t="shared" si="216"/>
        <v>3</v>
      </c>
      <c r="AD1584" s="2">
        <f t="shared" si="217"/>
        <v>16</v>
      </c>
      <c r="AE1584" s="2">
        <f t="shared" si="218"/>
        <v>13</v>
      </c>
      <c r="AF1584" s="2">
        <f t="shared" si="219"/>
        <v>17</v>
      </c>
      <c r="AG1584" s="2">
        <f t="shared" si="220"/>
        <v>1</v>
      </c>
      <c r="AH1584" s="4">
        <f t="shared" si="221"/>
        <v>44852.342893518522</v>
      </c>
      <c r="AI1584" s="2" t="str">
        <f t="shared" si="222"/>
        <v/>
      </c>
      <c r="AJ1584" s="2" t="str">
        <f t="shared" si="223"/>
        <v/>
      </c>
      <c r="AK1584" s="2" t="str">
        <f t="shared" si="224"/>
        <v/>
      </c>
    </row>
    <row r="1585" spans="1:37" x14ac:dyDescent="0.25">
      <c r="A1585">
        <v>177</v>
      </c>
      <c r="B1585" t="s">
        <v>1736</v>
      </c>
      <c r="C1585" t="s">
        <v>1577</v>
      </c>
      <c r="D1585" t="s">
        <v>1626</v>
      </c>
      <c r="E1585" t="s">
        <v>1391</v>
      </c>
      <c r="F1585" t="s">
        <v>1627</v>
      </c>
      <c r="G1585" t="s">
        <v>144</v>
      </c>
      <c r="H1585" s="1">
        <v>45092.370925925927</v>
      </c>
      <c r="I1585" s="1">
        <v>45096.370925925927</v>
      </c>
      <c r="J1585" t="s">
        <v>32</v>
      </c>
      <c r="K1585" s="1">
        <v>45099.370925925927</v>
      </c>
      <c r="L1585" t="s">
        <v>39</v>
      </c>
      <c r="N1585" s="4">
        <v>45105.370925925927</v>
      </c>
      <c r="O1585" t="s">
        <v>39</v>
      </c>
      <c r="R1585" s="4">
        <v>45101.370925925927</v>
      </c>
      <c r="T1585">
        <v>0</v>
      </c>
      <c r="AC1585" s="2">
        <f t="shared" si="216"/>
        <v>4</v>
      </c>
      <c r="AD1585" s="2">
        <f t="shared" si="217"/>
        <v>7</v>
      </c>
      <c r="AE1585" s="2">
        <f t="shared" si="218"/>
        <v>3</v>
      </c>
      <c r="AF1585" s="2">
        <f t="shared" si="219"/>
        <v>9</v>
      </c>
      <c r="AG1585" s="2">
        <f t="shared" si="220"/>
        <v>2</v>
      </c>
      <c r="AH1585" s="4">
        <f t="shared" si="221"/>
        <v>45191.370925925927</v>
      </c>
      <c r="AI1585" s="2" t="str">
        <f t="shared" si="222"/>
        <v/>
      </c>
      <c r="AJ1585" s="2" t="str">
        <f t="shared" si="223"/>
        <v/>
      </c>
      <c r="AK1585" s="2" t="str">
        <f t="shared" si="224"/>
        <v/>
      </c>
    </row>
    <row r="1586" spans="1:37" x14ac:dyDescent="0.25">
      <c r="A1586">
        <v>175</v>
      </c>
      <c r="B1586" t="s">
        <v>1737</v>
      </c>
      <c r="C1586" t="s">
        <v>1577</v>
      </c>
      <c r="D1586" t="s">
        <v>1626</v>
      </c>
      <c r="E1586" t="s">
        <v>1391</v>
      </c>
      <c r="F1586" t="s">
        <v>1627</v>
      </c>
      <c r="G1586" t="s">
        <v>144</v>
      </c>
      <c r="H1586" s="1">
        <v>45091.370925925927</v>
      </c>
      <c r="I1586" s="1">
        <v>45095.370925925927</v>
      </c>
      <c r="J1586" t="s">
        <v>32</v>
      </c>
      <c r="K1586" s="1">
        <v>45106.370925925927</v>
      </c>
      <c r="L1586" t="s">
        <v>57</v>
      </c>
      <c r="N1586" s="4">
        <v>45109.370925925927</v>
      </c>
      <c r="O1586" t="s">
        <v>57</v>
      </c>
      <c r="P1586" s="4">
        <v>45107.370925925927</v>
      </c>
      <c r="Q1586" s="4">
        <v>45111.370925925927</v>
      </c>
      <c r="R1586" s="4">
        <v>45108.370925925927</v>
      </c>
      <c r="S1586" s="4">
        <v>45115.370925925927</v>
      </c>
      <c r="T1586">
        <v>1</v>
      </c>
      <c r="U1586" s="4">
        <v>45116.370925925927</v>
      </c>
      <c r="V1586" s="4">
        <v>45118.370925925927</v>
      </c>
      <c r="W1586" s="4">
        <v>45120.370925925927</v>
      </c>
      <c r="Z1586" s="4">
        <v>45134.370925925927</v>
      </c>
      <c r="AC1586" s="2">
        <f t="shared" si="216"/>
        <v>4</v>
      </c>
      <c r="AD1586" s="2">
        <f t="shared" si="217"/>
        <v>15</v>
      </c>
      <c r="AE1586" s="2">
        <f t="shared" si="218"/>
        <v>11</v>
      </c>
      <c r="AF1586" s="2">
        <f t="shared" si="219"/>
        <v>17</v>
      </c>
      <c r="AG1586" s="2">
        <f t="shared" si="220"/>
        <v>2</v>
      </c>
      <c r="AH1586" s="4">
        <f t="shared" si="221"/>
        <v>45198.370925925927</v>
      </c>
      <c r="AI1586" s="2">
        <f t="shared" si="222"/>
        <v>1</v>
      </c>
      <c r="AJ1586" s="2">
        <f t="shared" si="223"/>
        <v>26</v>
      </c>
      <c r="AK1586" s="2">
        <f t="shared" si="224"/>
        <v>12</v>
      </c>
    </row>
    <row r="1587" spans="1:37" x14ac:dyDescent="0.25">
      <c r="A1587">
        <v>173</v>
      </c>
      <c r="B1587" t="s">
        <v>1738</v>
      </c>
      <c r="C1587" t="s">
        <v>1577</v>
      </c>
      <c r="D1587" t="s">
        <v>1626</v>
      </c>
      <c r="E1587" t="s">
        <v>1391</v>
      </c>
      <c r="F1587" t="s">
        <v>1627</v>
      </c>
      <c r="G1587" t="s">
        <v>144</v>
      </c>
      <c r="H1587" s="1">
        <v>45094.370925925927</v>
      </c>
      <c r="I1587" s="1">
        <v>45095.370925925927</v>
      </c>
      <c r="J1587" t="s">
        <v>32</v>
      </c>
      <c r="K1587" s="1">
        <v>45101.370925925927</v>
      </c>
      <c r="L1587" t="s">
        <v>39</v>
      </c>
      <c r="N1587" s="4">
        <v>45105.370925925927</v>
      </c>
      <c r="O1587" t="s">
        <v>39</v>
      </c>
      <c r="R1587" s="4">
        <v>45103.370925925927</v>
      </c>
      <c r="T1587">
        <v>0</v>
      </c>
      <c r="AC1587" s="2">
        <f t="shared" si="216"/>
        <v>1</v>
      </c>
      <c r="AD1587" s="2">
        <f t="shared" si="217"/>
        <v>7</v>
      </c>
      <c r="AE1587" s="2">
        <f t="shared" si="218"/>
        <v>6</v>
      </c>
      <c r="AF1587" s="2">
        <f t="shared" si="219"/>
        <v>9</v>
      </c>
      <c r="AG1587" s="2">
        <f t="shared" si="220"/>
        <v>2</v>
      </c>
      <c r="AH1587" s="4">
        <f t="shared" si="221"/>
        <v>45193.370925925927</v>
      </c>
      <c r="AI1587" s="2" t="str">
        <f t="shared" si="222"/>
        <v/>
      </c>
      <c r="AJ1587" s="2" t="str">
        <f t="shared" si="223"/>
        <v/>
      </c>
      <c r="AK1587" s="2" t="str">
        <f t="shared" si="224"/>
        <v/>
      </c>
    </row>
    <row r="1588" spans="1:37" x14ac:dyDescent="0.25">
      <c r="A1588">
        <v>95</v>
      </c>
      <c r="B1588" t="s">
        <v>1739</v>
      </c>
      <c r="C1588" t="s">
        <v>1577</v>
      </c>
      <c r="D1588" t="s">
        <v>1626</v>
      </c>
      <c r="E1588" t="s">
        <v>601</v>
      </c>
      <c r="F1588" t="s">
        <v>1740</v>
      </c>
      <c r="G1588" t="s">
        <v>144</v>
      </c>
      <c r="H1588" s="1">
        <v>44839.587280092594</v>
      </c>
      <c r="I1588" s="1">
        <v>44841.587280092594</v>
      </c>
      <c r="J1588" t="s">
        <v>32</v>
      </c>
      <c r="K1588" s="1">
        <v>44857.587280092594</v>
      </c>
      <c r="L1588" t="s">
        <v>164</v>
      </c>
      <c r="N1588" s="4">
        <v>44862.587280092594</v>
      </c>
      <c r="O1588" t="s">
        <v>164</v>
      </c>
      <c r="R1588" s="4">
        <v>44859.587280092594</v>
      </c>
      <c r="T1588">
        <v>0</v>
      </c>
      <c r="AC1588" s="2">
        <f t="shared" si="216"/>
        <v>2</v>
      </c>
      <c r="AD1588" s="2">
        <f t="shared" si="217"/>
        <v>18</v>
      </c>
      <c r="AE1588" s="2">
        <f t="shared" si="218"/>
        <v>16</v>
      </c>
      <c r="AF1588" s="2">
        <f t="shared" si="219"/>
        <v>20</v>
      </c>
      <c r="AG1588" s="2">
        <f t="shared" si="220"/>
        <v>2</v>
      </c>
      <c r="AH1588" s="4">
        <f t="shared" si="221"/>
        <v>44949.587280092594</v>
      </c>
      <c r="AI1588" s="2" t="str">
        <f t="shared" si="222"/>
        <v/>
      </c>
      <c r="AJ1588" s="2" t="str">
        <f t="shared" si="223"/>
        <v/>
      </c>
      <c r="AK1588" s="2" t="str">
        <f t="shared" si="224"/>
        <v/>
      </c>
    </row>
    <row r="1589" spans="1:37" x14ac:dyDescent="0.25">
      <c r="A1589">
        <v>93</v>
      </c>
      <c r="B1589" t="s">
        <v>1741</v>
      </c>
      <c r="C1589" t="s">
        <v>1577</v>
      </c>
      <c r="D1589" t="s">
        <v>1626</v>
      </c>
      <c r="E1589" t="s">
        <v>601</v>
      </c>
      <c r="F1589" t="s">
        <v>1740</v>
      </c>
      <c r="G1589" t="s">
        <v>144</v>
      </c>
      <c r="H1589" s="1">
        <v>44839.587280092594</v>
      </c>
      <c r="I1589" s="1">
        <v>44842.587280092594</v>
      </c>
      <c r="J1589" t="s">
        <v>32</v>
      </c>
      <c r="K1589" s="1">
        <v>44849.587280092594</v>
      </c>
      <c r="L1589" t="s">
        <v>39</v>
      </c>
      <c r="N1589" s="4">
        <v>44855.587280092594</v>
      </c>
      <c r="O1589" t="s">
        <v>39</v>
      </c>
      <c r="R1589" s="4">
        <v>44852.587280092594</v>
      </c>
      <c r="T1589">
        <v>0</v>
      </c>
      <c r="AC1589" s="2">
        <f t="shared" si="216"/>
        <v>3</v>
      </c>
      <c r="AD1589" s="2">
        <f t="shared" si="217"/>
        <v>10</v>
      </c>
      <c r="AE1589" s="2">
        <f t="shared" si="218"/>
        <v>7</v>
      </c>
      <c r="AF1589" s="2">
        <f t="shared" si="219"/>
        <v>13</v>
      </c>
      <c r="AG1589" s="2">
        <f t="shared" si="220"/>
        <v>3</v>
      </c>
      <c r="AH1589" s="4">
        <f t="shared" si="221"/>
        <v>44942.587280092594</v>
      </c>
      <c r="AI1589" s="2" t="str">
        <f t="shared" si="222"/>
        <v/>
      </c>
      <c r="AJ1589" s="2" t="str">
        <f t="shared" si="223"/>
        <v/>
      </c>
      <c r="AK1589" s="2" t="str">
        <f t="shared" si="224"/>
        <v/>
      </c>
    </row>
    <row r="1590" spans="1:37" x14ac:dyDescent="0.25">
      <c r="A1590">
        <v>80</v>
      </c>
      <c r="B1590" t="s">
        <v>1742</v>
      </c>
      <c r="C1590" t="s">
        <v>1577</v>
      </c>
      <c r="D1590" t="s">
        <v>1626</v>
      </c>
      <c r="E1590" t="s">
        <v>601</v>
      </c>
      <c r="F1590" t="s">
        <v>1740</v>
      </c>
      <c r="G1590" t="s">
        <v>144</v>
      </c>
      <c r="H1590" s="1">
        <v>44751.410798611112</v>
      </c>
      <c r="I1590" s="1">
        <v>44752.410798611112</v>
      </c>
      <c r="J1590" t="s">
        <v>32</v>
      </c>
      <c r="K1590" s="1">
        <v>44767.410798611112</v>
      </c>
      <c r="L1590" t="s">
        <v>57</v>
      </c>
      <c r="N1590" s="4">
        <v>44774.410798611112</v>
      </c>
      <c r="O1590" t="s">
        <v>57</v>
      </c>
      <c r="P1590" s="4">
        <v>44768.410798611112</v>
      </c>
      <c r="Q1590" s="4">
        <v>44770.410798611112</v>
      </c>
      <c r="R1590" s="4">
        <v>44770.410798611112</v>
      </c>
      <c r="S1590" s="4">
        <v>44775.410798611112</v>
      </c>
      <c r="T1590">
        <v>1</v>
      </c>
      <c r="U1590" s="4">
        <v>44778.410798611112</v>
      </c>
      <c r="V1590" s="4">
        <v>44780.410798611112</v>
      </c>
      <c r="W1590" s="4">
        <v>44782.410798611112</v>
      </c>
      <c r="Z1590" s="4">
        <v>44794.410798611112</v>
      </c>
      <c r="AC1590" s="2">
        <f t="shared" si="216"/>
        <v>1</v>
      </c>
      <c r="AD1590" s="2">
        <f t="shared" si="217"/>
        <v>16</v>
      </c>
      <c r="AE1590" s="2">
        <f t="shared" si="218"/>
        <v>15</v>
      </c>
      <c r="AF1590" s="2">
        <f t="shared" si="219"/>
        <v>19</v>
      </c>
      <c r="AG1590" s="2">
        <f t="shared" si="220"/>
        <v>3</v>
      </c>
      <c r="AH1590" s="4">
        <f t="shared" si="221"/>
        <v>44860.410798611112</v>
      </c>
      <c r="AI1590" s="2">
        <f t="shared" si="222"/>
        <v>3</v>
      </c>
      <c r="AJ1590" s="2">
        <f t="shared" si="223"/>
        <v>24</v>
      </c>
      <c r="AK1590" s="2">
        <f t="shared" si="224"/>
        <v>12</v>
      </c>
    </row>
    <row r="1591" spans="1:37" x14ac:dyDescent="0.25">
      <c r="A1591">
        <v>29</v>
      </c>
      <c r="B1591" t="s">
        <v>1743</v>
      </c>
      <c r="C1591" t="s">
        <v>1577</v>
      </c>
      <c r="D1591" t="s">
        <v>1626</v>
      </c>
      <c r="E1591" t="s">
        <v>601</v>
      </c>
      <c r="F1591" t="s">
        <v>1740</v>
      </c>
      <c r="G1591" t="s">
        <v>144</v>
      </c>
      <c r="H1591" s="1">
        <v>44922.453449074077</v>
      </c>
      <c r="I1591" s="1">
        <v>44926.453449074077</v>
      </c>
      <c r="J1591" t="s">
        <v>44</v>
      </c>
      <c r="K1591" s="1"/>
      <c r="T1591">
        <v>0</v>
      </c>
      <c r="AC1591" s="2">
        <f t="shared" si="216"/>
        <v>4</v>
      </c>
      <c r="AD1591" s="2" t="str">
        <f t="shared" si="217"/>
        <v/>
      </c>
      <c r="AE1591" s="2" t="str">
        <f t="shared" si="218"/>
        <v/>
      </c>
      <c r="AF1591" s="2" t="str">
        <f t="shared" si="219"/>
        <v/>
      </c>
      <c r="AG1591" s="2" t="str">
        <f t="shared" si="220"/>
        <v/>
      </c>
      <c r="AH1591" s="4" t="str">
        <f t="shared" si="221"/>
        <v/>
      </c>
      <c r="AI1591" s="2" t="str">
        <f t="shared" si="222"/>
        <v/>
      </c>
      <c r="AJ1591" s="2" t="str">
        <f t="shared" si="223"/>
        <v/>
      </c>
      <c r="AK1591" s="2" t="str">
        <f t="shared" si="224"/>
        <v/>
      </c>
    </row>
    <row r="1592" spans="1:37" x14ac:dyDescent="0.25">
      <c r="A1592">
        <v>18</v>
      </c>
      <c r="B1592" t="s">
        <v>1744</v>
      </c>
      <c r="C1592" t="s">
        <v>1577</v>
      </c>
      <c r="D1592" t="s">
        <v>1626</v>
      </c>
      <c r="E1592" t="s">
        <v>601</v>
      </c>
      <c r="F1592" t="s">
        <v>1740</v>
      </c>
      <c r="G1592" t="s">
        <v>144</v>
      </c>
      <c r="H1592" s="1">
        <v>44636.901284722226</v>
      </c>
      <c r="I1592" s="1">
        <v>44639.901284722226</v>
      </c>
      <c r="J1592" t="s">
        <v>32</v>
      </c>
      <c r="K1592" s="1">
        <v>44648.901284722226</v>
      </c>
      <c r="L1592" t="s">
        <v>33</v>
      </c>
      <c r="M1592" t="s">
        <v>92</v>
      </c>
      <c r="R1592" s="4">
        <v>44650.901284722226</v>
      </c>
      <c r="T1592">
        <v>0</v>
      </c>
      <c r="Y1592" t="s">
        <v>55</v>
      </c>
      <c r="AC1592" s="2">
        <f t="shared" si="216"/>
        <v>3</v>
      </c>
      <c r="AD1592" s="2">
        <f t="shared" si="217"/>
        <v>12</v>
      </c>
      <c r="AE1592" s="2">
        <f t="shared" si="218"/>
        <v>9</v>
      </c>
      <c r="AF1592" s="2">
        <f t="shared" si="219"/>
        <v>14</v>
      </c>
      <c r="AG1592" s="2">
        <f t="shared" si="220"/>
        <v>2</v>
      </c>
      <c r="AH1592" s="4">
        <f t="shared" si="221"/>
        <v>44740.901284722226</v>
      </c>
      <c r="AI1592" s="2" t="str">
        <f t="shared" si="222"/>
        <v/>
      </c>
      <c r="AJ1592" s="2" t="str">
        <f t="shared" si="223"/>
        <v/>
      </c>
      <c r="AK1592" s="2" t="str">
        <f t="shared" si="224"/>
        <v/>
      </c>
    </row>
    <row r="1593" spans="1:37" x14ac:dyDescent="0.25">
      <c r="A1593">
        <v>2843</v>
      </c>
      <c r="B1593" t="s">
        <v>1745</v>
      </c>
      <c r="C1593" t="s">
        <v>1577</v>
      </c>
      <c r="D1593" t="s">
        <v>1746</v>
      </c>
      <c r="E1593" t="s">
        <v>267</v>
      </c>
      <c r="F1593" t="s">
        <v>1747</v>
      </c>
      <c r="G1593" t="s">
        <v>269</v>
      </c>
      <c r="H1593" s="1">
        <v>44654.443379629629</v>
      </c>
      <c r="I1593" s="1">
        <v>44655.443379629629</v>
      </c>
      <c r="J1593" t="s">
        <v>32</v>
      </c>
      <c r="K1593" s="1">
        <v>44663.443379629629</v>
      </c>
      <c r="L1593" t="s">
        <v>39</v>
      </c>
      <c r="N1593" s="4">
        <v>44668.443379629629</v>
      </c>
      <c r="O1593" t="s">
        <v>39</v>
      </c>
      <c r="R1593" s="4">
        <v>44666.443379629629</v>
      </c>
      <c r="T1593">
        <v>0</v>
      </c>
      <c r="AC1593" s="2">
        <f t="shared" si="216"/>
        <v>1</v>
      </c>
      <c r="AD1593" s="2">
        <f t="shared" si="217"/>
        <v>9</v>
      </c>
      <c r="AE1593" s="2">
        <f t="shared" si="218"/>
        <v>8</v>
      </c>
      <c r="AF1593" s="2">
        <f t="shared" si="219"/>
        <v>12</v>
      </c>
      <c r="AG1593" s="2">
        <f t="shared" si="220"/>
        <v>3</v>
      </c>
      <c r="AH1593" s="4">
        <f t="shared" si="221"/>
        <v>44756.443379629629</v>
      </c>
      <c r="AI1593" s="2" t="str">
        <f t="shared" si="222"/>
        <v/>
      </c>
      <c r="AJ1593" s="2" t="str">
        <f t="shared" si="223"/>
        <v/>
      </c>
      <c r="AK1593" s="2" t="str">
        <f t="shared" si="224"/>
        <v/>
      </c>
    </row>
    <row r="1594" spans="1:37" x14ac:dyDescent="0.25">
      <c r="A1594">
        <v>2780</v>
      </c>
      <c r="B1594" t="s">
        <v>1748</v>
      </c>
      <c r="C1594" t="s">
        <v>1577</v>
      </c>
      <c r="D1594" t="s">
        <v>1746</v>
      </c>
      <c r="E1594" t="s">
        <v>267</v>
      </c>
      <c r="F1594" t="s">
        <v>1747</v>
      </c>
      <c r="G1594" t="s">
        <v>269</v>
      </c>
      <c r="H1594" s="1">
        <v>44684.777986111112</v>
      </c>
      <c r="I1594" s="1">
        <v>44685.777986111112</v>
      </c>
      <c r="J1594" t="s">
        <v>32</v>
      </c>
      <c r="K1594" s="1">
        <v>44696.777986111112</v>
      </c>
      <c r="L1594" t="s">
        <v>57</v>
      </c>
      <c r="N1594" s="4">
        <v>44701.777986111112</v>
      </c>
      <c r="O1594" t="s">
        <v>57</v>
      </c>
      <c r="P1594" s="4">
        <v>44698.777986111112</v>
      </c>
      <c r="Q1594" s="4">
        <v>44699.777986111112</v>
      </c>
      <c r="R1594" s="4">
        <v>44700.777986111112</v>
      </c>
      <c r="S1594" s="4">
        <v>44701.777986111112</v>
      </c>
      <c r="T1594">
        <v>1</v>
      </c>
      <c r="U1594" s="4">
        <v>44702.777986111112</v>
      </c>
      <c r="V1594" s="4">
        <v>44705.777986111112</v>
      </c>
      <c r="W1594" s="4">
        <v>44708.777986111112</v>
      </c>
      <c r="Z1594" s="4">
        <v>44719.777986111112</v>
      </c>
      <c r="AC1594" s="2">
        <f t="shared" si="216"/>
        <v>1</v>
      </c>
      <c r="AD1594" s="2">
        <f t="shared" si="217"/>
        <v>12</v>
      </c>
      <c r="AE1594" s="2">
        <f t="shared" si="218"/>
        <v>11</v>
      </c>
      <c r="AF1594" s="2">
        <f t="shared" si="219"/>
        <v>16</v>
      </c>
      <c r="AG1594" s="2">
        <f t="shared" si="220"/>
        <v>4</v>
      </c>
      <c r="AH1594" s="4">
        <f t="shared" si="221"/>
        <v>44790.777986111112</v>
      </c>
      <c r="AI1594" s="2">
        <f t="shared" si="222"/>
        <v>1</v>
      </c>
      <c r="AJ1594" s="2">
        <f t="shared" si="223"/>
        <v>19</v>
      </c>
      <c r="AK1594" s="2">
        <f t="shared" si="224"/>
        <v>8</v>
      </c>
    </row>
    <row r="1595" spans="1:37" x14ac:dyDescent="0.25">
      <c r="A1595">
        <v>2778</v>
      </c>
      <c r="B1595" t="s">
        <v>1749</v>
      </c>
      <c r="C1595" t="s">
        <v>1577</v>
      </c>
      <c r="D1595" t="s">
        <v>1746</v>
      </c>
      <c r="E1595" t="s">
        <v>267</v>
      </c>
      <c r="F1595" t="s">
        <v>1747</v>
      </c>
      <c r="G1595" t="s">
        <v>269</v>
      </c>
      <c r="H1595" s="1">
        <v>44683.777986111112</v>
      </c>
      <c r="I1595" s="1">
        <v>44684.777986111112</v>
      </c>
      <c r="J1595" t="s">
        <v>32</v>
      </c>
      <c r="K1595" s="1">
        <v>44706.777986111112</v>
      </c>
      <c r="L1595" t="s">
        <v>39</v>
      </c>
      <c r="N1595" s="4">
        <v>44710.777986111112</v>
      </c>
      <c r="O1595" t="s">
        <v>39</v>
      </c>
      <c r="R1595" s="4">
        <v>44707.777986111112</v>
      </c>
      <c r="T1595">
        <v>0</v>
      </c>
      <c r="AC1595" s="2">
        <f t="shared" si="216"/>
        <v>1</v>
      </c>
      <c r="AD1595" s="2">
        <f t="shared" si="217"/>
        <v>23</v>
      </c>
      <c r="AE1595" s="2">
        <f t="shared" si="218"/>
        <v>22</v>
      </c>
      <c r="AF1595" s="2">
        <f t="shared" si="219"/>
        <v>24</v>
      </c>
      <c r="AG1595" s="2">
        <f t="shared" si="220"/>
        <v>1</v>
      </c>
      <c r="AH1595" s="4">
        <f t="shared" si="221"/>
        <v>44797.777986111112</v>
      </c>
      <c r="AI1595" s="2" t="str">
        <f t="shared" si="222"/>
        <v/>
      </c>
      <c r="AJ1595" s="2" t="str">
        <f t="shared" si="223"/>
        <v/>
      </c>
      <c r="AK1595" s="2" t="str">
        <f t="shared" si="224"/>
        <v/>
      </c>
    </row>
    <row r="1596" spans="1:37" x14ac:dyDescent="0.25">
      <c r="A1596">
        <v>2752</v>
      </c>
      <c r="B1596" t="s">
        <v>1750</v>
      </c>
      <c r="C1596" t="s">
        <v>1577</v>
      </c>
      <c r="D1596" t="s">
        <v>1746</v>
      </c>
      <c r="E1596" t="s">
        <v>267</v>
      </c>
      <c r="F1596" t="s">
        <v>1747</v>
      </c>
      <c r="G1596" t="s">
        <v>269</v>
      </c>
      <c r="H1596" s="1">
        <v>45025.765081018515</v>
      </c>
      <c r="I1596" s="1">
        <v>45028.765081018515</v>
      </c>
      <c r="J1596" t="s">
        <v>32</v>
      </c>
      <c r="K1596" s="1">
        <v>45042.765081018515</v>
      </c>
      <c r="L1596" t="s">
        <v>57</v>
      </c>
      <c r="N1596" s="4">
        <v>45047.765081018515</v>
      </c>
      <c r="O1596" t="s">
        <v>57</v>
      </c>
      <c r="P1596" s="4">
        <v>45044.765081018515</v>
      </c>
      <c r="Q1596" s="4">
        <v>45047.765081018515</v>
      </c>
      <c r="R1596" s="4">
        <v>45045.765081018515</v>
      </c>
      <c r="S1596" s="4">
        <v>45051.765081018515</v>
      </c>
      <c r="T1596">
        <v>1</v>
      </c>
      <c r="U1596" s="4">
        <v>45055.765081018515</v>
      </c>
      <c r="V1596" s="4">
        <v>45057.765081018515</v>
      </c>
      <c r="W1596" s="4">
        <v>45058.765081018515</v>
      </c>
      <c r="Z1596" s="4">
        <v>45067.765081018515</v>
      </c>
      <c r="AC1596" s="2">
        <f t="shared" si="216"/>
        <v>3</v>
      </c>
      <c r="AD1596" s="2">
        <f t="shared" si="217"/>
        <v>17</v>
      </c>
      <c r="AE1596" s="2">
        <f t="shared" si="218"/>
        <v>14</v>
      </c>
      <c r="AF1596" s="2">
        <f t="shared" si="219"/>
        <v>20</v>
      </c>
      <c r="AG1596" s="2">
        <f t="shared" si="220"/>
        <v>3</v>
      </c>
      <c r="AH1596" s="4">
        <f t="shared" si="221"/>
        <v>45135.765081018515</v>
      </c>
      <c r="AI1596" s="2">
        <f t="shared" si="222"/>
        <v>4</v>
      </c>
      <c r="AJ1596" s="2">
        <f t="shared" si="223"/>
        <v>22</v>
      </c>
      <c r="AK1596" s="2">
        <f t="shared" si="224"/>
        <v>13</v>
      </c>
    </row>
    <row r="1597" spans="1:37" x14ac:dyDescent="0.25">
      <c r="A1597">
        <v>2677</v>
      </c>
      <c r="B1597" t="s">
        <v>1751</v>
      </c>
      <c r="C1597" t="s">
        <v>1577</v>
      </c>
      <c r="D1597" t="s">
        <v>1746</v>
      </c>
      <c r="E1597" t="s">
        <v>267</v>
      </c>
      <c r="F1597" t="s">
        <v>1747</v>
      </c>
      <c r="G1597" t="s">
        <v>269</v>
      </c>
      <c r="H1597" s="1">
        <v>44604.141087962962</v>
      </c>
      <c r="I1597" s="1">
        <v>44607.141087962962</v>
      </c>
      <c r="J1597" t="s">
        <v>32</v>
      </c>
      <c r="K1597" s="1">
        <v>44611.141087962962</v>
      </c>
      <c r="L1597" t="s">
        <v>39</v>
      </c>
      <c r="N1597" s="4">
        <v>44616.141087962962</v>
      </c>
      <c r="O1597" t="s">
        <v>39</v>
      </c>
      <c r="R1597" s="4">
        <v>44613.141087962962</v>
      </c>
      <c r="T1597">
        <v>0</v>
      </c>
      <c r="AC1597" s="2">
        <f t="shared" si="216"/>
        <v>3</v>
      </c>
      <c r="AD1597" s="2">
        <f t="shared" si="217"/>
        <v>7</v>
      </c>
      <c r="AE1597" s="2">
        <f t="shared" si="218"/>
        <v>4</v>
      </c>
      <c r="AF1597" s="2">
        <f t="shared" si="219"/>
        <v>9</v>
      </c>
      <c r="AG1597" s="2">
        <f t="shared" si="220"/>
        <v>2</v>
      </c>
      <c r="AH1597" s="4">
        <f t="shared" si="221"/>
        <v>44703.141087962962</v>
      </c>
      <c r="AI1597" s="2" t="str">
        <f t="shared" si="222"/>
        <v/>
      </c>
      <c r="AJ1597" s="2" t="str">
        <f t="shared" si="223"/>
        <v/>
      </c>
      <c r="AK1597" s="2" t="str">
        <f t="shared" si="224"/>
        <v/>
      </c>
    </row>
    <row r="1598" spans="1:37" x14ac:dyDescent="0.25">
      <c r="A1598">
        <v>2676</v>
      </c>
      <c r="B1598" t="s">
        <v>1752</v>
      </c>
      <c r="C1598" t="s">
        <v>1577</v>
      </c>
      <c r="D1598" t="s">
        <v>1746</v>
      </c>
      <c r="E1598" t="s">
        <v>267</v>
      </c>
      <c r="F1598" t="s">
        <v>1747</v>
      </c>
      <c r="G1598" t="s">
        <v>269</v>
      </c>
      <c r="H1598" s="1">
        <v>44602.141087962962</v>
      </c>
      <c r="I1598" s="1">
        <v>44604.141087962962</v>
      </c>
      <c r="J1598" t="s">
        <v>32</v>
      </c>
      <c r="K1598" s="1">
        <v>44626.141087962962</v>
      </c>
      <c r="L1598" t="s">
        <v>39</v>
      </c>
      <c r="N1598" s="4">
        <v>44631.141087962962</v>
      </c>
      <c r="O1598" t="s">
        <v>39</v>
      </c>
      <c r="R1598" s="4">
        <v>44628.141087962962</v>
      </c>
      <c r="T1598">
        <v>0</v>
      </c>
      <c r="AC1598" s="2">
        <f t="shared" si="216"/>
        <v>2</v>
      </c>
      <c r="AD1598" s="2">
        <f t="shared" si="217"/>
        <v>24</v>
      </c>
      <c r="AE1598" s="2">
        <f t="shared" si="218"/>
        <v>22</v>
      </c>
      <c r="AF1598" s="2">
        <f t="shared" si="219"/>
        <v>26</v>
      </c>
      <c r="AG1598" s="2">
        <f t="shared" si="220"/>
        <v>2</v>
      </c>
      <c r="AH1598" s="4">
        <f t="shared" si="221"/>
        <v>44718.141087962962</v>
      </c>
      <c r="AI1598" s="2" t="str">
        <f t="shared" si="222"/>
        <v/>
      </c>
      <c r="AJ1598" s="2" t="str">
        <f t="shared" si="223"/>
        <v/>
      </c>
      <c r="AK1598" s="2" t="str">
        <f t="shared" si="224"/>
        <v/>
      </c>
    </row>
    <row r="1599" spans="1:37" x14ac:dyDescent="0.25">
      <c r="A1599">
        <v>2675</v>
      </c>
      <c r="B1599" t="s">
        <v>1753</v>
      </c>
      <c r="C1599" t="s">
        <v>1577</v>
      </c>
      <c r="D1599" t="s">
        <v>1746</v>
      </c>
      <c r="E1599" t="s">
        <v>267</v>
      </c>
      <c r="F1599" t="s">
        <v>1747</v>
      </c>
      <c r="G1599" t="s">
        <v>269</v>
      </c>
      <c r="H1599" s="1">
        <v>44601.141087962962</v>
      </c>
      <c r="I1599" s="1">
        <v>44604.141087962962</v>
      </c>
      <c r="J1599" t="s">
        <v>44</v>
      </c>
      <c r="K1599" s="1"/>
      <c r="T1599">
        <v>0</v>
      </c>
      <c r="AC1599" s="2">
        <f t="shared" si="216"/>
        <v>3</v>
      </c>
      <c r="AD1599" s="2" t="str">
        <f t="shared" si="217"/>
        <v/>
      </c>
      <c r="AE1599" s="2" t="str">
        <f t="shared" si="218"/>
        <v/>
      </c>
      <c r="AF1599" s="2" t="str">
        <f t="shared" si="219"/>
        <v/>
      </c>
      <c r="AG1599" s="2" t="str">
        <f t="shared" si="220"/>
        <v/>
      </c>
      <c r="AH1599" s="4" t="str">
        <f t="shared" si="221"/>
        <v/>
      </c>
      <c r="AI1599" s="2" t="str">
        <f t="shared" si="222"/>
        <v/>
      </c>
      <c r="AJ1599" s="2" t="str">
        <f t="shared" si="223"/>
        <v/>
      </c>
      <c r="AK1599" s="2" t="str">
        <f t="shared" si="224"/>
        <v/>
      </c>
    </row>
    <row r="1600" spans="1:37" x14ac:dyDescent="0.25">
      <c r="A1600">
        <v>2673</v>
      </c>
      <c r="B1600" t="s">
        <v>1754</v>
      </c>
      <c r="C1600" t="s">
        <v>1577</v>
      </c>
      <c r="D1600" t="s">
        <v>1746</v>
      </c>
      <c r="E1600" t="s">
        <v>267</v>
      </c>
      <c r="F1600" t="s">
        <v>1747</v>
      </c>
      <c r="G1600" t="s">
        <v>269</v>
      </c>
      <c r="H1600" s="1">
        <v>44602.141087962962</v>
      </c>
      <c r="I1600" s="1">
        <v>44604.141087962962</v>
      </c>
      <c r="J1600" t="s">
        <v>44</v>
      </c>
      <c r="K1600" s="1"/>
      <c r="T1600">
        <v>0</v>
      </c>
      <c r="AC1600" s="2">
        <f t="shared" si="216"/>
        <v>2</v>
      </c>
      <c r="AD1600" s="2" t="str">
        <f t="shared" si="217"/>
        <v/>
      </c>
      <c r="AE1600" s="2" t="str">
        <f t="shared" si="218"/>
        <v/>
      </c>
      <c r="AF1600" s="2" t="str">
        <f t="shared" si="219"/>
        <v/>
      </c>
      <c r="AG1600" s="2" t="str">
        <f t="shared" si="220"/>
        <v/>
      </c>
      <c r="AH1600" s="4" t="str">
        <f t="shared" si="221"/>
        <v/>
      </c>
      <c r="AI1600" s="2" t="str">
        <f t="shared" si="222"/>
        <v/>
      </c>
      <c r="AJ1600" s="2" t="str">
        <f t="shared" si="223"/>
        <v/>
      </c>
      <c r="AK1600" s="2" t="str">
        <f t="shared" si="224"/>
        <v/>
      </c>
    </row>
    <row r="1601" spans="1:37" x14ac:dyDescent="0.25">
      <c r="A1601">
        <v>2550</v>
      </c>
      <c r="B1601" t="s">
        <v>1755</v>
      </c>
      <c r="C1601" t="s">
        <v>1577</v>
      </c>
      <c r="D1601" t="s">
        <v>1746</v>
      </c>
      <c r="E1601" t="s">
        <v>267</v>
      </c>
      <c r="F1601" t="s">
        <v>1747</v>
      </c>
      <c r="G1601" t="s">
        <v>269</v>
      </c>
      <c r="H1601" s="1">
        <v>45103.479166666664</v>
      </c>
      <c r="I1601" s="1">
        <v>45106.479166666664</v>
      </c>
      <c r="J1601" t="s">
        <v>32</v>
      </c>
      <c r="K1601" s="1">
        <v>45120.479166666664</v>
      </c>
      <c r="L1601" t="s">
        <v>39</v>
      </c>
      <c r="N1601" s="4">
        <v>45126.479166666664</v>
      </c>
      <c r="O1601" t="s">
        <v>39</v>
      </c>
      <c r="R1601" s="4">
        <v>45123.479166666664</v>
      </c>
      <c r="T1601">
        <v>0</v>
      </c>
      <c r="AC1601" s="2">
        <f t="shared" si="216"/>
        <v>3</v>
      </c>
      <c r="AD1601" s="2">
        <f t="shared" si="217"/>
        <v>17</v>
      </c>
      <c r="AE1601" s="2">
        <f t="shared" si="218"/>
        <v>14</v>
      </c>
      <c r="AF1601" s="2">
        <f t="shared" si="219"/>
        <v>20</v>
      </c>
      <c r="AG1601" s="2">
        <f t="shared" si="220"/>
        <v>3</v>
      </c>
      <c r="AH1601" s="4">
        <f t="shared" si="221"/>
        <v>45213.479166666664</v>
      </c>
      <c r="AI1601" s="2" t="str">
        <f t="shared" si="222"/>
        <v/>
      </c>
      <c r="AJ1601" s="2" t="str">
        <f t="shared" si="223"/>
        <v/>
      </c>
      <c r="AK1601" s="2" t="str">
        <f t="shared" si="224"/>
        <v/>
      </c>
    </row>
    <row r="1602" spans="1:37" x14ac:dyDescent="0.25">
      <c r="A1602">
        <v>2544</v>
      </c>
      <c r="B1602" t="s">
        <v>1756</v>
      </c>
      <c r="C1602" t="s">
        <v>1577</v>
      </c>
      <c r="D1602" t="s">
        <v>1746</v>
      </c>
      <c r="E1602" t="s">
        <v>267</v>
      </c>
      <c r="F1602" t="s">
        <v>1747</v>
      </c>
      <c r="G1602" t="s">
        <v>269</v>
      </c>
      <c r="H1602" s="1">
        <v>45105.479166666664</v>
      </c>
      <c r="I1602" s="1">
        <v>45106.479166666664</v>
      </c>
      <c r="J1602" t="s">
        <v>32</v>
      </c>
      <c r="K1602" s="1">
        <v>45128.479166666664</v>
      </c>
      <c r="L1602" t="s">
        <v>33</v>
      </c>
      <c r="M1602" t="s">
        <v>34</v>
      </c>
      <c r="R1602" s="4">
        <v>45129.479166666664</v>
      </c>
      <c r="T1602">
        <v>0</v>
      </c>
      <c r="Y1602" t="s">
        <v>35</v>
      </c>
      <c r="AC1602" s="2">
        <f t="shared" si="216"/>
        <v>1</v>
      </c>
      <c r="AD1602" s="2">
        <f t="shared" si="217"/>
        <v>23</v>
      </c>
      <c r="AE1602" s="2">
        <f t="shared" si="218"/>
        <v>22</v>
      </c>
      <c r="AF1602" s="2">
        <f t="shared" si="219"/>
        <v>24</v>
      </c>
      <c r="AG1602" s="2">
        <f t="shared" si="220"/>
        <v>1</v>
      </c>
      <c r="AH1602" s="4">
        <f t="shared" si="221"/>
        <v>45219.479166666664</v>
      </c>
      <c r="AI1602" s="2" t="str">
        <f t="shared" si="222"/>
        <v/>
      </c>
      <c r="AJ1602" s="2" t="str">
        <f t="shared" si="223"/>
        <v/>
      </c>
      <c r="AK1602" s="2" t="str">
        <f t="shared" si="224"/>
        <v/>
      </c>
    </row>
    <row r="1603" spans="1:37" x14ac:dyDescent="0.25">
      <c r="A1603">
        <v>2506</v>
      </c>
      <c r="B1603" t="s">
        <v>1757</v>
      </c>
      <c r="C1603" t="s">
        <v>1577</v>
      </c>
      <c r="D1603" t="s">
        <v>1746</v>
      </c>
      <c r="E1603" t="s">
        <v>267</v>
      </c>
      <c r="F1603" t="s">
        <v>1747</v>
      </c>
      <c r="G1603" t="s">
        <v>269</v>
      </c>
      <c r="H1603" s="1">
        <v>44737.776979166665</v>
      </c>
      <c r="I1603" s="1">
        <v>44739.776979166665</v>
      </c>
      <c r="J1603" t="s">
        <v>32</v>
      </c>
      <c r="K1603" s="1">
        <v>44758.776979166665</v>
      </c>
      <c r="L1603" t="s">
        <v>39</v>
      </c>
      <c r="N1603" s="4">
        <v>44762.776979166665</v>
      </c>
      <c r="O1603" t="s">
        <v>39</v>
      </c>
      <c r="R1603" s="4">
        <v>44761.776979166665</v>
      </c>
      <c r="T1603">
        <v>0</v>
      </c>
      <c r="AC1603" s="2">
        <f t="shared" ref="AC1603:AC1666" si="225">IF(AND(I1603&lt;&gt;"",H1603&lt;&gt;""), I1603-H1603, "")</f>
        <v>2</v>
      </c>
      <c r="AD1603" s="2">
        <f t="shared" ref="AD1603:AD1666" si="226">IF(AND(K1603&lt;&gt;"",H1603&lt;&gt;""), K1603-H1603, "")</f>
        <v>21</v>
      </c>
      <c r="AE1603" s="2">
        <f t="shared" ref="AE1603:AE1666" si="227">IF(AND(K1603&lt;&gt;"",I1603&lt;&gt;""), K1603-I1603, "")</f>
        <v>19</v>
      </c>
      <c r="AF1603" s="2">
        <f t="shared" ref="AF1603:AF1666" si="228">IF(AND(R1603&lt;&gt;"",H1603&lt;&gt;""), R1603-H1603, "")</f>
        <v>24</v>
      </c>
      <c r="AG1603" s="2">
        <f t="shared" ref="AG1603:AG1666" si="229">IF(AND(R1603&lt;&gt;"",K1603&lt;&gt;""), R1603-K1603, "")</f>
        <v>3</v>
      </c>
      <c r="AH1603" s="4">
        <f t="shared" ref="AH1603:AH1666" si="230">IF(R1603&lt;&gt;"", R1603+90, "")</f>
        <v>44851.776979166665</v>
      </c>
      <c r="AI1603" s="2" t="str">
        <f t="shared" ref="AI1603:AI1666" si="231">IF(AND(U1603&lt;&gt;"",S1603&lt;&gt;""), U1603-S1603, "")</f>
        <v/>
      </c>
      <c r="AJ1603" s="2" t="str">
        <f t="shared" ref="AJ1603:AJ1666" si="232">IF(AND(Z1603&lt;&gt;"",R1603&lt;&gt;""), Z1603-R1603, "")</f>
        <v/>
      </c>
      <c r="AK1603" s="2" t="str">
        <f t="shared" ref="AK1603:AK1666" si="233">IF(AND(W1603&lt;&gt;"",R1603&lt;&gt;""), W1603-R1603, "")</f>
        <v/>
      </c>
    </row>
    <row r="1604" spans="1:37" x14ac:dyDescent="0.25">
      <c r="A1604">
        <v>2503</v>
      </c>
      <c r="B1604" t="s">
        <v>1758</v>
      </c>
      <c r="C1604" t="s">
        <v>1577</v>
      </c>
      <c r="D1604" t="s">
        <v>1746</v>
      </c>
      <c r="E1604" t="s">
        <v>267</v>
      </c>
      <c r="F1604" t="s">
        <v>1747</v>
      </c>
      <c r="G1604" t="s">
        <v>269</v>
      </c>
      <c r="H1604" s="1">
        <v>44739.776979166665</v>
      </c>
      <c r="I1604" s="1">
        <v>44741.776979166665</v>
      </c>
      <c r="J1604" t="s">
        <v>32</v>
      </c>
      <c r="K1604" s="1">
        <v>44744.776979166665</v>
      </c>
      <c r="L1604" t="s">
        <v>57</v>
      </c>
      <c r="N1604" s="4">
        <v>44748.776979166665</v>
      </c>
      <c r="O1604" t="s">
        <v>57</v>
      </c>
      <c r="P1604" s="4">
        <v>44745.776979166665</v>
      </c>
      <c r="Q1604" s="4">
        <v>44748.776979166665</v>
      </c>
      <c r="R1604" s="4">
        <v>44745.776979166665</v>
      </c>
      <c r="S1604" s="4">
        <v>44750.776979166665</v>
      </c>
      <c r="T1604">
        <v>1</v>
      </c>
      <c r="U1604" s="4">
        <v>44751.776979166665</v>
      </c>
      <c r="V1604" s="4">
        <v>44754.776979166665</v>
      </c>
      <c r="W1604" s="4">
        <v>44755.776979166665</v>
      </c>
      <c r="Z1604" s="4">
        <v>44772.776979166665</v>
      </c>
      <c r="AC1604" s="2">
        <f t="shared" si="225"/>
        <v>2</v>
      </c>
      <c r="AD1604" s="2">
        <f t="shared" si="226"/>
        <v>5</v>
      </c>
      <c r="AE1604" s="2">
        <f t="shared" si="227"/>
        <v>3</v>
      </c>
      <c r="AF1604" s="2">
        <f t="shared" si="228"/>
        <v>6</v>
      </c>
      <c r="AG1604" s="2">
        <f t="shared" si="229"/>
        <v>1</v>
      </c>
      <c r="AH1604" s="4">
        <f t="shared" si="230"/>
        <v>44835.776979166665</v>
      </c>
      <c r="AI1604" s="2">
        <f t="shared" si="231"/>
        <v>1</v>
      </c>
      <c r="AJ1604" s="2">
        <f t="shared" si="232"/>
        <v>27</v>
      </c>
      <c r="AK1604" s="2">
        <f t="shared" si="233"/>
        <v>10</v>
      </c>
    </row>
    <row r="1605" spans="1:37" x14ac:dyDescent="0.25">
      <c r="A1605">
        <v>2502</v>
      </c>
      <c r="B1605" t="s">
        <v>1759</v>
      </c>
      <c r="C1605" t="s">
        <v>1577</v>
      </c>
      <c r="D1605" t="s">
        <v>1746</v>
      </c>
      <c r="E1605" t="s">
        <v>267</v>
      </c>
      <c r="F1605" t="s">
        <v>1747</v>
      </c>
      <c r="G1605" t="s">
        <v>269</v>
      </c>
      <c r="H1605" s="1">
        <v>44740.776979166665</v>
      </c>
      <c r="I1605" s="1">
        <v>44742.776979166665</v>
      </c>
      <c r="J1605" t="s">
        <v>32</v>
      </c>
      <c r="K1605" s="1">
        <v>44754.776979166665</v>
      </c>
      <c r="L1605" t="s">
        <v>33</v>
      </c>
      <c r="M1605" t="s">
        <v>51</v>
      </c>
      <c r="R1605" s="4">
        <v>44756.776979166665</v>
      </c>
      <c r="T1605">
        <v>0</v>
      </c>
      <c r="Y1605" t="s">
        <v>55</v>
      </c>
      <c r="AC1605" s="2">
        <f t="shared" si="225"/>
        <v>2</v>
      </c>
      <c r="AD1605" s="2">
        <f t="shared" si="226"/>
        <v>14</v>
      </c>
      <c r="AE1605" s="2">
        <f t="shared" si="227"/>
        <v>12</v>
      </c>
      <c r="AF1605" s="2">
        <f t="shared" si="228"/>
        <v>16</v>
      </c>
      <c r="AG1605" s="2">
        <f t="shared" si="229"/>
        <v>2</v>
      </c>
      <c r="AH1605" s="4">
        <f t="shared" si="230"/>
        <v>44846.776979166665</v>
      </c>
      <c r="AI1605" s="2" t="str">
        <f t="shared" si="231"/>
        <v/>
      </c>
      <c r="AJ1605" s="2" t="str">
        <f t="shared" si="232"/>
        <v/>
      </c>
      <c r="AK1605" s="2" t="str">
        <f t="shared" si="233"/>
        <v/>
      </c>
    </row>
    <row r="1606" spans="1:37" x14ac:dyDescent="0.25">
      <c r="A1606">
        <v>2480</v>
      </c>
      <c r="B1606" t="s">
        <v>1760</v>
      </c>
      <c r="C1606" t="s">
        <v>1577</v>
      </c>
      <c r="D1606" t="s">
        <v>1746</v>
      </c>
      <c r="E1606" t="s">
        <v>267</v>
      </c>
      <c r="F1606" t="s">
        <v>1747</v>
      </c>
      <c r="G1606" t="s">
        <v>269</v>
      </c>
      <c r="H1606" s="1">
        <v>44915.430844907409</v>
      </c>
      <c r="I1606" s="1">
        <v>44916.430844907409</v>
      </c>
      <c r="J1606" t="s">
        <v>32</v>
      </c>
      <c r="K1606" s="1">
        <v>44936.430844907409</v>
      </c>
      <c r="L1606" t="s">
        <v>39</v>
      </c>
      <c r="N1606" s="4">
        <v>44939.430844907409</v>
      </c>
      <c r="O1606" t="s">
        <v>39</v>
      </c>
      <c r="R1606" s="4">
        <v>44938.430844907409</v>
      </c>
      <c r="T1606">
        <v>0</v>
      </c>
      <c r="AC1606" s="2">
        <f t="shared" si="225"/>
        <v>1</v>
      </c>
      <c r="AD1606" s="2">
        <f t="shared" si="226"/>
        <v>21</v>
      </c>
      <c r="AE1606" s="2">
        <f t="shared" si="227"/>
        <v>20</v>
      </c>
      <c r="AF1606" s="2">
        <f t="shared" si="228"/>
        <v>23</v>
      </c>
      <c r="AG1606" s="2">
        <f t="shared" si="229"/>
        <v>2</v>
      </c>
      <c r="AH1606" s="4">
        <f t="shared" si="230"/>
        <v>45028.430844907409</v>
      </c>
      <c r="AI1606" s="2" t="str">
        <f t="shared" si="231"/>
        <v/>
      </c>
      <c r="AJ1606" s="2" t="str">
        <f t="shared" si="232"/>
        <v/>
      </c>
      <c r="AK1606" s="2" t="str">
        <f t="shared" si="233"/>
        <v/>
      </c>
    </row>
    <row r="1607" spans="1:37" x14ac:dyDescent="0.25">
      <c r="A1607">
        <v>2472</v>
      </c>
      <c r="B1607" t="s">
        <v>1761</v>
      </c>
      <c r="C1607" t="s">
        <v>1577</v>
      </c>
      <c r="D1607" t="s">
        <v>1746</v>
      </c>
      <c r="E1607" t="s">
        <v>267</v>
      </c>
      <c r="F1607" t="s">
        <v>1747</v>
      </c>
      <c r="G1607" t="s">
        <v>269</v>
      </c>
      <c r="H1607" s="1">
        <v>44914.430844907409</v>
      </c>
      <c r="I1607" s="1">
        <v>44916.430844907409</v>
      </c>
      <c r="J1607" t="s">
        <v>32</v>
      </c>
      <c r="K1607" s="1">
        <v>44922.430844907409</v>
      </c>
      <c r="L1607" t="s">
        <v>33</v>
      </c>
      <c r="M1607" t="s">
        <v>108</v>
      </c>
      <c r="R1607" s="4">
        <v>44926.430844907409</v>
      </c>
      <c r="T1607">
        <v>0</v>
      </c>
      <c r="Y1607" t="s">
        <v>55</v>
      </c>
      <c r="AC1607" s="2">
        <f t="shared" si="225"/>
        <v>2</v>
      </c>
      <c r="AD1607" s="2">
        <f t="shared" si="226"/>
        <v>8</v>
      </c>
      <c r="AE1607" s="2">
        <f t="shared" si="227"/>
        <v>6</v>
      </c>
      <c r="AF1607" s="2">
        <f t="shared" si="228"/>
        <v>12</v>
      </c>
      <c r="AG1607" s="2">
        <f t="shared" si="229"/>
        <v>4</v>
      </c>
      <c r="AH1607" s="4">
        <f t="shared" si="230"/>
        <v>45016.430844907409</v>
      </c>
      <c r="AI1607" s="2" t="str">
        <f t="shared" si="231"/>
        <v/>
      </c>
      <c r="AJ1607" s="2" t="str">
        <f t="shared" si="232"/>
        <v/>
      </c>
      <c r="AK1607" s="2" t="str">
        <f t="shared" si="233"/>
        <v/>
      </c>
    </row>
    <row r="1608" spans="1:37" x14ac:dyDescent="0.25">
      <c r="A1608">
        <v>2359</v>
      </c>
      <c r="B1608" t="s">
        <v>1762</v>
      </c>
      <c r="C1608" t="s">
        <v>1577</v>
      </c>
      <c r="D1608" t="s">
        <v>1746</v>
      </c>
      <c r="E1608" t="s">
        <v>267</v>
      </c>
      <c r="F1608" t="s">
        <v>1747</v>
      </c>
      <c r="G1608" t="s">
        <v>269</v>
      </c>
      <c r="H1608" s="1">
        <v>45023.526319444441</v>
      </c>
      <c r="I1608" s="1">
        <v>45026.526319444441</v>
      </c>
      <c r="J1608" t="s">
        <v>44</v>
      </c>
      <c r="K1608" s="1"/>
      <c r="T1608">
        <v>0</v>
      </c>
      <c r="AC1608" s="2">
        <f t="shared" si="225"/>
        <v>3</v>
      </c>
      <c r="AD1608" s="2" t="str">
        <f t="shared" si="226"/>
        <v/>
      </c>
      <c r="AE1608" s="2" t="str">
        <f t="shared" si="227"/>
        <v/>
      </c>
      <c r="AF1608" s="2" t="str">
        <f t="shared" si="228"/>
        <v/>
      </c>
      <c r="AG1608" s="2" t="str">
        <f t="shared" si="229"/>
        <v/>
      </c>
      <c r="AH1608" s="4" t="str">
        <f t="shared" si="230"/>
        <v/>
      </c>
      <c r="AI1608" s="2" t="str">
        <f t="shared" si="231"/>
        <v/>
      </c>
      <c r="AJ1608" s="2" t="str">
        <f t="shared" si="232"/>
        <v/>
      </c>
      <c r="AK1608" s="2" t="str">
        <f t="shared" si="233"/>
        <v/>
      </c>
    </row>
    <row r="1609" spans="1:37" x14ac:dyDescent="0.25">
      <c r="A1609">
        <v>2356</v>
      </c>
      <c r="B1609" t="s">
        <v>1763</v>
      </c>
      <c r="C1609" t="s">
        <v>1577</v>
      </c>
      <c r="D1609" t="s">
        <v>1746</v>
      </c>
      <c r="E1609" t="s">
        <v>267</v>
      </c>
      <c r="F1609" t="s">
        <v>1747</v>
      </c>
      <c r="G1609" t="s">
        <v>269</v>
      </c>
      <c r="H1609" s="1">
        <v>45028.526319444441</v>
      </c>
      <c r="I1609" s="1">
        <v>45031.526319444441</v>
      </c>
      <c r="J1609" t="s">
        <v>32</v>
      </c>
      <c r="K1609" s="1">
        <v>45038.526319444441</v>
      </c>
      <c r="L1609" t="s">
        <v>33</v>
      </c>
      <c r="M1609" t="s">
        <v>67</v>
      </c>
      <c r="T1609">
        <v>0</v>
      </c>
      <c r="Y1609" t="s">
        <v>55</v>
      </c>
      <c r="AC1609" s="2">
        <f t="shared" si="225"/>
        <v>3</v>
      </c>
      <c r="AD1609" s="2">
        <f t="shared" si="226"/>
        <v>10</v>
      </c>
      <c r="AE1609" s="2">
        <f t="shared" si="227"/>
        <v>7</v>
      </c>
      <c r="AF1609" s="2" t="str">
        <f t="shared" si="228"/>
        <v/>
      </c>
      <c r="AG1609" s="2" t="str">
        <f t="shared" si="229"/>
        <v/>
      </c>
      <c r="AH1609" s="4" t="str">
        <f t="shared" si="230"/>
        <v/>
      </c>
      <c r="AI1609" s="2" t="str">
        <f t="shared" si="231"/>
        <v/>
      </c>
      <c r="AJ1609" s="2" t="str">
        <f t="shared" si="232"/>
        <v/>
      </c>
      <c r="AK1609" s="2" t="str">
        <f t="shared" si="233"/>
        <v/>
      </c>
    </row>
    <row r="1610" spans="1:37" x14ac:dyDescent="0.25">
      <c r="A1610">
        <v>2330</v>
      </c>
      <c r="B1610" t="s">
        <v>1764</v>
      </c>
      <c r="C1610" t="s">
        <v>1577</v>
      </c>
      <c r="D1610" t="s">
        <v>1746</v>
      </c>
      <c r="E1610" t="s">
        <v>267</v>
      </c>
      <c r="F1610" t="s">
        <v>1747</v>
      </c>
      <c r="G1610" t="s">
        <v>269</v>
      </c>
      <c r="H1610" s="1">
        <v>44595.265613425923</v>
      </c>
      <c r="I1610" s="1">
        <v>44598.265613425923</v>
      </c>
      <c r="J1610" t="s">
        <v>32</v>
      </c>
      <c r="K1610" s="1">
        <v>44616.265613425923</v>
      </c>
      <c r="L1610" t="s">
        <v>39</v>
      </c>
      <c r="N1610" s="4">
        <v>44620.265613425923</v>
      </c>
      <c r="O1610" t="s">
        <v>39</v>
      </c>
      <c r="R1610" s="4">
        <v>44617.265613425923</v>
      </c>
      <c r="T1610">
        <v>0</v>
      </c>
      <c r="AC1610" s="2">
        <f t="shared" si="225"/>
        <v>3</v>
      </c>
      <c r="AD1610" s="2">
        <f t="shared" si="226"/>
        <v>21</v>
      </c>
      <c r="AE1610" s="2">
        <f t="shared" si="227"/>
        <v>18</v>
      </c>
      <c r="AF1610" s="2">
        <f t="shared" si="228"/>
        <v>22</v>
      </c>
      <c r="AG1610" s="2">
        <f t="shared" si="229"/>
        <v>1</v>
      </c>
      <c r="AH1610" s="4">
        <f t="shared" si="230"/>
        <v>44707.265613425923</v>
      </c>
      <c r="AI1610" s="2" t="str">
        <f t="shared" si="231"/>
        <v/>
      </c>
      <c r="AJ1610" s="2" t="str">
        <f t="shared" si="232"/>
        <v/>
      </c>
      <c r="AK1610" s="2" t="str">
        <f t="shared" si="233"/>
        <v/>
      </c>
    </row>
    <row r="1611" spans="1:37" x14ac:dyDescent="0.25">
      <c r="A1611">
        <v>2308</v>
      </c>
      <c r="B1611" t="s">
        <v>1765</v>
      </c>
      <c r="C1611" t="s">
        <v>1577</v>
      </c>
      <c r="D1611" t="s">
        <v>1746</v>
      </c>
      <c r="E1611" t="s">
        <v>267</v>
      </c>
      <c r="F1611" t="s">
        <v>1747</v>
      </c>
      <c r="G1611" t="s">
        <v>269</v>
      </c>
      <c r="H1611" s="1">
        <v>45099.08085648148</v>
      </c>
      <c r="I1611" s="1">
        <v>45102.08085648148</v>
      </c>
      <c r="J1611" t="s">
        <v>32</v>
      </c>
      <c r="K1611" s="1">
        <v>45117.08085648148</v>
      </c>
      <c r="L1611" t="s">
        <v>33</v>
      </c>
      <c r="M1611" t="s">
        <v>92</v>
      </c>
      <c r="R1611" s="4">
        <v>45119.08085648148</v>
      </c>
      <c r="T1611">
        <v>0</v>
      </c>
      <c r="Y1611" t="s">
        <v>35</v>
      </c>
      <c r="AC1611" s="2">
        <f t="shared" si="225"/>
        <v>3</v>
      </c>
      <c r="AD1611" s="2">
        <f t="shared" si="226"/>
        <v>18</v>
      </c>
      <c r="AE1611" s="2">
        <f t="shared" si="227"/>
        <v>15</v>
      </c>
      <c r="AF1611" s="2">
        <f t="shared" si="228"/>
        <v>20</v>
      </c>
      <c r="AG1611" s="2">
        <f t="shared" si="229"/>
        <v>2</v>
      </c>
      <c r="AH1611" s="4">
        <f t="shared" si="230"/>
        <v>45209.08085648148</v>
      </c>
      <c r="AI1611" s="2" t="str">
        <f t="shared" si="231"/>
        <v/>
      </c>
      <c r="AJ1611" s="2" t="str">
        <f t="shared" si="232"/>
        <v/>
      </c>
      <c r="AK1611" s="2" t="str">
        <f t="shared" si="233"/>
        <v/>
      </c>
    </row>
    <row r="1612" spans="1:37" x14ac:dyDescent="0.25">
      <c r="A1612">
        <v>2279</v>
      </c>
      <c r="B1612" t="s">
        <v>1766</v>
      </c>
      <c r="C1612" t="s">
        <v>1577</v>
      </c>
      <c r="D1612" t="s">
        <v>1746</v>
      </c>
      <c r="E1612" t="s">
        <v>267</v>
      </c>
      <c r="F1612" t="s">
        <v>1747</v>
      </c>
      <c r="G1612" t="s">
        <v>269</v>
      </c>
      <c r="H1612" s="1">
        <v>45164.90388888889</v>
      </c>
      <c r="I1612" s="1">
        <v>45167.90388888889</v>
      </c>
      <c r="J1612" t="s">
        <v>44</v>
      </c>
      <c r="K1612" s="1"/>
      <c r="T1612">
        <v>0</v>
      </c>
      <c r="AC1612" s="2">
        <f t="shared" si="225"/>
        <v>3</v>
      </c>
      <c r="AD1612" s="2" t="str">
        <f t="shared" si="226"/>
        <v/>
      </c>
      <c r="AE1612" s="2" t="str">
        <f t="shared" si="227"/>
        <v/>
      </c>
      <c r="AF1612" s="2" t="str">
        <f t="shared" si="228"/>
        <v/>
      </c>
      <c r="AG1612" s="2" t="str">
        <f t="shared" si="229"/>
        <v/>
      </c>
      <c r="AH1612" s="4" t="str">
        <f t="shared" si="230"/>
        <v/>
      </c>
      <c r="AI1612" s="2" t="str">
        <f t="shared" si="231"/>
        <v/>
      </c>
      <c r="AJ1612" s="2" t="str">
        <f t="shared" si="232"/>
        <v/>
      </c>
      <c r="AK1612" s="2" t="str">
        <f t="shared" si="233"/>
        <v/>
      </c>
    </row>
    <row r="1613" spans="1:37" x14ac:dyDescent="0.25">
      <c r="A1613">
        <v>2230</v>
      </c>
      <c r="B1613" t="s">
        <v>1767</v>
      </c>
      <c r="C1613" t="s">
        <v>1577</v>
      </c>
      <c r="D1613" t="s">
        <v>1746</v>
      </c>
      <c r="E1613" t="s">
        <v>267</v>
      </c>
      <c r="F1613" t="s">
        <v>1747</v>
      </c>
      <c r="G1613" t="s">
        <v>269</v>
      </c>
      <c r="H1613" s="1">
        <v>45154.534872685188</v>
      </c>
      <c r="I1613" s="1">
        <v>45156.534872685188</v>
      </c>
      <c r="J1613" t="s">
        <v>32</v>
      </c>
      <c r="K1613" s="1">
        <v>45169.534872685188</v>
      </c>
      <c r="L1613" t="s">
        <v>164</v>
      </c>
      <c r="N1613" s="4">
        <v>45172.534872685188</v>
      </c>
      <c r="O1613" t="s">
        <v>164</v>
      </c>
      <c r="R1613" s="4">
        <v>45170.534872685188</v>
      </c>
      <c r="T1613">
        <v>0</v>
      </c>
      <c r="AC1613" s="2">
        <f t="shared" si="225"/>
        <v>2</v>
      </c>
      <c r="AD1613" s="2">
        <f t="shared" si="226"/>
        <v>15</v>
      </c>
      <c r="AE1613" s="2">
        <f t="shared" si="227"/>
        <v>13</v>
      </c>
      <c r="AF1613" s="2">
        <f t="shared" si="228"/>
        <v>16</v>
      </c>
      <c r="AG1613" s="2">
        <f t="shared" si="229"/>
        <v>1</v>
      </c>
      <c r="AH1613" s="4">
        <f t="shared" si="230"/>
        <v>45260.534872685188</v>
      </c>
      <c r="AI1613" s="2" t="str">
        <f t="shared" si="231"/>
        <v/>
      </c>
      <c r="AJ1613" s="2" t="str">
        <f t="shared" si="232"/>
        <v/>
      </c>
      <c r="AK1613" s="2" t="str">
        <f t="shared" si="233"/>
        <v/>
      </c>
    </row>
    <row r="1614" spans="1:37" x14ac:dyDescent="0.25">
      <c r="A1614">
        <v>2226</v>
      </c>
      <c r="B1614" t="s">
        <v>1768</v>
      </c>
      <c r="C1614" t="s">
        <v>1577</v>
      </c>
      <c r="D1614" t="s">
        <v>1746</v>
      </c>
      <c r="E1614" t="s">
        <v>267</v>
      </c>
      <c r="F1614" t="s">
        <v>1747</v>
      </c>
      <c r="G1614" t="s">
        <v>269</v>
      </c>
      <c r="H1614" s="1">
        <v>45156.534872685188</v>
      </c>
      <c r="I1614" s="1">
        <v>45158.534872685188</v>
      </c>
      <c r="J1614" t="s">
        <v>32</v>
      </c>
      <c r="K1614" s="1">
        <v>45171.534872685188</v>
      </c>
      <c r="L1614" t="s">
        <v>33</v>
      </c>
      <c r="M1614" t="s">
        <v>67</v>
      </c>
      <c r="T1614">
        <v>0</v>
      </c>
      <c r="Y1614" t="s">
        <v>35</v>
      </c>
      <c r="AC1614" s="2">
        <f t="shared" si="225"/>
        <v>2</v>
      </c>
      <c r="AD1614" s="2">
        <f t="shared" si="226"/>
        <v>15</v>
      </c>
      <c r="AE1614" s="2">
        <f t="shared" si="227"/>
        <v>13</v>
      </c>
      <c r="AF1614" s="2" t="str">
        <f t="shared" si="228"/>
        <v/>
      </c>
      <c r="AG1614" s="2" t="str">
        <f t="shared" si="229"/>
        <v/>
      </c>
      <c r="AH1614" s="4" t="str">
        <f t="shared" si="230"/>
        <v/>
      </c>
      <c r="AI1614" s="2" t="str">
        <f t="shared" si="231"/>
        <v/>
      </c>
      <c r="AJ1614" s="2" t="str">
        <f t="shared" si="232"/>
        <v/>
      </c>
      <c r="AK1614" s="2" t="str">
        <f t="shared" si="233"/>
        <v/>
      </c>
    </row>
    <row r="1615" spans="1:37" x14ac:dyDescent="0.25">
      <c r="A1615">
        <v>2222</v>
      </c>
      <c r="B1615" t="s">
        <v>1769</v>
      </c>
      <c r="C1615" t="s">
        <v>1577</v>
      </c>
      <c r="D1615" t="s">
        <v>1746</v>
      </c>
      <c r="E1615" t="s">
        <v>267</v>
      </c>
      <c r="F1615" t="s">
        <v>1747</v>
      </c>
      <c r="G1615" t="s">
        <v>269</v>
      </c>
      <c r="H1615" s="1">
        <v>45157.534872685188</v>
      </c>
      <c r="I1615" s="1">
        <v>45160.534872685188</v>
      </c>
      <c r="J1615" t="s">
        <v>32</v>
      </c>
      <c r="K1615" s="1">
        <v>45174.534872685188</v>
      </c>
      <c r="L1615" t="s">
        <v>39</v>
      </c>
      <c r="N1615" s="4">
        <v>45177.534872685188</v>
      </c>
      <c r="O1615" t="s">
        <v>39</v>
      </c>
      <c r="R1615" s="4">
        <v>45175.534872685188</v>
      </c>
      <c r="T1615">
        <v>0</v>
      </c>
      <c r="AC1615" s="2">
        <f t="shared" si="225"/>
        <v>3</v>
      </c>
      <c r="AD1615" s="2">
        <f t="shared" si="226"/>
        <v>17</v>
      </c>
      <c r="AE1615" s="2">
        <f t="shared" si="227"/>
        <v>14</v>
      </c>
      <c r="AF1615" s="2">
        <f t="shared" si="228"/>
        <v>18</v>
      </c>
      <c r="AG1615" s="2">
        <f t="shared" si="229"/>
        <v>1</v>
      </c>
      <c r="AH1615" s="4">
        <f t="shared" si="230"/>
        <v>45265.534872685188</v>
      </c>
      <c r="AI1615" s="2" t="str">
        <f t="shared" si="231"/>
        <v/>
      </c>
      <c r="AJ1615" s="2" t="str">
        <f t="shared" si="232"/>
        <v/>
      </c>
      <c r="AK1615" s="2" t="str">
        <f t="shared" si="233"/>
        <v/>
      </c>
    </row>
    <row r="1616" spans="1:37" x14ac:dyDescent="0.25">
      <c r="A1616">
        <v>2172</v>
      </c>
      <c r="B1616" t="s">
        <v>1770</v>
      </c>
      <c r="C1616" t="s">
        <v>1577</v>
      </c>
      <c r="D1616" t="s">
        <v>1746</v>
      </c>
      <c r="E1616" t="s">
        <v>267</v>
      </c>
      <c r="F1616" t="s">
        <v>1747</v>
      </c>
      <c r="G1616" t="s">
        <v>269</v>
      </c>
      <c r="H1616" s="1">
        <v>44750.601967592593</v>
      </c>
      <c r="I1616" s="1">
        <v>44753.601967592593</v>
      </c>
      <c r="J1616" t="s">
        <v>32</v>
      </c>
      <c r="K1616" s="1">
        <v>44766.601967592593</v>
      </c>
      <c r="L1616" t="s">
        <v>33</v>
      </c>
      <c r="M1616" t="s">
        <v>92</v>
      </c>
      <c r="T1616">
        <v>0</v>
      </c>
      <c r="Y1616" t="s">
        <v>35</v>
      </c>
      <c r="AC1616" s="2">
        <f t="shared" si="225"/>
        <v>3</v>
      </c>
      <c r="AD1616" s="2">
        <f t="shared" si="226"/>
        <v>16</v>
      </c>
      <c r="AE1616" s="2">
        <f t="shared" si="227"/>
        <v>13</v>
      </c>
      <c r="AF1616" s="2" t="str">
        <f t="shared" si="228"/>
        <v/>
      </c>
      <c r="AG1616" s="2" t="str">
        <f t="shared" si="229"/>
        <v/>
      </c>
      <c r="AH1616" s="4" t="str">
        <f t="shared" si="230"/>
        <v/>
      </c>
      <c r="AI1616" s="2" t="str">
        <f t="shared" si="231"/>
        <v/>
      </c>
      <c r="AJ1616" s="2" t="str">
        <f t="shared" si="232"/>
        <v/>
      </c>
      <c r="AK1616" s="2" t="str">
        <f t="shared" si="233"/>
        <v/>
      </c>
    </row>
    <row r="1617" spans="1:37" x14ac:dyDescent="0.25">
      <c r="A1617">
        <v>2156</v>
      </c>
      <c r="B1617" t="s">
        <v>1771</v>
      </c>
      <c r="C1617" t="s">
        <v>1577</v>
      </c>
      <c r="D1617" t="s">
        <v>1746</v>
      </c>
      <c r="E1617" t="s">
        <v>267</v>
      </c>
      <c r="F1617" t="s">
        <v>1747</v>
      </c>
      <c r="G1617" t="s">
        <v>269</v>
      </c>
      <c r="H1617" s="1">
        <v>45142.393807870372</v>
      </c>
      <c r="I1617" s="1">
        <v>45143.393807870372</v>
      </c>
      <c r="J1617" t="s">
        <v>32</v>
      </c>
      <c r="K1617" s="1">
        <v>45160.393807870372</v>
      </c>
      <c r="L1617" t="s">
        <v>33</v>
      </c>
      <c r="M1617" t="s">
        <v>67</v>
      </c>
      <c r="T1617">
        <v>0</v>
      </c>
      <c r="Y1617" t="s">
        <v>55</v>
      </c>
      <c r="AC1617" s="2">
        <f t="shared" si="225"/>
        <v>1</v>
      </c>
      <c r="AD1617" s="2">
        <f t="shared" si="226"/>
        <v>18</v>
      </c>
      <c r="AE1617" s="2">
        <f t="shared" si="227"/>
        <v>17</v>
      </c>
      <c r="AF1617" s="2" t="str">
        <f t="shared" si="228"/>
        <v/>
      </c>
      <c r="AG1617" s="2" t="str">
        <f t="shared" si="229"/>
        <v/>
      </c>
      <c r="AH1617" s="4" t="str">
        <f t="shared" si="230"/>
        <v/>
      </c>
      <c r="AI1617" s="2" t="str">
        <f t="shared" si="231"/>
        <v/>
      </c>
      <c r="AJ1617" s="2" t="str">
        <f t="shared" si="232"/>
        <v/>
      </c>
      <c r="AK1617" s="2" t="str">
        <f t="shared" si="233"/>
        <v/>
      </c>
    </row>
    <row r="1618" spans="1:37" x14ac:dyDescent="0.25">
      <c r="A1618">
        <v>2154</v>
      </c>
      <c r="B1618" t="s">
        <v>1772</v>
      </c>
      <c r="C1618" t="s">
        <v>1577</v>
      </c>
      <c r="D1618" t="s">
        <v>1746</v>
      </c>
      <c r="E1618" t="s">
        <v>267</v>
      </c>
      <c r="F1618" t="s">
        <v>1747</v>
      </c>
      <c r="G1618" t="s">
        <v>269</v>
      </c>
      <c r="H1618" s="1">
        <v>45143.393807870372</v>
      </c>
      <c r="I1618" s="1">
        <v>45146.393807870372</v>
      </c>
      <c r="J1618" t="s">
        <v>32</v>
      </c>
      <c r="K1618" s="1">
        <v>45151.393807870372</v>
      </c>
      <c r="L1618" t="s">
        <v>57</v>
      </c>
      <c r="N1618" s="4">
        <v>45155.393807870372</v>
      </c>
      <c r="O1618" t="s">
        <v>57</v>
      </c>
      <c r="P1618" s="4">
        <v>45153.393807870372</v>
      </c>
      <c r="Q1618" s="4">
        <v>45155.393807870372</v>
      </c>
      <c r="R1618" s="4">
        <v>45154.393807870372</v>
      </c>
      <c r="S1618" s="4">
        <v>45163.393807870372</v>
      </c>
      <c r="T1618">
        <v>1</v>
      </c>
      <c r="U1618" s="4">
        <v>45165.393807870372</v>
      </c>
      <c r="V1618" s="4">
        <v>45168.393807870372</v>
      </c>
      <c r="W1618" s="4">
        <v>45169.393807870372</v>
      </c>
      <c r="Z1618" s="4">
        <v>45180.393807870372</v>
      </c>
      <c r="AC1618" s="2">
        <f t="shared" si="225"/>
        <v>3</v>
      </c>
      <c r="AD1618" s="2">
        <f t="shared" si="226"/>
        <v>8</v>
      </c>
      <c r="AE1618" s="2">
        <f t="shared" si="227"/>
        <v>5</v>
      </c>
      <c r="AF1618" s="2">
        <f t="shared" si="228"/>
        <v>11</v>
      </c>
      <c r="AG1618" s="2">
        <f t="shared" si="229"/>
        <v>3</v>
      </c>
      <c r="AH1618" s="4">
        <f t="shared" si="230"/>
        <v>45244.393807870372</v>
      </c>
      <c r="AI1618" s="2">
        <f t="shared" si="231"/>
        <v>2</v>
      </c>
      <c r="AJ1618" s="2">
        <f t="shared" si="232"/>
        <v>26</v>
      </c>
      <c r="AK1618" s="2">
        <f t="shared" si="233"/>
        <v>15</v>
      </c>
    </row>
    <row r="1619" spans="1:37" x14ac:dyDescent="0.25">
      <c r="A1619">
        <v>2083</v>
      </c>
      <c r="B1619" t="s">
        <v>1773</v>
      </c>
      <c r="C1619" t="s">
        <v>1577</v>
      </c>
      <c r="D1619" t="s">
        <v>1746</v>
      </c>
      <c r="E1619" t="s">
        <v>267</v>
      </c>
      <c r="F1619" t="s">
        <v>1747</v>
      </c>
      <c r="G1619" t="s">
        <v>269</v>
      </c>
      <c r="H1619" s="1">
        <v>44837.879004629627</v>
      </c>
      <c r="I1619" s="1">
        <v>44840.879004629627</v>
      </c>
      <c r="J1619" t="s">
        <v>32</v>
      </c>
      <c r="K1619" s="1">
        <v>44845.879004629627</v>
      </c>
      <c r="L1619" t="s">
        <v>33</v>
      </c>
      <c r="M1619" t="s">
        <v>67</v>
      </c>
      <c r="R1619" s="4">
        <v>44848.879004629627</v>
      </c>
      <c r="T1619">
        <v>0</v>
      </c>
      <c r="Y1619" t="s">
        <v>55</v>
      </c>
      <c r="AC1619" s="2">
        <f t="shared" si="225"/>
        <v>3</v>
      </c>
      <c r="AD1619" s="2">
        <f t="shared" si="226"/>
        <v>8</v>
      </c>
      <c r="AE1619" s="2">
        <f t="shared" si="227"/>
        <v>5</v>
      </c>
      <c r="AF1619" s="2">
        <f t="shared" si="228"/>
        <v>11</v>
      </c>
      <c r="AG1619" s="2">
        <f t="shared" si="229"/>
        <v>3</v>
      </c>
      <c r="AH1619" s="4">
        <f t="shared" si="230"/>
        <v>44938.879004629627</v>
      </c>
      <c r="AI1619" s="2" t="str">
        <f t="shared" si="231"/>
        <v/>
      </c>
      <c r="AJ1619" s="2" t="str">
        <f t="shared" si="232"/>
        <v/>
      </c>
      <c r="AK1619" s="2" t="str">
        <f t="shared" si="233"/>
        <v/>
      </c>
    </row>
    <row r="1620" spans="1:37" x14ac:dyDescent="0.25">
      <c r="A1620">
        <v>2030</v>
      </c>
      <c r="B1620" t="s">
        <v>1774</v>
      </c>
      <c r="C1620" t="s">
        <v>1577</v>
      </c>
      <c r="D1620" t="s">
        <v>1746</v>
      </c>
      <c r="E1620" t="s">
        <v>267</v>
      </c>
      <c r="F1620" t="s">
        <v>1747</v>
      </c>
      <c r="G1620" t="s">
        <v>269</v>
      </c>
      <c r="H1620" s="1">
        <v>44783.679872685185</v>
      </c>
      <c r="I1620" s="1">
        <v>44787.679872685185</v>
      </c>
      <c r="J1620" t="s">
        <v>44</v>
      </c>
      <c r="K1620" s="1"/>
      <c r="T1620">
        <v>0</v>
      </c>
      <c r="AC1620" s="2">
        <f t="shared" si="225"/>
        <v>4</v>
      </c>
      <c r="AD1620" s="2" t="str">
        <f t="shared" si="226"/>
        <v/>
      </c>
      <c r="AE1620" s="2" t="str">
        <f t="shared" si="227"/>
        <v/>
      </c>
      <c r="AF1620" s="2" t="str">
        <f t="shared" si="228"/>
        <v/>
      </c>
      <c r="AG1620" s="2" t="str">
        <f t="shared" si="229"/>
        <v/>
      </c>
      <c r="AH1620" s="4" t="str">
        <f t="shared" si="230"/>
        <v/>
      </c>
      <c r="AI1620" s="2" t="str">
        <f t="shared" si="231"/>
        <v/>
      </c>
      <c r="AJ1620" s="2" t="str">
        <f t="shared" si="232"/>
        <v/>
      </c>
      <c r="AK1620" s="2" t="str">
        <f t="shared" si="233"/>
        <v/>
      </c>
    </row>
    <row r="1621" spans="1:37" x14ac:dyDescent="0.25">
      <c r="A1621">
        <v>2021</v>
      </c>
      <c r="B1621" t="s">
        <v>1775</v>
      </c>
      <c r="C1621" t="s">
        <v>1577</v>
      </c>
      <c r="D1621" t="s">
        <v>1746</v>
      </c>
      <c r="E1621" t="s">
        <v>267</v>
      </c>
      <c r="F1621" t="s">
        <v>1747</v>
      </c>
      <c r="G1621" t="s">
        <v>269</v>
      </c>
      <c r="H1621" s="1">
        <v>44785.679872685185</v>
      </c>
      <c r="I1621" s="1">
        <v>44788.679872685185</v>
      </c>
      <c r="J1621" t="s">
        <v>44</v>
      </c>
      <c r="K1621" s="1"/>
      <c r="T1621">
        <v>0</v>
      </c>
      <c r="AC1621" s="2">
        <f t="shared" si="225"/>
        <v>3</v>
      </c>
      <c r="AD1621" s="2" t="str">
        <f t="shared" si="226"/>
        <v/>
      </c>
      <c r="AE1621" s="2" t="str">
        <f t="shared" si="227"/>
        <v/>
      </c>
      <c r="AF1621" s="2" t="str">
        <f t="shared" si="228"/>
        <v/>
      </c>
      <c r="AG1621" s="2" t="str">
        <f t="shared" si="229"/>
        <v/>
      </c>
      <c r="AH1621" s="4" t="str">
        <f t="shared" si="230"/>
        <v/>
      </c>
      <c r="AI1621" s="2" t="str">
        <f t="shared" si="231"/>
        <v/>
      </c>
      <c r="AJ1621" s="2" t="str">
        <f t="shared" si="232"/>
        <v/>
      </c>
      <c r="AK1621" s="2" t="str">
        <f t="shared" si="233"/>
        <v/>
      </c>
    </row>
    <row r="1622" spans="1:37" x14ac:dyDescent="0.25">
      <c r="A1622">
        <v>1996</v>
      </c>
      <c r="B1622" t="s">
        <v>1776</v>
      </c>
      <c r="C1622" t="s">
        <v>1577</v>
      </c>
      <c r="D1622" t="s">
        <v>1746</v>
      </c>
      <c r="E1622" t="s">
        <v>267</v>
      </c>
      <c r="F1622" t="s">
        <v>1747</v>
      </c>
      <c r="G1622" t="s">
        <v>269</v>
      </c>
      <c r="H1622" s="1">
        <v>45015.653923611113</v>
      </c>
      <c r="I1622" s="1">
        <v>45018.653923611113</v>
      </c>
      <c r="J1622" t="s">
        <v>32</v>
      </c>
      <c r="K1622" s="1">
        <v>45026.653923611113</v>
      </c>
      <c r="L1622" t="s">
        <v>33</v>
      </c>
      <c r="M1622" t="s">
        <v>67</v>
      </c>
      <c r="R1622" s="4">
        <v>45029.653923611113</v>
      </c>
      <c r="T1622">
        <v>0</v>
      </c>
      <c r="Y1622" t="s">
        <v>35</v>
      </c>
      <c r="AC1622" s="2">
        <f t="shared" si="225"/>
        <v>3</v>
      </c>
      <c r="AD1622" s="2">
        <f t="shared" si="226"/>
        <v>11</v>
      </c>
      <c r="AE1622" s="2">
        <f t="shared" si="227"/>
        <v>8</v>
      </c>
      <c r="AF1622" s="2">
        <f t="shared" si="228"/>
        <v>14</v>
      </c>
      <c r="AG1622" s="2">
        <f t="shared" si="229"/>
        <v>3</v>
      </c>
      <c r="AH1622" s="4">
        <f t="shared" si="230"/>
        <v>45119.653923611113</v>
      </c>
      <c r="AI1622" s="2" t="str">
        <f t="shared" si="231"/>
        <v/>
      </c>
      <c r="AJ1622" s="2" t="str">
        <f t="shared" si="232"/>
        <v/>
      </c>
      <c r="AK1622" s="2" t="str">
        <f t="shared" si="233"/>
        <v/>
      </c>
    </row>
    <row r="1623" spans="1:37" x14ac:dyDescent="0.25">
      <c r="A1623">
        <v>1889</v>
      </c>
      <c r="B1623" t="s">
        <v>1777</v>
      </c>
      <c r="C1623" t="s">
        <v>1577</v>
      </c>
      <c r="D1623" t="s">
        <v>1746</v>
      </c>
      <c r="E1623" t="s">
        <v>267</v>
      </c>
      <c r="F1623" t="s">
        <v>1747</v>
      </c>
      <c r="G1623" t="s">
        <v>269</v>
      </c>
      <c r="H1623" s="1">
        <v>44841.425185185188</v>
      </c>
      <c r="I1623" s="1">
        <v>44844.425185185188</v>
      </c>
      <c r="J1623" t="s">
        <v>44</v>
      </c>
      <c r="K1623" s="1"/>
      <c r="T1623">
        <v>0</v>
      </c>
      <c r="AC1623" s="2">
        <f t="shared" si="225"/>
        <v>3</v>
      </c>
      <c r="AD1623" s="2" t="str">
        <f t="shared" si="226"/>
        <v/>
      </c>
      <c r="AE1623" s="2" t="str">
        <f t="shared" si="227"/>
        <v/>
      </c>
      <c r="AF1623" s="2" t="str">
        <f t="shared" si="228"/>
        <v/>
      </c>
      <c r="AG1623" s="2" t="str">
        <f t="shared" si="229"/>
        <v/>
      </c>
      <c r="AH1623" s="4" t="str">
        <f t="shared" si="230"/>
        <v/>
      </c>
      <c r="AI1623" s="2" t="str">
        <f t="shared" si="231"/>
        <v/>
      </c>
      <c r="AJ1623" s="2" t="str">
        <f t="shared" si="232"/>
        <v/>
      </c>
      <c r="AK1623" s="2" t="str">
        <f t="shared" si="233"/>
        <v/>
      </c>
    </row>
    <row r="1624" spans="1:37" x14ac:dyDescent="0.25">
      <c r="A1624">
        <v>1887</v>
      </c>
      <c r="B1624" t="s">
        <v>1778</v>
      </c>
      <c r="C1624" t="s">
        <v>1577</v>
      </c>
      <c r="D1624" t="s">
        <v>1746</v>
      </c>
      <c r="E1624" t="s">
        <v>267</v>
      </c>
      <c r="F1624" t="s">
        <v>1747</v>
      </c>
      <c r="G1624" t="s">
        <v>269</v>
      </c>
      <c r="H1624" s="1">
        <v>44841.425185185188</v>
      </c>
      <c r="I1624" s="1">
        <v>44844.425185185188</v>
      </c>
      <c r="J1624" t="s">
        <v>32</v>
      </c>
      <c r="K1624" s="1">
        <v>44856.425185185188</v>
      </c>
      <c r="L1624" t="s">
        <v>39</v>
      </c>
      <c r="N1624" s="4">
        <v>44863.425185185188</v>
      </c>
      <c r="O1624" t="s">
        <v>39</v>
      </c>
      <c r="R1624" s="4">
        <v>44859.425185185188</v>
      </c>
      <c r="T1624">
        <v>0</v>
      </c>
      <c r="AC1624" s="2">
        <f t="shared" si="225"/>
        <v>3</v>
      </c>
      <c r="AD1624" s="2">
        <f t="shared" si="226"/>
        <v>15</v>
      </c>
      <c r="AE1624" s="2">
        <f t="shared" si="227"/>
        <v>12</v>
      </c>
      <c r="AF1624" s="2">
        <f t="shared" si="228"/>
        <v>18</v>
      </c>
      <c r="AG1624" s="2">
        <f t="shared" si="229"/>
        <v>3</v>
      </c>
      <c r="AH1624" s="4">
        <f t="shared" si="230"/>
        <v>44949.425185185188</v>
      </c>
      <c r="AI1624" s="2" t="str">
        <f t="shared" si="231"/>
        <v/>
      </c>
      <c r="AJ1624" s="2" t="str">
        <f t="shared" si="232"/>
        <v/>
      </c>
      <c r="AK1624" s="2" t="str">
        <f t="shared" si="233"/>
        <v/>
      </c>
    </row>
    <row r="1625" spans="1:37" x14ac:dyDescent="0.25">
      <c r="A1625">
        <v>1886</v>
      </c>
      <c r="B1625" t="s">
        <v>1779</v>
      </c>
      <c r="C1625" t="s">
        <v>1577</v>
      </c>
      <c r="D1625" t="s">
        <v>1746</v>
      </c>
      <c r="E1625" t="s">
        <v>267</v>
      </c>
      <c r="F1625" t="s">
        <v>1747</v>
      </c>
      <c r="G1625" t="s">
        <v>269</v>
      </c>
      <c r="H1625" s="1">
        <v>44841.425185185188</v>
      </c>
      <c r="I1625" s="1">
        <v>44842.425185185188</v>
      </c>
      <c r="J1625" t="s">
        <v>32</v>
      </c>
      <c r="K1625" s="1">
        <v>44863.425185185188</v>
      </c>
      <c r="L1625" t="s">
        <v>33</v>
      </c>
      <c r="M1625" t="s">
        <v>34</v>
      </c>
      <c r="T1625">
        <v>0</v>
      </c>
      <c r="Y1625" t="s">
        <v>55</v>
      </c>
      <c r="AC1625" s="2">
        <f t="shared" si="225"/>
        <v>1</v>
      </c>
      <c r="AD1625" s="2">
        <f t="shared" si="226"/>
        <v>22</v>
      </c>
      <c r="AE1625" s="2">
        <f t="shared" si="227"/>
        <v>21</v>
      </c>
      <c r="AF1625" s="2" t="str">
        <f t="shared" si="228"/>
        <v/>
      </c>
      <c r="AG1625" s="2" t="str">
        <f t="shared" si="229"/>
        <v/>
      </c>
      <c r="AH1625" s="4" t="str">
        <f t="shared" si="230"/>
        <v/>
      </c>
      <c r="AI1625" s="2" t="str">
        <f t="shared" si="231"/>
        <v/>
      </c>
      <c r="AJ1625" s="2" t="str">
        <f t="shared" si="232"/>
        <v/>
      </c>
      <c r="AK1625" s="2" t="str">
        <f t="shared" si="233"/>
        <v/>
      </c>
    </row>
    <row r="1626" spans="1:37" x14ac:dyDescent="0.25">
      <c r="A1626">
        <v>1885</v>
      </c>
      <c r="B1626" t="s">
        <v>1780</v>
      </c>
      <c r="C1626" t="s">
        <v>1577</v>
      </c>
      <c r="D1626" t="s">
        <v>1746</v>
      </c>
      <c r="E1626" t="s">
        <v>267</v>
      </c>
      <c r="F1626" t="s">
        <v>1747</v>
      </c>
      <c r="G1626" t="s">
        <v>269</v>
      </c>
      <c r="H1626" s="1">
        <v>44843.425185185188</v>
      </c>
      <c r="I1626" s="1">
        <v>44845.425185185188</v>
      </c>
      <c r="J1626" t="s">
        <v>44</v>
      </c>
      <c r="K1626" s="1"/>
      <c r="T1626">
        <v>0</v>
      </c>
      <c r="AC1626" s="2">
        <f t="shared" si="225"/>
        <v>2</v>
      </c>
      <c r="AD1626" s="2" t="str">
        <f t="shared" si="226"/>
        <v/>
      </c>
      <c r="AE1626" s="2" t="str">
        <f t="shared" si="227"/>
        <v/>
      </c>
      <c r="AF1626" s="2" t="str">
        <f t="shared" si="228"/>
        <v/>
      </c>
      <c r="AG1626" s="2" t="str">
        <f t="shared" si="229"/>
        <v/>
      </c>
      <c r="AH1626" s="4" t="str">
        <f t="shared" si="230"/>
        <v/>
      </c>
      <c r="AI1626" s="2" t="str">
        <f t="shared" si="231"/>
        <v/>
      </c>
      <c r="AJ1626" s="2" t="str">
        <f t="shared" si="232"/>
        <v/>
      </c>
      <c r="AK1626" s="2" t="str">
        <f t="shared" si="233"/>
        <v/>
      </c>
    </row>
    <row r="1627" spans="1:37" x14ac:dyDescent="0.25">
      <c r="A1627">
        <v>1884</v>
      </c>
      <c r="B1627" t="s">
        <v>1781</v>
      </c>
      <c r="C1627" t="s">
        <v>1577</v>
      </c>
      <c r="D1627" t="s">
        <v>1746</v>
      </c>
      <c r="E1627" t="s">
        <v>267</v>
      </c>
      <c r="F1627" t="s">
        <v>1747</v>
      </c>
      <c r="G1627" t="s">
        <v>269</v>
      </c>
      <c r="H1627" s="1">
        <v>44845.425185185188</v>
      </c>
      <c r="I1627" s="1">
        <v>44847.425185185188</v>
      </c>
      <c r="J1627" t="s">
        <v>32</v>
      </c>
      <c r="K1627" s="1">
        <v>44855.425185185188</v>
      </c>
      <c r="L1627" t="s">
        <v>57</v>
      </c>
      <c r="N1627" s="4">
        <v>44860.425185185188</v>
      </c>
      <c r="O1627" t="s">
        <v>57</v>
      </c>
      <c r="P1627" s="4">
        <v>44856.425185185188</v>
      </c>
      <c r="Q1627" s="4">
        <v>44860.425185185188</v>
      </c>
      <c r="R1627" s="4">
        <v>44858.425185185188</v>
      </c>
      <c r="S1627" s="4">
        <v>44859.425185185188</v>
      </c>
      <c r="T1627">
        <v>1</v>
      </c>
      <c r="U1627" s="4">
        <v>44862.425185185188</v>
      </c>
      <c r="V1627" s="4">
        <v>44863.425185185188</v>
      </c>
      <c r="W1627" s="4">
        <v>44864.425185185188</v>
      </c>
      <c r="Z1627" s="4">
        <v>44874.425185185188</v>
      </c>
      <c r="AC1627" s="2">
        <f t="shared" si="225"/>
        <v>2</v>
      </c>
      <c r="AD1627" s="2">
        <f t="shared" si="226"/>
        <v>10</v>
      </c>
      <c r="AE1627" s="2">
        <f t="shared" si="227"/>
        <v>8</v>
      </c>
      <c r="AF1627" s="2">
        <f t="shared" si="228"/>
        <v>13</v>
      </c>
      <c r="AG1627" s="2">
        <f t="shared" si="229"/>
        <v>3</v>
      </c>
      <c r="AH1627" s="4">
        <f t="shared" si="230"/>
        <v>44948.425185185188</v>
      </c>
      <c r="AI1627" s="2">
        <f t="shared" si="231"/>
        <v>3</v>
      </c>
      <c r="AJ1627" s="2">
        <f t="shared" si="232"/>
        <v>16</v>
      </c>
      <c r="AK1627" s="2">
        <f t="shared" si="233"/>
        <v>6</v>
      </c>
    </row>
    <row r="1628" spans="1:37" x14ac:dyDescent="0.25">
      <c r="A1628">
        <v>1843</v>
      </c>
      <c r="B1628" t="s">
        <v>1782</v>
      </c>
      <c r="C1628" t="s">
        <v>1577</v>
      </c>
      <c r="D1628" t="s">
        <v>1746</v>
      </c>
      <c r="E1628" t="s">
        <v>267</v>
      </c>
      <c r="F1628" t="s">
        <v>1747</v>
      </c>
      <c r="G1628" t="s">
        <v>269</v>
      </c>
      <c r="H1628" s="1">
        <v>44609.970185185186</v>
      </c>
      <c r="I1628" s="1">
        <v>44613.970185185186</v>
      </c>
      <c r="J1628" t="s">
        <v>32</v>
      </c>
      <c r="K1628" s="1">
        <v>44627.970185185186</v>
      </c>
      <c r="L1628" t="s">
        <v>164</v>
      </c>
      <c r="N1628" s="4">
        <v>44632.970185185186</v>
      </c>
      <c r="O1628" t="s">
        <v>164</v>
      </c>
      <c r="R1628" s="4">
        <v>44628.970185185186</v>
      </c>
      <c r="T1628">
        <v>0</v>
      </c>
      <c r="AC1628" s="2">
        <f t="shared" si="225"/>
        <v>4</v>
      </c>
      <c r="AD1628" s="2">
        <f t="shared" si="226"/>
        <v>18</v>
      </c>
      <c r="AE1628" s="2">
        <f t="shared" si="227"/>
        <v>14</v>
      </c>
      <c r="AF1628" s="2">
        <f t="shared" si="228"/>
        <v>19</v>
      </c>
      <c r="AG1628" s="2">
        <f t="shared" si="229"/>
        <v>1</v>
      </c>
      <c r="AH1628" s="4">
        <f t="shared" si="230"/>
        <v>44718.970185185186</v>
      </c>
      <c r="AI1628" s="2" t="str">
        <f t="shared" si="231"/>
        <v/>
      </c>
      <c r="AJ1628" s="2" t="str">
        <f t="shared" si="232"/>
        <v/>
      </c>
      <c r="AK1628" s="2" t="str">
        <f t="shared" si="233"/>
        <v/>
      </c>
    </row>
    <row r="1629" spans="1:37" x14ac:dyDescent="0.25">
      <c r="A1629">
        <v>1842</v>
      </c>
      <c r="B1629" t="s">
        <v>1783</v>
      </c>
      <c r="C1629" t="s">
        <v>1577</v>
      </c>
      <c r="D1629" t="s">
        <v>1746</v>
      </c>
      <c r="E1629" t="s">
        <v>267</v>
      </c>
      <c r="F1629" t="s">
        <v>1747</v>
      </c>
      <c r="G1629" t="s">
        <v>269</v>
      </c>
      <c r="H1629" s="1">
        <v>44610.970185185186</v>
      </c>
      <c r="I1629" s="1">
        <v>44614.970185185186</v>
      </c>
      <c r="J1629" t="s">
        <v>32</v>
      </c>
      <c r="K1629" s="1">
        <v>44627.970185185186</v>
      </c>
      <c r="L1629" t="s">
        <v>33</v>
      </c>
      <c r="M1629" t="s">
        <v>92</v>
      </c>
      <c r="T1629">
        <v>0</v>
      </c>
      <c r="Y1629" t="s">
        <v>35</v>
      </c>
      <c r="AC1629" s="2">
        <f t="shared" si="225"/>
        <v>4</v>
      </c>
      <c r="AD1629" s="2">
        <f t="shared" si="226"/>
        <v>17</v>
      </c>
      <c r="AE1629" s="2">
        <f t="shared" si="227"/>
        <v>13</v>
      </c>
      <c r="AF1629" s="2" t="str">
        <f t="shared" si="228"/>
        <v/>
      </c>
      <c r="AG1629" s="2" t="str">
        <f t="shared" si="229"/>
        <v/>
      </c>
      <c r="AH1629" s="4" t="str">
        <f t="shared" si="230"/>
        <v/>
      </c>
      <c r="AI1629" s="2" t="str">
        <f t="shared" si="231"/>
        <v/>
      </c>
      <c r="AJ1629" s="2" t="str">
        <f t="shared" si="232"/>
        <v/>
      </c>
      <c r="AK1629" s="2" t="str">
        <f t="shared" si="233"/>
        <v/>
      </c>
    </row>
    <row r="1630" spans="1:37" x14ac:dyDescent="0.25">
      <c r="A1630">
        <v>1828</v>
      </c>
      <c r="B1630" t="s">
        <v>1784</v>
      </c>
      <c r="C1630" t="s">
        <v>1577</v>
      </c>
      <c r="D1630" t="s">
        <v>1746</v>
      </c>
      <c r="E1630" t="s">
        <v>267</v>
      </c>
      <c r="F1630" t="s">
        <v>1747</v>
      </c>
      <c r="G1630" t="s">
        <v>269</v>
      </c>
      <c r="H1630" s="1">
        <v>44662.459594907406</v>
      </c>
      <c r="I1630" s="1">
        <v>44664.459594907406</v>
      </c>
      <c r="J1630" t="s">
        <v>32</v>
      </c>
      <c r="K1630" s="1">
        <v>44683.459594907406</v>
      </c>
      <c r="L1630" t="s">
        <v>164</v>
      </c>
      <c r="N1630" s="4">
        <v>44689.459594907406</v>
      </c>
      <c r="O1630" t="s">
        <v>164</v>
      </c>
      <c r="R1630" s="4">
        <v>44685.459594907406</v>
      </c>
      <c r="T1630">
        <v>0</v>
      </c>
      <c r="AC1630" s="2">
        <f t="shared" si="225"/>
        <v>2</v>
      </c>
      <c r="AD1630" s="2">
        <f t="shared" si="226"/>
        <v>21</v>
      </c>
      <c r="AE1630" s="2">
        <f t="shared" si="227"/>
        <v>19</v>
      </c>
      <c r="AF1630" s="2">
        <f t="shared" si="228"/>
        <v>23</v>
      </c>
      <c r="AG1630" s="2">
        <f t="shared" si="229"/>
        <v>2</v>
      </c>
      <c r="AH1630" s="4">
        <f t="shared" si="230"/>
        <v>44775.459594907406</v>
      </c>
      <c r="AI1630" s="2" t="str">
        <f t="shared" si="231"/>
        <v/>
      </c>
      <c r="AJ1630" s="2" t="str">
        <f t="shared" si="232"/>
        <v/>
      </c>
      <c r="AK1630" s="2" t="str">
        <f t="shared" si="233"/>
        <v/>
      </c>
    </row>
    <row r="1631" spans="1:37" x14ac:dyDescent="0.25">
      <c r="A1631">
        <v>1827</v>
      </c>
      <c r="B1631" t="s">
        <v>1785</v>
      </c>
      <c r="C1631" t="s">
        <v>1577</v>
      </c>
      <c r="D1631" t="s">
        <v>1746</v>
      </c>
      <c r="E1631" t="s">
        <v>267</v>
      </c>
      <c r="F1631" t="s">
        <v>1747</v>
      </c>
      <c r="G1631" t="s">
        <v>269</v>
      </c>
      <c r="H1631" s="1">
        <v>44660.459594907406</v>
      </c>
      <c r="I1631" s="1">
        <v>44662.459594907406</v>
      </c>
      <c r="J1631" t="s">
        <v>32</v>
      </c>
      <c r="K1631" s="1">
        <v>44672.459594907406</v>
      </c>
      <c r="L1631" t="s">
        <v>57</v>
      </c>
      <c r="N1631" s="4">
        <v>44677.459594907406</v>
      </c>
      <c r="O1631" t="s">
        <v>57</v>
      </c>
      <c r="P1631" s="4">
        <v>44674.459594907406</v>
      </c>
      <c r="Q1631" s="4">
        <v>44677.459594907406</v>
      </c>
      <c r="R1631" s="4">
        <v>44673.459594907406</v>
      </c>
      <c r="S1631" s="4">
        <v>44681.459594907406</v>
      </c>
      <c r="T1631">
        <v>1</v>
      </c>
      <c r="U1631" s="4">
        <v>44685.459594907406</v>
      </c>
      <c r="V1631" s="4">
        <v>44687.459594907406</v>
      </c>
      <c r="W1631" s="4">
        <v>44688.459594907406</v>
      </c>
      <c r="Z1631" s="4">
        <v>44701.459594907406</v>
      </c>
      <c r="AC1631" s="2">
        <f t="shared" si="225"/>
        <v>2</v>
      </c>
      <c r="AD1631" s="2">
        <f t="shared" si="226"/>
        <v>12</v>
      </c>
      <c r="AE1631" s="2">
        <f t="shared" si="227"/>
        <v>10</v>
      </c>
      <c r="AF1631" s="2">
        <f t="shared" si="228"/>
        <v>13</v>
      </c>
      <c r="AG1631" s="2">
        <f t="shared" si="229"/>
        <v>1</v>
      </c>
      <c r="AH1631" s="4">
        <f t="shared" si="230"/>
        <v>44763.459594907406</v>
      </c>
      <c r="AI1631" s="2">
        <f t="shared" si="231"/>
        <v>4</v>
      </c>
      <c r="AJ1631" s="2">
        <f t="shared" si="232"/>
        <v>28</v>
      </c>
      <c r="AK1631" s="2">
        <f t="shared" si="233"/>
        <v>15</v>
      </c>
    </row>
    <row r="1632" spans="1:37" x14ac:dyDescent="0.25">
      <c r="A1632">
        <v>1825</v>
      </c>
      <c r="B1632" t="s">
        <v>1786</v>
      </c>
      <c r="C1632" t="s">
        <v>1577</v>
      </c>
      <c r="D1632" t="s">
        <v>1746</v>
      </c>
      <c r="E1632" t="s">
        <v>267</v>
      </c>
      <c r="F1632" t="s">
        <v>1747</v>
      </c>
      <c r="G1632" t="s">
        <v>269</v>
      </c>
      <c r="H1632" s="1">
        <v>44662.459594907406</v>
      </c>
      <c r="I1632" s="1">
        <v>44665.459594907406</v>
      </c>
      <c r="J1632" t="s">
        <v>32</v>
      </c>
      <c r="K1632" s="1">
        <v>44673.459594907406</v>
      </c>
      <c r="L1632" t="s">
        <v>33</v>
      </c>
      <c r="M1632" t="s">
        <v>51</v>
      </c>
      <c r="T1632">
        <v>0</v>
      </c>
      <c r="Y1632" t="s">
        <v>55</v>
      </c>
      <c r="AC1632" s="2">
        <f t="shared" si="225"/>
        <v>3</v>
      </c>
      <c r="AD1632" s="2">
        <f t="shared" si="226"/>
        <v>11</v>
      </c>
      <c r="AE1632" s="2">
        <f t="shared" si="227"/>
        <v>8</v>
      </c>
      <c r="AF1632" s="2" t="str">
        <f t="shared" si="228"/>
        <v/>
      </c>
      <c r="AG1632" s="2" t="str">
        <f t="shared" si="229"/>
        <v/>
      </c>
      <c r="AH1632" s="4" t="str">
        <f t="shared" si="230"/>
        <v/>
      </c>
      <c r="AI1632" s="2" t="str">
        <f t="shared" si="231"/>
        <v/>
      </c>
      <c r="AJ1632" s="2" t="str">
        <f t="shared" si="232"/>
        <v/>
      </c>
      <c r="AK1632" s="2" t="str">
        <f t="shared" si="233"/>
        <v/>
      </c>
    </row>
    <row r="1633" spans="1:37" x14ac:dyDescent="0.25">
      <c r="A1633">
        <v>1824</v>
      </c>
      <c r="B1633" t="s">
        <v>1787</v>
      </c>
      <c r="C1633" t="s">
        <v>1577</v>
      </c>
      <c r="D1633" t="s">
        <v>1746</v>
      </c>
      <c r="E1633" t="s">
        <v>267</v>
      </c>
      <c r="F1633" t="s">
        <v>1747</v>
      </c>
      <c r="G1633" t="s">
        <v>269</v>
      </c>
      <c r="H1633" s="1">
        <v>44663.459594907406</v>
      </c>
      <c r="I1633" s="1">
        <v>44666.459594907406</v>
      </c>
      <c r="J1633" t="s">
        <v>32</v>
      </c>
      <c r="K1633" s="1">
        <v>44673.459594907406</v>
      </c>
      <c r="L1633" t="s">
        <v>33</v>
      </c>
      <c r="M1633" t="s">
        <v>51</v>
      </c>
      <c r="T1633">
        <v>0</v>
      </c>
      <c r="Y1633" t="s">
        <v>55</v>
      </c>
      <c r="AC1633" s="2">
        <f t="shared" si="225"/>
        <v>3</v>
      </c>
      <c r="AD1633" s="2">
        <f t="shared" si="226"/>
        <v>10</v>
      </c>
      <c r="AE1633" s="2">
        <f t="shared" si="227"/>
        <v>7</v>
      </c>
      <c r="AF1633" s="2" t="str">
        <f t="shared" si="228"/>
        <v/>
      </c>
      <c r="AG1633" s="2" t="str">
        <f t="shared" si="229"/>
        <v/>
      </c>
      <c r="AH1633" s="4" t="str">
        <f t="shared" si="230"/>
        <v/>
      </c>
      <c r="AI1633" s="2" t="str">
        <f t="shared" si="231"/>
        <v/>
      </c>
      <c r="AJ1633" s="2" t="str">
        <f t="shared" si="232"/>
        <v/>
      </c>
      <c r="AK1633" s="2" t="str">
        <f t="shared" si="233"/>
        <v/>
      </c>
    </row>
    <row r="1634" spans="1:37" x14ac:dyDescent="0.25">
      <c r="A1634">
        <v>1755</v>
      </c>
      <c r="B1634" t="s">
        <v>1788</v>
      </c>
      <c r="C1634" t="s">
        <v>1577</v>
      </c>
      <c r="D1634" t="s">
        <v>1746</v>
      </c>
      <c r="E1634" t="s">
        <v>267</v>
      </c>
      <c r="F1634" t="s">
        <v>1747</v>
      </c>
      <c r="G1634" t="s">
        <v>269</v>
      </c>
      <c r="H1634" s="1">
        <v>44709.645821759259</v>
      </c>
      <c r="I1634" s="1">
        <v>44712.645821759259</v>
      </c>
      <c r="J1634" t="s">
        <v>32</v>
      </c>
      <c r="K1634" s="1">
        <v>44730.645821759259</v>
      </c>
      <c r="L1634" t="s">
        <v>33</v>
      </c>
      <c r="M1634" t="s">
        <v>34</v>
      </c>
      <c r="R1634" s="4">
        <v>44734.645821759259</v>
      </c>
      <c r="T1634">
        <v>0</v>
      </c>
      <c r="Y1634" t="s">
        <v>35</v>
      </c>
      <c r="AC1634" s="2">
        <f t="shared" si="225"/>
        <v>3</v>
      </c>
      <c r="AD1634" s="2">
        <f t="shared" si="226"/>
        <v>21</v>
      </c>
      <c r="AE1634" s="2">
        <f t="shared" si="227"/>
        <v>18</v>
      </c>
      <c r="AF1634" s="2">
        <f t="shared" si="228"/>
        <v>25</v>
      </c>
      <c r="AG1634" s="2">
        <f t="shared" si="229"/>
        <v>4</v>
      </c>
      <c r="AH1634" s="4">
        <f t="shared" si="230"/>
        <v>44824.645821759259</v>
      </c>
      <c r="AI1634" s="2" t="str">
        <f t="shared" si="231"/>
        <v/>
      </c>
      <c r="AJ1634" s="2" t="str">
        <f t="shared" si="232"/>
        <v/>
      </c>
      <c r="AK1634" s="2" t="str">
        <f t="shared" si="233"/>
        <v/>
      </c>
    </row>
    <row r="1635" spans="1:37" x14ac:dyDescent="0.25">
      <c r="A1635">
        <v>1753</v>
      </c>
      <c r="B1635" t="s">
        <v>1789</v>
      </c>
      <c r="C1635" t="s">
        <v>1577</v>
      </c>
      <c r="D1635" t="s">
        <v>1746</v>
      </c>
      <c r="E1635" t="s">
        <v>267</v>
      </c>
      <c r="F1635" t="s">
        <v>1747</v>
      </c>
      <c r="G1635" t="s">
        <v>269</v>
      </c>
      <c r="H1635" s="1">
        <v>44714.645821759259</v>
      </c>
      <c r="I1635" s="1">
        <v>44717.645821759259</v>
      </c>
      <c r="J1635" t="s">
        <v>32</v>
      </c>
      <c r="K1635" s="1">
        <v>44723.645821759259</v>
      </c>
      <c r="L1635" t="s">
        <v>33</v>
      </c>
      <c r="M1635" t="s">
        <v>67</v>
      </c>
      <c r="T1635">
        <v>0</v>
      </c>
      <c r="Y1635" t="s">
        <v>55</v>
      </c>
      <c r="AC1635" s="2">
        <f t="shared" si="225"/>
        <v>3</v>
      </c>
      <c r="AD1635" s="2">
        <f t="shared" si="226"/>
        <v>9</v>
      </c>
      <c r="AE1635" s="2">
        <f t="shared" si="227"/>
        <v>6</v>
      </c>
      <c r="AF1635" s="2" t="str">
        <f t="shared" si="228"/>
        <v/>
      </c>
      <c r="AG1635" s="2" t="str">
        <f t="shared" si="229"/>
        <v/>
      </c>
      <c r="AH1635" s="4" t="str">
        <f t="shared" si="230"/>
        <v/>
      </c>
      <c r="AI1635" s="2" t="str">
        <f t="shared" si="231"/>
        <v/>
      </c>
      <c r="AJ1635" s="2" t="str">
        <f t="shared" si="232"/>
        <v/>
      </c>
      <c r="AK1635" s="2" t="str">
        <f t="shared" si="233"/>
        <v/>
      </c>
    </row>
    <row r="1636" spans="1:37" x14ac:dyDescent="0.25">
      <c r="A1636">
        <v>1739</v>
      </c>
      <c r="B1636" t="s">
        <v>1790</v>
      </c>
      <c r="C1636" t="s">
        <v>1577</v>
      </c>
      <c r="D1636" t="s">
        <v>1746</v>
      </c>
      <c r="E1636" t="s">
        <v>267</v>
      </c>
      <c r="F1636" t="s">
        <v>1747</v>
      </c>
      <c r="G1636" t="s">
        <v>269</v>
      </c>
      <c r="H1636" s="1">
        <v>44562.634641203702</v>
      </c>
      <c r="I1636" s="1">
        <v>44564.634641203702</v>
      </c>
      <c r="J1636" t="s">
        <v>44</v>
      </c>
      <c r="K1636" s="1"/>
      <c r="T1636">
        <v>0</v>
      </c>
      <c r="AC1636" s="2">
        <f t="shared" si="225"/>
        <v>2</v>
      </c>
      <c r="AD1636" s="2" t="str">
        <f t="shared" si="226"/>
        <v/>
      </c>
      <c r="AE1636" s="2" t="str">
        <f t="shared" si="227"/>
        <v/>
      </c>
      <c r="AF1636" s="2" t="str">
        <f t="shared" si="228"/>
        <v/>
      </c>
      <c r="AG1636" s="2" t="str">
        <f t="shared" si="229"/>
        <v/>
      </c>
      <c r="AH1636" s="4" t="str">
        <f t="shared" si="230"/>
        <v/>
      </c>
      <c r="AI1636" s="2" t="str">
        <f t="shared" si="231"/>
        <v/>
      </c>
      <c r="AJ1636" s="2" t="str">
        <f t="shared" si="232"/>
        <v/>
      </c>
      <c r="AK1636" s="2" t="str">
        <f t="shared" si="233"/>
        <v/>
      </c>
    </row>
    <row r="1637" spans="1:37" x14ac:dyDescent="0.25">
      <c r="A1637">
        <v>1710</v>
      </c>
      <c r="B1637" t="s">
        <v>1791</v>
      </c>
      <c r="C1637" t="s">
        <v>1577</v>
      </c>
      <c r="D1637" t="s">
        <v>1746</v>
      </c>
      <c r="E1637" t="s">
        <v>267</v>
      </c>
      <c r="F1637" t="s">
        <v>1747</v>
      </c>
      <c r="G1637" t="s">
        <v>269</v>
      </c>
      <c r="H1637" s="1">
        <v>44985.751342592594</v>
      </c>
      <c r="I1637" s="1">
        <v>44988.751342592594</v>
      </c>
      <c r="J1637" t="s">
        <v>32</v>
      </c>
      <c r="K1637" s="1">
        <v>45002.751342592594</v>
      </c>
      <c r="L1637" t="s">
        <v>164</v>
      </c>
      <c r="N1637" s="4">
        <v>45008.751342592594</v>
      </c>
      <c r="O1637" t="s">
        <v>164</v>
      </c>
      <c r="R1637" s="4">
        <v>45004.751342592594</v>
      </c>
      <c r="T1637">
        <v>0</v>
      </c>
      <c r="AC1637" s="2">
        <f t="shared" si="225"/>
        <v>3</v>
      </c>
      <c r="AD1637" s="2">
        <f t="shared" si="226"/>
        <v>17</v>
      </c>
      <c r="AE1637" s="2">
        <f t="shared" si="227"/>
        <v>14</v>
      </c>
      <c r="AF1637" s="2">
        <f t="shared" si="228"/>
        <v>19</v>
      </c>
      <c r="AG1637" s="2">
        <f t="shared" si="229"/>
        <v>2</v>
      </c>
      <c r="AH1637" s="4">
        <f t="shared" si="230"/>
        <v>45094.751342592594</v>
      </c>
      <c r="AI1637" s="2" t="str">
        <f t="shared" si="231"/>
        <v/>
      </c>
      <c r="AJ1637" s="2" t="str">
        <f t="shared" si="232"/>
        <v/>
      </c>
      <c r="AK1637" s="2" t="str">
        <f t="shared" si="233"/>
        <v/>
      </c>
    </row>
    <row r="1638" spans="1:37" x14ac:dyDescent="0.25">
      <c r="A1638">
        <v>1676</v>
      </c>
      <c r="B1638" t="s">
        <v>1792</v>
      </c>
      <c r="C1638" t="s">
        <v>1577</v>
      </c>
      <c r="D1638" t="s">
        <v>1746</v>
      </c>
      <c r="E1638" t="s">
        <v>267</v>
      </c>
      <c r="F1638" t="s">
        <v>1747</v>
      </c>
      <c r="G1638" t="s">
        <v>269</v>
      </c>
      <c r="H1638" s="1">
        <v>44873.144270833334</v>
      </c>
      <c r="I1638" s="1">
        <v>44874.144270833334</v>
      </c>
      <c r="J1638" t="s">
        <v>32</v>
      </c>
      <c r="K1638" s="1">
        <v>44879.144270833334</v>
      </c>
      <c r="L1638" t="s">
        <v>33</v>
      </c>
      <c r="M1638" t="s">
        <v>67</v>
      </c>
      <c r="R1638" s="4">
        <v>44880.144270833334</v>
      </c>
      <c r="T1638">
        <v>0</v>
      </c>
      <c r="Y1638" t="s">
        <v>35</v>
      </c>
      <c r="AC1638" s="2">
        <f t="shared" si="225"/>
        <v>1</v>
      </c>
      <c r="AD1638" s="2">
        <f t="shared" si="226"/>
        <v>6</v>
      </c>
      <c r="AE1638" s="2">
        <f t="shared" si="227"/>
        <v>5</v>
      </c>
      <c r="AF1638" s="2">
        <f t="shared" si="228"/>
        <v>7</v>
      </c>
      <c r="AG1638" s="2">
        <f t="shared" si="229"/>
        <v>1</v>
      </c>
      <c r="AH1638" s="4">
        <f t="shared" si="230"/>
        <v>44970.144270833334</v>
      </c>
      <c r="AI1638" s="2" t="str">
        <f t="shared" si="231"/>
        <v/>
      </c>
      <c r="AJ1638" s="2" t="str">
        <f t="shared" si="232"/>
        <v/>
      </c>
      <c r="AK1638" s="2" t="str">
        <f t="shared" si="233"/>
        <v/>
      </c>
    </row>
    <row r="1639" spans="1:37" x14ac:dyDescent="0.25">
      <c r="A1639">
        <v>1673</v>
      </c>
      <c r="B1639" t="s">
        <v>1793</v>
      </c>
      <c r="C1639" t="s">
        <v>1577</v>
      </c>
      <c r="D1639" t="s">
        <v>1746</v>
      </c>
      <c r="E1639" t="s">
        <v>267</v>
      </c>
      <c r="F1639" t="s">
        <v>1747</v>
      </c>
      <c r="G1639" t="s">
        <v>269</v>
      </c>
      <c r="H1639" s="1">
        <v>44870.144270833334</v>
      </c>
      <c r="I1639" s="1">
        <v>44873.144270833334</v>
      </c>
      <c r="J1639" t="s">
        <v>32</v>
      </c>
      <c r="K1639" s="1">
        <v>44892.144270833334</v>
      </c>
      <c r="L1639" t="s">
        <v>164</v>
      </c>
      <c r="N1639" s="4">
        <v>44899.144270833334</v>
      </c>
      <c r="O1639" t="s">
        <v>164</v>
      </c>
      <c r="R1639" s="4">
        <v>44896.144270833334</v>
      </c>
      <c r="T1639">
        <v>0</v>
      </c>
      <c r="AC1639" s="2">
        <f t="shared" si="225"/>
        <v>3</v>
      </c>
      <c r="AD1639" s="2">
        <f t="shared" si="226"/>
        <v>22</v>
      </c>
      <c r="AE1639" s="2">
        <f t="shared" si="227"/>
        <v>19</v>
      </c>
      <c r="AF1639" s="2">
        <f t="shared" si="228"/>
        <v>26</v>
      </c>
      <c r="AG1639" s="2">
        <f t="shared" si="229"/>
        <v>4</v>
      </c>
      <c r="AH1639" s="4">
        <f t="shared" si="230"/>
        <v>44986.144270833334</v>
      </c>
      <c r="AI1639" s="2" t="str">
        <f t="shared" si="231"/>
        <v/>
      </c>
      <c r="AJ1639" s="2" t="str">
        <f t="shared" si="232"/>
        <v/>
      </c>
      <c r="AK1639" s="2" t="str">
        <f t="shared" si="233"/>
        <v/>
      </c>
    </row>
    <row r="1640" spans="1:37" x14ac:dyDescent="0.25">
      <c r="A1640">
        <v>1587</v>
      </c>
      <c r="B1640" t="s">
        <v>1794</v>
      </c>
      <c r="C1640" t="s">
        <v>1577</v>
      </c>
      <c r="D1640" t="s">
        <v>1746</v>
      </c>
      <c r="E1640" t="s">
        <v>267</v>
      </c>
      <c r="F1640" t="s">
        <v>1747</v>
      </c>
      <c r="G1640" t="s">
        <v>269</v>
      </c>
      <c r="H1640" s="1">
        <v>45186.840821759259</v>
      </c>
      <c r="I1640" s="1">
        <v>45187.840821759259</v>
      </c>
      <c r="J1640" t="s">
        <v>32</v>
      </c>
      <c r="K1640" s="1">
        <v>45192.840821759259</v>
      </c>
      <c r="L1640" t="s">
        <v>57</v>
      </c>
      <c r="N1640" s="4">
        <v>45197.840821759259</v>
      </c>
      <c r="O1640" t="s">
        <v>57</v>
      </c>
      <c r="P1640" s="4">
        <v>45193.840821759259</v>
      </c>
      <c r="Q1640" s="4">
        <v>45197.840821759259</v>
      </c>
      <c r="R1640" s="4">
        <v>45195.840821759259</v>
      </c>
      <c r="S1640" s="4">
        <v>45204.840821759259</v>
      </c>
      <c r="T1640">
        <v>1</v>
      </c>
      <c r="U1640" s="4">
        <v>45207.840821759259</v>
      </c>
      <c r="V1640" s="4">
        <v>45210.840821759259</v>
      </c>
      <c r="W1640" s="4">
        <v>45212.840821759259</v>
      </c>
      <c r="Z1640" s="4">
        <v>45226.840821759259</v>
      </c>
      <c r="AC1640" s="2">
        <f t="shared" si="225"/>
        <v>1</v>
      </c>
      <c r="AD1640" s="2">
        <f t="shared" si="226"/>
        <v>6</v>
      </c>
      <c r="AE1640" s="2">
        <f t="shared" si="227"/>
        <v>5</v>
      </c>
      <c r="AF1640" s="2">
        <f t="shared" si="228"/>
        <v>9</v>
      </c>
      <c r="AG1640" s="2">
        <f t="shared" si="229"/>
        <v>3</v>
      </c>
      <c r="AH1640" s="4">
        <f t="shared" si="230"/>
        <v>45285.840821759259</v>
      </c>
      <c r="AI1640" s="2">
        <f t="shared" si="231"/>
        <v>3</v>
      </c>
      <c r="AJ1640" s="2">
        <f t="shared" si="232"/>
        <v>31</v>
      </c>
      <c r="AK1640" s="2">
        <f t="shared" si="233"/>
        <v>17</v>
      </c>
    </row>
    <row r="1641" spans="1:37" x14ac:dyDescent="0.25">
      <c r="A1641">
        <v>1566</v>
      </c>
      <c r="B1641" t="s">
        <v>1795</v>
      </c>
      <c r="C1641" t="s">
        <v>1577</v>
      </c>
      <c r="D1641" t="s">
        <v>1746</v>
      </c>
      <c r="E1641" t="s">
        <v>267</v>
      </c>
      <c r="F1641" t="s">
        <v>1747</v>
      </c>
      <c r="G1641" t="s">
        <v>269</v>
      </c>
      <c r="H1641" s="1">
        <v>44638.490486111114</v>
      </c>
      <c r="I1641" s="1">
        <v>44641.490486111114</v>
      </c>
      <c r="J1641" t="s">
        <v>32</v>
      </c>
      <c r="K1641" s="1">
        <v>44652.490486111114</v>
      </c>
      <c r="L1641" t="s">
        <v>39</v>
      </c>
      <c r="N1641" s="4">
        <v>44657.490486111114</v>
      </c>
      <c r="O1641" t="s">
        <v>39</v>
      </c>
      <c r="R1641" s="4">
        <v>44654.490486111114</v>
      </c>
      <c r="T1641">
        <v>0</v>
      </c>
      <c r="AC1641" s="2">
        <f t="shared" si="225"/>
        <v>3</v>
      </c>
      <c r="AD1641" s="2">
        <f t="shared" si="226"/>
        <v>14</v>
      </c>
      <c r="AE1641" s="2">
        <f t="shared" si="227"/>
        <v>11</v>
      </c>
      <c r="AF1641" s="2">
        <f t="shared" si="228"/>
        <v>16</v>
      </c>
      <c r="AG1641" s="2">
        <f t="shared" si="229"/>
        <v>2</v>
      </c>
      <c r="AH1641" s="4">
        <f t="shared" si="230"/>
        <v>44744.490486111114</v>
      </c>
      <c r="AI1641" s="2" t="str">
        <f t="shared" si="231"/>
        <v/>
      </c>
      <c r="AJ1641" s="2" t="str">
        <f t="shared" si="232"/>
        <v/>
      </c>
      <c r="AK1641" s="2" t="str">
        <f t="shared" si="233"/>
        <v/>
      </c>
    </row>
    <row r="1642" spans="1:37" x14ac:dyDescent="0.25">
      <c r="A1642">
        <v>1565</v>
      </c>
      <c r="B1642" t="s">
        <v>1796</v>
      </c>
      <c r="C1642" t="s">
        <v>1577</v>
      </c>
      <c r="D1642" t="s">
        <v>1746</v>
      </c>
      <c r="E1642" t="s">
        <v>267</v>
      </c>
      <c r="F1642" t="s">
        <v>1747</v>
      </c>
      <c r="G1642" t="s">
        <v>269</v>
      </c>
      <c r="H1642" s="1">
        <v>44635.490486111114</v>
      </c>
      <c r="I1642" s="1">
        <v>44639.490486111114</v>
      </c>
      <c r="J1642" t="s">
        <v>32</v>
      </c>
      <c r="K1642" s="1">
        <v>44651.490486111114</v>
      </c>
      <c r="L1642" t="s">
        <v>164</v>
      </c>
      <c r="N1642" s="4">
        <v>44655.490486111114</v>
      </c>
      <c r="O1642" t="s">
        <v>164</v>
      </c>
      <c r="R1642" s="4">
        <v>44652.490486111114</v>
      </c>
      <c r="T1642">
        <v>0</v>
      </c>
      <c r="AC1642" s="2">
        <f t="shared" si="225"/>
        <v>4</v>
      </c>
      <c r="AD1642" s="2">
        <f t="shared" si="226"/>
        <v>16</v>
      </c>
      <c r="AE1642" s="2">
        <f t="shared" si="227"/>
        <v>12</v>
      </c>
      <c r="AF1642" s="2">
        <f t="shared" si="228"/>
        <v>17</v>
      </c>
      <c r="AG1642" s="2">
        <f t="shared" si="229"/>
        <v>1</v>
      </c>
      <c r="AH1642" s="4">
        <f t="shared" si="230"/>
        <v>44742.490486111114</v>
      </c>
      <c r="AI1642" s="2" t="str">
        <f t="shared" si="231"/>
        <v/>
      </c>
      <c r="AJ1642" s="2" t="str">
        <f t="shared" si="232"/>
        <v/>
      </c>
      <c r="AK1642" s="2" t="str">
        <f t="shared" si="233"/>
        <v/>
      </c>
    </row>
    <row r="1643" spans="1:37" x14ac:dyDescent="0.25">
      <c r="A1643">
        <v>1561</v>
      </c>
      <c r="B1643" t="s">
        <v>1797</v>
      </c>
      <c r="C1643" t="s">
        <v>1577</v>
      </c>
      <c r="D1643" t="s">
        <v>1746</v>
      </c>
      <c r="E1643" t="s">
        <v>267</v>
      </c>
      <c r="F1643" t="s">
        <v>1747</v>
      </c>
      <c r="G1643" t="s">
        <v>269</v>
      </c>
      <c r="H1643" s="1">
        <v>44640.490486111114</v>
      </c>
      <c r="I1643" s="1">
        <v>44641.490486111114</v>
      </c>
      <c r="J1643" t="s">
        <v>32</v>
      </c>
      <c r="K1643" s="1">
        <v>44656.490486111114</v>
      </c>
      <c r="L1643" t="s">
        <v>39</v>
      </c>
      <c r="N1643" s="4">
        <v>44663.490486111114</v>
      </c>
      <c r="O1643" t="s">
        <v>39</v>
      </c>
      <c r="R1643" s="4">
        <v>44660.490486111114</v>
      </c>
      <c r="T1643">
        <v>0</v>
      </c>
      <c r="AC1643" s="2">
        <f t="shared" si="225"/>
        <v>1</v>
      </c>
      <c r="AD1643" s="2">
        <f t="shared" si="226"/>
        <v>16</v>
      </c>
      <c r="AE1643" s="2">
        <f t="shared" si="227"/>
        <v>15</v>
      </c>
      <c r="AF1643" s="2">
        <f t="shared" si="228"/>
        <v>20</v>
      </c>
      <c r="AG1643" s="2">
        <f t="shared" si="229"/>
        <v>4</v>
      </c>
      <c r="AH1643" s="4">
        <f t="shared" si="230"/>
        <v>44750.490486111114</v>
      </c>
      <c r="AI1643" s="2" t="str">
        <f t="shared" si="231"/>
        <v/>
      </c>
      <c r="AJ1643" s="2" t="str">
        <f t="shared" si="232"/>
        <v/>
      </c>
      <c r="AK1643" s="2" t="str">
        <f t="shared" si="233"/>
        <v/>
      </c>
    </row>
    <row r="1644" spans="1:37" x14ac:dyDescent="0.25">
      <c r="A1644">
        <v>1541</v>
      </c>
      <c r="B1644" t="s">
        <v>1798</v>
      </c>
      <c r="C1644" t="s">
        <v>1577</v>
      </c>
      <c r="D1644" t="s">
        <v>1746</v>
      </c>
      <c r="E1644" t="s">
        <v>267</v>
      </c>
      <c r="F1644" t="s">
        <v>1747</v>
      </c>
      <c r="G1644" t="s">
        <v>269</v>
      </c>
      <c r="H1644" s="1">
        <v>45074.849814814814</v>
      </c>
      <c r="I1644" s="1">
        <v>45075.849814814814</v>
      </c>
      <c r="J1644" t="s">
        <v>44</v>
      </c>
      <c r="K1644" s="1"/>
      <c r="T1644">
        <v>0</v>
      </c>
      <c r="AC1644" s="2">
        <f t="shared" si="225"/>
        <v>1</v>
      </c>
      <c r="AD1644" s="2" t="str">
        <f t="shared" si="226"/>
        <v/>
      </c>
      <c r="AE1644" s="2" t="str">
        <f t="shared" si="227"/>
        <v/>
      </c>
      <c r="AF1644" s="2" t="str">
        <f t="shared" si="228"/>
        <v/>
      </c>
      <c r="AG1644" s="2" t="str">
        <f t="shared" si="229"/>
        <v/>
      </c>
      <c r="AH1644" s="4" t="str">
        <f t="shared" si="230"/>
        <v/>
      </c>
      <c r="AI1644" s="2" t="str">
        <f t="shared" si="231"/>
        <v/>
      </c>
      <c r="AJ1644" s="2" t="str">
        <f t="shared" si="232"/>
        <v/>
      </c>
      <c r="AK1644" s="2" t="str">
        <f t="shared" si="233"/>
        <v/>
      </c>
    </row>
    <row r="1645" spans="1:37" x14ac:dyDescent="0.25">
      <c r="A1645">
        <v>1530</v>
      </c>
      <c r="B1645" t="s">
        <v>1799</v>
      </c>
      <c r="C1645" t="s">
        <v>1577</v>
      </c>
      <c r="D1645" t="s">
        <v>1746</v>
      </c>
      <c r="E1645" t="s">
        <v>267</v>
      </c>
      <c r="F1645" t="s">
        <v>1747</v>
      </c>
      <c r="G1645" t="s">
        <v>269</v>
      </c>
      <c r="H1645" s="1">
        <v>44928.025208333333</v>
      </c>
      <c r="I1645" s="1">
        <v>44931.025208333333</v>
      </c>
      <c r="J1645" t="s">
        <v>32</v>
      </c>
      <c r="K1645" s="1">
        <v>44937.025208333333</v>
      </c>
      <c r="L1645" t="s">
        <v>39</v>
      </c>
      <c r="N1645" s="4">
        <v>44944.025208333333</v>
      </c>
      <c r="O1645" t="s">
        <v>39</v>
      </c>
      <c r="R1645" s="4">
        <v>44940.025208333333</v>
      </c>
      <c r="T1645">
        <v>0</v>
      </c>
      <c r="AC1645" s="2">
        <f t="shared" si="225"/>
        <v>3</v>
      </c>
      <c r="AD1645" s="2">
        <f t="shared" si="226"/>
        <v>9</v>
      </c>
      <c r="AE1645" s="2">
        <f t="shared" si="227"/>
        <v>6</v>
      </c>
      <c r="AF1645" s="2">
        <f t="shared" si="228"/>
        <v>12</v>
      </c>
      <c r="AG1645" s="2">
        <f t="shared" si="229"/>
        <v>3</v>
      </c>
      <c r="AH1645" s="4">
        <f t="shared" si="230"/>
        <v>45030.025208333333</v>
      </c>
      <c r="AI1645" s="2" t="str">
        <f t="shared" si="231"/>
        <v/>
      </c>
      <c r="AJ1645" s="2" t="str">
        <f t="shared" si="232"/>
        <v/>
      </c>
      <c r="AK1645" s="2" t="str">
        <f t="shared" si="233"/>
        <v/>
      </c>
    </row>
    <row r="1646" spans="1:37" x14ac:dyDescent="0.25">
      <c r="A1646">
        <v>1440</v>
      </c>
      <c r="B1646" t="s">
        <v>1800</v>
      </c>
      <c r="C1646" t="s">
        <v>1577</v>
      </c>
      <c r="D1646" t="s">
        <v>1746</v>
      </c>
      <c r="E1646" t="s">
        <v>267</v>
      </c>
      <c r="F1646" t="s">
        <v>1747</v>
      </c>
      <c r="G1646" t="s">
        <v>269</v>
      </c>
      <c r="H1646" s="1">
        <v>45083.936932870369</v>
      </c>
      <c r="I1646" s="1">
        <v>45087.936932870369</v>
      </c>
      <c r="J1646" t="s">
        <v>32</v>
      </c>
      <c r="K1646" s="1">
        <v>45099.936932870369</v>
      </c>
      <c r="L1646" t="s">
        <v>33</v>
      </c>
      <c r="M1646" t="s">
        <v>92</v>
      </c>
      <c r="R1646" s="4">
        <v>45101.936932870369</v>
      </c>
      <c r="T1646">
        <v>0</v>
      </c>
      <c r="Y1646" t="s">
        <v>35</v>
      </c>
      <c r="AC1646" s="2">
        <f t="shared" si="225"/>
        <v>4</v>
      </c>
      <c r="AD1646" s="2">
        <f t="shared" si="226"/>
        <v>16</v>
      </c>
      <c r="AE1646" s="2">
        <f t="shared" si="227"/>
        <v>12</v>
      </c>
      <c r="AF1646" s="2">
        <f t="shared" si="228"/>
        <v>18</v>
      </c>
      <c r="AG1646" s="2">
        <f t="shared" si="229"/>
        <v>2</v>
      </c>
      <c r="AH1646" s="4">
        <f t="shared" si="230"/>
        <v>45191.936932870369</v>
      </c>
      <c r="AI1646" s="2" t="str">
        <f t="shared" si="231"/>
        <v/>
      </c>
      <c r="AJ1646" s="2" t="str">
        <f t="shared" si="232"/>
        <v/>
      </c>
      <c r="AK1646" s="2" t="str">
        <f t="shared" si="233"/>
        <v/>
      </c>
    </row>
    <row r="1647" spans="1:37" x14ac:dyDescent="0.25">
      <c r="A1647">
        <v>1437</v>
      </c>
      <c r="B1647" t="s">
        <v>1801</v>
      </c>
      <c r="C1647" t="s">
        <v>1577</v>
      </c>
      <c r="D1647" t="s">
        <v>1746</v>
      </c>
      <c r="E1647" t="s">
        <v>267</v>
      </c>
      <c r="F1647" t="s">
        <v>1747</v>
      </c>
      <c r="G1647" t="s">
        <v>269</v>
      </c>
      <c r="H1647" s="1">
        <v>45085.936932870369</v>
      </c>
      <c r="I1647" s="1">
        <v>45089.936932870369</v>
      </c>
      <c r="J1647" t="s">
        <v>32</v>
      </c>
      <c r="K1647" s="1">
        <v>45096.936932870369</v>
      </c>
      <c r="L1647" t="s">
        <v>164</v>
      </c>
      <c r="N1647" s="4">
        <v>45103.936932870369</v>
      </c>
      <c r="O1647" t="s">
        <v>164</v>
      </c>
      <c r="R1647" s="4">
        <v>45100.936932870369</v>
      </c>
      <c r="T1647">
        <v>0</v>
      </c>
      <c r="AC1647" s="2">
        <f t="shared" si="225"/>
        <v>4</v>
      </c>
      <c r="AD1647" s="2">
        <f t="shared" si="226"/>
        <v>11</v>
      </c>
      <c r="AE1647" s="2">
        <f t="shared" si="227"/>
        <v>7</v>
      </c>
      <c r="AF1647" s="2">
        <f t="shared" si="228"/>
        <v>15</v>
      </c>
      <c r="AG1647" s="2">
        <f t="shared" si="229"/>
        <v>4</v>
      </c>
      <c r="AH1647" s="4">
        <f t="shared" si="230"/>
        <v>45190.936932870369</v>
      </c>
      <c r="AI1647" s="2" t="str">
        <f t="shared" si="231"/>
        <v/>
      </c>
      <c r="AJ1647" s="2" t="str">
        <f t="shared" si="232"/>
        <v/>
      </c>
      <c r="AK1647" s="2" t="str">
        <f t="shared" si="233"/>
        <v/>
      </c>
    </row>
    <row r="1648" spans="1:37" x14ac:dyDescent="0.25">
      <c r="A1648">
        <v>1432</v>
      </c>
      <c r="B1648" t="s">
        <v>1802</v>
      </c>
      <c r="C1648" t="s">
        <v>1577</v>
      </c>
      <c r="D1648" t="s">
        <v>1746</v>
      </c>
      <c r="E1648" t="s">
        <v>267</v>
      </c>
      <c r="F1648" t="s">
        <v>1747</v>
      </c>
      <c r="G1648" t="s">
        <v>269</v>
      </c>
      <c r="H1648" s="1">
        <v>45086.936932870369</v>
      </c>
      <c r="I1648" s="1">
        <v>45090.936932870369</v>
      </c>
      <c r="J1648" t="s">
        <v>32</v>
      </c>
      <c r="K1648" s="1">
        <v>45097.936932870369</v>
      </c>
      <c r="L1648" t="s">
        <v>33</v>
      </c>
      <c r="M1648" t="s">
        <v>34</v>
      </c>
      <c r="R1648" s="4">
        <v>45098.936932870369</v>
      </c>
      <c r="T1648">
        <v>0</v>
      </c>
      <c r="Y1648" t="s">
        <v>35</v>
      </c>
      <c r="AC1648" s="2">
        <f t="shared" si="225"/>
        <v>4</v>
      </c>
      <c r="AD1648" s="2">
        <f t="shared" si="226"/>
        <v>11</v>
      </c>
      <c r="AE1648" s="2">
        <f t="shared" si="227"/>
        <v>7</v>
      </c>
      <c r="AF1648" s="2">
        <f t="shared" si="228"/>
        <v>12</v>
      </c>
      <c r="AG1648" s="2">
        <f t="shared" si="229"/>
        <v>1</v>
      </c>
      <c r="AH1648" s="4">
        <f t="shared" si="230"/>
        <v>45188.936932870369</v>
      </c>
      <c r="AI1648" s="2" t="str">
        <f t="shared" si="231"/>
        <v/>
      </c>
      <c r="AJ1648" s="2" t="str">
        <f t="shared" si="232"/>
        <v/>
      </c>
      <c r="AK1648" s="2" t="str">
        <f t="shared" si="233"/>
        <v/>
      </c>
    </row>
    <row r="1649" spans="1:37" x14ac:dyDescent="0.25">
      <c r="A1649">
        <v>1399</v>
      </c>
      <c r="B1649" t="s">
        <v>1803</v>
      </c>
      <c r="C1649" t="s">
        <v>1577</v>
      </c>
      <c r="D1649" t="s">
        <v>1746</v>
      </c>
      <c r="E1649" t="s">
        <v>267</v>
      </c>
      <c r="F1649" t="s">
        <v>1747</v>
      </c>
      <c r="G1649" t="s">
        <v>269</v>
      </c>
      <c r="H1649" s="1">
        <v>44788.359849537039</v>
      </c>
      <c r="I1649" s="1">
        <v>44791.359849537039</v>
      </c>
      <c r="J1649" t="s">
        <v>32</v>
      </c>
      <c r="K1649" s="1">
        <v>44801.359849537039</v>
      </c>
      <c r="L1649" t="s">
        <v>57</v>
      </c>
      <c r="N1649" s="4">
        <v>44803.359849537039</v>
      </c>
      <c r="O1649" t="s">
        <v>57</v>
      </c>
      <c r="P1649" s="4">
        <v>44803.359849537039</v>
      </c>
      <c r="Q1649" s="4">
        <v>44804.359849537039</v>
      </c>
      <c r="R1649" s="4">
        <v>44802.359849537039</v>
      </c>
      <c r="S1649" s="4">
        <v>44811.359849537039</v>
      </c>
      <c r="T1649">
        <v>1</v>
      </c>
      <c r="U1649" s="4">
        <v>44812.359849537039</v>
      </c>
      <c r="V1649" s="4">
        <v>44813.359849537039</v>
      </c>
      <c r="W1649" s="4">
        <v>44815.359849537039</v>
      </c>
      <c r="Z1649" s="4">
        <v>44829.359849537039</v>
      </c>
      <c r="AC1649" s="2">
        <f t="shared" si="225"/>
        <v>3</v>
      </c>
      <c r="AD1649" s="2">
        <f t="shared" si="226"/>
        <v>13</v>
      </c>
      <c r="AE1649" s="2">
        <f t="shared" si="227"/>
        <v>10</v>
      </c>
      <c r="AF1649" s="2">
        <f t="shared" si="228"/>
        <v>14</v>
      </c>
      <c r="AG1649" s="2">
        <f t="shared" si="229"/>
        <v>1</v>
      </c>
      <c r="AH1649" s="4">
        <f t="shared" si="230"/>
        <v>44892.359849537039</v>
      </c>
      <c r="AI1649" s="2">
        <f t="shared" si="231"/>
        <v>1</v>
      </c>
      <c r="AJ1649" s="2">
        <f t="shared" si="232"/>
        <v>27</v>
      </c>
      <c r="AK1649" s="2">
        <f t="shared" si="233"/>
        <v>13</v>
      </c>
    </row>
    <row r="1650" spans="1:37" x14ac:dyDescent="0.25">
      <c r="A1650">
        <v>1397</v>
      </c>
      <c r="B1650" t="s">
        <v>1804</v>
      </c>
      <c r="C1650" t="s">
        <v>1577</v>
      </c>
      <c r="D1650" t="s">
        <v>1746</v>
      </c>
      <c r="E1650" t="s">
        <v>267</v>
      </c>
      <c r="F1650" t="s">
        <v>1747</v>
      </c>
      <c r="G1650" t="s">
        <v>269</v>
      </c>
      <c r="H1650" s="1">
        <v>44789.359849537039</v>
      </c>
      <c r="I1650" s="1">
        <v>44790.359849537039</v>
      </c>
      <c r="J1650" t="s">
        <v>32</v>
      </c>
      <c r="K1650" s="1">
        <v>44810.359849537039</v>
      </c>
      <c r="L1650" t="s">
        <v>57</v>
      </c>
      <c r="N1650" s="4">
        <v>44813.359849537039</v>
      </c>
      <c r="O1650" t="s">
        <v>57</v>
      </c>
      <c r="P1650" s="4">
        <v>44811.359849537039</v>
      </c>
      <c r="Q1650" s="4">
        <v>44815.359849537039</v>
      </c>
      <c r="R1650" s="4">
        <v>44812.359849537039</v>
      </c>
      <c r="S1650" s="4">
        <v>44818.359849537039</v>
      </c>
      <c r="T1650">
        <v>1</v>
      </c>
      <c r="U1650" s="4">
        <v>44822.359849537039</v>
      </c>
      <c r="V1650" s="4">
        <v>44825.359849537039</v>
      </c>
      <c r="W1650" s="4">
        <v>44828.359849537039</v>
      </c>
      <c r="Z1650" s="4">
        <v>44843.359849537039</v>
      </c>
      <c r="AC1650" s="2">
        <f t="shared" si="225"/>
        <v>1</v>
      </c>
      <c r="AD1650" s="2">
        <f t="shared" si="226"/>
        <v>21</v>
      </c>
      <c r="AE1650" s="2">
        <f t="shared" si="227"/>
        <v>20</v>
      </c>
      <c r="AF1650" s="2">
        <f t="shared" si="228"/>
        <v>23</v>
      </c>
      <c r="AG1650" s="2">
        <f t="shared" si="229"/>
        <v>2</v>
      </c>
      <c r="AH1650" s="4">
        <f t="shared" si="230"/>
        <v>44902.359849537039</v>
      </c>
      <c r="AI1650" s="2">
        <f t="shared" si="231"/>
        <v>4</v>
      </c>
      <c r="AJ1650" s="2">
        <f t="shared" si="232"/>
        <v>31</v>
      </c>
      <c r="AK1650" s="2">
        <f t="shared" si="233"/>
        <v>16</v>
      </c>
    </row>
    <row r="1651" spans="1:37" x14ac:dyDescent="0.25">
      <c r="A1651">
        <v>1394</v>
      </c>
      <c r="B1651" t="s">
        <v>1805</v>
      </c>
      <c r="C1651" t="s">
        <v>1577</v>
      </c>
      <c r="D1651" t="s">
        <v>1746</v>
      </c>
      <c r="E1651" t="s">
        <v>267</v>
      </c>
      <c r="F1651" t="s">
        <v>1747</v>
      </c>
      <c r="G1651" t="s">
        <v>269</v>
      </c>
      <c r="H1651" s="1">
        <v>44791.359849537039</v>
      </c>
      <c r="I1651" s="1">
        <v>44794.359849537039</v>
      </c>
      <c r="J1651" t="s">
        <v>32</v>
      </c>
      <c r="K1651" s="1">
        <v>44811.359849537039</v>
      </c>
      <c r="L1651" t="s">
        <v>57</v>
      </c>
      <c r="N1651" s="4">
        <v>44816.359849537039</v>
      </c>
      <c r="O1651" t="s">
        <v>57</v>
      </c>
      <c r="P1651" s="4">
        <v>44813.359849537039</v>
      </c>
      <c r="Q1651" s="4">
        <v>44815.359849537039</v>
      </c>
      <c r="R1651" s="4">
        <v>44812.359849537039</v>
      </c>
      <c r="S1651" s="4">
        <v>44813.359849537039</v>
      </c>
      <c r="T1651">
        <v>1</v>
      </c>
      <c r="U1651" s="4">
        <v>44816.359849537039</v>
      </c>
      <c r="V1651" s="4">
        <v>44819.359849537039</v>
      </c>
      <c r="W1651" s="4">
        <v>44820.359849537039</v>
      </c>
      <c r="Z1651" s="4">
        <v>44839.359849537039</v>
      </c>
      <c r="AC1651" s="2">
        <f t="shared" si="225"/>
        <v>3</v>
      </c>
      <c r="AD1651" s="2">
        <f t="shared" si="226"/>
        <v>20</v>
      </c>
      <c r="AE1651" s="2">
        <f t="shared" si="227"/>
        <v>17</v>
      </c>
      <c r="AF1651" s="2">
        <f t="shared" si="228"/>
        <v>21</v>
      </c>
      <c r="AG1651" s="2">
        <f t="shared" si="229"/>
        <v>1</v>
      </c>
      <c r="AH1651" s="4">
        <f t="shared" si="230"/>
        <v>44902.359849537039</v>
      </c>
      <c r="AI1651" s="2">
        <f t="shared" si="231"/>
        <v>3</v>
      </c>
      <c r="AJ1651" s="2">
        <f t="shared" si="232"/>
        <v>27</v>
      </c>
      <c r="AK1651" s="2">
        <f t="shared" si="233"/>
        <v>8</v>
      </c>
    </row>
    <row r="1652" spans="1:37" x14ac:dyDescent="0.25">
      <c r="A1652">
        <v>1393</v>
      </c>
      <c r="B1652" t="s">
        <v>1806</v>
      </c>
      <c r="C1652" t="s">
        <v>1577</v>
      </c>
      <c r="D1652" t="s">
        <v>1746</v>
      </c>
      <c r="E1652" t="s">
        <v>267</v>
      </c>
      <c r="F1652" t="s">
        <v>1747</v>
      </c>
      <c r="G1652" t="s">
        <v>269</v>
      </c>
      <c r="H1652" s="1">
        <v>44790.359849537039</v>
      </c>
      <c r="I1652" s="1">
        <v>44791.359849537039</v>
      </c>
      <c r="J1652" t="s">
        <v>32</v>
      </c>
      <c r="K1652" s="1">
        <v>44802.359849537039</v>
      </c>
      <c r="L1652" t="s">
        <v>57</v>
      </c>
      <c r="N1652" s="4">
        <v>44810.359849537039</v>
      </c>
      <c r="O1652" t="s">
        <v>57</v>
      </c>
      <c r="P1652" s="4">
        <v>44803.359849537039</v>
      </c>
      <c r="Q1652" s="4">
        <v>44807.359849537039</v>
      </c>
      <c r="R1652" s="4">
        <v>44806.359849537039</v>
      </c>
      <c r="S1652" s="4">
        <v>44808.359849537039</v>
      </c>
      <c r="T1652">
        <v>1</v>
      </c>
      <c r="U1652" s="4">
        <v>44812.359849537039</v>
      </c>
      <c r="V1652" s="4">
        <v>44814.359849537039</v>
      </c>
      <c r="W1652" s="4">
        <v>44816.359849537039</v>
      </c>
      <c r="Z1652" s="4">
        <v>44830.359849537039</v>
      </c>
      <c r="AC1652" s="2">
        <f t="shared" si="225"/>
        <v>1</v>
      </c>
      <c r="AD1652" s="2">
        <f t="shared" si="226"/>
        <v>12</v>
      </c>
      <c r="AE1652" s="2">
        <f t="shared" si="227"/>
        <v>11</v>
      </c>
      <c r="AF1652" s="2">
        <f t="shared" si="228"/>
        <v>16</v>
      </c>
      <c r="AG1652" s="2">
        <f t="shared" si="229"/>
        <v>4</v>
      </c>
      <c r="AH1652" s="4">
        <f t="shared" si="230"/>
        <v>44896.359849537039</v>
      </c>
      <c r="AI1652" s="2">
        <f t="shared" si="231"/>
        <v>4</v>
      </c>
      <c r="AJ1652" s="2">
        <f t="shared" si="232"/>
        <v>24</v>
      </c>
      <c r="AK1652" s="2">
        <f t="shared" si="233"/>
        <v>10</v>
      </c>
    </row>
    <row r="1653" spans="1:37" x14ac:dyDescent="0.25">
      <c r="A1653">
        <v>1339</v>
      </c>
      <c r="B1653" t="s">
        <v>1807</v>
      </c>
      <c r="C1653" t="s">
        <v>1577</v>
      </c>
      <c r="D1653" t="s">
        <v>1746</v>
      </c>
      <c r="E1653" t="s">
        <v>267</v>
      </c>
      <c r="F1653" t="s">
        <v>1747</v>
      </c>
      <c r="G1653" t="s">
        <v>269</v>
      </c>
      <c r="H1653" s="1">
        <v>45166.691018518519</v>
      </c>
      <c r="I1653" s="1">
        <v>45170.691018518519</v>
      </c>
      <c r="J1653" t="s">
        <v>44</v>
      </c>
      <c r="K1653" s="1"/>
      <c r="T1653">
        <v>0</v>
      </c>
      <c r="AC1653" s="2">
        <f t="shared" si="225"/>
        <v>4</v>
      </c>
      <c r="AD1653" s="2" t="str">
        <f t="shared" si="226"/>
        <v/>
      </c>
      <c r="AE1653" s="2" t="str">
        <f t="shared" si="227"/>
        <v/>
      </c>
      <c r="AF1653" s="2" t="str">
        <f t="shared" si="228"/>
        <v/>
      </c>
      <c r="AG1653" s="2" t="str">
        <f t="shared" si="229"/>
        <v/>
      </c>
      <c r="AH1653" s="4" t="str">
        <f t="shared" si="230"/>
        <v/>
      </c>
      <c r="AI1653" s="2" t="str">
        <f t="shared" si="231"/>
        <v/>
      </c>
      <c r="AJ1653" s="2" t="str">
        <f t="shared" si="232"/>
        <v/>
      </c>
      <c r="AK1653" s="2" t="str">
        <f t="shared" si="233"/>
        <v/>
      </c>
    </row>
    <row r="1654" spans="1:37" x14ac:dyDescent="0.25">
      <c r="A1654">
        <v>1338</v>
      </c>
      <c r="B1654" t="s">
        <v>1808</v>
      </c>
      <c r="C1654" t="s">
        <v>1577</v>
      </c>
      <c r="D1654" t="s">
        <v>1746</v>
      </c>
      <c r="E1654" t="s">
        <v>267</v>
      </c>
      <c r="F1654" t="s">
        <v>1747</v>
      </c>
      <c r="G1654" t="s">
        <v>269</v>
      </c>
      <c r="H1654" s="1">
        <v>45168.691018518519</v>
      </c>
      <c r="I1654" s="1">
        <v>45170.691018518519</v>
      </c>
      <c r="J1654" t="s">
        <v>32</v>
      </c>
      <c r="K1654" s="1">
        <v>45187.691018518519</v>
      </c>
      <c r="L1654" t="s">
        <v>39</v>
      </c>
      <c r="N1654" s="4">
        <v>45194.691018518519</v>
      </c>
      <c r="O1654" t="s">
        <v>39</v>
      </c>
      <c r="R1654" s="4">
        <v>45191.691018518519</v>
      </c>
      <c r="T1654">
        <v>0</v>
      </c>
      <c r="AC1654" s="2">
        <f t="shared" si="225"/>
        <v>2</v>
      </c>
      <c r="AD1654" s="2">
        <f t="shared" si="226"/>
        <v>19</v>
      </c>
      <c r="AE1654" s="2">
        <f t="shared" si="227"/>
        <v>17</v>
      </c>
      <c r="AF1654" s="2">
        <f t="shared" si="228"/>
        <v>23</v>
      </c>
      <c r="AG1654" s="2">
        <f t="shared" si="229"/>
        <v>4</v>
      </c>
      <c r="AH1654" s="4">
        <f t="shared" si="230"/>
        <v>45281.691018518519</v>
      </c>
      <c r="AI1654" s="2" t="str">
        <f t="shared" si="231"/>
        <v/>
      </c>
      <c r="AJ1654" s="2" t="str">
        <f t="shared" si="232"/>
        <v/>
      </c>
      <c r="AK1654" s="2" t="str">
        <f t="shared" si="233"/>
        <v/>
      </c>
    </row>
    <row r="1655" spans="1:37" x14ac:dyDescent="0.25">
      <c r="A1655">
        <v>1336</v>
      </c>
      <c r="B1655" t="s">
        <v>1809</v>
      </c>
      <c r="C1655" t="s">
        <v>1577</v>
      </c>
      <c r="D1655" t="s">
        <v>1746</v>
      </c>
      <c r="E1655" t="s">
        <v>267</v>
      </c>
      <c r="F1655" t="s">
        <v>1747</v>
      </c>
      <c r="G1655" t="s">
        <v>269</v>
      </c>
      <c r="H1655" s="1">
        <v>45169.691018518519</v>
      </c>
      <c r="I1655" s="1">
        <v>45173.691018518519</v>
      </c>
      <c r="J1655" t="s">
        <v>32</v>
      </c>
      <c r="K1655" s="1">
        <v>45183.691018518519</v>
      </c>
      <c r="L1655" t="s">
        <v>33</v>
      </c>
      <c r="M1655" t="s">
        <v>51</v>
      </c>
      <c r="R1655" s="4">
        <v>45184.691018518519</v>
      </c>
      <c r="T1655">
        <v>0</v>
      </c>
      <c r="Y1655" t="s">
        <v>55</v>
      </c>
      <c r="AC1655" s="2">
        <f t="shared" si="225"/>
        <v>4</v>
      </c>
      <c r="AD1655" s="2">
        <f t="shared" si="226"/>
        <v>14</v>
      </c>
      <c r="AE1655" s="2">
        <f t="shared" si="227"/>
        <v>10</v>
      </c>
      <c r="AF1655" s="2">
        <f t="shared" si="228"/>
        <v>15</v>
      </c>
      <c r="AG1655" s="2">
        <f t="shared" si="229"/>
        <v>1</v>
      </c>
      <c r="AH1655" s="4">
        <f t="shared" si="230"/>
        <v>45274.691018518519</v>
      </c>
      <c r="AI1655" s="2" t="str">
        <f t="shared" si="231"/>
        <v/>
      </c>
      <c r="AJ1655" s="2" t="str">
        <f t="shared" si="232"/>
        <v/>
      </c>
      <c r="AK1655" s="2" t="str">
        <f t="shared" si="233"/>
        <v/>
      </c>
    </row>
    <row r="1656" spans="1:37" x14ac:dyDescent="0.25">
      <c r="A1656">
        <v>1289</v>
      </c>
      <c r="B1656" t="s">
        <v>1810</v>
      </c>
      <c r="C1656" t="s">
        <v>1577</v>
      </c>
      <c r="D1656" t="s">
        <v>1746</v>
      </c>
      <c r="E1656" t="s">
        <v>267</v>
      </c>
      <c r="F1656" t="s">
        <v>1747</v>
      </c>
      <c r="G1656" t="s">
        <v>269</v>
      </c>
      <c r="H1656" s="1">
        <v>44643.736006944448</v>
      </c>
      <c r="I1656" s="1">
        <v>44646.736006944448</v>
      </c>
      <c r="J1656" t="s">
        <v>32</v>
      </c>
      <c r="K1656" s="1">
        <v>44660.736006944448</v>
      </c>
      <c r="L1656" t="s">
        <v>33</v>
      </c>
      <c r="M1656" t="s">
        <v>34</v>
      </c>
      <c r="T1656">
        <v>0</v>
      </c>
      <c r="Y1656" t="s">
        <v>55</v>
      </c>
      <c r="AC1656" s="2">
        <f t="shared" si="225"/>
        <v>3</v>
      </c>
      <c r="AD1656" s="2">
        <f t="shared" si="226"/>
        <v>17</v>
      </c>
      <c r="AE1656" s="2">
        <f t="shared" si="227"/>
        <v>14</v>
      </c>
      <c r="AF1656" s="2" t="str">
        <f t="shared" si="228"/>
        <v/>
      </c>
      <c r="AG1656" s="2" t="str">
        <f t="shared" si="229"/>
        <v/>
      </c>
      <c r="AH1656" s="4" t="str">
        <f t="shared" si="230"/>
        <v/>
      </c>
      <c r="AI1656" s="2" t="str">
        <f t="shared" si="231"/>
        <v/>
      </c>
      <c r="AJ1656" s="2" t="str">
        <f t="shared" si="232"/>
        <v/>
      </c>
      <c r="AK1656" s="2" t="str">
        <f t="shared" si="233"/>
        <v/>
      </c>
    </row>
    <row r="1657" spans="1:37" x14ac:dyDescent="0.25">
      <c r="A1657">
        <v>1284</v>
      </c>
      <c r="B1657" t="s">
        <v>1811</v>
      </c>
      <c r="C1657" t="s">
        <v>1577</v>
      </c>
      <c r="D1657" t="s">
        <v>1746</v>
      </c>
      <c r="E1657" t="s">
        <v>267</v>
      </c>
      <c r="F1657" t="s">
        <v>1747</v>
      </c>
      <c r="G1657" t="s">
        <v>269</v>
      </c>
      <c r="H1657" s="1">
        <v>44643.736006944448</v>
      </c>
      <c r="I1657" s="1">
        <v>44647.736006944448</v>
      </c>
      <c r="J1657" t="s">
        <v>32</v>
      </c>
      <c r="K1657" s="1">
        <v>44659.736006944448</v>
      </c>
      <c r="L1657" t="s">
        <v>57</v>
      </c>
      <c r="N1657" s="4">
        <v>44663.736006944448</v>
      </c>
      <c r="O1657" t="s">
        <v>57</v>
      </c>
      <c r="P1657" s="4">
        <v>44661.736006944448</v>
      </c>
      <c r="Q1657" s="4">
        <v>44665.736006944448</v>
      </c>
      <c r="R1657" s="4">
        <v>44661.736006944448</v>
      </c>
      <c r="S1657" s="4">
        <v>44668.736006944448</v>
      </c>
      <c r="T1657">
        <v>1</v>
      </c>
      <c r="U1657" s="4">
        <v>44672.736006944448</v>
      </c>
      <c r="V1657" s="4">
        <v>44673.736006944448</v>
      </c>
      <c r="W1657" s="4">
        <v>44674.736006944448</v>
      </c>
      <c r="Z1657" s="4">
        <v>44691.736006944448</v>
      </c>
      <c r="AC1657" s="2">
        <f t="shared" si="225"/>
        <v>4</v>
      </c>
      <c r="AD1657" s="2">
        <f t="shared" si="226"/>
        <v>16</v>
      </c>
      <c r="AE1657" s="2">
        <f t="shared" si="227"/>
        <v>12</v>
      </c>
      <c r="AF1657" s="2">
        <f t="shared" si="228"/>
        <v>18</v>
      </c>
      <c r="AG1657" s="2">
        <f t="shared" si="229"/>
        <v>2</v>
      </c>
      <c r="AH1657" s="4">
        <f t="shared" si="230"/>
        <v>44751.736006944448</v>
      </c>
      <c r="AI1657" s="2">
        <f t="shared" si="231"/>
        <v>4</v>
      </c>
      <c r="AJ1657" s="2">
        <f t="shared" si="232"/>
        <v>30</v>
      </c>
      <c r="AK1657" s="2">
        <f t="shared" si="233"/>
        <v>13</v>
      </c>
    </row>
    <row r="1658" spans="1:37" x14ac:dyDescent="0.25">
      <c r="A1658">
        <v>1281</v>
      </c>
      <c r="B1658" t="s">
        <v>1812</v>
      </c>
      <c r="C1658" t="s">
        <v>1577</v>
      </c>
      <c r="D1658" t="s">
        <v>1746</v>
      </c>
      <c r="E1658" t="s">
        <v>267</v>
      </c>
      <c r="F1658" t="s">
        <v>1747</v>
      </c>
      <c r="G1658" t="s">
        <v>269</v>
      </c>
      <c r="H1658" s="1">
        <v>44646.736006944448</v>
      </c>
      <c r="I1658" s="1">
        <v>44647.736006944448</v>
      </c>
      <c r="J1658" t="s">
        <v>32</v>
      </c>
      <c r="K1658" s="1">
        <v>44653.736006944448</v>
      </c>
      <c r="L1658" t="s">
        <v>57</v>
      </c>
      <c r="N1658" s="4">
        <v>44658.736006944448</v>
      </c>
      <c r="O1658" t="s">
        <v>57</v>
      </c>
      <c r="P1658" s="4">
        <v>44654.736006944448</v>
      </c>
      <c r="Q1658" s="4">
        <v>44657.736006944448</v>
      </c>
      <c r="R1658" s="4">
        <v>44656.736006944448</v>
      </c>
      <c r="S1658" s="4">
        <v>44663.736006944448</v>
      </c>
      <c r="T1658">
        <v>1</v>
      </c>
      <c r="U1658" s="4">
        <v>44664.736006944448</v>
      </c>
      <c r="V1658" s="4">
        <v>44666.736006944448</v>
      </c>
      <c r="W1658" s="4">
        <v>44668.736006944448</v>
      </c>
      <c r="Z1658" s="4">
        <v>44678.736006944448</v>
      </c>
      <c r="AC1658" s="2">
        <f t="shared" si="225"/>
        <v>1</v>
      </c>
      <c r="AD1658" s="2">
        <f t="shared" si="226"/>
        <v>7</v>
      </c>
      <c r="AE1658" s="2">
        <f t="shared" si="227"/>
        <v>6</v>
      </c>
      <c r="AF1658" s="2">
        <f t="shared" si="228"/>
        <v>10</v>
      </c>
      <c r="AG1658" s="2">
        <f t="shared" si="229"/>
        <v>3</v>
      </c>
      <c r="AH1658" s="4">
        <f t="shared" si="230"/>
        <v>44746.736006944448</v>
      </c>
      <c r="AI1658" s="2">
        <f t="shared" si="231"/>
        <v>1</v>
      </c>
      <c r="AJ1658" s="2">
        <f t="shared" si="232"/>
        <v>22</v>
      </c>
      <c r="AK1658" s="2">
        <f t="shared" si="233"/>
        <v>12</v>
      </c>
    </row>
    <row r="1659" spans="1:37" x14ac:dyDescent="0.25">
      <c r="A1659">
        <v>1267</v>
      </c>
      <c r="B1659" t="s">
        <v>1813</v>
      </c>
      <c r="C1659" t="s">
        <v>1577</v>
      </c>
      <c r="D1659" t="s">
        <v>1746</v>
      </c>
      <c r="E1659" t="s">
        <v>267</v>
      </c>
      <c r="F1659" t="s">
        <v>1747</v>
      </c>
      <c r="G1659" t="s">
        <v>269</v>
      </c>
      <c r="H1659" s="1">
        <v>44997.913287037038</v>
      </c>
      <c r="I1659" s="1">
        <v>45001.913287037038</v>
      </c>
      <c r="J1659" t="s">
        <v>32</v>
      </c>
      <c r="K1659" s="1">
        <v>45018.913287037038</v>
      </c>
      <c r="L1659" t="s">
        <v>57</v>
      </c>
      <c r="N1659" s="4">
        <v>45024.913287037038</v>
      </c>
      <c r="O1659" t="s">
        <v>57</v>
      </c>
      <c r="P1659" s="4">
        <v>45019.913287037038</v>
      </c>
      <c r="Q1659" s="4">
        <v>45023.913287037038</v>
      </c>
      <c r="R1659" s="4">
        <v>45021.913287037038</v>
      </c>
      <c r="S1659" s="4">
        <v>45030.913287037038</v>
      </c>
      <c r="T1659">
        <v>1</v>
      </c>
      <c r="U1659" s="4">
        <v>45032.913287037038</v>
      </c>
      <c r="V1659" s="4">
        <v>45035.913287037038</v>
      </c>
      <c r="W1659" s="4">
        <v>45037.913287037038</v>
      </c>
      <c r="Z1659" s="4">
        <v>45048.913287037038</v>
      </c>
      <c r="AC1659" s="2">
        <f t="shared" si="225"/>
        <v>4</v>
      </c>
      <c r="AD1659" s="2">
        <f t="shared" si="226"/>
        <v>21</v>
      </c>
      <c r="AE1659" s="2">
        <f t="shared" si="227"/>
        <v>17</v>
      </c>
      <c r="AF1659" s="2">
        <f t="shared" si="228"/>
        <v>24</v>
      </c>
      <c r="AG1659" s="2">
        <f t="shared" si="229"/>
        <v>3</v>
      </c>
      <c r="AH1659" s="4">
        <f t="shared" si="230"/>
        <v>45111.913287037038</v>
      </c>
      <c r="AI1659" s="2">
        <f t="shared" si="231"/>
        <v>2</v>
      </c>
      <c r="AJ1659" s="2">
        <f t="shared" si="232"/>
        <v>27</v>
      </c>
      <c r="AK1659" s="2">
        <f t="shared" si="233"/>
        <v>16</v>
      </c>
    </row>
    <row r="1660" spans="1:37" x14ac:dyDescent="0.25">
      <c r="A1660">
        <v>1261</v>
      </c>
      <c r="B1660" t="s">
        <v>1814</v>
      </c>
      <c r="C1660" t="s">
        <v>1577</v>
      </c>
      <c r="D1660" t="s">
        <v>1746</v>
      </c>
      <c r="E1660" t="s">
        <v>267</v>
      </c>
      <c r="F1660" t="s">
        <v>1747</v>
      </c>
      <c r="G1660" t="s">
        <v>269</v>
      </c>
      <c r="H1660" s="1">
        <v>44999.913287037038</v>
      </c>
      <c r="I1660" s="1">
        <v>45001.913287037038</v>
      </c>
      <c r="J1660" t="s">
        <v>32</v>
      </c>
      <c r="K1660" s="1">
        <v>45022.913287037038</v>
      </c>
      <c r="L1660" t="s">
        <v>39</v>
      </c>
      <c r="N1660" s="4">
        <v>45025.913287037038</v>
      </c>
      <c r="O1660" t="s">
        <v>39</v>
      </c>
      <c r="R1660" s="4">
        <v>45024.913287037038</v>
      </c>
      <c r="T1660">
        <v>0</v>
      </c>
      <c r="AC1660" s="2">
        <f t="shared" si="225"/>
        <v>2</v>
      </c>
      <c r="AD1660" s="2">
        <f t="shared" si="226"/>
        <v>23</v>
      </c>
      <c r="AE1660" s="2">
        <f t="shared" si="227"/>
        <v>21</v>
      </c>
      <c r="AF1660" s="2">
        <f t="shared" si="228"/>
        <v>25</v>
      </c>
      <c r="AG1660" s="2">
        <f t="shared" si="229"/>
        <v>2</v>
      </c>
      <c r="AH1660" s="4">
        <f t="shared" si="230"/>
        <v>45114.913287037038</v>
      </c>
      <c r="AI1660" s="2" t="str">
        <f t="shared" si="231"/>
        <v/>
      </c>
      <c r="AJ1660" s="2" t="str">
        <f t="shared" si="232"/>
        <v/>
      </c>
      <c r="AK1660" s="2" t="str">
        <f t="shared" si="233"/>
        <v/>
      </c>
    </row>
    <row r="1661" spans="1:37" x14ac:dyDescent="0.25">
      <c r="A1661">
        <v>1146</v>
      </c>
      <c r="B1661" t="s">
        <v>1815</v>
      </c>
      <c r="C1661" t="s">
        <v>1577</v>
      </c>
      <c r="D1661" t="s">
        <v>1746</v>
      </c>
      <c r="E1661" t="s">
        <v>267</v>
      </c>
      <c r="F1661" t="s">
        <v>1747</v>
      </c>
      <c r="G1661" t="s">
        <v>269</v>
      </c>
      <c r="H1661" s="1">
        <v>45141.067280092589</v>
      </c>
      <c r="I1661" s="1">
        <v>45145.067280092589</v>
      </c>
      <c r="J1661" t="s">
        <v>44</v>
      </c>
      <c r="K1661" s="1"/>
      <c r="T1661">
        <v>0</v>
      </c>
      <c r="AC1661" s="2">
        <f t="shared" si="225"/>
        <v>4</v>
      </c>
      <c r="AD1661" s="2" t="str">
        <f t="shared" si="226"/>
        <v/>
      </c>
      <c r="AE1661" s="2" t="str">
        <f t="shared" si="227"/>
        <v/>
      </c>
      <c r="AF1661" s="2" t="str">
        <f t="shared" si="228"/>
        <v/>
      </c>
      <c r="AG1661" s="2" t="str">
        <f t="shared" si="229"/>
        <v/>
      </c>
      <c r="AH1661" s="4" t="str">
        <f t="shared" si="230"/>
        <v/>
      </c>
      <c r="AI1661" s="2" t="str">
        <f t="shared" si="231"/>
        <v/>
      </c>
      <c r="AJ1661" s="2" t="str">
        <f t="shared" si="232"/>
        <v/>
      </c>
      <c r="AK1661" s="2" t="str">
        <f t="shared" si="233"/>
        <v/>
      </c>
    </row>
    <row r="1662" spans="1:37" x14ac:dyDescent="0.25">
      <c r="A1662">
        <v>1118</v>
      </c>
      <c r="B1662" t="s">
        <v>1816</v>
      </c>
      <c r="C1662" t="s">
        <v>1577</v>
      </c>
      <c r="D1662" t="s">
        <v>1746</v>
      </c>
      <c r="E1662" t="s">
        <v>267</v>
      </c>
      <c r="F1662" t="s">
        <v>1747</v>
      </c>
      <c r="G1662" t="s">
        <v>269</v>
      </c>
      <c r="H1662" s="1">
        <v>45020.266469907408</v>
      </c>
      <c r="I1662" s="1">
        <v>45023.266469907408</v>
      </c>
      <c r="J1662" t="s">
        <v>32</v>
      </c>
      <c r="K1662" s="1">
        <v>45032.266469907408</v>
      </c>
      <c r="L1662" t="s">
        <v>39</v>
      </c>
      <c r="N1662" s="4">
        <v>45037.266469907408</v>
      </c>
      <c r="O1662" t="s">
        <v>39</v>
      </c>
      <c r="R1662" s="4">
        <v>45033.266469907408</v>
      </c>
      <c r="T1662">
        <v>0</v>
      </c>
      <c r="AC1662" s="2">
        <f t="shared" si="225"/>
        <v>3</v>
      </c>
      <c r="AD1662" s="2">
        <f t="shared" si="226"/>
        <v>12</v>
      </c>
      <c r="AE1662" s="2">
        <f t="shared" si="227"/>
        <v>9</v>
      </c>
      <c r="AF1662" s="2">
        <f t="shared" si="228"/>
        <v>13</v>
      </c>
      <c r="AG1662" s="2">
        <f t="shared" si="229"/>
        <v>1</v>
      </c>
      <c r="AH1662" s="4">
        <f t="shared" si="230"/>
        <v>45123.266469907408</v>
      </c>
      <c r="AI1662" s="2" t="str">
        <f t="shared" si="231"/>
        <v/>
      </c>
      <c r="AJ1662" s="2" t="str">
        <f t="shared" si="232"/>
        <v/>
      </c>
      <c r="AK1662" s="2" t="str">
        <f t="shared" si="233"/>
        <v/>
      </c>
    </row>
    <row r="1663" spans="1:37" x14ac:dyDescent="0.25">
      <c r="A1663">
        <v>1113</v>
      </c>
      <c r="B1663" t="s">
        <v>1817</v>
      </c>
      <c r="C1663" t="s">
        <v>1577</v>
      </c>
      <c r="D1663" t="s">
        <v>1746</v>
      </c>
      <c r="E1663" t="s">
        <v>267</v>
      </c>
      <c r="F1663" t="s">
        <v>1747</v>
      </c>
      <c r="G1663" t="s">
        <v>269</v>
      </c>
      <c r="H1663" s="1">
        <v>45018.266469907408</v>
      </c>
      <c r="I1663" s="1">
        <v>45022.266469907408</v>
      </c>
      <c r="J1663" t="s">
        <v>32</v>
      </c>
      <c r="K1663" s="1">
        <v>45042.266469907408</v>
      </c>
      <c r="L1663" t="s">
        <v>57</v>
      </c>
      <c r="N1663" s="4">
        <v>45047.266469907408</v>
      </c>
      <c r="O1663" t="s">
        <v>57</v>
      </c>
      <c r="P1663" s="4">
        <v>45044.266469907408</v>
      </c>
      <c r="Q1663" s="4">
        <v>45048.266469907408</v>
      </c>
      <c r="R1663" s="4">
        <v>45045.266469907408</v>
      </c>
      <c r="S1663" s="4">
        <v>45055.266469907408</v>
      </c>
      <c r="T1663">
        <v>1</v>
      </c>
      <c r="U1663" s="4">
        <v>45058.266469907408</v>
      </c>
      <c r="V1663" s="4">
        <v>45060.266469907408</v>
      </c>
      <c r="W1663" s="4">
        <v>45062.266469907408</v>
      </c>
      <c r="Z1663" s="4">
        <v>45075.266469907408</v>
      </c>
      <c r="AC1663" s="2">
        <f t="shared" si="225"/>
        <v>4</v>
      </c>
      <c r="AD1663" s="2">
        <f t="shared" si="226"/>
        <v>24</v>
      </c>
      <c r="AE1663" s="2">
        <f t="shared" si="227"/>
        <v>20</v>
      </c>
      <c r="AF1663" s="2">
        <f t="shared" si="228"/>
        <v>27</v>
      </c>
      <c r="AG1663" s="2">
        <f t="shared" si="229"/>
        <v>3</v>
      </c>
      <c r="AH1663" s="4">
        <f t="shared" si="230"/>
        <v>45135.266469907408</v>
      </c>
      <c r="AI1663" s="2">
        <f t="shared" si="231"/>
        <v>3</v>
      </c>
      <c r="AJ1663" s="2">
        <f t="shared" si="232"/>
        <v>30</v>
      </c>
      <c r="AK1663" s="2">
        <f t="shared" si="233"/>
        <v>17</v>
      </c>
    </row>
    <row r="1664" spans="1:37" x14ac:dyDescent="0.25">
      <c r="A1664">
        <v>1070</v>
      </c>
      <c r="B1664" t="s">
        <v>1818</v>
      </c>
      <c r="C1664" t="s">
        <v>1577</v>
      </c>
      <c r="D1664" t="s">
        <v>1746</v>
      </c>
      <c r="E1664" t="s">
        <v>267</v>
      </c>
      <c r="F1664" t="s">
        <v>1747</v>
      </c>
      <c r="G1664" t="s">
        <v>269</v>
      </c>
      <c r="H1664" s="1">
        <v>44779.414236111108</v>
      </c>
      <c r="I1664" s="1">
        <v>44781.414236111108</v>
      </c>
      <c r="J1664" t="s">
        <v>32</v>
      </c>
      <c r="K1664" s="1">
        <v>44797.414236111108</v>
      </c>
      <c r="L1664" t="s">
        <v>33</v>
      </c>
      <c r="M1664" t="s">
        <v>67</v>
      </c>
      <c r="R1664" s="4">
        <v>44798.414236111108</v>
      </c>
      <c r="T1664">
        <v>0</v>
      </c>
      <c r="Y1664" t="s">
        <v>35</v>
      </c>
      <c r="AC1664" s="2">
        <f t="shared" si="225"/>
        <v>2</v>
      </c>
      <c r="AD1664" s="2">
        <f t="shared" si="226"/>
        <v>18</v>
      </c>
      <c r="AE1664" s="2">
        <f t="shared" si="227"/>
        <v>16</v>
      </c>
      <c r="AF1664" s="2">
        <f t="shared" si="228"/>
        <v>19</v>
      </c>
      <c r="AG1664" s="2">
        <f t="shared" si="229"/>
        <v>1</v>
      </c>
      <c r="AH1664" s="4">
        <f t="shared" si="230"/>
        <v>44888.414236111108</v>
      </c>
      <c r="AI1664" s="2" t="str">
        <f t="shared" si="231"/>
        <v/>
      </c>
      <c r="AJ1664" s="2" t="str">
        <f t="shared" si="232"/>
        <v/>
      </c>
      <c r="AK1664" s="2" t="str">
        <f t="shared" si="233"/>
        <v/>
      </c>
    </row>
    <row r="1665" spans="1:37" x14ac:dyDescent="0.25">
      <c r="A1665">
        <v>1069</v>
      </c>
      <c r="B1665" t="s">
        <v>1819</v>
      </c>
      <c r="C1665" t="s">
        <v>1577</v>
      </c>
      <c r="D1665" t="s">
        <v>1746</v>
      </c>
      <c r="E1665" t="s">
        <v>267</v>
      </c>
      <c r="F1665" t="s">
        <v>1747</v>
      </c>
      <c r="G1665" t="s">
        <v>269</v>
      </c>
      <c r="H1665" s="1">
        <v>44781.414236111108</v>
      </c>
      <c r="I1665" s="1">
        <v>44784.414236111108</v>
      </c>
      <c r="J1665" t="s">
        <v>32</v>
      </c>
      <c r="K1665" s="1">
        <v>44798.414236111108</v>
      </c>
      <c r="L1665" t="s">
        <v>39</v>
      </c>
      <c r="N1665" s="4">
        <v>44803.414236111108</v>
      </c>
      <c r="O1665" t="s">
        <v>39</v>
      </c>
      <c r="R1665" s="4">
        <v>44799.414236111108</v>
      </c>
      <c r="T1665">
        <v>0</v>
      </c>
      <c r="AC1665" s="2">
        <f t="shared" si="225"/>
        <v>3</v>
      </c>
      <c r="AD1665" s="2">
        <f t="shared" si="226"/>
        <v>17</v>
      </c>
      <c r="AE1665" s="2">
        <f t="shared" si="227"/>
        <v>14</v>
      </c>
      <c r="AF1665" s="2">
        <f t="shared" si="228"/>
        <v>18</v>
      </c>
      <c r="AG1665" s="2">
        <f t="shared" si="229"/>
        <v>1</v>
      </c>
      <c r="AH1665" s="4">
        <f t="shared" si="230"/>
        <v>44889.414236111108</v>
      </c>
      <c r="AI1665" s="2" t="str">
        <f t="shared" si="231"/>
        <v/>
      </c>
      <c r="AJ1665" s="2" t="str">
        <f t="shared" si="232"/>
        <v/>
      </c>
      <c r="AK1665" s="2" t="str">
        <f t="shared" si="233"/>
        <v/>
      </c>
    </row>
    <row r="1666" spans="1:37" x14ac:dyDescent="0.25">
      <c r="A1666">
        <v>1035</v>
      </c>
      <c r="B1666" t="s">
        <v>1820</v>
      </c>
      <c r="C1666" t="s">
        <v>1577</v>
      </c>
      <c r="D1666" t="s">
        <v>1746</v>
      </c>
      <c r="E1666" t="s">
        <v>267</v>
      </c>
      <c r="F1666" t="s">
        <v>1747</v>
      </c>
      <c r="G1666" t="s">
        <v>269</v>
      </c>
      <c r="H1666" s="1">
        <v>44988.822372685187</v>
      </c>
      <c r="I1666" s="1">
        <v>44989.822372685187</v>
      </c>
      <c r="J1666" t="s">
        <v>44</v>
      </c>
      <c r="K1666" s="1"/>
      <c r="T1666">
        <v>0</v>
      </c>
      <c r="AC1666" s="2">
        <f t="shared" si="225"/>
        <v>1</v>
      </c>
      <c r="AD1666" s="2" t="str">
        <f t="shared" si="226"/>
        <v/>
      </c>
      <c r="AE1666" s="2" t="str">
        <f t="shared" si="227"/>
        <v/>
      </c>
      <c r="AF1666" s="2" t="str">
        <f t="shared" si="228"/>
        <v/>
      </c>
      <c r="AG1666" s="2" t="str">
        <f t="shared" si="229"/>
        <v/>
      </c>
      <c r="AH1666" s="4" t="str">
        <f t="shared" si="230"/>
        <v/>
      </c>
      <c r="AI1666" s="2" t="str">
        <f t="shared" si="231"/>
        <v/>
      </c>
      <c r="AJ1666" s="2" t="str">
        <f t="shared" si="232"/>
        <v/>
      </c>
      <c r="AK1666" s="2" t="str">
        <f t="shared" si="233"/>
        <v/>
      </c>
    </row>
    <row r="1667" spans="1:37" x14ac:dyDescent="0.25">
      <c r="A1667">
        <v>1020</v>
      </c>
      <c r="B1667" t="s">
        <v>1821</v>
      </c>
      <c r="C1667" t="s">
        <v>1577</v>
      </c>
      <c r="D1667" t="s">
        <v>1746</v>
      </c>
      <c r="E1667" t="s">
        <v>267</v>
      </c>
      <c r="F1667" t="s">
        <v>1747</v>
      </c>
      <c r="G1667" t="s">
        <v>269</v>
      </c>
      <c r="H1667" s="1">
        <v>44597.329571759263</v>
      </c>
      <c r="I1667" s="1">
        <v>44601.329571759263</v>
      </c>
      <c r="J1667" t="s">
        <v>32</v>
      </c>
      <c r="K1667" s="1">
        <v>44612.329571759263</v>
      </c>
      <c r="L1667" t="s">
        <v>57</v>
      </c>
      <c r="N1667" s="4">
        <v>44617.329571759263</v>
      </c>
      <c r="O1667" t="s">
        <v>57</v>
      </c>
      <c r="P1667" s="4">
        <v>44613.329571759263</v>
      </c>
      <c r="Q1667" s="4">
        <v>44614.329571759263</v>
      </c>
      <c r="R1667" s="4">
        <v>44614.329571759263</v>
      </c>
      <c r="S1667" s="4">
        <v>44624.329571759263</v>
      </c>
      <c r="T1667">
        <v>1</v>
      </c>
      <c r="U1667" s="4">
        <v>44626.329571759263</v>
      </c>
      <c r="V1667" s="4">
        <v>44628.329571759263</v>
      </c>
      <c r="W1667" s="4">
        <v>44629.329571759263</v>
      </c>
      <c r="Z1667" s="4">
        <v>44651.329571759263</v>
      </c>
      <c r="AC1667" s="2">
        <f t="shared" ref="AC1667:AC1730" si="234">IF(AND(I1667&lt;&gt;"",H1667&lt;&gt;""), I1667-H1667, "")</f>
        <v>4</v>
      </c>
      <c r="AD1667" s="2">
        <f t="shared" ref="AD1667:AD1730" si="235">IF(AND(K1667&lt;&gt;"",H1667&lt;&gt;""), K1667-H1667, "")</f>
        <v>15</v>
      </c>
      <c r="AE1667" s="2">
        <f t="shared" ref="AE1667:AE1730" si="236">IF(AND(K1667&lt;&gt;"",I1667&lt;&gt;""), K1667-I1667, "")</f>
        <v>11</v>
      </c>
      <c r="AF1667" s="2">
        <f t="shared" ref="AF1667:AF1730" si="237">IF(AND(R1667&lt;&gt;"",H1667&lt;&gt;""), R1667-H1667, "")</f>
        <v>17</v>
      </c>
      <c r="AG1667" s="2">
        <f t="shared" ref="AG1667:AG1730" si="238">IF(AND(R1667&lt;&gt;"",K1667&lt;&gt;""), R1667-K1667, "")</f>
        <v>2</v>
      </c>
      <c r="AH1667" s="4">
        <f t="shared" ref="AH1667:AH1730" si="239">IF(R1667&lt;&gt;"", R1667+90, "")</f>
        <v>44704.329571759263</v>
      </c>
      <c r="AI1667" s="2">
        <f t="shared" ref="AI1667:AI1730" si="240">IF(AND(U1667&lt;&gt;"",S1667&lt;&gt;""), U1667-S1667, "")</f>
        <v>2</v>
      </c>
      <c r="AJ1667" s="2">
        <f t="shared" ref="AJ1667:AJ1730" si="241">IF(AND(Z1667&lt;&gt;"",R1667&lt;&gt;""), Z1667-R1667, "")</f>
        <v>37</v>
      </c>
      <c r="AK1667" s="2">
        <f t="shared" ref="AK1667:AK1730" si="242">IF(AND(W1667&lt;&gt;"",R1667&lt;&gt;""), W1667-R1667, "")</f>
        <v>15</v>
      </c>
    </row>
    <row r="1668" spans="1:37" x14ac:dyDescent="0.25">
      <c r="A1668">
        <v>1011</v>
      </c>
      <c r="B1668" t="s">
        <v>1822</v>
      </c>
      <c r="C1668" t="s">
        <v>1577</v>
      </c>
      <c r="D1668" t="s">
        <v>1746</v>
      </c>
      <c r="E1668" t="s">
        <v>267</v>
      </c>
      <c r="F1668" t="s">
        <v>1747</v>
      </c>
      <c r="G1668" t="s">
        <v>269</v>
      </c>
      <c r="H1668" s="1">
        <v>44597.329571759263</v>
      </c>
      <c r="I1668" s="1">
        <v>44599.329571759263</v>
      </c>
      <c r="J1668" t="s">
        <v>32</v>
      </c>
      <c r="K1668" s="1">
        <v>44615.329571759263</v>
      </c>
      <c r="L1668" t="s">
        <v>33</v>
      </c>
      <c r="M1668" t="s">
        <v>108</v>
      </c>
      <c r="R1668" s="4">
        <v>44617.329571759263</v>
      </c>
      <c r="T1668">
        <v>0</v>
      </c>
      <c r="Y1668" t="s">
        <v>55</v>
      </c>
      <c r="AC1668" s="2">
        <f t="shared" si="234"/>
        <v>2</v>
      </c>
      <c r="AD1668" s="2">
        <f t="shared" si="235"/>
        <v>18</v>
      </c>
      <c r="AE1668" s="2">
        <f t="shared" si="236"/>
        <v>16</v>
      </c>
      <c r="AF1668" s="2">
        <f t="shared" si="237"/>
        <v>20</v>
      </c>
      <c r="AG1668" s="2">
        <f t="shared" si="238"/>
        <v>2</v>
      </c>
      <c r="AH1668" s="4">
        <f t="shared" si="239"/>
        <v>44707.329571759263</v>
      </c>
      <c r="AI1668" s="2" t="str">
        <f t="shared" si="240"/>
        <v/>
      </c>
      <c r="AJ1668" s="2" t="str">
        <f t="shared" si="241"/>
        <v/>
      </c>
      <c r="AK1668" s="2" t="str">
        <f t="shared" si="242"/>
        <v/>
      </c>
    </row>
    <row r="1669" spans="1:37" x14ac:dyDescent="0.25">
      <c r="A1669">
        <v>979</v>
      </c>
      <c r="B1669" t="s">
        <v>1823</v>
      </c>
      <c r="C1669" t="s">
        <v>1577</v>
      </c>
      <c r="D1669" t="s">
        <v>1746</v>
      </c>
      <c r="E1669" t="s">
        <v>267</v>
      </c>
      <c r="F1669" t="s">
        <v>1747</v>
      </c>
      <c r="G1669" t="s">
        <v>269</v>
      </c>
      <c r="H1669" s="1">
        <v>44757.699247685188</v>
      </c>
      <c r="I1669" s="1">
        <v>44761.699247685188</v>
      </c>
      <c r="J1669" t="s">
        <v>32</v>
      </c>
      <c r="K1669" s="1">
        <v>44768.699247685188</v>
      </c>
      <c r="L1669" t="s">
        <v>57</v>
      </c>
      <c r="N1669" s="4">
        <v>44774.699247685188</v>
      </c>
      <c r="O1669" t="s">
        <v>57</v>
      </c>
      <c r="P1669" s="4">
        <v>44769.699247685188</v>
      </c>
      <c r="Q1669" s="4">
        <v>44773.699247685188</v>
      </c>
      <c r="R1669" s="4">
        <v>44771.699247685188</v>
      </c>
      <c r="S1669" s="4">
        <v>44779.699247685188</v>
      </c>
      <c r="T1669">
        <v>1</v>
      </c>
      <c r="U1669" s="4">
        <v>44782.699247685188</v>
      </c>
      <c r="V1669" s="4">
        <v>44784.699247685188</v>
      </c>
      <c r="W1669" s="4">
        <v>44786.699247685188</v>
      </c>
      <c r="Z1669" s="4">
        <v>44795.699247685188</v>
      </c>
      <c r="AC1669" s="2">
        <f t="shared" si="234"/>
        <v>4</v>
      </c>
      <c r="AD1669" s="2">
        <f t="shared" si="235"/>
        <v>11</v>
      </c>
      <c r="AE1669" s="2">
        <f t="shared" si="236"/>
        <v>7</v>
      </c>
      <c r="AF1669" s="2">
        <f t="shared" si="237"/>
        <v>14</v>
      </c>
      <c r="AG1669" s="2">
        <f t="shared" si="238"/>
        <v>3</v>
      </c>
      <c r="AH1669" s="4">
        <f t="shared" si="239"/>
        <v>44861.699247685188</v>
      </c>
      <c r="AI1669" s="2">
        <f t="shared" si="240"/>
        <v>3</v>
      </c>
      <c r="AJ1669" s="2">
        <f t="shared" si="241"/>
        <v>24</v>
      </c>
      <c r="AK1669" s="2">
        <f t="shared" si="242"/>
        <v>15</v>
      </c>
    </row>
    <row r="1670" spans="1:37" x14ac:dyDescent="0.25">
      <c r="A1670">
        <v>975</v>
      </c>
      <c r="B1670" t="s">
        <v>1824</v>
      </c>
      <c r="C1670" t="s">
        <v>1577</v>
      </c>
      <c r="D1670" t="s">
        <v>1746</v>
      </c>
      <c r="E1670" t="s">
        <v>267</v>
      </c>
      <c r="F1670" t="s">
        <v>1747</v>
      </c>
      <c r="G1670" t="s">
        <v>269</v>
      </c>
      <c r="H1670" s="1">
        <v>44758.699247685188</v>
      </c>
      <c r="I1670" s="1">
        <v>44759.699247685188</v>
      </c>
      <c r="J1670" t="s">
        <v>32</v>
      </c>
      <c r="K1670" s="1">
        <v>44766.699247685188</v>
      </c>
      <c r="L1670" t="s">
        <v>164</v>
      </c>
      <c r="N1670" s="4">
        <v>44770.699247685188</v>
      </c>
      <c r="O1670" t="s">
        <v>164</v>
      </c>
      <c r="R1670" s="4">
        <v>44768.699247685188</v>
      </c>
      <c r="T1670">
        <v>0</v>
      </c>
      <c r="AC1670" s="2">
        <f t="shared" si="234"/>
        <v>1</v>
      </c>
      <c r="AD1670" s="2">
        <f t="shared" si="235"/>
        <v>8</v>
      </c>
      <c r="AE1670" s="2">
        <f t="shared" si="236"/>
        <v>7</v>
      </c>
      <c r="AF1670" s="2">
        <f t="shared" si="237"/>
        <v>10</v>
      </c>
      <c r="AG1670" s="2">
        <f t="shared" si="238"/>
        <v>2</v>
      </c>
      <c r="AH1670" s="4">
        <f t="shared" si="239"/>
        <v>44858.699247685188</v>
      </c>
      <c r="AI1670" s="2" t="str">
        <f t="shared" si="240"/>
        <v/>
      </c>
      <c r="AJ1670" s="2" t="str">
        <f t="shared" si="241"/>
        <v/>
      </c>
      <c r="AK1670" s="2" t="str">
        <f t="shared" si="242"/>
        <v/>
      </c>
    </row>
    <row r="1671" spans="1:37" x14ac:dyDescent="0.25">
      <c r="A1671">
        <v>971</v>
      </c>
      <c r="B1671" t="s">
        <v>1825</v>
      </c>
      <c r="C1671" t="s">
        <v>1577</v>
      </c>
      <c r="D1671" t="s">
        <v>1746</v>
      </c>
      <c r="E1671" t="s">
        <v>267</v>
      </c>
      <c r="F1671" t="s">
        <v>1747</v>
      </c>
      <c r="G1671" t="s">
        <v>269</v>
      </c>
      <c r="H1671" s="1">
        <v>44756.699247685188</v>
      </c>
      <c r="I1671" s="1">
        <v>44758.699247685188</v>
      </c>
      <c r="J1671" t="s">
        <v>32</v>
      </c>
      <c r="K1671" s="1">
        <v>44771.699247685188</v>
      </c>
      <c r="L1671" t="s">
        <v>33</v>
      </c>
      <c r="M1671" t="s">
        <v>92</v>
      </c>
      <c r="R1671" s="4">
        <v>44774.699247685188</v>
      </c>
      <c r="T1671">
        <v>0</v>
      </c>
      <c r="Y1671" t="s">
        <v>35</v>
      </c>
      <c r="AC1671" s="2">
        <f t="shared" si="234"/>
        <v>2</v>
      </c>
      <c r="AD1671" s="2">
        <f t="shared" si="235"/>
        <v>15</v>
      </c>
      <c r="AE1671" s="2">
        <f t="shared" si="236"/>
        <v>13</v>
      </c>
      <c r="AF1671" s="2">
        <f t="shared" si="237"/>
        <v>18</v>
      </c>
      <c r="AG1671" s="2">
        <f t="shared" si="238"/>
        <v>3</v>
      </c>
      <c r="AH1671" s="4">
        <f t="shared" si="239"/>
        <v>44864.699247685188</v>
      </c>
      <c r="AI1671" s="2" t="str">
        <f t="shared" si="240"/>
        <v/>
      </c>
      <c r="AJ1671" s="2" t="str">
        <f t="shared" si="241"/>
        <v/>
      </c>
      <c r="AK1671" s="2" t="str">
        <f t="shared" si="242"/>
        <v/>
      </c>
    </row>
    <row r="1672" spans="1:37" x14ac:dyDescent="0.25">
      <c r="A1672">
        <v>970</v>
      </c>
      <c r="B1672" t="s">
        <v>1826</v>
      </c>
      <c r="C1672" t="s">
        <v>1577</v>
      </c>
      <c r="D1672" t="s">
        <v>1746</v>
      </c>
      <c r="E1672" t="s">
        <v>267</v>
      </c>
      <c r="F1672" t="s">
        <v>1747</v>
      </c>
      <c r="G1672" t="s">
        <v>269</v>
      </c>
      <c r="H1672" s="1">
        <v>45117.340451388889</v>
      </c>
      <c r="I1672" s="1">
        <v>45121.340451388889</v>
      </c>
      <c r="J1672" t="s">
        <v>44</v>
      </c>
      <c r="K1672" s="1"/>
      <c r="T1672">
        <v>0</v>
      </c>
      <c r="AC1672" s="2">
        <f t="shared" si="234"/>
        <v>4</v>
      </c>
      <c r="AD1672" s="2" t="str">
        <f t="shared" si="235"/>
        <v/>
      </c>
      <c r="AE1672" s="2" t="str">
        <f t="shared" si="236"/>
        <v/>
      </c>
      <c r="AF1672" s="2" t="str">
        <f t="shared" si="237"/>
        <v/>
      </c>
      <c r="AG1672" s="2" t="str">
        <f t="shared" si="238"/>
        <v/>
      </c>
      <c r="AH1672" s="4" t="str">
        <f t="shared" si="239"/>
        <v/>
      </c>
      <c r="AI1672" s="2" t="str">
        <f t="shared" si="240"/>
        <v/>
      </c>
      <c r="AJ1672" s="2" t="str">
        <f t="shared" si="241"/>
        <v/>
      </c>
      <c r="AK1672" s="2" t="str">
        <f t="shared" si="242"/>
        <v/>
      </c>
    </row>
    <row r="1673" spans="1:37" x14ac:dyDescent="0.25">
      <c r="A1673">
        <v>899</v>
      </c>
      <c r="B1673" t="s">
        <v>1827</v>
      </c>
      <c r="C1673" t="s">
        <v>1577</v>
      </c>
      <c r="D1673" t="s">
        <v>1746</v>
      </c>
      <c r="E1673" t="s">
        <v>267</v>
      </c>
      <c r="F1673" t="s">
        <v>1747</v>
      </c>
      <c r="G1673" t="s">
        <v>269</v>
      </c>
      <c r="H1673" s="1">
        <v>44847.939814814818</v>
      </c>
      <c r="I1673" s="1">
        <v>44849.939814814818</v>
      </c>
      <c r="J1673" t="s">
        <v>32</v>
      </c>
      <c r="K1673" s="1">
        <v>44860.939814814818</v>
      </c>
      <c r="L1673" t="s">
        <v>57</v>
      </c>
      <c r="N1673" s="4">
        <v>44866.939814814818</v>
      </c>
      <c r="O1673" t="s">
        <v>57</v>
      </c>
      <c r="P1673" s="4">
        <v>44861.939814814818</v>
      </c>
      <c r="Q1673" s="4">
        <v>44862.939814814818</v>
      </c>
      <c r="R1673" s="4">
        <v>44863.939814814818</v>
      </c>
      <c r="S1673" s="4">
        <v>44873.939814814818</v>
      </c>
      <c r="T1673">
        <v>1</v>
      </c>
      <c r="U1673" s="4">
        <v>44877.939814814818</v>
      </c>
      <c r="V1673" s="4">
        <v>44879.939814814818</v>
      </c>
      <c r="W1673" s="4">
        <v>44880.939814814818</v>
      </c>
      <c r="Z1673" s="4">
        <v>44903.939814814818</v>
      </c>
      <c r="AC1673" s="2">
        <f t="shared" si="234"/>
        <v>2</v>
      </c>
      <c r="AD1673" s="2">
        <f t="shared" si="235"/>
        <v>13</v>
      </c>
      <c r="AE1673" s="2">
        <f t="shared" si="236"/>
        <v>11</v>
      </c>
      <c r="AF1673" s="2">
        <f t="shared" si="237"/>
        <v>16</v>
      </c>
      <c r="AG1673" s="2">
        <f t="shared" si="238"/>
        <v>3</v>
      </c>
      <c r="AH1673" s="4">
        <f t="shared" si="239"/>
        <v>44953.939814814818</v>
      </c>
      <c r="AI1673" s="2">
        <f t="shared" si="240"/>
        <v>4</v>
      </c>
      <c r="AJ1673" s="2">
        <f t="shared" si="241"/>
        <v>40</v>
      </c>
      <c r="AK1673" s="2">
        <f t="shared" si="242"/>
        <v>17</v>
      </c>
    </row>
    <row r="1674" spans="1:37" x14ac:dyDescent="0.25">
      <c r="A1674">
        <v>886</v>
      </c>
      <c r="B1674" t="s">
        <v>1828</v>
      </c>
      <c r="C1674" t="s">
        <v>1577</v>
      </c>
      <c r="D1674" t="s">
        <v>1746</v>
      </c>
      <c r="E1674" t="s">
        <v>267</v>
      </c>
      <c r="F1674" t="s">
        <v>1747</v>
      </c>
      <c r="G1674" t="s">
        <v>269</v>
      </c>
      <c r="H1674" s="1">
        <v>44824.199942129628</v>
      </c>
      <c r="I1674" s="1">
        <v>44827.199942129628</v>
      </c>
      <c r="J1674" t="s">
        <v>32</v>
      </c>
      <c r="K1674" s="1">
        <v>44838.199942129628</v>
      </c>
      <c r="L1674" t="s">
        <v>33</v>
      </c>
      <c r="M1674" t="s">
        <v>67</v>
      </c>
      <c r="T1674">
        <v>0</v>
      </c>
      <c r="Y1674" t="s">
        <v>35</v>
      </c>
      <c r="AC1674" s="2">
        <f t="shared" si="234"/>
        <v>3</v>
      </c>
      <c r="AD1674" s="2">
        <f t="shared" si="235"/>
        <v>14</v>
      </c>
      <c r="AE1674" s="2">
        <f t="shared" si="236"/>
        <v>11</v>
      </c>
      <c r="AF1674" s="2" t="str">
        <f t="shared" si="237"/>
        <v/>
      </c>
      <c r="AG1674" s="2" t="str">
        <f t="shared" si="238"/>
        <v/>
      </c>
      <c r="AH1674" s="4" t="str">
        <f t="shared" si="239"/>
        <v/>
      </c>
      <c r="AI1674" s="2" t="str">
        <f t="shared" si="240"/>
        <v/>
      </c>
      <c r="AJ1674" s="2" t="str">
        <f t="shared" si="241"/>
        <v/>
      </c>
      <c r="AK1674" s="2" t="str">
        <f t="shared" si="242"/>
        <v/>
      </c>
    </row>
    <row r="1675" spans="1:37" x14ac:dyDescent="0.25">
      <c r="A1675">
        <v>866</v>
      </c>
      <c r="B1675" t="s">
        <v>1829</v>
      </c>
      <c r="C1675" t="s">
        <v>1577</v>
      </c>
      <c r="D1675" t="s">
        <v>1746</v>
      </c>
      <c r="E1675" t="s">
        <v>267</v>
      </c>
      <c r="F1675" t="s">
        <v>1747</v>
      </c>
      <c r="G1675" t="s">
        <v>269</v>
      </c>
      <c r="H1675" s="1">
        <v>45124.103344907409</v>
      </c>
      <c r="I1675" s="1">
        <v>45127.103344907409</v>
      </c>
      <c r="J1675" t="s">
        <v>32</v>
      </c>
      <c r="K1675" s="1">
        <v>45142.103344907409</v>
      </c>
      <c r="L1675" t="s">
        <v>33</v>
      </c>
      <c r="M1675" t="s">
        <v>108</v>
      </c>
      <c r="T1675">
        <v>0</v>
      </c>
      <c r="Y1675" t="s">
        <v>55</v>
      </c>
      <c r="AC1675" s="2">
        <f t="shared" si="234"/>
        <v>3</v>
      </c>
      <c r="AD1675" s="2">
        <f t="shared" si="235"/>
        <v>18</v>
      </c>
      <c r="AE1675" s="2">
        <f t="shared" si="236"/>
        <v>15</v>
      </c>
      <c r="AF1675" s="2" t="str">
        <f t="shared" si="237"/>
        <v/>
      </c>
      <c r="AG1675" s="2" t="str">
        <f t="shared" si="238"/>
        <v/>
      </c>
      <c r="AH1675" s="4" t="str">
        <f t="shared" si="239"/>
        <v/>
      </c>
      <c r="AI1675" s="2" t="str">
        <f t="shared" si="240"/>
        <v/>
      </c>
      <c r="AJ1675" s="2" t="str">
        <f t="shared" si="241"/>
        <v/>
      </c>
      <c r="AK1675" s="2" t="str">
        <f t="shared" si="242"/>
        <v/>
      </c>
    </row>
    <row r="1676" spans="1:37" x14ac:dyDescent="0.25">
      <c r="A1676">
        <v>862</v>
      </c>
      <c r="B1676" t="s">
        <v>1830</v>
      </c>
      <c r="C1676" t="s">
        <v>1577</v>
      </c>
      <c r="D1676" t="s">
        <v>1746</v>
      </c>
      <c r="E1676" t="s">
        <v>267</v>
      </c>
      <c r="F1676" t="s">
        <v>1747</v>
      </c>
      <c r="G1676" t="s">
        <v>269</v>
      </c>
      <c r="H1676" s="1">
        <v>45129.103344907409</v>
      </c>
      <c r="I1676" s="1">
        <v>45130.103344907409</v>
      </c>
      <c r="J1676" t="s">
        <v>44</v>
      </c>
      <c r="K1676" s="1"/>
      <c r="T1676">
        <v>0</v>
      </c>
      <c r="AC1676" s="2">
        <f t="shared" si="234"/>
        <v>1</v>
      </c>
      <c r="AD1676" s="2" t="str">
        <f t="shared" si="235"/>
        <v/>
      </c>
      <c r="AE1676" s="2" t="str">
        <f t="shared" si="236"/>
        <v/>
      </c>
      <c r="AF1676" s="2" t="str">
        <f t="shared" si="237"/>
        <v/>
      </c>
      <c r="AG1676" s="2" t="str">
        <f t="shared" si="238"/>
        <v/>
      </c>
      <c r="AH1676" s="4" t="str">
        <f t="shared" si="239"/>
        <v/>
      </c>
      <c r="AI1676" s="2" t="str">
        <f t="shared" si="240"/>
        <v/>
      </c>
      <c r="AJ1676" s="2" t="str">
        <f t="shared" si="241"/>
        <v/>
      </c>
      <c r="AK1676" s="2" t="str">
        <f t="shared" si="242"/>
        <v/>
      </c>
    </row>
    <row r="1677" spans="1:37" x14ac:dyDescent="0.25">
      <c r="A1677">
        <v>861</v>
      </c>
      <c r="B1677" t="s">
        <v>1831</v>
      </c>
      <c r="C1677" t="s">
        <v>1577</v>
      </c>
      <c r="D1677" t="s">
        <v>1746</v>
      </c>
      <c r="E1677" t="s">
        <v>267</v>
      </c>
      <c r="F1677" t="s">
        <v>1747</v>
      </c>
      <c r="G1677" t="s">
        <v>269</v>
      </c>
      <c r="H1677" s="1">
        <v>45121.103344907409</v>
      </c>
      <c r="I1677" s="1">
        <v>45125.103344907409</v>
      </c>
      <c r="J1677" t="s">
        <v>32</v>
      </c>
      <c r="K1677" s="1">
        <v>45144.103344907409</v>
      </c>
      <c r="L1677" t="s">
        <v>57</v>
      </c>
      <c r="N1677" s="4">
        <v>45149.103344907409</v>
      </c>
      <c r="O1677" t="s">
        <v>57</v>
      </c>
      <c r="P1677" s="4">
        <v>45145.103344907409</v>
      </c>
      <c r="Q1677" s="4">
        <v>45147.103344907409</v>
      </c>
      <c r="R1677" s="4">
        <v>45147.103344907409</v>
      </c>
      <c r="S1677" s="4">
        <v>45157.103344907409</v>
      </c>
      <c r="T1677">
        <v>1</v>
      </c>
      <c r="U1677" s="4">
        <v>45161.103344907409</v>
      </c>
      <c r="V1677" s="4">
        <v>45163.103344907409</v>
      </c>
      <c r="W1677" s="4">
        <v>45165.103344907409</v>
      </c>
      <c r="Z1677" s="4">
        <v>45184.103344907409</v>
      </c>
      <c r="AC1677" s="2">
        <f t="shared" si="234"/>
        <v>4</v>
      </c>
      <c r="AD1677" s="2">
        <f t="shared" si="235"/>
        <v>23</v>
      </c>
      <c r="AE1677" s="2">
        <f t="shared" si="236"/>
        <v>19</v>
      </c>
      <c r="AF1677" s="2">
        <f t="shared" si="237"/>
        <v>26</v>
      </c>
      <c r="AG1677" s="2">
        <f t="shared" si="238"/>
        <v>3</v>
      </c>
      <c r="AH1677" s="4">
        <f t="shared" si="239"/>
        <v>45237.103344907409</v>
      </c>
      <c r="AI1677" s="2">
        <f t="shared" si="240"/>
        <v>4</v>
      </c>
      <c r="AJ1677" s="2">
        <f t="shared" si="241"/>
        <v>37</v>
      </c>
      <c r="AK1677" s="2">
        <f t="shared" si="242"/>
        <v>18</v>
      </c>
    </row>
    <row r="1678" spans="1:37" x14ac:dyDescent="0.25">
      <c r="A1678">
        <v>750</v>
      </c>
      <c r="B1678" t="s">
        <v>1832</v>
      </c>
      <c r="C1678" t="s">
        <v>1577</v>
      </c>
      <c r="D1678" t="s">
        <v>1746</v>
      </c>
      <c r="E1678" t="s">
        <v>267</v>
      </c>
      <c r="F1678" t="s">
        <v>1747</v>
      </c>
      <c r="G1678" t="s">
        <v>269</v>
      </c>
      <c r="H1678" s="1">
        <v>44869.220567129632</v>
      </c>
      <c r="I1678" s="1">
        <v>44870.220567129632</v>
      </c>
      <c r="J1678" t="s">
        <v>44</v>
      </c>
      <c r="K1678" s="1"/>
      <c r="T1678">
        <v>0</v>
      </c>
      <c r="AC1678" s="2">
        <f t="shared" si="234"/>
        <v>1</v>
      </c>
      <c r="AD1678" s="2" t="str">
        <f t="shared" si="235"/>
        <v/>
      </c>
      <c r="AE1678" s="2" t="str">
        <f t="shared" si="236"/>
        <v/>
      </c>
      <c r="AF1678" s="2" t="str">
        <f t="shared" si="237"/>
        <v/>
      </c>
      <c r="AG1678" s="2" t="str">
        <f t="shared" si="238"/>
        <v/>
      </c>
      <c r="AH1678" s="4" t="str">
        <f t="shared" si="239"/>
        <v/>
      </c>
      <c r="AI1678" s="2" t="str">
        <f t="shared" si="240"/>
        <v/>
      </c>
      <c r="AJ1678" s="2" t="str">
        <f t="shared" si="241"/>
        <v/>
      </c>
      <c r="AK1678" s="2" t="str">
        <f t="shared" si="242"/>
        <v/>
      </c>
    </row>
    <row r="1679" spans="1:37" x14ac:dyDescent="0.25">
      <c r="A1679">
        <v>747</v>
      </c>
      <c r="B1679" t="s">
        <v>1833</v>
      </c>
      <c r="C1679" t="s">
        <v>1577</v>
      </c>
      <c r="D1679" t="s">
        <v>1746</v>
      </c>
      <c r="E1679" t="s">
        <v>267</v>
      </c>
      <c r="F1679" t="s">
        <v>1747</v>
      </c>
      <c r="G1679" t="s">
        <v>269</v>
      </c>
      <c r="H1679" s="1">
        <v>44867.220567129632</v>
      </c>
      <c r="I1679" s="1">
        <v>44871.220567129632</v>
      </c>
      <c r="J1679" t="s">
        <v>44</v>
      </c>
      <c r="K1679" s="1"/>
      <c r="T1679">
        <v>0</v>
      </c>
      <c r="AC1679" s="2">
        <f t="shared" si="234"/>
        <v>4</v>
      </c>
      <c r="AD1679" s="2" t="str">
        <f t="shared" si="235"/>
        <v/>
      </c>
      <c r="AE1679" s="2" t="str">
        <f t="shared" si="236"/>
        <v/>
      </c>
      <c r="AF1679" s="2" t="str">
        <f t="shared" si="237"/>
        <v/>
      </c>
      <c r="AG1679" s="2" t="str">
        <f t="shared" si="238"/>
        <v/>
      </c>
      <c r="AH1679" s="4" t="str">
        <f t="shared" si="239"/>
        <v/>
      </c>
      <c r="AI1679" s="2" t="str">
        <f t="shared" si="240"/>
        <v/>
      </c>
      <c r="AJ1679" s="2" t="str">
        <f t="shared" si="241"/>
        <v/>
      </c>
      <c r="AK1679" s="2" t="str">
        <f t="shared" si="242"/>
        <v/>
      </c>
    </row>
    <row r="1680" spans="1:37" x14ac:dyDescent="0.25">
      <c r="A1680">
        <v>704</v>
      </c>
      <c r="B1680" t="s">
        <v>1834</v>
      </c>
      <c r="C1680" t="s">
        <v>1577</v>
      </c>
      <c r="D1680" t="s">
        <v>1746</v>
      </c>
      <c r="E1680" t="s">
        <v>267</v>
      </c>
      <c r="F1680" t="s">
        <v>1747</v>
      </c>
      <c r="G1680" t="s">
        <v>269</v>
      </c>
      <c r="H1680" s="1">
        <v>45115.640983796293</v>
      </c>
      <c r="I1680" s="1">
        <v>45119.640983796293</v>
      </c>
      <c r="J1680" t="s">
        <v>44</v>
      </c>
      <c r="K1680" s="1"/>
      <c r="T1680">
        <v>0</v>
      </c>
      <c r="AC1680" s="2">
        <f t="shared" si="234"/>
        <v>4</v>
      </c>
      <c r="AD1680" s="2" t="str">
        <f t="shared" si="235"/>
        <v/>
      </c>
      <c r="AE1680" s="2" t="str">
        <f t="shared" si="236"/>
        <v/>
      </c>
      <c r="AF1680" s="2" t="str">
        <f t="shared" si="237"/>
        <v/>
      </c>
      <c r="AG1680" s="2" t="str">
        <f t="shared" si="238"/>
        <v/>
      </c>
      <c r="AH1680" s="4" t="str">
        <f t="shared" si="239"/>
        <v/>
      </c>
      <c r="AI1680" s="2" t="str">
        <f t="shared" si="240"/>
        <v/>
      </c>
      <c r="AJ1680" s="2" t="str">
        <f t="shared" si="241"/>
        <v/>
      </c>
      <c r="AK1680" s="2" t="str">
        <f t="shared" si="242"/>
        <v/>
      </c>
    </row>
    <row r="1681" spans="1:37" x14ac:dyDescent="0.25">
      <c r="A1681">
        <v>609</v>
      </c>
      <c r="B1681" t="s">
        <v>1835</v>
      </c>
      <c r="C1681" t="s">
        <v>1577</v>
      </c>
      <c r="D1681" t="s">
        <v>1746</v>
      </c>
      <c r="E1681" t="s">
        <v>267</v>
      </c>
      <c r="F1681" t="s">
        <v>1747</v>
      </c>
      <c r="G1681" t="s">
        <v>269</v>
      </c>
      <c r="H1681" s="1">
        <v>44571.309340277781</v>
      </c>
      <c r="I1681" s="1">
        <v>44573.309340277781</v>
      </c>
      <c r="J1681" t="s">
        <v>32</v>
      </c>
      <c r="K1681" s="1">
        <v>44589.309340277781</v>
      </c>
      <c r="L1681" t="s">
        <v>39</v>
      </c>
      <c r="N1681" s="4">
        <v>44595.309340277781</v>
      </c>
      <c r="O1681" t="s">
        <v>39</v>
      </c>
      <c r="R1681" s="4">
        <v>44591.309340277781</v>
      </c>
      <c r="T1681">
        <v>0</v>
      </c>
      <c r="AC1681" s="2">
        <f t="shared" si="234"/>
        <v>2</v>
      </c>
      <c r="AD1681" s="2">
        <f t="shared" si="235"/>
        <v>18</v>
      </c>
      <c r="AE1681" s="2">
        <f t="shared" si="236"/>
        <v>16</v>
      </c>
      <c r="AF1681" s="2">
        <f t="shared" si="237"/>
        <v>20</v>
      </c>
      <c r="AG1681" s="2">
        <f t="shared" si="238"/>
        <v>2</v>
      </c>
      <c r="AH1681" s="4">
        <f t="shared" si="239"/>
        <v>44681.309340277781</v>
      </c>
      <c r="AI1681" s="2" t="str">
        <f t="shared" si="240"/>
        <v/>
      </c>
      <c r="AJ1681" s="2" t="str">
        <f t="shared" si="241"/>
        <v/>
      </c>
      <c r="AK1681" s="2" t="str">
        <f t="shared" si="242"/>
        <v/>
      </c>
    </row>
    <row r="1682" spans="1:37" x14ac:dyDescent="0.25">
      <c r="A1682">
        <v>600</v>
      </c>
      <c r="B1682" t="s">
        <v>1836</v>
      </c>
      <c r="C1682" t="s">
        <v>1577</v>
      </c>
      <c r="D1682" t="s">
        <v>1746</v>
      </c>
      <c r="E1682" t="s">
        <v>267</v>
      </c>
      <c r="F1682" t="s">
        <v>1747</v>
      </c>
      <c r="G1682" t="s">
        <v>269</v>
      </c>
      <c r="H1682" s="1">
        <v>44877.821550925924</v>
      </c>
      <c r="I1682" s="1">
        <v>44881.821550925924</v>
      </c>
      <c r="J1682" t="s">
        <v>32</v>
      </c>
      <c r="K1682" s="1">
        <v>44891.821550925924</v>
      </c>
      <c r="L1682" t="s">
        <v>33</v>
      </c>
      <c r="M1682" t="s">
        <v>108</v>
      </c>
      <c r="T1682">
        <v>0</v>
      </c>
      <c r="Y1682" t="s">
        <v>55</v>
      </c>
      <c r="AC1682" s="2">
        <f t="shared" si="234"/>
        <v>4</v>
      </c>
      <c r="AD1682" s="2">
        <f t="shared" si="235"/>
        <v>14</v>
      </c>
      <c r="AE1682" s="2">
        <f t="shared" si="236"/>
        <v>10</v>
      </c>
      <c r="AF1682" s="2" t="str">
        <f t="shared" si="237"/>
        <v/>
      </c>
      <c r="AG1682" s="2" t="str">
        <f t="shared" si="238"/>
        <v/>
      </c>
      <c r="AH1682" s="4" t="str">
        <f t="shared" si="239"/>
        <v/>
      </c>
      <c r="AI1682" s="2" t="str">
        <f t="shared" si="240"/>
        <v/>
      </c>
      <c r="AJ1682" s="2" t="str">
        <f t="shared" si="241"/>
        <v/>
      </c>
      <c r="AK1682" s="2" t="str">
        <f t="shared" si="242"/>
        <v/>
      </c>
    </row>
    <row r="1683" spans="1:37" x14ac:dyDescent="0.25">
      <c r="A1683">
        <v>595</v>
      </c>
      <c r="B1683" t="s">
        <v>1837</v>
      </c>
      <c r="C1683" t="s">
        <v>1577</v>
      </c>
      <c r="D1683" t="s">
        <v>1746</v>
      </c>
      <c r="E1683" t="s">
        <v>267</v>
      </c>
      <c r="F1683" t="s">
        <v>1747</v>
      </c>
      <c r="G1683" t="s">
        <v>269</v>
      </c>
      <c r="H1683" s="1">
        <v>44882.821550925924</v>
      </c>
      <c r="I1683" s="1">
        <v>44884.821550925924</v>
      </c>
      <c r="J1683" t="s">
        <v>32</v>
      </c>
      <c r="K1683" s="1">
        <v>44894.821550925924</v>
      </c>
      <c r="L1683" t="s">
        <v>57</v>
      </c>
      <c r="N1683" s="4">
        <v>44897.821550925924</v>
      </c>
      <c r="O1683" t="s">
        <v>57</v>
      </c>
      <c r="P1683" s="4">
        <v>44896.821550925924</v>
      </c>
      <c r="Q1683" s="4">
        <v>44899.821550925924</v>
      </c>
      <c r="R1683" s="4">
        <v>44895.821550925924</v>
      </c>
      <c r="S1683" s="4">
        <v>44901.821550925924</v>
      </c>
      <c r="T1683">
        <v>1</v>
      </c>
      <c r="U1683" s="4">
        <v>44903.821550925924</v>
      </c>
      <c r="V1683" s="4">
        <v>44906.821550925924</v>
      </c>
      <c r="W1683" s="4">
        <v>44909.821550925924</v>
      </c>
      <c r="Z1683" s="4">
        <v>44920.821550925924</v>
      </c>
      <c r="AC1683" s="2">
        <f t="shared" si="234"/>
        <v>2</v>
      </c>
      <c r="AD1683" s="2">
        <f t="shared" si="235"/>
        <v>12</v>
      </c>
      <c r="AE1683" s="2">
        <f t="shared" si="236"/>
        <v>10</v>
      </c>
      <c r="AF1683" s="2">
        <f t="shared" si="237"/>
        <v>13</v>
      </c>
      <c r="AG1683" s="2">
        <f t="shared" si="238"/>
        <v>1</v>
      </c>
      <c r="AH1683" s="4">
        <f t="shared" si="239"/>
        <v>44985.821550925924</v>
      </c>
      <c r="AI1683" s="2">
        <f t="shared" si="240"/>
        <v>2</v>
      </c>
      <c r="AJ1683" s="2">
        <f t="shared" si="241"/>
        <v>25</v>
      </c>
      <c r="AK1683" s="2">
        <f t="shared" si="242"/>
        <v>14</v>
      </c>
    </row>
    <row r="1684" spans="1:37" x14ac:dyDescent="0.25">
      <c r="A1684">
        <v>451</v>
      </c>
      <c r="B1684" t="s">
        <v>1838</v>
      </c>
      <c r="C1684" t="s">
        <v>1577</v>
      </c>
      <c r="D1684" t="s">
        <v>1746</v>
      </c>
      <c r="E1684" t="s">
        <v>267</v>
      </c>
      <c r="F1684" t="s">
        <v>1747</v>
      </c>
      <c r="G1684" t="s">
        <v>269</v>
      </c>
      <c r="H1684" s="1">
        <v>44973.571030092593</v>
      </c>
      <c r="I1684" s="1">
        <v>44977.571030092593</v>
      </c>
      <c r="J1684" t="s">
        <v>32</v>
      </c>
      <c r="K1684" s="1">
        <v>44988.571030092593</v>
      </c>
      <c r="L1684" t="s">
        <v>33</v>
      </c>
      <c r="M1684" t="s">
        <v>34</v>
      </c>
      <c r="R1684" s="4">
        <v>44992.571030092593</v>
      </c>
      <c r="T1684">
        <v>0</v>
      </c>
      <c r="Y1684" t="s">
        <v>35</v>
      </c>
      <c r="AC1684" s="2">
        <f t="shared" si="234"/>
        <v>4</v>
      </c>
      <c r="AD1684" s="2">
        <f t="shared" si="235"/>
        <v>15</v>
      </c>
      <c r="AE1684" s="2">
        <f t="shared" si="236"/>
        <v>11</v>
      </c>
      <c r="AF1684" s="2">
        <f t="shared" si="237"/>
        <v>19</v>
      </c>
      <c r="AG1684" s="2">
        <f t="shared" si="238"/>
        <v>4</v>
      </c>
      <c r="AH1684" s="4">
        <f t="shared" si="239"/>
        <v>45082.571030092593</v>
      </c>
      <c r="AI1684" s="2" t="str">
        <f t="shared" si="240"/>
        <v/>
      </c>
      <c r="AJ1684" s="2" t="str">
        <f t="shared" si="241"/>
        <v/>
      </c>
      <c r="AK1684" s="2" t="str">
        <f t="shared" si="242"/>
        <v/>
      </c>
    </row>
    <row r="1685" spans="1:37" x14ac:dyDescent="0.25">
      <c r="A1685">
        <v>392</v>
      </c>
      <c r="B1685" t="s">
        <v>1839</v>
      </c>
      <c r="C1685" t="s">
        <v>1577</v>
      </c>
      <c r="D1685" t="s">
        <v>1746</v>
      </c>
      <c r="E1685" t="s">
        <v>267</v>
      </c>
      <c r="F1685" t="s">
        <v>1747</v>
      </c>
      <c r="G1685" t="s">
        <v>269</v>
      </c>
      <c r="H1685" s="1">
        <v>44970.686574074076</v>
      </c>
      <c r="I1685" s="1">
        <v>44972.686574074076</v>
      </c>
      <c r="J1685" t="s">
        <v>32</v>
      </c>
      <c r="K1685" s="1">
        <v>44983.686574074076</v>
      </c>
      <c r="L1685" t="s">
        <v>33</v>
      </c>
      <c r="M1685" t="s">
        <v>92</v>
      </c>
      <c r="R1685" s="4">
        <v>44984.686574074076</v>
      </c>
      <c r="T1685">
        <v>0</v>
      </c>
      <c r="Y1685" t="s">
        <v>35</v>
      </c>
      <c r="AC1685" s="2">
        <f t="shared" si="234"/>
        <v>2</v>
      </c>
      <c r="AD1685" s="2">
        <f t="shared" si="235"/>
        <v>13</v>
      </c>
      <c r="AE1685" s="2">
        <f t="shared" si="236"/>
        <v>11</v>
      </c>
      <c r="AF1685" s="2">
        <f t="shared" si="237"/>
        <v>14</v>
      </c>
      <c r="AG1685" s="2">
        <f t="shared" si="238"/>
        <v>1</v>
      </c>
      <c r="AH1685" s="4">
        <f t="shared" si="239"/>
        <v>45074.686574074076</v>
      </c>
      <c r="AI1685" s="2" t="str">
        <f t="shared" si="240"/>
        <v/>
      </c>
      <c r="AJ1685" s="2" t="str">
        <f t="shared" si="241"/>
        <v/>
      </c>
      <c r="AK1685" s="2" t="str">
        <f t="shared" si="242"/>
        <v/>
      </c>
    </row>
    <row r="1686" spans="1:37" x14ac:dyDescent="0.25">
      <c r="A1686">
        <v>349</v>
      </c>
      <c r="B1686" t="s">
        <v>1840</v>
      </c>
      <c r="C1686" t="s">
        <v>1577</v>
      </c>
      <c r="D1686" t="s">
        <v>1746</v>
      </c>
      <c r="E1686" t="s">
        <v>267</v>
      </c>
      <c r="F1686" t="s">
        <v>1747</v>
      </c>
      <c r="G1686" t="s">
        <v>269</v>
      </c>
      <c r="H1686" s="1">
        <v>44684.644375000003</v>
      </c>
      <c r="I1686" s="1">
        <v>44685.644375000003</v>
      </c>
      <c r="J1686" t="s">
        <v>32</v>
      </c>
      <c r="K1686" s="1">
        <v>44702.644375000003</v>
      </c>
      <c r="L1686" t="s">
        <v>57</v>
      </c>
      <c r="N1686" s="4">
        <v>44708.644375000003</v>
      </c>
      <c r="O1686" t="s">
        <v>57</v>
      </c>
      <c r="P1686" s="4">
        <v>44703.644375000003</v>
      </c>
      <c r="Q1686" s="4">
        <v>44707.644375000003</v>
      </c>
      <c r="R1686" s="4">
        <v>44706.644375000003</v>
      </c>
      <c r="S1686" s="4">
        <v>44716.644375000003</v>
      </c>
      <c r="T1686">
        <v>1</v>
      </c>
      <c r="U1686" s="4">
        <v>44719.644375000003</v>
      </c>
      <c r="V1686" s="4">
        <v>44721.644375000003</v>
      </c>
      <c r="W1686" s="4">
        <v>44723.644375000003</v>
      </c>
      <c r="Z1686" s="4">
        <v>44734.644375000003</v>
      </c>
      <c r="AC1686" s="2">
        <f t="shared" si="234"/>
        <v>1</v>
      </c>
      <c r="AD1686" s="2">
        <f t="shared" si="235"/>
        <v>18</v>
      </c>
      <c r="AE1686" s="2">
        <f t="shared" si="236"/>
        <v>17</v>
      </c>
      <c r="AF1686" s="2">
        <f t="shared" si="237"/>
        <v>22</v>
      </c>
      <c r="AG1686" s="2">
        <f t="shared" si="238"/>
        <v>4</v>
      </c>
      <c r="AH1686" s="4">
        <f t="shared" si="239"/>
        <v>44796.644375000003</v>
      </c>
      <c r="AI1686" s="2">
        <f t="shared" si="240"/>
        <v>3</v>
      </c>
      <c r="AJ1686" s="2">
        <f t="shared" si="241"/>
        <v>28</v>
      </c>
      <c r="AK1686" s="2">
        <f t="shared" si="242"/>
        <v>17</v>
      </c>
    </row>
    <row r="1687" spans="1:37" x14ac:dyDescent="0.25">
      <c r="A1687">
        <v>347</v>
      </c>
      <c r="B1687" t="s">
        <v>1841</v>
      </c>
      <c r="C1687" t="s">
        <v>1577</v>
      </c>
      <c r="D1687" t="s">
        <v>1746</v>
      </c>
      <c r="E1687" t="s">
        <v>267</v>
      </c>
      <c r="F1687" t="s">
        <v>1747</v>
      </c>
      <c r="G1687" t="s">
        <v>269</v>
      </c>
      <c r="H1687" s="1">
        <v>44683.644375000003</v>
      </c>
      <c r="I1687" s="1">
        <v>44687.644375000003</v>
      </c>
      <c r="J1687" t="s">
        <v>32</v>
      </c>
      <c r="K1687" s="1">
        <v>44694.644375000003</v>
      </c>
      <c r="L1687" t="s">
        <v>33</v>
      </c>
      <c r="M1687" t="s">
        <v>108</v>
      </c>
      <c r="R1687" s="4">
        <v>44698.644375000003</v>
      </c>
      <c r="T1687">
        <v>0</v>
      </c>
      <c r="Y1687" t="s">
        <v>35</v>
      </c>
      <c r="AC1687" s="2">
        <f t="shared" si="234"/>
        <v>4</v>
      </c>
      <c r="AD1687" s="2">
        <f t="shared" si="235"/>
        <v>11</v>
      </c>
      <c r="AE1687" s="2">
        <f t="shared" si="236"/>
        <v>7</v>
      </c>
      <c r="AF1687" s="2">
        <f t="shared" si="237"/>
        <v>15</v>
      </c>
      <c r="AG1687" s="2">
        <f t="shared" si="238"/>
        <v>4</v>
      </c>
      <c r="AH1687" s="4">
        <f t="shared" si="239"/>
        <v>44788.644375000003</v>
      </c>
      <c r="AI1687" s="2" t="str">
        <f t="shared" si="240"/>
        <v/>
      </c>
      <c r="AJ1687" s="2" t="str">
        <f t="shared" si="241"/>
        <v/>
      </c>
      <c r="AK1687" s="2" t="str">
        <f t="shared" si="242"/>
        <v/>
      </c>
    </row>
    <row r="1688" spans="1:37" x14ac:dyDescent="0.25">
      <c r="A1688">
        <v>346</v>
      </c>
      <c r="B1688" t="s">
        <v>1842</v>
      </c>
      <c r="C1688" t="s">
        <v>1577</v>
      </c>
      <c r="D1688" t="s">
        <v>1746</v>
      </c>
      <c r="E1688" t="s">
        <v>267</v>
      </c>
      <c r="F1688" t="s">
        <v>1747</v>
      </c>
      <c r="G1688" t="s">
        <v>269</v>
      </c>
      <c r="H1688" s="1">
        <v>44683.644375000003</v>
      </c>
      <c r="I1688" s="1">
        <v>44686.644375000003</v>
      </c>
      <c r="J1688" t="s">
        <v>32</v>
      </c>
      <c r="K1688" s="1">
        <v>44699.644375000003</v>
      </c>
      <c r="L1688" t="s">
        <v>33</v>
      </c>
      <c r="M1688" t="s">
        <v>67</v>
      </c>
      <c r="T1688">
        <v>0</v>
      </c>
      <c r="Y1688" t="s">
        <v>35</v>
      </c>
      <c r="AC1688" s="2">
        <f t="shared" si="234"/>
        <v>3</v>
      </c>
      <c r="AD1688" s="2">
        <f t="shared" si="235"/>
        <v>16</v>
      </c>
      <c r="AE1688" s="2">
        <f t="shared" si="236"/>
        <v>13</v>
      </c>
      <c r="AF1688" s="2" t="str">
        <f t="shared" si="237"/>
        <v/>
      </c>
      <c r="AG1688" s="2" t="str">
        <f t="shared" si="238"/>
        <v/>
      </c>
      <c r="AH1688" s="4" t="str">
        <f t="shared" si="239"/>
        <v/>
      </c>
      <c r="AI1688" s="2" t="str">
        <f t="shared" si="240"/>
        <v/>
      </c>
      <c r="AJ1688" s="2" t="str">
        <f t="shared" si="241"/>
        <v/>
      </c>
      <c r="AK1688" s="2" t="str">
        <f t="shared" si="242"/>
        <v/>
      </c>
    </row>
    <row r="1689" spans="1:37" x14ac:dyDescent="0.25">
      <c r="A1689">
        <v>342</v>
      </c>
      <c r="B1689" t="s">
        <v>1843</v>
      </c>
      <c r="C1689" t="s">
        <v>1577</v>
      </c>
      <c r="D1689" t="s">
        <v>1746</v>
      </c>
      <c r="E1689" t="s">
        <v>267</v>
      </c>
      <c r="F1689" t="s">
        <v>1747</v>
      </c>
      <c r="G1689" t="s">
        <v>269</v>
      </c>
      <c r="H1689" s="1">
        <v>44686.644375000003</v>
      </c>
      <c r="I1689" s="1">
        <v>44689.644375000003</v>
      </c>
      <c r="J1689" t="s">
        <v>32</v>
      </c>
      <c r="K1689" s="1">
        <v>44697.644375000003</v>
      </c>
      <c r="L1689" t="s">
        <v>33</v>
      </c>
      <c r="M1689" t="s">
        <v>108</v>
      </c>
      <c r="R1689" s="4">
        <v>44700.644375000003</v>
      </c>
      <c r="T1689">
        <v>0</v>
      </c>
      <c r="Y1689" t="s">
        <v>55</v>
      </c>
      <c r="AC1689" s="2">
        <f t="shared" si="234"/>
        <v>3</v>
      </c>
      <c r="AD1689" s="2">
        <f t="shared" si="235"/>
        <v>11</v>
      </c>
      <c r="AE1689" s="2">
        <f t="shared" si="236"/>
        <v>8</v>
      </c>
      <c r="AF1689" s="2">
        <f t="shared" si="237"/>
        <v>14</v>
      </c>
      <c r="AG1689" s="2">
        <f t="shared" si="238"/>
        <v>3</v>
      </c>
      <c r="AH1689" s="4">
        <f t="shared" si="239"/>
        <v>44790.644375000003</v>
      </c>
      <c r="AI1689" s="2" t="str">
        <f t="shared" si="240"/>
        <v/>
      </c>
      <c r="AJ1689" s="2" t="str">
        <f t="shared" si="241"/>
        <v/>
      </c>
      <c r="AK1689" s="2" t="str">
        <f t="shared" si="242"/>
        <v/>
      </c>
    </row>
    <row r="1690" spans="1:37" x14ac:dyDescent="0.25">
      <c r="A1690">
        <v>287</v>
      </c>
      <c r="B1690" t="s">
        <v>1844</v>
      </c>
      <c r="C1690" t="s">
        <v>1577</v>
      </c>
      <c r="D1690" t="s">
        <v>1746</v>
      </c>
      <c r="E1690" t="s">
        <v>1845</v>
      </c>
      <c r="F1690" t="s">
        <v>1846</v>
      </c>
      <c r="G1690" t="s">
        <v>269</v>
      </c>
      <c r="H1690" s="1">
        <v>44701.67763888889</v>
      </c>
      <c r="I1690" s="1">
        <v>44705.67763888889</v>
      </c>
      <c r="J1690" t="s">
        <v>44</v>
      </c>
      <c r="K1690" s="1"/>
      <c r="T1690">
        <v>0</v>
      </c>
      <c r="AC1690" s="2">
        <f t="shared" si="234"/>
        <v>4</v>
      </c>
      <c r="AD1690" s="2" t="str">
        <f t="shared" si="235"/>
        <v/>
      </c>
      <c r="AE1690" s="2" t="str">
        <f t="shared" si="236"/>
        <v/>
      </c>
      <c r="AF1690" s="2" t="str">
        <f t="shared" si="237"/>
        <v/>
      </c>
      <c r="AG1690" s="2" t="str">
        <f t="shared" si="238"/>
        <v/>
      </c>
      <c r="AH1690" s="4" t="str">
        <f t="shared" si="239"/>
        <v/>
      </c>
      <c r="AI1690" s="2" t="str">
        <f t="shared" si="240"/>
        <v/>
      </c>
      <c r="AJ1690" s="2" t="str">
        <f t="shared" si="241"/>
        <v/>
      </c>
      <c r="AK1690" s="2" t="str">
        <f t="shared" si="242"/>
        <v/>
      </c>
    </row>
    <row r="1691" spans="1:37" x14ac:dyDescent="0.25">
      <c r="A1691">
        <v>282</v>
      </c>
      <c r="B1691" t="s">
        <v>1847</v>
      </c>
      <c r="C1691" t="s">
        <v>1577</v>
      </c>
      <c r="D1691" t="s">
        <v>1746</v>
      </c>
      <c r="E1691" t="s">
        <v>1845</v>
      </c>
      <c r="F1691" t="s">
        <v>1846</v>
      </c>
      <c r="G1691" t="s">
        <v>269</v>
      </c>
      <c r="H1691" s="1">
        <v>44700.67763888889</v>
      </c>
      <c r="I1691" s="1">
        <v>44703.67763888889</v>
      </c>
      <c r="J1691" t="s">
        <v>32</v>
      </c>
      <c r="K1691" s="1">
        <v>44710.67763888889</v>
      </c>
      <c r="L1691" t="s">
        <v>57</v>
      </c>
      <c r="N1691" s="4">
        <v>44715.67763888889</v>
      </c>
      <c r="O1691" t="s">
        <v>57</v>
      </c>
      <c r="P1691" s="4">
        <v>44712.67763888889</v>
      </c>
      <c r="Q1691" s="4">
        <v>44714.67763888889</v>
      </c>
      <c r="R1691" s="4">
        <v>44712.67763888889</v>
      </c>
      <c r="S1691" s="4">
        <v>44716.67763888889</v>
      </c>
      <c r="T1691">
        <v>1</v>
      </c>
      <c r="U1691" s="4">
        <v>44718.67763888889</v>
      </c>
      <c r="V1691" s="4">
        <v>44720.67763888889</v>
      </c>
      <c r="W1691" s="4">
        <v>44721.67763888889</v>
      </c>
      <c r="Z1691" s="4">
        <v>44743.67763888889</v>
      </c>
      <c r="AC1691" s="2">
        <f t="shared" si="234"/>
        <v>3</v>
      </c>
      <c r="AD1691" s="2">
        <f t="shared" si="235"/>
        <v>10</v>
      </c>
      <c r="AE1691" s="2">
        <f t="shared" si="236"/>
        <v>7</v>
      </c>
      <c r="AF1691" s="2">
        <f t="shared" si="237"/>
        <v>12</v>
      </c>
      <c r="AG1691" s="2">
        <f t="shared" si="238"/>
        <v>2</v>
      </c>
      <c r="AH1691" s="4">
        <f t="shared" si="239"/>
        <v>44802.67763888889</v>
      </c>
      <c r="AI1691" s="2">
        <f t="shared" si="240"/>
        <v>2</v>
      </c>
      <c r="AJ1691" s="2">
        <f t="shared" si="241"/>
        <v>31</v>
      </c>
      <c r="AK1691" s="2">
        <f t="shared" si="242"/>
        <v>9</v>
      </c>
    </row>
    <row r="1692" spans="1:37" x14ac:dyDescent="0.25">
      <c r="A1692">
        <v>202</v>
      </c>
      <c r="B1692" t="s">
        <v>1848</v>
      </c>
      <c r="C1692" t="s">
        <v>1577</v>
      </c>
      <c r="D1692" t="s">
        <v>1746</v>
      </c>
      <c r="E1692" t="s">
        <v>1845</v>
      </c>
      <c r="F1692" t="s">
        <v>1846</v>
      </c>
      <c r="G1692" t="s">
        <v>269</v>
      </c>
      <c r="H1692" s="1">
        <v>44744.342893518522</v>
      </c>
      <c r="I1692" s="1">
        <v>44748.342893518522</v>
      </c>
      <c r="J1692" t="s">
        <v>32</v>
      </c>
      <c r="K1692" s="1">
        <v>44762.342893518522</v>
      </c>
      <c r="L1692" t="s">
        <v>33</v>
      </c>
      <c r="M1692" t="s">
        <v>67</v>
      </c>
      <c r="R1692" s="4">
        <v>44765.342893518522</v>
      </c>
      <c r="T1692">
        <v>0</v>
      </c>
      <c r="Y1692" t="s">
        <v>35</v>
      </c>
      <c r="AC1692" s="2">
        <f t="shared" si="234"/>
        <v>4</v>
      </c>
      <c r="AD1692" s="2">
        <f t="shared" si="235"/>
        <v>18</v>
      </c>
      <c r="AE1692" s="2">
        <f t="shared" si="236"/>
        <v>14</v>
      </c>
      <c r="AF1692" s="2">
        <f t="shared" si="237"/>
        <v>21</v>
      </c>
      <c r="AG1692" s="2">
        <f t="shared" si="238"/>
        <v>3</v>
      </c>
      <c r="AH1692" s="4">
        <f t="shared" si="239"/>
        <v>44855.342893518522</v>
      </c>
      <c r="AI1692" s="2" t="str">
        <f t="shared" si="240"/>
        <v/>
      </c>
      <c r="AJ1692" s="2" t="str">
        <f t="shared" si="241"/>
        <v/>
      </c>
      <c r="AK1692" s="2" t="str">
        <f t="shared" si="242"/>
        <v/>
      </c>
    </row>
    <row r="1693" spans="1:37" x14ac:dyDescent="0.25">
      <c r="A1693">
        <v>179</v>
      </c>
      <c r="B1693" t="s">
        <v>1849</v>
      </c>
      <c r="C1693" t="s">
        <v>1577</v>
      </c>
      <c r="D1693" t="s">
        <v>1746</v>
      </c>
      <c r="E1693" t="s">
        <v>1845</v>
      </c>
      <c r="F1693" t="s">
        <v>1846</v>
      </c>
      <c r="G1693" t="s">
        <v>269</v>
      </c>
      <c r="H1693" s="1">
        <v>45093.370925925927</v>
      </c>
      <c r="I1693" s="1">
        <v>45094.370925925927</v>
      </c>
      <c r="J1693" t="s">
        <v>32</v>
      </c>
      <c r="K1693" s="1">
        <v>45104.370925925927</v>
      </c>
      <c r="L1693" t="s">
        <v>39</v>
      </c>
      <c r="N1693" s="4">
        <v>45110.370925925927</v>
      </c>
      <c r="O1693" t="s">
        <v>39</v>
      </c>
      <c r="R1693" s="4">
        <v>45106.370925925927</v>
      </c>
      <c r="T1693">
        <v>0</v>
      </c>
      <c r="AC1693" s="2">
        <f t="shared" si="234"/>
        <v>1</v>
      </c>
      <c r="AD1693" s="2">
        <f t="shared" si="235"/>
        <v>11</v>
      </c>
      <c r="AE1693" s="2">
        <f t="shared" si="236"/>
        <v>10</v>
      </c>
      <c r="AF1693" s="2">
        <f t="shared" si="237"/>
        <v>13</v>
      </c>
      <c r="AG1693" s="2">
        <f t="shared" si="238"/>
        <v>2</v>
      </c>
      <c r="AH1693" s="4">
        <f t="shared" si="239"/>
        <v>45196.370925925927</v>
      </c>
      <c r="AI1693" s="2" t="str">
        <f t="shared" si="240"/>
        <v/>
      </c>
      <c r="AJ1693" s="2" t="str">
        <f t="shared" si="241"/>
        <v/>
      </c>
      <c r="AK1693" s="2" t="str">
        <f t="shared" si="242"/>
        <v/>
      </c>
    </row>
    <row r="1694" spans="1:37" x14ac:dyDescent="0.25">
      <c r="A1694">
        <v>174</v>
      </c>
      <c r="B1694" t="s">
        <v>1850</v>
      </c>
      <c r="C1694" t="s">
        <v>1577</v>
      </c>
      <c r="D1694" t="s">
        <v>1746</v>
      </c>
      <c r="E1694" t="s">
        <v>1845</v>
      </c>
      <c r="F1694" t="s">
        <v>1846</v>
      </c>
      <c r="G1694" t="s">
        <v>269</v>
      </c>
      <c r="H1694" s="1">
        <v>45090.370925925927</v>
      </c>
      <c r="I1694" s="1">
        <v>45094.370925925927</v>
      </c>
      <c r="J1694" t="s">
        <v>32</v>
      </c>
      <c r="K1694" s="1">
        <v>45104.370925925927</v>
      </c>
      <c r="L1694" t="s">
        <v>33</v>
      </c>
      <c r="M1694" t="s">
        <v>34</v>
      </c>
      <c r="T1694">
        <v>0</v>
      </c>
      <c r="Y1694" t="s">
        <v>35</v>
      </c>
      <c r="AC1694" s="2">
        <f t="shared" si="234"/>
        <v>4</v>
      </c>
      <c r="AD1694" s="2">
        <f t="shared" si="235"/>
        <v>14</v>
      </c>
      <c r="AE1694" s="2">
        <f t="shared" si="236"/>
        <v>10</v>
      </c>
      <c r="AF1694" s="2" t="str">
        <f t="shared" si="237"/>
        <v/>
      </c>
      <c r="AG1694" s="2" t="str">
        <f t="shared" si="238"/>
        <v/>
      </c>
      <c r="AH1694" s="4" t="str">
        <f t="shared" si="239"/>
        <v/>
      </c>
      <c r="AI1694" s="2" t="str">
        <f t="shared" si="240"/>
        <v/>
      </c>
      <c r="AJ1694" s="2" t="str">
        <f t="shared" si="241"/>
        <v/>
      </c>
      <c r="AK1694" s="2" t="str">
        <f t="shared" si="242"/>
        <v/>
      </c>
    </row>
    <row r="1695" spans="1:37" x14ac:dyDescent="0.25">
      <c r="A1695">
        <v>172</v>
      </c>
      <c r="B1695" t="s">
        <v>1851</v>
      </c>
      <c r="C1695" t="s">
        <v>1577</v>
      </c>
      <c r="D1695" t="s">
        <v>1746</v>
      </c>
      <c r="E1695" t="s">
        <v>1845</v>
      </c>
      <c r="F1695" t="s">
        <v>1846</v>
      </c>
      <c r="G1695" t="s">
        <v>269</v>
      </c>
      <c r="H1695" s="1">
        <v>45093.370925925927</v>
      </c>
      <c r="I1695" s="1">
        <v>45095.370925925927</v>
      </c>
      <c r="J1695" t="s">
        <v>32</v>
      </c>
      <c r="K1695" s="1">
        <v>45111.370925925927</v>
      </c>
      <c r="L1695" t="s">
        <v>39</v>
      </c>
      <c r="N1695" s="4">
        <v>45117.370925925927</v>
      </c>
      <c r="O1695" t="s">
        <v>39</v>
      </c>
      <c r="R1695" s="4">
        <v>45113.370925925927</v>
      </c>
      <c r="T1695">
        <v>0</v>
      </c>
      <c r="AC1695" s="2">
        <f t="shared" si="234"/>
        <v>2</v>
      </c>
      <c r="AD1695" s="2">
        <f t="shared" si="235"/>
        <v>18</v>
      </c>
      <c r="AE1695" s="2">
        <f t="shared" si="236"/>
        <v>16</v>
      </c>
      <c r="AF1695" s="2">
        <f t="shared" si="237"/>
        <v>20</v>
      </c>
      <c r="AG1695" s="2">
        <f t="shared" si="238"/>
        <v>2</v>
      </c>
      <c r="AH1695" s="4">
        <f t="shared" si="239"/>
        <v>45203.370925925927</v>
      </c>
      <c r="AI1695" s="2" t="str">
        <f t="shared" si="240"/>
        <v/>
      </c>
      <c r="AJ1695" s="2" t="str">
        <f t="shared" si="241"/>
        <v/>
      </c>
      <c r="AK1695" s="2" t="str">
        <f t="shared" si="242"/>
        <v/>
      </c>
    </row>
    <row r="1696" spans="1:37" x14ac:dyDescent="0.25">
      <c r="A1696">
        <v>103</v>
      </c>
      <c r="B1696" t="s">
        <v>1852</v>
      </c>
      <c r="C1696" t="s">
        <v>1577</v>
      </c>
      <c r="D1696" t="s">
        <v>1746</v>
      </c>
      <c r="E1696" t="s">
        <v>1845</v>
      </c>
      <c r="F1696" t="s">
        <v>1846</v>
      </c>
      <c r="G1696" t="s">
        <v>269</v>
      </c>
      <c r="H1696" s="1">
        <v>45016.880046296297</v>
      </c>
      <c r="I1696" s="1">
        <v>45017.880046296297</v>
      </c>
      <c r="J1696" t="s">
        <v>32</v>
      </c>
      <c r="K1696" s="1">
        <v>45031.880046296297</v>
      </c>
      <c r="L1696" t="s">
        <v>57</v>
      </c>
      <c r="N1696" s="4">
        <v>45037.880046296297</v>
      </c>
      <c r="O1696" t="s">
        <v>57</v>
      </c>
      <c r="P1696" s="4">
        <v>45033.880046296297</v>
      </c>
      <c r="Q1696" s="4">
        <v>45036.880046296297</v>
      </c>
      <c r="R1696" s="4">
        <v>45033.880046296297</v>
      </c>
      <c r="S1696" s="4">
        <v>45034.880046296297</v>
      </c>
      <c r="T1696">
        <v>1</v>
      </c>
      <c r="U1696" s="4">
        <v>45037.880046296297</v>
      </c>
      <c r="V1696" s="4">
        <v>45039.880046296297</v>
      </c>
      <c r="W1696" s="4">
        <v>45042.880046296297</v>
      </c>
      <c r="Z1696" s="4">
        <v>45050.880046296297</v>
      </c>
      <c r="AC1696" s="2">
        <f t="shared" si="234"/>
        <v>1</v>
      </c>
      <c r="AD1696" s="2">
        <f t="shared" si="235"/>
        <v>15</v>
      </c>
      <c r="AE1696" s="2">
        <f t="shared" si="236"/>
        <v>14</v>
      </c>
      <c r="AF1696" s="2">
        <f t="shared" si="237"/>
        <v>17</v>
      </c>
      <c r="AG1696" s="2">
        <f t="shared" si="238"/>
        <v>2</v>
      </c>
      <c r="AH1696" s="4">
        <f t="shared" si="239"/>
        <v>45123.880046296297</v>
      </c>
      <c r="AI1696" s="2">
        <f t="shared" si="240"/>
        <v>3</v>
      </c>
      <c r="AJ1696" s="2">
        <f t="shared" si="241"/>
        <v>17</v>
      </c>
      <c r="AK1696" s="2">
        <f t="shared" si="242"/>
        <v>9</v>
      </c>
    </row>
    <row r="1697" spans="1:37" x14ac:dyDescent="0.25">
      <c r="A1697">
        <v>102</v>
      </c>
      <c r="B1697" t="s">
        <v>1853</v>
      </c>
      <c r="C1697" t="s">
        <v>1577</v>
      </c>
      <c r="D1697" t="s">
        <v>1746</v>
      </c>
      <c r="E1697" t="s">
        <v>1845</v>
      </c>
      <c r="F1697" t="s">
        <v>1846</v>
      </c>
      <c r="G1697" t="s">
        <v>269</v>
      </c>
      <c r="H1697" s="1">
        <v>45010.880046296297</v>
      </c>
      <c r="I1697" s="1">
        <v>45014.880046296297</v>
      </c>
      <c r="J1697" t="s">
        <v>32</v>
      </c>
      <c r="K1697" s="1">
        <v>45024.880046296297</v>
      </c>
      <c r="L1697" t="s">
        <v>57</v>
      </c>
      <c r="N1697" s="4">
        <v>45026.880046296297</v>
      </c>
      <c r="O1697" t="s">
        <v>57</v>
      </c>
      <c r="P1697" s="4">
        <v>45025.880046296297</v>
      </c>
      <c r="Q1697" s="4">
        <v>45029.880046296297</v>
      </c>
      <c r="R1697" s="4">
        <v>45025.880046296297</v>
      </c>
      <c r="S1697" s="4">
        <v>45026.880046296297</v>
      </c>
      <c r="T1697">
        <v>1</v>
      </c>
      <c r="U1697" s="4">
        <v>45028.880046296297</v>
      </c>
      <c r="V1697" s="4">
        <v>45031.880046296297</v>
      </c>
      <c r="W1697" s="4">
        <v>45032.880046296297</v>
      </c>
      <c r="Z1697" s="4">
        <v>45046.880046296297</v>
      </c>
      <c r="AC1697" s="2">
        <f t="shared" si="234"/>
        <v>4</v>
      </c>
      <c r="AD1697" s="2">
        <f t="shared" si="235"/>
        <v>14</v>
      </c>
      <c r="AE1697" s="2">
        <f t="shared" si="236"/>
        <v>10</v>
      </c>
      <c r="AF1697" s="2">
        <f t="shared" si="237"/>
        <v>15</v>
      </c>
      <c r="AG1697" s="2">
        <f t="shared" si="238"/>
        <v>1</v>
      </c>
      <c r="AH1697" s="4">
        <f t="shared" si="239"/>
        <v>45115.880046296297</v>
      </c>
      <c r="AI1697" s="2">
        <f t="shared" si="240"/>
        <v>2</v>
      </c>
      <c r="AJ1697" s="2">
        <f t="shared" si="241"/>
        <v>21</v>
      </c>
      <c r="AK1697" s="2">
        <f t="shared" si="242"/>
        <v>7</v>
      </c>
    </row>
    <row r="1698" spans="1:37" x14ac:dyDescent="0.25">
      <c r="A1698">
        <v>99</v>
      </c>
      <c r="B1698" t="s">
        <v>1854</v>
      </c>
      <c r="C1698" t="s">
        <v>1577</v>
      </c>
      <c r="D1698" t="s">
        <v>1746</v>
      </c>
      <c r="E1698" t="s">
        <v>1845</v>
      </c>
      <c r="F1698" t="s">
        <v>1846</v>
      </c>
      <c r="G1698" t="s">
        <v>269</v>
      </c>
      <c r="H1698" s="1">
        <v>44839.587280092594</v>
      </c>
      <c r="I1698" s="1">
        <v>44842.587280092594</v>
      </c>
      <c r="J1698" t="s">
        <v>32</v>
      </c>
      <c r="K1698" s="1">
        <v>44851.587280092594</v>
      </c>
      <c r="L1698" t="s">
        <v>57</v>
      </c>
      <c r="N1698" s="4">
        <v>44856.587280092594</v>
      </c>
      <c r="O1698" t="s">
        <v>57</v>
      </c>
      <c r="P1698" s="4">
        <v>44853.587280092594</v>
      </c>
      <c r="Q1698" s="4">
        <v>44854.587280092594</v>
      </c>
      <c r="R1698" s="4">
        <v>44852.587280092594</v>
      </c>
      <c r="S1698" s="4">
        <v>44855.587280092594</v>
      </c>
      <c r="T1698">
        <v>1</v>
      </c>
      <c r="U1698" s="4">
        <v>44859.587280092594</v>
      </c>
      <c r="V1698" s="4">
        <v>44860.587280092594</v>
      </c>
      <c r="W1698" s="4">
        <v>44862.587280092594</v>
      </c>
      <c r="Z1698" s="4">
        <v>44877.587280092594</v>
      </c>
      <c r="AC1698" s="2">
        <f t="shared" si="234"/>
        <v>3</v>
      </c>
      <c r="AD1698" s="2">
        <f t="shared" si="235"/>
        <v>12</v>
      </c>
      <c r="AE1698" s="2">
        <f t="shared" si="236"/>
        <v>9</v>
      </c>
      <c r="AF1698" s="2">
        <f t="shared" si="237"/>
        <v>13</v>
      </c>
      <c r="AG1698" s="2">
        <f t="shared" si="238"/>
        <v>1</v>
      </c>
      <c r="AH1698" s="4">
        <f t="shared" si="239"/>
        <v>44942.587280092594</v>
      </c>
      <c r="AI1698" s="2">
        <f t="shared" si="240"/>
        <v>4</v>
      </c>
      <c r="AJ1698" s="2">
        <f t="shared" si="241"/>
        <v>25</v>
      </c>
      <c r="AK1698" s="2">
        <f t="shared" si="242"/>
        <v>10</v>
      </c>
    </row>
    <row r="1699" spans="1:37" x14ac:dyDescent="0.25">
      <c r="A1699">
        <v>97</v>
      </c>
      <c r="B1699" t="s">
        <v>1855</v>
      </c>
      <c r="C1699" t="s">
        <v>1577</v>
      </c>
      <c r="D1699" t="s">
        <v>1746</v>
      </c>
      <c r="E1699" t="s">
        <v>1845</v>
      </c>
      <c r="F1699" t="s">
        <v>1846</v>
      </c>
      <c r="G1699" t="s">
        <v>269</v>
      </c>
      <c r="H1699" s="1">
        <v>44840.587280092594</v>
      </c>
      <c r="I1699" s="1">
        <v>44841.587280092594</v>
      </c>
      <c r="J1699" t="s">
        <v>32</v>
      </c>
      <c r="K1699" s="1">
        <v>44851.587280092594</v>
      </c>
      <c r="L1699" t="s">
        <v>57</v>
      </c>
      <c r="N1699" s="4">
        <v>44855.587280092594</v>
      </c>
      <c r="O1699" t="s">
        <v>57</v>
      </c>
      <c r="P1699" s="4">
        <v>44853.587280092594</v>
      </c>
      <c r="Q1699" s="4">
        <v>44856.587280092594</v>
      </c>
      <c r="R1699" s="4">
        <v>44852.587280092594</v>
      </c>
      <c r="S1699" s="4">
        <v>44856.587280092594</v>
      </c>
      <c r="T1699">
        <v>1</v>
      </c>
      <c r="U1699" s="4">
        <v>44858.587280092594</v>
      </c>
      <c r="V1699" s="4">
        <v>44861.587280092594</v>
      </c>
      <c r="W1699" s="4">
        <v>44863.587280092594</v>
      </c>
      <c r="Z1699" s="4">
        <v>44881.587280092594</v>
      </c>
      <c r="AC1699" s="2">
        <f t="shared" si="234"/>
        <v>1</v>
      </c>
      <c r="AD1699" s="2">
        <f t="shared" si="235"/>
        <v>11</v>
      </c>
      <c r="AE1699" s="2">
        <f t="shared" si="236"/>
        <v>10</v>
      </c>
      <c r="AF1699" s="2">
        <f t="shared" si="237"/>
        <v>12</v>
      </c>
      <c r="AG1699" s="2">
        <f t="shared" si="238"/>
        <v>1</v>
      </c>
      <c r="AH1699" s="4">
        <f t="shared" si="239"/>
        <v>44942.587280092594</v>
      </c>
      <c r="AI1699" s="2">
        <f t="shared" si="240"/>
        <v>2</v>
      </c>
      <c r="AJ1699" s="2">
        <f t="shared" si="241"/>
        <v>29</v>
      </c>
      <c r="AK1699" s="2">
        <f t="shared" si="242"/>
        <v>11</v>
      </c>
    </row>
    <row r="1700" spans="1:37" x14ac:dyDescent="0.25">
      <c r="A1700">
        <v>92</v>
      </c>
      <c r="B1700" t="s">
        <v>1856</v>
      </c>
      <c r="C1700" t="s">
        <v>1577</v>
      </c>
      <c r="D1700" t="s">
        <v>1746</v>
      </c>
      <c r="E1700" t="s">
        <v>1845</v>
      </c>
      <c r="F1700" t="s">
        <v>1846</v>
      </c>
      <c r="G1700" t="s">
        <v>269</v>
      </c>
      <c r="H1700" s="1">
        <v>44840.587280092594</v>
      </c>
      <c r="I1700" s="1">
        <v>44841.587280092594</v>
      </c>
      <c r="J1700" t="s">
        <v>32</v>
      </c>
      <c r="K1700" s="1">
        <v>44860.587280092594</v>
      </c>
      <c r="L1700" t="s">
        <v>57</v>
      </c>
      <c r="N1700" s="4">
        <v>44868.587280092594</v>
      </c>
      <c r="O1700" t="s">
        <v>57</v>
      </c>
      <c r="P1700" s="4">
        <v>44861.587280092594</v>
      </c>
      <c r="Q1700" s="4">
        <v>44863.587280092594</v>
      </c>
      <c r="R1700" s="4">
        <v>44864.587280092594</v>
      </c>
      <c r="S1700" s="4">
        <v>44872.587280092594</v>
      </c>
      <c r="T1700">
        <v>1</v>
      </c>
      <c r="U1700" s="4">
        <v>44873.587280092594</v>
      </c>
      <c r="V1700" s="4">
        <v>44876.587280092594</v>
      </c>
      <c r="W1700" s="4">
        <v>44879.587280092594</v>
      </c>
      <c r="Z1700" s="4">
        <v>44900.587280092594</v>
      </c>
      <c r="AC1700" s="2">
        <f t="shared" si="234"/>
        <v>1</v>
      </c>
      <c r="AD1700" s="2">
        <f t="shared" si="235"/>
        <v>20</v>
      </c>
      <c r="AE1700" s="2">
        <f t="shared" si="236"/>
        <v>19</v>
      </c>
      <c r="AF1700" s="2">
        <f t="shared" si="237"/>
        <v>24</v>
      </c>
      <c r="AG1700" s="2">
        <f t="shared" si="238"/>
        <v>4</v>
      </c>
      <c r="AH1700" s="4">
        <f t="shared" si="239"/>
        <v>44954.587280092594</v>
      </c>
      <c r="AI1700" s="2">
        <f t="shared" si="240"/>
        <v>1</v>
      </c>
      <c r="AJ1700" s="2">
        <f t="shared" si="241"/>
        <v>36</v>
      </c>
      <c r="AK1700" s="2">
        <f t="shared" si="242"/>
        <v>15</v>
      </c>
    </row>
    <row r="1701" spans="1:37" x14ac:dyDescent="0.25">
      <c r="A1701">
        <v>79</v>
      </c>
      <c r="B1701" t="s">
        <v>1857</v>
      </c>
      <c r="C1701" t="s">
        <v>1577</v>
      </c>
      <c r="D1701" t="s">
        <v>1746</v>
      </c>
      <c r="E1701" t="s">
        <v>1845</v>
      </c>
      <c r="F1701" t="s">
        <v>1846</v>
      </c>
      <c r="G1701" t="s">
        <v>269</v>
      </c>
      <c r="H1701" s="1">
        <v>44749.410798611112</v>
      </c>
      <c r="I1701" s="1">
        <v>44752.410798611112</v>
      </c>
      <c r="J1701" t="s">
        <v>32</v>
      </c>
      <c r="K1701" s="1">
        <v>44764.410798611112</v>
      </c>
      <c r="L1701" t="s">
        <v>33</v>
      </c>
      <c r="M1701" t="s">
        <v>67</v>
      </c>
      <c r="T1701">
        <v>0</v>
      </c>
      <c r="Y1701" t="s">
        <v>55</v>
      </c>
      <c r="AC1701" s="2">
        <f t="shared" si="234"/>
        <v>3</v>
      </c>
      <c r="AD1701" s="2">
        <f t="shared" si="235"/>
        <v>15</v>
      </c>
      <c r="AE1701" s="2">
        <f t="shared" si="236"/>
        <v>12</v>
      </c>
      <c r="AF1701" s="2" t="str">
        <f t="shared" si="237"/>
        <v/>
      </c>
      <c r="AG1701" s="2" t="str">
        <f t="shared" si="238"/>
        <v/>
      </c>
      <c r="AH1701" s="4" t="str">
        <f t="shared" si="239"/>
        <v/>
      </c>
      <c r="AI1701" s="2" t="str">
        <f t="shared" si="240"/>
        <v/>
      </c>
      <c r="AJ1701" s="2" t="str">
        <f t="shared" si="241"/>
        <v/>
      </c>
      <c r="AK1701" s="2" t="str">
        <f t="shared" si="242"/>
        <v/>
      </c>
    </row>
    <row r="1702" spans="1:37" x14ac:dyDescent="0.25">
      <c r="A1702">
        <v>76</v>
      </c>
      <c r="B1702" t="s">
        <v>1858</v>
      </c>
      <c r="C1702" t="s">
        <v>1577</v>
      </c>
      <c r="D1702" t="s">
        <v>1746</v>
      </c>
      <c r="E1702" t="s">
        <v>1845</v>
      </c>
      <c r="F1702" t="s">
        <v>1846</v>
      </c>
      <c r="G1702" t="s">
        <v>269</v>
      </c>
      <c r="H1702" s="1">
        <v>44752.410798611112</v>
      </c>
      <c r="I1702" s="1">
        <v>44753.410798611112</v>
      </c>
      <c r="J1702" t="s">
        <v>44</v>
      </c>
      <c r="K1702" s="1"/>
      <c r="T1702">
        <v>0</v>
      </c>
      <c r="AC1702" s="2">
        <f t="shared" si="234"/>
        <v>1</v>
      </c>
      <c r="AD1702" s="2" t="str">
        <f t="shared" si="235"/>
        <v/>
      </c>
      <c r="AE1702" s="2" t="str">
        <f t="shared" si="236"/>
        <v/>
      </c>
      <c r="AF1702" s="2" t="str">
        <f t="shared" si="237"/>
        <v/>
      </c>
      <c r="AG1702" s="2" t="str">
        <f t="shared" si="238"/>
        <v/>
      </c>
      <c r="AH1702" s="4" t="str">
        <f t="shared" si="239"/>
        <v/>
      </c>
      <c r="AI1702" s="2" t="str">
        <f t="shared" si="240"/>
        <v/>
      </c>
      <c r="AJ1702" s="2" t="str">
        <f t="shared" si="241"/>
        <v/>
      </c>
      <c r="AK1702" s="2" t="str">
        <f t="shared" si="242"/>
        <v/>
      </c>
    </row>
    <row r="1703" spans="1:37" x14ac:dyDescent="0.25">
      <c r="A1703">
        <v>24</v>
      </c>
      <c r="B1703" t="s">
        <v>1859</v>
      </c>
      <c r="C1703" t="s">
        <v>1577</v>
      </c>
      <c r="D1703" t="s">
        <v>1746</v>
      </c>
      <c r="E1703" t="s">
        <v>1845</v>
      </c>
      <c r="F1703" t="s">
        <v>1846</v>
      </c>
      <c r="G1703" t="s">
        <v>269</v>
      </c>
      <c r="H1703" s="1">
        <v>44919.453449074077</v>
      </c>
      <c r="I1703" s="1">
        <v>44921.453449074077</v>
      </c>
      <c r="J1703" t="s">
        <v>32</v>
      </c>
      <c r="K1703" s="1">
        <v>44938.453449074077</v>
      </c>
      <c r="L1703" t="s">
        <v>33</v>
      </c>
      <c r="M1703" t="s">
        <v>108</v>
      </c>
      <c r="R1703" s="4">
        <v>44941.453449074077</v>
      </c>
      <c r="T1703">
        <v>0</v>
      </c>
      <c r="Y1703" t="s">
        <v>35</v>
      </c>
      <c r="AC1703" s="2">
        <f t="shared" si="234"/>
        <v>2</v>
      </c>
      <c r="AD1703" s="2">
        <f t="shared" si="235"/>
        <v>19</v>
      </c>
      <c r="AE1703" s="2">
        <f t="shared" si="236"/>
        <v>17</v>
      </c>
      <c r="AF1703" s="2">
        <f t="shared" si="237"/>
        <v>22</v>
      </c>
      <c r="AG1703" s="2">
        <f t="shared" si="238"/>
        <v>3</v>
      </c>
      <c r="AH1703" s="4">
        <f t="shared" si="239"/>
        <v>45031.453449074077</v>
      </c>
      <c r="AI1703" s="2" t="str">
        <f t="shared" si="240"/>
        <v/>
      </c>
      <c r="AJ1703" s="2" t="str">
        <f t="shared" si="241"/>
        <v/>
      </c>
      <c r="AK1703" s="2" t="str">
        <f t="shared" si="242"/>
        <v/>
      </c>
    </row>
    <row r="1704" spans="1:37" x14ac:dyDescent="0.25">
      <c r="A1704">
        <v>17</v>
      </c>
      <c r="B1704" t="s">
        <v>1860</v>
      </c>
      <c r="C1704" t="s">
        <v>1577</v>
      </c>
      <c r="D1704" t="s">
        <v>1746</v>
      </c>
      <c r="E1704" t="s">
        <v>1845</v>
      </c>
      <c r="F1704" t="s">
        <v>1846</v>
      </c>
      <c r="G1704" t="s">
        <v>269</v>
      </c>
      <c r="H1704" s="1">
        <v>44633.901284722226</v>
      </c>
      <c r="I1704" s="1">
        <v>44636.901284722226</v>
      </c>
      <c r="J1704" t="s">
        <v>32</v>
      </c>
      <c r="K1704" s="1">
        <v>44652.901284722226</v>
      </c>
      <c r="L1704" t="s">
        <v>39</v>
      </c>
      <c r="N1704" s="4">
        <v>44656.901284722226</v>
      </c>
      <c r="O1704" t="s">
        <v>39</v>
      </c>
      <c r="R1704" s="4">
        <v>44655.901284722226</v>
      </c>
      <c r="T1704">
        <v>0</v>
      </c>
      <c r="AC1704" s="2">
        <f t="shared" si="234"/>
        <v>3</v>
      </c>
      <c r="AD1704" s="2">
        <f t="shared" si="235"/>
        <v>19</v>
      </c>
      <c r="AE1704" s="2">
        <f t="shared" si="236"/>
        <v>16</v>
      </c>
      <c r="AF1704" s="2">
        <f t="shared" si="237"/>
        <v>22</v>
      </c>
      <c r="AG1704" s="2">
        <f t="shared" si="238"/>
        <v>3</v>
      </c>
      <c r="AH1704" s="4">
        <f t="shared" si="239"/>
        <v>44745.901284722226</v>
      </c>
      <c r="AI1704" s="2" t="str">
        <f t="shared" si="240"/>
        <v/>
      </c>
      <c r="AJ1704" s="2" t="str">
        <f t="shared" si="241"/>
        <v/>
      </c>
      <c r="AK1704" s="2" t="str">
        <f t="shared" si="242"/>
        <v/>
      </c>
    </row>
    <row r="1705" spans="1:37" x14ac:dyDescent="0.25">
      <c r="A1705">
        <v>2848</v>
      </c>
      <c r="B1705" t="s">
        <v>1861</v>
      </c>
      <c r="C1705" t="s">
        <v>1577</v>
      </c>
      <c r="D1705" t="s">
        <v>1862</v>
      </c>
      <c r="E1705" t="s">
        <v>29</v>
      </c>
      <c r="F1705" t="s">
        <v>1863</v>
      </c>
      <c r="G1705" t="s">
        <v>31</v>
      </c>
      <c r="H1705" s="1">
        <v>44651.443379629629</v>
      </c>
      <c r="I1705" s="1">
        <v>44652.443379629629</v>
      </c>
      <c r="J1705" t="s">
        <v>32</v>
      </c>
      <c r="K1705" s="1">
        <v>44670.443379629629</v>
      </c>
      <c r="L1705" t="s">
        <v>39</v>
      </c>
      <c r="N1705" s="4">
        <v>44672.443379629629</v>
      </c>
      <c r="O1705" t="s">
        <v>39</v>
      </c>
      <c r="R1705" s="4">
        <v>44671.443379629629</v>
      </c>
      <c r="T1705">
        <v>0</v>
      </c>
      <c r="AC1705" s="2">
        <f t="shared" si="234"/>
        <v>1</v>
      </c>
      <c r="AD1705" s="2">
        <f t="shared" si="235"/>
        <v>19</v>
      </c>
      <c r="AE1705" s="2">
        <f t="shared" si="236"/>
        <v>18</v>
      </c>
      <c r="AF1705" s="2">
        <f t="shared" si="237"/>
        <v>20</v>
      </c>
      <c r="AG1705" s="2">
        <f t="shared" si="238"/>
        <v>1</v>
      </c>
      <c r="AH1705" s="4">
        <f t="shared" si="239"/>
        <v>44761.443379629629</v>
      </c>
      <c r="AI1705" s="2" t="str">
        <f t="shared" si="240"/>
        <v/>
      </c>
      <c r="AJ1705" s="2" t="str">
        <f t="shared" si="241"/>
        <v/>
      </c>
      <c r="AK1705" s="2" t="str">
        <f t="shared" si="242"/>
        <v/>
      </c>
    </row>
    <row r="1706" spans="1:37" x14ac:dyDescent="0.25">
      <c r="A1706">
        <v>2845</v>
      </c>
      <c r="B1706" t="s">
        <v>1864</v>
      </c>
      <c r="C1706" t="s">
        <v>1577</v>
      </c>
      <c r="D1706" t="s">
        <v>1862</v>
      </c>
      <c r="E1706" t="s">
        <v>29</v>
      </c>
      <c r="F1706" t="s">
        <v>1863</v>
      </c>
      <c r="G1706" t="s">
        <v>31</v>
      </c>
      <c r="H1706" s="1">
        <v>44650.443379629629</v>
      </c>
      <c r="I1706" s="1">
        <v>44653.443379629629</v>
      </c>
      <c r="J1706" t="s">
        <v>44</v>
      </c>
      <c r="K1706" s="1"/>
      <c r="T1706">
        <v>0</v>
      </c>
      <c r="AC1706" s="2">
        <f t="shared" si="234"/>
        <v>3</v>
      </c>
      <c r="AD1706" s="2" t="str">
        <f t="shared" si="235"/>
        <v/>
      </c>
      <c r="AE1706" s="2" t="str">
        <f t="shared" si="236"/>
        <v/>
      </c>
      <c r="AF1706" s="2" t="str">
        <f t="shared" si="237"/>
        <v/>
      </c>
      <c r="AG1706" s="2" t="str">
        <f t="shared" si="238"/>
        <v/>
      </c>
      <c r="AH1706" s="4" t="str">
        <f t="shared" si="239"/>
        <v/>
      </c>
      <c r="AI1706" s="2" t="str">
        <f t="shared" si="240"/>
        <v/>
      </c>
      <c r="AJ1706" s="2" t="str">
        <f t="shared" si="241"/>
        <v/>
      </c>
      <c r="AK1706" s="2" t="str">
        <f t="shared" si="242"/>
        <v/>
      </c>
    </row>
    <row r="1707" spans="1:37" x14ac:dyDescent="0.25">
      <c r="A1707">
        <v>2775</v>
      </c>
      <c r="B1707" t="s">
        <v>1865</v>
      </c>
      <c r="C1707" t="s">
        <v>1577</v>
      </c>
      <c r="D1707" t="s">
        <v>1862</v>
      </c>
      <c r="E1707" t="s">
        <v>29</v>
      </c>
      <c r="F1707" t="s">
        <v>1863</v>
      </c>
      <c r="G1707" t="s">
        <v>31</v>
      </c>
      <c r="H1707" s="1">
        <v>44681.777986111112</v>
      </c>
      <c r="I1707" s="1">
        <v>44684.777986111112</v>
      </c>
      <c r="J1707" t="s">
        <v>32</v>
      </c>
      <c r="K1707" s="1">
        <v>44701.777986111112</v>
      </c>
      <c r="L1707" t="s">
        <v>33</v>
      </c>
      <c r="M1707" t="s">
        <v>67</v>
      </c>
      <c r="T1707">
        <v>0</v>
      </c>
      <c r="Y1707" t="s">
        <v>35</v>
      </c>
      <c r="AC1707" s="2">
        <f t="shared" si="234"/>
        <v>3</v>
      </c>
      <c r="AD1707" s="2">
        <f t="shared" si="235"/>
        <v>20</v>
      </c>
      <c r="AE1707" s="2">
        <f t="shared" si="236"/>
        <v>17</v>
      </c>
      <c r="AF1707" s="2" t="str">
        <f t="shared" si="237"/>
        <v/>
      </c>
      <c r="AG1707" s="2" t="str">
        <f t="shared" si="238"/>
        <v/>
      </c>
      <c r="AH1707" s="4" t="str">
        <f t="shared" si="239"/>
        <v/>
      </c>
      <c r="AI1707" s="2" t="str">
        <f t="shared" si="240"/>
        <v/>
      </c>
      <c r="AJ1707" s="2" t="str">
        <f t="shared" si="241"/>
        <v/>
      </c>
      <c r="AK1707" s="2" t="str">
        <f t="shared" si="242"/>
        <v/>
      </c>
    </row>
    <row r="1708" spans="1:37" x14ac:dyDescent="0.25">
      <c r="A1708">
        <v>2773</v>
      </c>
      <c r="B1708" t="s">
        <v>1866</v>
      </c>
      <c r="C1708" t="s">
        <v>1577</v>
      </c>
      <c r="D1708" t="s">
        <v>1862</v>
      </c>
      <c r="E1708" t="s">
        <v>29</v>
      </c>
      <c r="F1708" t="s">
        <v>1863</v>
      </c>
      <c r="G1708" t="s">
        <v>31</v>
      </c>
      <c r="H1708" s="1">
        <v>44681.777986111112</v>
      </c>
      <c r="I1708" s="1">
        <v>44683.777986111112</v>
      </c>
      <c r="J1708" t="s">
        <v>32</v>
      </c>
      <c r="K1708" s="1">
        <v>44691.777986111112</v>
      </c>
      <c r="L1708" t="s">
        <v>39</v>
      </c>
      <c r="N1708" s="4">
        <v>44694.777986111112</v>
      </c>
      <c r="O1708" t="s">
        <v>39</v>
      </c>
      <c r="R1708" s="4">
        <v>44692.777986111112</v>
      </c>
      <c r="T1708">
        <v>0</v>
      </c>
      <c r="AC1708" s="2">
        <f t="shared" si="234"/>
        <v>2</v>
      </c>
      <c r="AD1708" s="2">
        <f t="shared" si="235"/>
        <v>10</v>
      </c>
      <c r="AE1708" s="2">
        <f t="shared" si="236"/>
        <v>8</v>
      </c>
      <c r="AF1708" s="2">
        <f t="shared" si="237"/>
        <v>11</v>
      </c>
      <c r="AG1708" s="2">
        <f t="shared" si="238"/>
        <v>1</v>
      </c>
      <c r="AH1708" s="4">
        <f t="shared" si="239"/>
        <v>44782.777986111112</v>
      </c>
      <c r="AI1708" s="2" t="str">
        <f t="shared" si="240"/>
        <v/>
      </c>
      <c r="AJ1708" s="2" t="str">
        <f t="shared" si="241"/>
        <v/>
      </c>
      <c r="AK1708" s="2" t="str">
        <f t="shared" si="242"/>
        <v/>
      </c>
    </row>
    <row r="1709" spans="1:37" x14ac:dyDescent="0.25">
      <c r="A1709">
        <v>2759</v>
      </c>
      <c r="B1709" t="s">
        <v>1867</v>
      </c>
      <c r="C1709" t="s">
        <v>1577</v>
      </c>
      <c r="D1709" t="s">
        <v>1862</v>
      </c>
      <c r="E1709" t="s">
        <v>29</v>
      </c>
      <c r="F1709" t="s">
        <v>1863</v>
      </c>
      <c r="G1709" t="s">
        <v>31</v>
      </c>
      <c r="H1709" s="1">
        <v>45027.765081018515</v>
      </c>
      <c r="I1709" s="1">
        <v>45030.765081018515</v>
      </c>
      <c r="J1709" t="s">
        <v>32</v>
      </c>
      <c r="K1709" s="1">
        <v>45038.765081018515</v>
      </c>
      <c r="L1709" t="s">
        <v>57</v>
      </c>
      <c r="N1709" s="4">
        <v>45040.765081018515</v>
      </c>
      <c r="O1709" t="s">
        <v>57</v>
      </c>
      <c r="P1709" s="4">
        <v>45040.765081018515</v>
      </c>
      <c r="Q1709" s="4">
        <v>45042.765081018515</v>
      </c>
      <c r="R1709" s="4">
        <v>45039.765081018515</v>
      </c>
      <c r="S1709" s="4">
        <v>45047.765081018515</v>
      </c>
      <c r="T1709">
        <v>1</v>
      </c>
      <c r="U1709" s="4">
        <v>45049.765081018515</v>
      </c>
      <c r="V1709" s="4">
        <v>45052.765081018515</v>
      </c>
      <c r="W1709" s="4">
        <v>45054.765081018515</v>
      </c>
      <c r="Z1709" s="4">
        <v>45076.765081018515</v>
      </c>
      <c r="AC1709" s="2">
        <f t="shared" si="234"/>
        <v>3</v>
      </c>
      <c r="AD1709" s="2">
        <f t="shared" si="235"/>
        <v>11</v>
      </c>
      <c r="AE1709" s="2">
        <f t="shared" si="236"/>
        <v>8</v>
      </c>
      <c r="AF1709" s="2">
        <f t="shared" si="237"/>
        <v>12</v>
      </c>
      <c r="AG1709" s="2">
        <f t="shared" si="238"/>
        <v>1</v>
      </c>
      <c r="AH1709" s="4">
        <f t="shared" si="239"/>
        <v>45129.765081018515</v>
      </c>
      <c r="AI1709" s="2">
        <f t="shared" si="240"/>
        <v>2</v>
      </c>
      <c r="AJ1709" s="2">
        <f t="shared" si="241"/>
        <v>37</v>
      </c>
      <c r="AK1709" s="2">
        <f t="shared" si="242"/>
        <v>15</v>
      </c>
    </row>
    <row r="1710" spans="1:37" x14ac:dyDescent="0.25">
      <c r="A1710">
        <v>2689</v>
      </c>
      <c r="B1710" t="s">
        <v>1868</v>
      </c>
      <c r="C1710" t="s">
        <v>1577</v>
      </c>
      <c r="D1710" t="s">
        <v>1862</v>
      </c>
      <c r="E1710" t="s">
        <v>29</v>
      </c>
      <c r="F1710" t="s">
        <v>1863</v>
      </c>
      <c r="G1710" t="s">
        <v>31</v>
      </c>
      <c r="H1710" s="1">
        <v>45135.716412037036</v>
      </c>
      <c r="I1710" s="1">
        <v>45138.716412037036</v>
      </c>
      <c r="J1710" t="s">
        <v>32</v>
      </c>
      <c r="K1710" s="1">
        <v>45156.716412037036</v>
      </c>
      <c r="L1710" t="s">
        <v>57</v>
      </c>
      <c r="N1710" s="4">
        <v>45164.716412037036</v>
      </c>
      <c r="O1710" t="s">
        <v>57</v>
      </c>
      <c r="P1710" s="4">
        <v>45158.716412037036</v>
      </c>
      <c r="Q1710" s="4">
        <v>45162.716412037036</v>
      </c>
      <c r="R1710" s="4">
        <v>45160.716412037036</v>
      </c>
      <c r="S1710" s="4">
        <v>45166.716412037036</v>
      </c>
      <c r="T1710">
        <v>1</v>
      </c>
      <c r="U1710" s="4">
        <v>45169.716412037036</v>
      </c>
      <c r="V1710" s="4">
        <v>45170.716412037036</v>
      </c>
      <c r="W1710" s="4">
        <v>45171.716412037036</v>
      </c>
      <c r="Z1710" s="4">
        <v>45185.716412037036</v>
      </c>
      <c r="AC1710" s="2">
        <f t="shared" si="234"/>
        <v>3</v>
      </c>
      <c r="AD1710" s="2">
        <f t="shared" si="235"/>
        <v>21</v>
      </c>
      <c r="AE1710" s="2">
        <f t="shared" si="236"/>
        <v>18</v>
      </c>
      <c r="AF1710" s="2">
        <f t="shared" si="237"/>
        <v>25</v>
      </c>
      <c r="AG1710" s="2">
        <f t="shared" si="238"/>
        <v>4</v>
      </c>
      <c r="AH1710" s="4">
        <f t="shared" si="239"/>
        <v>45250.716412037036</v>
      </c>
      <c r="AI1710" s="2">
        <f t="shared" si="240"/>
        <v>3</v>
      </c>
      <c r="AJ1710" s="2">
        <f t="shared" si="241"/>
        <v>25</v>
      </c>
      <c r="AK1710" s="2">
        <f t="shared" si="242"/>
        <v>11</v>
      </c>
    </row>
    <row r="1711" spans="1:37" x14ac:dyDescent="0.25">
      <c r="A1711">
        <v>2687</v>
      </c>
      <c r="B1711" t="s">
        <v>1869</v>
      </c>
      <c r="C1711" t="s">
        <v>1577</v>
      </c>
      <c r="D1711" t="s">
        <v>1862</v>
      </c>
      <c r="E1711" t="s">
        <v>29</v>
      </c>
      <c r="F1711" t="s">
        <v>1863</v>
      </c>
      <c r="G1711" t="s">
        <v>31</v>
      </c>
      <c r="H1711" s="1">
        <v>45134.716412037036</v>
      </c>
      <c r="I1711" s="1">
        <v>45137.716412037036</v>
      </c>
      <c r="J1711" t="s">
        <v>32</v>
      </c>
      <c r="K1711" s="1">
        <v>45146.716412037036</v>
      </c>
      <c r="L1711" t="s">
        <v>33</v>
      </c>
      <c r="M1711" t="s">
        <v>67</v>
      </c>
      <c r="R1711" s="4">
        <v>45150.716412037036</v>
      </c>
      <c r="T1711">
        <v>0</v>
      </c>
      <c r="Y1711" t="s">
        <v>35</v>
      </c>
      <c r="AC1711" s="2">
        <f t="shared" si="234"/>
        <v>3</v>
      </c>
      <c r="AD1711" s="2">
        <f t="shared" si="235"/>
        <v>12</v>
      </c>
      <c r="AE1711" s="2">
        <f t="shared" si="236"/>
        <v>9</v>
      </c>
      <c r="AF1711" s="2">
        <f t="shared" si="237"/>
        <v>16</v>
      </c>
      <c r="AG1711" s="2">
        <f t="shared" si="238"/>
        <v>4</v>
      </c>
      <c r="AH1711" s="4">
        <f t="shared" si="239"/>
        <v>45240.716412037036</v>
      </c>
      <c r="AI1711" s="2" t="str">
        <f t="shared" si="240"/>
        <v/>
      </c>
      <c r="AJ1711" s="2" t="str">
        <f t="shared" si="241"/>
        <v/>
      </c>
      <c r="AK1711" s="2" t="str">
        <f t="shared" si="242"/>
        <v/>
      </c>
    </row>
    <row r="1712" spans="1:37" x14ac:dyDescent="0.25">
      <c r="A1712">
        <v>2683</v>
      </c>
      <c r="B1712" t="s">
        <v>1870</v>
      </c>
      <c r="C1712" t="s">
        <v>1577</v>
      </c>
      <c r="D1712" t="s">
        <v>1862</v>
      </c>
      <c r="E1712" t="s">
        <v>29</v>
      </c>
      <c r="F1712" t="s">
        <v>1863</v>
      </c>
      <c r="G1712" t="s">
        <v>31</v>
      </c>
      <c r="H1712" s="1">
        <v>45139.716412037036</v>
      </c>
      <c r="I1712" s="1">
        <v>45141.716412037036</v>
      </c>
      <c r="J1712" t="s">
        <v>32</v>
      </c>
      <c r="K1712" s="1">
        <v>45156.716412037036</v>
      </c>
      <c r="L1712" t="s">
        <v>57</v>
      </c>
      <c r="N1712" s="4">
        <v>45164.716412037036</v>
      </c>
      <c r="O1712" t="s">
        <v>57</v>
      </c>
      <c r="P1712" s="4">
        <v>45157.716412037036</v>
      </c>
      <c r="Q1712" s="4">
        <v>45161.716412037036</v>
      </c>
      <c r="R1712" s="4">
        <v>45160.716412037036</v>
      </c>
      <c r="S1712" s="4">
        <v>45167.716412037036</v>
      </c>
      <c r="T1712">
        <v>1</v>
      </c>
      <c r="U1712" s="4">
        <v>45169.716412037036</v>
      </c>
      <c r="V1712" s="4">
        <v>45170.716412037036</v>
      </c>
      <c r="W1712" s="4">
        <v>45172.716412037036</v>
      </c>
      <c r="Z1712" s="4">
        <v>45194.716412037036</v>
      </c>
      <c r="AC1712" s="2">
        <f t="shared" si="234"/>
        <v>2</v>
      </c>
      <c r="AD1712" s="2">
        <f t="shared" si="235"/>
        <v>17</v>
      </c>
      <c r="AE1712" s="2">
        <f t="shared" si="236"/>
        <v>15</v>
      </c>
      <c r="AF1712" s="2">
        <f t="shared" si="237"/>
        <v>21</v>
      </c>
      <c r="AG1712" s="2">
        <f t="shared" si="238"/>
        <v>4</v>
      </c>
      <c r="AH1712" s="4">
        <f t="shared" si="239"/>
        <v>45250.716412037036</v>
      </c>
      <c r="AI1712" s="2">
        <f t="shared" si="240"/>
        <v>2</v>
      </c>
      <c r="AJ1712" s="2">
        <f t="shared" si="241"/>
        <v>34</v>
      </c>
      <c r="AK1712" s="2">
        <f t="shared" si="242"/>
        <v>12</v>
      </c>
    </row>
    <row r="1713" spans="1:37" x14ac:dyDescent="0.25">
      <c r="A1713">
        <v>2682</v>
      </c>
      <c r="B1713" t="s">
        <v>1871</v>
      </c>
      <c r="C1713" t="s">
        <v>1577</v>
      </c>
      <c r="D1713" t="s">
        <v>1862</v>
      </c>
      <c r="E1713" t="s">
        <v>29</v>
      </c>
      <c r="F1713" t="s">
        <v>1863</v>
      </c>
      <c r="G1713" t="s">
        <v>31</v>
      </c>
      <c r="H1713" s="1">
        <v>45138.716412037036</v>
      </c>
      <c r="I1713" s="1">
        <v>45139.716412037036</v>
      </c>
      <c r="J1713" t="s">
        <v>44</v>
      </c>
      <c r="K1713" s="1"/>
      <c r="T1713">
        <v>0</v>
      </c>
      <c r="AC1713" s="2">
        <f t="shared" si="234"/>
        <v>1</v>
      </c>
      <c r="AD1713" s="2" t="str">
        <f t="shared" si="235"/>
        <v/>
      </c>
      <c r="AE1713" s="2" t="str">
        <f t="shared" si="236"/>
        <v/>
      </c>
      <c r="AF1713" s="2" t="str">
        <f t="shared" si="237"/>
        <v/>
      </c>
      <c r="AG1713" s="2" t="str">
        <f t="shared" si="238"/>
        <v/>
      </c>
      <c r="AH1713" s="4" t="str">
        <f t="shared" si="239"/>
        <v/>
      </c>
      <c r="AI1713" s="2" t="str">
        <f t="shared" si="240"/>
        <v/>
      </c>
      <c r="AJ1713" s="2" t="str">
        <f t="shared" si="241"/>
        <v/>
      </c>
      <c r="AK1713" s="2" t="str">
        <f t="shared" si="242"/>
        <v/>
      </c>
    </row>
    <row r="1714" spans="1:37" x14ac:dyDescent="0.25">
      <c r="A1714">
        <v>2680</v>
      </c>
      <c r="B1714" t="s">
        <v>1872</v>
      </c>
      <c r="C1714" t="s">
        <v>1577</v>
      </c>
      <c r="D1714" t="s">
        <v>1862</v>
      </c>
      <c r="E1714" t="s">
        <v>29</v>
      </c>
      <c r="F1714" t="s">
        <v>1863</v>
      </c>
      <c r="G1714" t="s">
        <v>31</v>
      </c>
      <c r="H1714" s="1">
        <v>44599.141087962962</v>
      </c>
      <c r="I1714" s="1">
        <v>44602.141087962962</v>
      </c>
      <c r="J1714" t="s">
        <v>32</v>
      </c>
      <c r="K1714" s="1">
        <v>44625.141087962962</v>
      </c>
      <c r="L1714" t="s">
        <v>57</v>
      </c>
      <c r="N1714" s="4">
        <v>44632.141087962962</v>
      </c>
      <c r="O1714" t="s">
        <v>57</v>
      </c>
      <c r="P1714" s="4">
        <v>44627.141087962962</v>
      </c>
      <c r="Q1714" s="4">
        <v>44628.141087962962</v>
      </c>
      <c r="R1714" s="4">
        <v>44628.141087962962</v>
      </c>
      <c r="S1714" s="4">
        <v>44636.141087962962</v>
      </c>
      <c r="T1714">
        <v>1</v>
      </c>
      <c r="U1714" s="4">
        <v>44639.141087962962</v>
      </c>
      <c r="V1714" s="4">
        <v>44642.141087962962</v>
      </c>
      <c r="W1714" s="4">
        <v>44644.141087962962</v>
      </c>
      <c r="Z1714" s="4">
        <v>44653.141087962962</v>
      </c>
      <c r="AC1714" s="2">
        <f t="shared" si="234"/>
        <v>3</v>
      </c>
      <c r="AD1714" s="2">
        <f t="shared" si="235"/>
        <v>26</v>
      </c>
      <c r="AE1714" s="2">
        <f t="shared" si="236"/>
        <v>23</v>
      </c>
      <c r="AF1714" s="2">
        <f t="shared" si="237"/>
        <v>29</v>
      </c>
      <c r="AG1714" s="2">
        <f t="shared" si="238"/>
        <v>3</v>
      </c>
      <c r="AH1714" s="4">
        <f t="shared" si="239"/>
        <v>44718.141087962962</v>
      </c>
      <c r="AI1714" s="2">
        <f t="shared" si="240"/>
        <v>3</v>
      </c>
      <c r="AJ1714" s="2">
        <f t="shared" si="241"/>
        <v>25</v>
      </c>
      <c r="AK1714" s="2">
        <f t="shared" si="242"/>
        <v>16</v>
      </c>
    </row>
    <row r="1715" spans="1:37" x14ac:dyDescent="0.25">
      <c r="A1715">
        <v>2678</v>
      </c>
      <c r="B1715" t="s">
        <v>1873</v>
      </c>
      <c r="C1715" t="s">
        <v>1577</v>
      </c>
      <c r="D1715" t="s">
        <v>1862</v>
      </c>
      <c r="E1715" t="s">
        <v>29</v>
      </c>
      <c r="F1715" t="s">
        <v>1863</v>
      </c>
      <c r="G1715" t="s">
        <v>31</v>
      </c>
      <c r="H1715" s="1">
        <v>44605.141087962962</v>
      </c>
      <c r="I1715" s="1">
        <v>44606.141087962962</v>
      </c>
      <c r="J1715" t="s">
        <v>32</v>
      </c>
      <c r="K1715" s="1">
        <v>44612.141087962962</v>
      </c>
      <c r="L1715" t="s">
        <v>57</v>
      </c>
      <c r="N1715" s="4">
        <v>44615.141087962962</v>
      </c>
      <c r="O1715" t="s">
        <v>57</v>
      </c>
      <c r="P1715" s="4">
        <v>44614.141087962962</v>
      </c>
      <c r="Q1715" s="4">
        <v>44615.141087962962</v>
      </c>
      <c r="R1715" s="4">
        <v>44614.141087962962</v>
      </c>
      <c r="S1715" s="4">
        <v>44621.141087962962</v>
      </c>
      <c r="T1715">
        <v>1</v>
      </c>
      <c r="U1715" s="4">
        <v>44624.141087962962</v>
      </c>
      <c r="V1715" s="4">
        <v>44625.141087962962</v>
      </c>
      <c r="W1715" s="4">
        <v>44628.141087962962</v>
      </c>
      <c r="Z1715" s="4">
        <v>44647.141087962962</v>
      </c>
      <c r="AC1715" s="2">
        <f t="shared" si="234"/>
        <v>1</v>
      </c>
      <c r="AD1715" s="2">
        <f t="shared" si="235"/>
        <v>7</v>
      </c>
      <c r="AE1715" s="2">
        <f t="shared" si="236"/>
        <v>6</v>
      </c>
      <c r="AF1715" s="2">
        <f t="shared" si="237"/>
        <v>9</v>
      </c>
      <c r="AG1715" s="2">
        <f t="shared" si="238"/>
        <v>2</v>
      </c>
      <c r="AH1715" s="4">
        <f t="shared" si="239"/>
        <v>44704.141087962962</v>
      </c>
      <c r="AI1715" s="2">
        <f t="shared" si="240"/>
        <v>3</v>
      </c>
      <c r="AJ1715" s="2">
        <f t="shared" si="241"/>
        <v>33</v>
      </c>
      <c r="AK1715" s="2">
        <f t="shared" si="242"/>
        <v>14</v>
      </c>
    </row>
    <row r="1716" spans="1:37" x14ac:dyDescent="0.25">
      <c r="A1716">
        <v>2549</v>
      </c>
      <c r="B1716" t="s">
        <v>1874</v>
      </c>
      <c r="C1716" t="s">
        <v>1577</v>
      </c>
      <c r="D1716" t="s">
        <v>1862</v>
      </c>
      <c r="E1716" t="s">
        <v>29</v>
      </c>
      <c r="F1716" t="s">
        <v>1863</v>
      </c>
      <c r="G1716" t="s">
        <v>31</v>
      </c>
      <c r="H1716" s="1">
        <v>45108.479166666664</v>
      </c>
      <c r="I1716" s="1">
        <v>45111.479166666664</v>
      </c>
      <c r="J1716" t="s">
        <v>32</v>
      </c>
      <c r="K1716" s="1">
        <v>45116.479166666664</v>
      </c>
      <c r="L1716" t="s">
        <v>33</v>
      </c>
      <c r="M1716" t="s">
        <v>92</v>
      </c>
      <c r="T1716">
        <v>0</v>
      </c>
      <c r="Y1716" t="s">
        <v>55</v>
      </c>
      <c r="AC1716" s="2">
        <f t="shared" si="234"/>
        <v>3</v>
      </c>
      <c r="AD1716" s="2">
        <f t="shared" si="235"/>
        <v>8</v>
      </c>
      <c r="AE1716" s="2">
        <f t="shared" si="236"/>
        <v>5</v>
      </c>
      <c r="AF1716" s="2" t="str">
        <f t="shared" si="237"/>
        <v/>
      </c>
      <c r="AG1716" s="2" t="str">
        <f t="shared" si="238"/>
        <v/>
      </c>
      <c r="AH1716" s="4" t="str">
        <f t="shared" si="239"/>
        <v/>
      </c>
      <c r="AI1716" s="2" t="str">
        <f t="shared" si="240"/>
        <v/>
      </c>
      <c r="AJ1716" s="2" t="str">
        <f t="shared" si="241"/>
        <v/>
      </c>
      <c r="AK1716" s="2" t="str">
        <f t="shared" si="242"/>
        <v/>
      </c>
    </row>
    <row r="1717" spans="1:37" x14ac:dyDescent="0.25">
      <c r="A1717">
        <v>2543</v>
      </c>
      <c r="B1717" t="s">
        <v>1875</v>
      </c>
      <c r="C1717" t="s">
        <v>1577</v>
      </c>
      <c r="D1717" t="s">
        <v>1862</v>
      </c>
      <c r="E1717" t="s">
        <v>29</v>
      </c>
      <c r="F1717" t="s">
        <v>1863</v>
      </c>
      <c r="G1717" t="s">
        <v>31</v>
      </c>
      <c r="H1717" s="1">
        <v>45104.479166666664</v>
      </c>
      <c r="I1717" s="1">
        <v>45108.479166666664</v>
      </c>
      <c r="J1717" t="s">
        <v>44</v>
      </c>
      <c r="K1717" s="1"/>
      <c r="T1717">
        <v>0</v>
      </c>
      <c r="AC1717" s="2">
        <f t="shared" si="234"/>
        <v>4</v>
      </c>
      <c r="AD1717" s="2" t="str">
        <f t="shared" si="235"/>
        <v/>
      </c>
      <c r="AE1717" s="2" t="str">
        <f t="shared" si="236"/>
        <v/>
      </c>
      <c r="AF1717" s="2" t="str">
        <f t="shared" si="237"/>
        <v/>
      </c>
      <c r="AG1717" s="2" t="str">
        <f t="shared" si="238"/>
        <v/>
      </c>
      <c r="AH1717" s="4" t="str">
        <f t="shared" si="239"/>
        <v/>
      </c>
      <c r="AI1717" s="2" t="str">
        <f t="shared" si="240"/>
        <v/>
      </c>
      <c r="AJ1717" s="2" t="str">
        <f t="shared" si="241"/>
        <v/>
      </c>
      <c r="AK1717" s="2" t="str">
        <f t="shared" si="242"/>
        <v/>
      </c>
    </row>
    <row r="1718" spans="1:37" x14ac:dyDescent="0.25">
      <c r="A1718">
        <v>2510</v>
      </c>
      <c r="B1718" t="s">
        <v>1876</v>
      </c>
      <c r="C1718" t="s">
        <v>1577</v>
      </c>
      <c r="D1718" t="s">
        <v>1862</v>
      </c>
      <c r="E1718" t="s">
        <v>29</v>
      </c>
      <c r="F1718" t="s">
        <v>1863</v>
      </c>
      <c r="G1718" t="s">
        <v>31</v>
      </c>
      <c r="H1718" s="1">
        <v>44738.776979166665</v>
      </c>
      <c r="I1718" s="1">
        <v>44741.776979166665</v>
      </c>
      <c r="J1718" t="s">
        <v>32</v>
      </c>
      <c r="K1718" s="1">
        <v>44753.776979166665</v>
      </c>
      <c r="L1718" t="s">
        <v>39</v>
      </c>
      <c r="N1718" s="4">
        <v>44758.776979166665</v>
      </c>
      <c r="O1718" t="s">
        <v>39</v>
      </c>
      <c r="R1718" s="4">
        <v>44757.776979166665</v>
      </c>
      <c r="T1718">
        <v>0</v>
      </c>
      <c r="AC1718" s="2">
        <f t="shared" si="234"/>
        <v>3</v>
      </c>
      <c r="AD1718" s="2">
        <f t="shared" si="235"/>
        <v>15</v>
      </c>
      <c r="AE1718" s="2">
        <f t="shared" si="236"/>
        <v>12</v>
      </c>
      <c r="AF1718" s="2">
        <f t="shared" si="237"/>
        <v>19</v>
      </c>
      <c r="AG1718" s="2">
        <f t="shared" si="238"/>
        <v>4</v>
      </c>
      <c r="AH1718" s="4">
        <f t="shared" si="239"/>
        <v>44847.776979166665</v>
      </c>
      <c r="AI1718" s="2" t="str">
        <f t="shared" si="240"/>
        <v/>
      </c>
      <c r="AJ1718" s="2" t="str">
        <f t="shared" si="241"/>
        <v/>
      </c>
      <c r="AK1718" s="2" t="str">
        <f t="shared" si="242"/>
        <v/>
      </c>
    </row>
    <row r="1719" spans="1:37" x14ac:dyDescent="0.25">
      <c r="A1719">
        <v>2507</v>
      </c>
      <c r="B1719" t="s">
        <v>1877</v>
      </c>
      <c r="C1719" t="s">
        <v>1577</v>
      </c>
      <c r="D1719" t="s">
        <v>1862</v>
      </c>
      <c r="E1719" t="s">
        <v>29</v>
      </c>
      <c r="F1719" t="s">
        <v>1863</v>
      </c>
      <c r="G1719" t="s">
        <v>31</v>
      </c>
      <c r="H1719" s="1">
        <v>44736.776979166665</v>
      </c>
      <c r="I1719" s="1">
        <v>44740.776979166665</v>
      </c>
      <c r="J1719" t="s">
        <v>32</v>
      </c>
      <c r="K1719" s="1">
        <v>44751.776979166665</v>
      </c>
      <c r="L1719" t="s">
        <v>33</v>
      </c>
      <c r="M1719" t="s">
        <v>67</v>
      </c>
      <c r="R1719" s="4">
        <v>44754.776979166665</v>
      </c>
      <c r="T1719">
        <v>0</v>
      </c>
      <c r="Y1719" t="s">
        <v>35</v>
      </c>
      <c r="AC1719" s="2">
        <f t="shared" si="234"/>
        <v>4</v>
      </c>
      <c r="AD1719" s="2">
        <f t="shared" si="235"/>
        <v>15</v>
      </c>
      <c r="AE1719" s="2">
        <f t="shared" si="236"/>
        <v>11</v>
      </c>
      <c r="AF1719" s="2">
        <f t="shared" si="237"/>
        <v>18</v>
      </c>
      <c r="AG1719" s="2">
        <f t="shared" si="238"/>
        <v>3</v>
      </c>
      <c r="AH1719" s="4">
        <f t="shared" si="239"/>
        <v>44844.776979166665</v>
      </c>
      <c r="AI1719" s="2" t="str">
        <f t="shared" si="240"/>
        <v/>
      </c>
      <c r="AJ1719" s="2" t="str">
        <f t="shared" si="241"/>
        <v/>
      </c>
      <c r="AK1719" s="2" t="str">
        <f t="shared" si="242"/>
        <v/>
      </c>
    </row>
    <row r="1720" spans="1:37" x14ac:dyDescent="0.25">
      <c r="A1720">
        <v>2477</v>
      </c>
      <c r="B1720" t="s">
        <v>1878</v>
      </c>
      <c r="C1720" t="s">
        <v>1577</v>
      </c>
      <c r="D1720" t="s">
        <v>1862</v>
      </c>
      <c r="E1720" t="s">
        <v>29</v>
      </c>
      <c r="F1720" t="s">
        <v>1863</v>
      </c>
      <c r="G1720" t="s">
        <v>31</v>
      </c>
      <c r="H1720" s="1">
        <v>44915.430844907409</v>
      </c>
      <c r="I1720" s="1">
        <v>44917.430844907409</v>
      </c>
      <c r="J1720" t="s">
        <v>32</v>
      </c>
      <c r="K1720" s="1">
        <v>44931.430844907409</v>
      </c>
      <c r="L1720" t="s">
        <v>39</v>
      </c>
      <c r="N1720" s="4">
        <v>44938.430844907409</v>
      </c>
      <c r="O1720" t="s">
        <v>39</v>
      </c>
      <c r="R1720" s="4">
        <v>44934.430844907409</v>
      </c>
      <c r="T1720">
        <v>0</v>
      </c>
      <c r="AC1720" s="2">
        <f t="shared" si="234"/>
        <v>2</v>
      </c>
      <c r="AD1720" s="2">
        <f t="shared" si="235"/>
        <v>16</v>
      </c>
      <c r="AE1720" s="2">
        <f t="shared" si="236"/>
        <v>14</v>
      </c>
      <c r="AF1720" s="2">
        <f t="shared" si="237"/>
        <v>19</v>
      </c>
      <c r="AG1720" s="2">
        <f t="shared" si="238"/>
        <v>3</v>
      </c>
      <c r="AH1720" s="4">
        <f t="shared" si="239"/>
        <v>45024.430844907409</v>
      </c>
      <c r="AI1720" s="2" t="str">
        <f t="shared" si="240"/>
        <v/>
      </c>
      <c r="AJ1720" s="2" t="str">
        <f t="shared" si="241"/>
        <v/>
      </c>
      <c r="AK1720" s="2" t="str">
        <f t="shared" si="242"/>
        <v/>
      </c>
    </row>
    <row r="1721" spans="1:37" x14ac:dyDescent="0.25">
      <c r="A1721">
        <v>2473</v>
      </c>
      <c r="B1721" t="s">
        <v>1879</v>
      </c>
      <c r="C1721" t="s">
        <v>1577</v>
      </c>
      <c r="D1721" t="s">
        <v>1862</v>
      </c>
      <c r="E1721" t="s">
        <v>29</v>
      </c>
      <c r="F1721" t="s">
        <v>1863</v>
      </c>
      <c r="G1721" t="s">
        <v>31</v>
      </c>
      <c r="H1721" s="1">
        <v>44914.430844907409</v>
      </c>
      <c r="I1721" s="1">
        <v>44916.430844907409</v>
      </c>
      <c r="J1721" t="s">
        <v>32</v>
      </c>
      <c r="K1721" s="1">
        <v>44926.430844907409</v>
      </c>
      <c r="L1721" t="s">
        <v>57</v>
      </c>
      <c r="N1721" s="4">
        <v>44933.430844907409</v>
      </c>
      <c r="O1721" t="s">
        <v>57</v>
      </c>
      <c r="P1721" s="4">
        <v>44928.430844907409</v>
      </c>
      <c r="Q1721" s="4">
        <v>44931.430844907409</v>
      </c>
      <c r="R1721" s="4">
        <v>44929.430844907409</v>
      </c>
      <c r="S1721" s="4">
        <v>44937.430844907409</v>
      </c>
      <c r="T1721">
        <v>1</v>
      </c>
      <c r="U1721" s="4">
        <v>44940.430844907409</v>
      </c>
      <c r="V1721" s="4">
        <v>44943.430844907409</v>
      </c>
      <c r="W1721" s="4">
        <v>44946.430844907409</v>
      </c>
      <c r="Z1721" s="4">
        <v>44962.430844907409</v>
      </c>
      <c r="AC1721" s="2">
        <f t="shared" si="234"/>
        <v>2</v>
      </c>
      <c r="AD1721" s="2">
        <f t="shared" si="235"/>
        <v>12</v>
      </c>
      <c r="AE1721" s="2">
        <f t="shared" si="236"/>
        <v>10</v>
      </c>
      <c r="AF1721" s="2">
        <f t="shared" si="237"/>
        <v>15</v>
      </c>
      <c r="AG1721" s="2">
        <f t="shared" si="238"/>
        <v>3</v>
      </c>
      <c r="AH1721" s="4">
        <f t="shared" si="239"/>
        <v>45019.430844907409</v>
      </c>
      <c r="AI1721" s="2">
        <f t="shared" si="240"/>
        <v>3</v>
      </c>
      <c r="AJ1721" s="2">
        <f t="shared" si="241"/>
        <v>33</v>
      </c>
      <c r="AK1721" s="2">
        <f t="shared" si="242"/>
        <v>17</v>
      </c>
    </row>
    <row r="1722" spans="1:37" x14ac:dyDescent="0.25">
      <c r="A1722">
        <v>2358</v>
      </c>
      <c r="B1722" t="s">
        <v>1880</v>
      </c>
      <c r="C1722" t="s">
        <v>1577</v>
      </c>
      <c r="D1722" t="s">
        <v>1862</v>
      </c>
      <c r="E1722" t="s">
        <v>29</v>
      </c>
      <c r="F1722" t="s">
        <v>1863</v>
      </c>
      <c r="G1722" t="s">
        <v>31</v>
      </c>
      <c r="H1722" s="1">
        <v>45029.526319444441</v>
      </c>
      <c r="I1722" s="1">
        <v>45031.526319444441</v>
      </c>
      <c r="J1722" t="s">
        <v>32</v>
      </c>
      <c r="K1722" s="1">
        <v>45037.526319444441</v>
      </c>
      <c r="L1722" t="s">
        <v>33</v>
      </c>
      <c r="M1722" t="s">
        <v>92</v>
      </c>
      <c r="T1722">
        <v>0</v>
      </c>
      <c r="Y1722" t="s">
        <v>55</v>
      </c>
      <c r="AC1722" s="2">
        <f t="shared" si="234"/>
        <v>2</v>
      </c>
      <c r="AD1722" s="2">
        <f t="shared" si="235"/>
        <v>8</v>
      </c>
      <c r="AE1722" s="2">
        <f t="shared" si="236"/>
        <v>6</v>
      </c>
      <c r="AF1722" s="2" t="str">
        <f t="shared" si="237"/>
        <v/>
      </c>
      <c r="AG1722" s="2" t="str">
        <f t="shared" si="238"/>
        <v/>
      </c>
      <c r="AH1722" s="4" t="str">
        <f t="shared" si="239"/>
        <v/>
      </c>
      <c r="AI1722" s="2" t="str">
        <f t="shared" si="240"/>
        <v/>
      </c>
      <c r="AJ1722" s="2" t="str">
        <f t="shared" si="241"/>
        <v/>
      </c>
      <c r="AK1722" s="2" t="str">
        <f t="shared" si="242"/>
        <v/>
      </c>
    </row>
    <row r="1723" spans="1:37" x14ac:dyDescent="0.25">
      <c r="A1723">
        <v>2352</v>
      </c>
      <c r="B1723" t="s">
        <v>1881</v>
      </c>
      <c r="C1723" t="s">
        <v>1577</v>
      </c>
      <c r="D1723" t="s">
        <v>1862</v>
      </c>
      <c r="E1723" t="s">
        <v>29</v>
      </c>
      <c r="F1723" t="s">
        <v>1863</v>
      </c>
      <c r="G1723" t="s">
        <v>31</v>
      </c>
      <c r="H1723" s="1">
        <v>45027.526319444441</v>
      </c>
      <c r="I1723" s="1">
        <v>45030.526319444441</v>
      </c>
      <c r="J1723" t="s">
        <v>32</v>
      </c>
      <c r="K1723" s="1">
        <v>45044.526319444441</v>
      </c>
      <c r="L1723" t="s">
        <v>39</v>
      </c>
      <c r="N1723" s="4">
        <v>45049.526319444441</v>
      </c>
      <c r="O1723" t="s">
        <v>39</v>
      </c>
      <c r="R1723" s="4">
        <v>45046.526319444441</v>
      </c>
      <c r="T1723">
        <v>0</v>
      </c>
      <c r="AC1723" s="2">
        <f t="shared" si="234"/>
        <v>3</v>
      </c>
      <c r="AD1723" s="2">
        <f t="shared" si="235"/>
        <v>17</v>
      </c>
      <c r="AE1723" s="2">
        <f t="shared" si="236"/>
        <v>14</v>
      </c>
      <c r="AF1723" s="2">
        <f t="shared" si="237"/>
        <v>19</v>
      </c>
      <c r="AG1723" s="2">
        <f t="shared" si="238"/>
        <v>2</v>
      </c>
      <c r="AH1723" s="4">
        <f t="shared" si="239"/>
        <v>45136.526319444441</v>
      </c>
      <c r="AI1723" s="2" t="str">
        <f t="shared" si="240"/>
        <v/>
      </c>
      <c r="AJ1723" s="2" t="str">
        <f t="shared" si="241"/>
        <v/>
      </c>
      <c r="AK1723" s="2" t="str">
        <f t="shared" si="242"/>
        <v/>
      </c>
    </row>
    <row r="1724" spans="1:37" x14ac:dyDescent="0.25">
      <c r="A1724">
        <v>2329</v>
      </c>
      <c r="B1724" t="s">
        <v>1882</v>
      </c>
      <c r="C1724" t="s">
        <v>1577</v>
      </c>
      <c r="D1724" t="s">
        <v>1862</v>
      </c>
      <c r="E1724" t="s">
        <v>29</v>
      </c>
      <c r="F1724" t="s">
        <v>1863</v>
      </c>
      <c r="G1724" t="s">
        <v>31</v>
      </c>
      <c r="H1724" s="1">
        <v>44595.265613425923</v>
      </c>
      <c r="I1724" s="1">
        <v>44599.265613425923</v>
      </c>
      <c r="J1724" t="s">
        <v>44</v>
      </c>
      <c r="K1724" s="1"/>
      <c r="T1724">
        <v>0</v>
      </c>
      <c r="AC1724" s="2">
        <f t="shared" si="234"/>
        <v>4</v>
      </c>
      <c r="AD1724" s="2" t="str">
        <f t="shared" si="235"/>
        <v/>
      </c>
      <c r="AE1724" s="2" t="str">
        <f t="shared" si="236"/>
        <v/>
      </c>
      <c r="AF1724" s="2" t="str">
        <f t="shared" si="237"/>
        <v/>
      </c>
      <c r="AG1724" s="2" t="str">
        <f t="shared" si="238"/>
        <v/>
      </c>
      <c r="AH1724" s="4" t="str">
        <f t="shared" si="239"/>
        <v/>
      </c>
      <c r="AI1724" s="2" t="str">
        <f t="shared" si="240"/>
        <v/>
      </c>
      <c r="AJ1724" s="2" t="str">
        <f t="shared" si="241"/>
        <v/>
      </c>
      <c r="AK1724" s="2" t="str">
        <f t="shared" si="242"/>
        <v/>
      </c>
    </row>
    <row r="1725" spans="1:37" x14ac:dyDescent="0.25">
      <c r="A1725">
        <v>2327</v>
      </c>
      <c r="B1725" t="s">
        <v>1883</v>
      </c>
      <c r="C1725" t="s">
        <v>1577</v>
      </c>
      <c r="D1725" t="s">
        <v>1862</v>
      </c>
      <c r="E1725" t="s">
        <v>29</v>
      </c>
      <c r="F1725" t="s">
        <v>1863</v>
      </c>
      <c r="G1725" t="s">
        <v>31</v>
      </c>
      <c r="H1725" s="1">
        <v>44598.265613425923</v>
      </c>
      <c r="I1725" s="1">
        <v>44600.265613425923</v>
      </c>
      <c r="J1725" t="s">
        <v>32</v>
      </c>
      <c r="K1725" s="1">
        <v>44610.265613425923</v>
      </c>
      <c r="L1725" t="s">
        <v>33</v>
      </c>
      <c r="M1725" t="s">
        <v>67</v>
      </c>
      <c r="T1725">
        <v>0</v>
      </c>
      <c r="Y1725" t="s">
        <v>55</v>
      </c>
      <c r="AC1725" s="2">
        <f t="shared" si="234"/>
        <v>2</v>
      </c>
      <c r="AD1725" s="2">
        <f t="shared" si="235"/>
        <v>12</v>
      </c>
      <c r="AE1725" s="2">
        <f t="shared" si="236"/>
        <v>10</v>
      </c>
      <c r="AF1725" s="2" t="str">
        <f t="shared" si="237"/>
        <v/>
      </c>
      <c r="AG1725" s="2" t="str">
        <f t="shared" si="238"/>
        <v/>
      </c>
      <c r="AH1725" s="4" t="str">
        <f t="shared" si="239"/>
        <v/>
      </c>
      <c r="AI1725" s="2" t="str">
        <f t="shared" si="240"/>
        <v/>
      </c>
      <c r="AJ1725" s="2" t="str">
        <f t="shared" si="241"/>
        <v/>
      </c>
      <c r="AK1725" s="2" t="str">
        <f t="shared" si="242"/>
        <v/>
      </c>
    </row>
    <row r="1726" spans="1:37" x14ac:dyDescent="0.25">
      <c r="A1726">
        <v>2324</v>
      </c>
      <c r="B1726" t="s">
        <v>1884</v>
      </c>
      <c r="C1726" t="s">
        <v>1577</v>
      </c>
      <c r="D1726" t="s">
        <v>1862</v>
      </c>
      <c r="E1726" t="s">
        <v>29</v>
      </c>
      <c r="F1726" t="s">
        <v>1863</v>
      </c>
      <c r="G1726" t="s">
        <v>31</v>
      </c>
      <c r="H1726" s="1">
        <v>44594.265613425923</v>
      </c>
      <c r="I1726" s="1">
        <v>44597.265613425923</v>
      </c>
      <c r="J1726" t="s">
        <v>44</v>
      </c>
      <c r="K1726" s="1"/>
      <c r="T1726">
        <v>0</v>
      </c>
      <c r="AC1726" s="2">
        <f t="shared" si="234"/>
        <v>3</v>
      </c>
      <c r="AD1726" s="2" t="str">
        <f t="shared" si="235"/>
        <v/>
      </c>
      <c r="AE1726" s="2" t="str">
        <f t="shared" si="236"/>
        <v/>
      </c>
      <c r="AF1726" s="2" t="str">
        <f t="shared" si="237"/>
        <v/>
      </c>
      <c r="AG1726" s="2" t="str">
        <f t="shared" si="238"/>
        <v/>
      </c>
      <c r="AH1726" s="4" t="str">
        <f t="shared" si="239"/>
        <v/>
      </c>
      <c r="AI1726" s="2" t="str">
        <f t="shared" si="240"/>
        <v/>
      </c>
      <c r="AJ1726" s="2" t="str">
        <f t="shared" si="241"/>
        <v/>
      </c>
      <c r="AK1726" s="2" t="str">
        <f t="shared" si="242"/>
        <v/>
      </c>
    </row>
    <row r="1727" spans="1:37" x14ac:dyDescent="0.25">
      <c r="A1727">
        <v>2322</v>
      </c>
      <c r="B1727" t="s">
        <v>1885</v>
      </c>
      <c r="C1727" t="s">
        <v>1577</v>
      </c>
      <c r="D1727" t="s">
        <v>1862</v>
      </c>
      <c r="E1727" t="s">
        <v>29</v>
      </c>
      <c r="F1727" t="s">
        <v>1863</v>
      </c>
      <c r="G1727" t="s">
        <v>31</v>
      </c>
      <c r="H1727" s="1">
        <v>44594.265613425923</v>
      </c>
      <c r="I1727" s="1">
        <v>44598.265613425923</v>
      </c>
      <c r="J1727" t="s">
        <v>44</v>
      </c>
      <c r="K1727" s="1"/>
      <c r="T1727">
        <v>0</v>
      </c>
      <c r="AC1727" s="2">
        <f t="shared" si="234"/>
        <v>4</v>
      </c>
      <c r="AD1727" s="2" t="str">
        <f t="shared" si="235"/>
        <v/>
      </c>
      <c r="AE1727" s="2" t="str">
        <f t="shared" si="236"/>
        <v/>
      </c>
      <c r="AF1727" s="2" t="str">
        <f t="shared" si="237"/>
        <v/>
      </c>
      <c r="AG1727" s="2" t="str">
        <f t="shared" si="238"/>
        <v/>
      </c>
      <c r="AH1727" s="4" t="str">
        <f t="shared" si="239"/>
        <v/>
      </c>
      <c r="AI1727" s="2" t="str">
        <f t="shared" si="240"/>
        <v/>
      </c>
      <c r="AJ1727" s="2" t="str">
        <f t="shared" si="241"/>
        <v/>
      </c>
      <c r="AK1727" s="2" t="str">
        <f t="shared" si="242"/>
        <v/>
      </c>
    </row>
    <row r="1728" spans="1:37" x14ac:dyDescent="0.25">
      <c r="A1728">
        <v>2310</v>
      </c>
      <c r="B1728" t="s">
        <v>1886</v>
      </c>
      <c r="C1728" t="s">
        <v>1577</v>
      </c>
      <c r="D1728" t="s">
        <v>1862</v>
      </c>
      <c r="E1728" t="s">
        <v>29</v>
      </c>
      <c r="F1728" t="s">
        <v>1863</v>
      </c>
      <c r="G1728" t="s">
        <v>31</v>
      </c>
      <c r="H1728" s="1">
        <v>45098.08085648148</v>
      </c>
      <c r="I1728" s="1">
        <v>45100.08085648148</v>
      </c>
      <c r="J1728" t="s">
        <v>32</v>
      </c>
      <c r="K1728" s="1">
        <v>45110.08085648148</v>
      </c>
      <c r="L1728" t="s">
        <v>33</v>
      </c>
      <c r="M1728" t="s">
        <v>34</v>
      </c>
      <c r="T1728">
        <v>0</v>
      </c>
      <c r="Y1728" t="s">
        <v>35</v>
      </c>
      <c r="AC1728" s="2">
        <f t="shared" si="234"/>
        <v>2</v>
      </c>
      <c r="AD1728" s="2">
        <f t="shared" si="235"/>
        <v>12</v>
      </c>
      <c r="AE1728" s="2">
        <f t="shared" si="236"/>
        <v>10</v>
      </c>
      <c r="AF1728" s="2" t="str">
        <f t="shared" si="237"/>
        <v/>
      </c>
      <c r="AG1728" s="2" t="str">
        <f t="shared" si="238"/>
        <v/>
      </c>
      <c r="AH1728" s="4" t="str">
        <f t="shared" si="239"/>
        <v/>
      </c>
      <c r="AI1728" s="2" t="str">
        <f t="shared" si="240"/>
        <v/>
      </c>
      <c r="AJ1728" s="2" t="str">
        <f t="shared" si="241"/>
        <v/>
      </c>
      <c r="AK1728" s="2" t="str">
        <f t="shared" si="242"/>
        <v/>
      </c>
    </row>
    <row r="1729" spans="1:37" x14ac:dyDescent="0.25">
      <c r="A1729">
        <v>2303</v>
      </c>
      <c r="B1729" t="s">
        <v>1887</v>
      </c>
      <c r="C1729" t="s">
        <v>1577</v>
      </c>
      <c r="D1729" t="s">
        <v>1862</v>
      </c>
      <c r="E1729" t="s">
        <v>29</v>
      </c>
      <c r="F1729" t="s">
        <v>1863</v>
      </c>
      <c r="G1729" t="s">
        <v>31</v>
      </c>
      <c r="H1729" s="1">
        <v>45096.08085648148</v>
      </c>
      <c r="I1729" s="1">
        <v>45100.08085648148</v>
      </c>
      <c r="J1729" t="s">
        <v>32</v>
      </c>
      <c r="K1729" s="1">
        <v>45123.08085648148</v>
      </c>
      <c r="L1729" t="s">
        <v>33</v>
      </c>
      <c r="M1729" t="s">
        <v>67</v>
      </c>
      <c r="R1729" s="4">
        <v>45125.08085648148</v>
      </c>
      <c r="T1729">
        <v>0</v>
      </c>
      <c r="Y1729" t="s">
        <v>35</v>
      </c>
      <c r="AC1729" s="2">
        <f t="shared" si="234"/>
        <v>4</v>
      </c>
      <c r="AD1729" s="2">
        <f t="shared" si="235"/>
        <v>27</v>
      </c>
      <c r="AE1729" s="2">
        <f t="shared" si="236"/>
        <v>23</v>
      </c>
      <c r="AF1729" s="2">
        <f t="shared" si="237"/>
        <v>29</v>
      </c>
      <c r="AG1729" s="2">
        <f t="shared" si="238"/>
        <v>2</v>
      </c>
      <c r="AH1729" s="4">
        <f t="shared" si="239"/>
        <v>45215.08085648148</v>
      </c>
      <c r="AI1729" s="2" t="str">
        <f t="shared" si="240"/>
        <v/>
      </c>
      <c r="AJ1729" s="2" t="str">
        <f t="shared" si="241"/>
        <v/>
      </c>
      <c r="AK1729" s="2" t="str">
        <f t="shared" si="242"/>
        <v/>
      </c>
    </row>
    <row r="1730" spans="1:37" x14ac:dyDescent="0.25">
      <c r="A1730">
        <v>2289</v>
      </c>
      <c r="B1730" t="s">
        <v>1888</v>
      </c>
      <c r="C1730" t="s">
        <v>1577</v>
      </c>
      <c r="D1730" t="s">
        <v>1862</v>
      </c>
      <c r="E1730" t="s">
        <v>29</v>
      </c>
      <c r="F1730" t="s">
        <v>1863</v>
      </c>
      <c r="G1730" t="s">
        <v>31</v>
      </c>
      <c r="H1730" s="1">
        <v>44761.489282407405</v>
      </c>
      <c r="I1730" s="1">
        <v>44765.489282407405</v>
      </c>
      <c r="J1730" t="s">
        <v>32</v>
      </c>
      <c r="K1730" s="1">
        <v>44786.489282407405</v>
      </c>
      <c r="L1730" t="s">
        <v>57</v>
      </c>
      <c r="N1730" s="4">
        <v>44790.489282407405</v>
      </c>
      <c r="O1730" t="s">
        <v>57</v>
      </c>
      <c r="P1730" s="4">
        <v>44787.489282407405</v>
      </c>
      <c r="Q1730" s="4">
        <v>44791.489282407405</v>
      </c>
      <c r="R1730" s="4">
        <v>44789.489282407405</v>
      </c>
      <c r="S1730" s="4">
        <v>44798.489282407405</v>
      </c>
      <c r="T1730">
        <v>1</v>
      </c>
      <c r="U1730" s="4">
        <v>44801.489282407405</v>
      </c>
      <c r="V1730" s="4">
        <v>44802.489282407405</v>
      </c>
      <c r="W1730" s="4">
        <v>44804.489282407405</v>
      </c>
      <c r="Z1730" s="4">
        <v>44815.489282407405</v>
      </c>
      <c r="AC1730" s="2">
        <f t="shared" si="234"/>
        <v>4</v>
      </c>
      <c r="AD1730" s="2">
        <f t="shared" si="235"/>
        <v>25</v>
      </c>
      <c r="AE1730" s="2">
        <f t="shared" si="236"/>
        <v>21</v>
      </c>
      <c r="AF1730" s="2">
        <f t="shared" si="237"/>
        <v>28</v>
      </c>
      <c r="AG1730" s="2">
        <f t="shared" si="238"/>
        <v>3</v>
      </c>
      <c r="AH1730" s="4">
        <f t="shared" si="239"/>
        <v>44879.489282407405</v>
      </c>
      <c r="AI1730" s="2">
        <f t="shared" si="240"/>
        <v>3</v>
      </c>
      <c r="AJ1730" s="2">
        <f t="shared" si="241"/>
        <v>26</v>
      </c>
      <c r="AK1730" s="2">
        <f t="shared" si="242"/>
        <v>15</v>
      </c>
    </row>
    <row r="1731" spans="1:37" x14ac:dyDescent="0.25">
      <c r="A1731">
        <v>2288</v>
      </c>
      <c r="B1731" t="s">
        <v>1889</v>
      </c>
      <c r="C1731" t="s">
        <v>1577</v>
      </c>
      <c r="D1731" t="s">
        <v>1862</v>
      </c>
      <c r="E1731" t="s">
        <v>29</v>
      </c>
      <c r="F1731" t="s">
        <v>1863</v>
      </c>
      <c r="G1731" t="s">
        <v>31</v>
      </c>
      <c r="H1731" s="1">
        <v>44764.489282407405</v>
      </c>
      <c r="I1731" s="1">
        <v>44765.489282407405</v>
      </c>
      <c r="J1731" t="s">
        <v>44</v>
      </c>
      <c r="K1731" s="1"/>
      <c r="T1731">
        <v>0</v>
      </c>
      <c r="AC1731" s="2">
        <f t="shared" ref="AC1731:AC1794" si="243">IF(AND(I1731&lt;&gt;"",H1731&lt;&gt;""), I1731-H1731, "")</f>
        <v>1</v>
      </c>
      <c r="AD1731" s="2" t="str">
        <f t="shared" ref="AD1731:AD1794" si="244">IF(AND(K1731&lt;&gt;"",H1731&lt;&gt;""), K1731-H1731, "")</f>
        <v/>
      </c>
      <c r="AE1731" s="2" t="str">
        <f t="shared" ref="AE1731:AE1794" si="245">IF(AND(K1731&lt;&gt;"",I1731&lt;&gt;""), K1731-I1731, "")</f>
        <v/>
      </c>
      <c r="AF1731" s="2" t="str">
        <f t="shared" ref="AF1731:AF1794" si="246">IF(AND(R1731&lt;&gt;"",H1731&lt;&gt;""), R1731-H1731, "")</f>
        <v/>
      </c>
      <c r="AG1731" s="2" t="str">
        <f t="shared" ref="AG1731:AG1794" si="247">IF(AND(R1731&lt;&gt;"",K1731&lt;&gt;""), R1731-K1731, "")</f>
        <v/>
      </c>
      <c r="AH1731" s="4" t="str">
        <f t="shared" ref="AH1731:AH1794" si="248">IF(R1731&lt;&gt;"", R1731+90, "")</f>
        <v/>
      </c>
      <c r="AI1731" s="2" t="str">
        <f t="shared" ref="AI1731:AI1794" si="249">IF(AND(U1731&lt;&gt;"",S1731&lt;&gt;""), U1731-S1731, "")</f>
        <v/>
      </c>
      <c r="AJ1731" s="2" t="str">
        <f t="shared" ref="AJ1731:AJ1794" si="250">IF(AND(Z1731&lt;&gt;"",R1731&lt;&gt;""), Z1731-R1731, "")</f>
        <v/>
      </c>
      <c r="AK1731" s="2" t="str">
        <f t="shared" ref="AK1731:AK1794" si="251">IF(AND(W1731&lt;&gt;"",R1731&lt;&gt;""), W1731-R1731, "")</f>
        <v/>
      </c>
    </row>
    <row r="1732" spans="1:37" x14ac:dyDescent="0.25">
      <c r="A1732">
        <v>2284</v>
      </c>
      <c r="B1732" t="s">
        <v>1890</v>
      </c>
      <c r="C1732" t="s">
        <v>1577</v>
      </c>
      <c r="D1732" t="s">
        <v>1862</v>
      </c>
      <c r="E1732" t="s">
        <v>29</v>
      </c>
      <c r="F1732" t="s">
        <v>1863</v>
      </c>
      <c r="G1732" t="s">
        <v>31</v>
      </c>
      <c r="H1732" s="1">
        <v>44759.489282407405</v>
      </c>
      <c r="I1732" s="1">
        <v>44763.489282407405</v>
      </c>
      <c r="J1732" t="s">
        <v>32</v>
      </c>
      <c r="K1732" s="1">
        <v>44783.489282407405</v>
      </c>
      <c r="L1732" t="s">
        <v>33</v>
      </c>
      <c r="M1732" t="s">
        <v>34</v>
      </c>
      <c r="T1732">
        <v>0</v>
      </c>
      <c r="Y1732" t="s">
        <v>35</v>
      </c>
      <c r="AC1732" s="2">
        <f t="shared" si="243"/>
        <v>4</v>
      </c>
      <c r="AD1732" s="2">
        <f t="shared" si="244"/>
        <v>24</v>
      </c>
      <c r="AE1732" s="2">
        <f t="shared" si="245"/>
        <v>20</v>
      </c>
      <c r="AF1732" s="2" t="str">
        <f t="shared" si="246"/>
        <v/>
      </c>
      <c r="AG1732" s="2" t="str">
        <f t="shared" si="247"/>
        <v/>
      </c>
      <c r="AH1732" s="4" t="str">
        <f t="shared" si="248"/>
        <v/>
      </c>
      <c r="AI1732" s="2" t="str">
        <f t="shared" si="249"/>
        <v/>
      </c>
      <c r="AJ1732" s="2" t="str">
        <f t="shared" si="250"/>
        <v/>
      </c>
      <c r="AK1732" s="2" t="str">
        <f t="shared" si="251"/>
        <v/>
      </c>
    </row>
    <row r="1733" spans="1:37" x14ac:dyDescent="0.25">
      <c r="A1733">
        <v>2280</v>
      </c>
      <c r="B1733" t="s">
        <v>1891</v>
      </c>
      <c r="C1733" t="s">
        <v>1577</v>
      </c>
      <c r="D1733" t="s">
        <v>1862</v>
      </c>
      <c r="E1733" t="s">
        <v>29</v>
      </c>
      <c r="F1733" t="s">
        <v>1863</v>
      </c>
      <c r="G1733" t="s">
        <v>31</v>
      </c>
      <c r="H1733" s="1">
        <v>45165.90388888889</v>
      </c>
      <c r="I1733" s="1">
        <v>45166.90388888889</v>
      </c>
      <c r="J1733" t="s">
        <v>32</v>
      </c>
      <c r="K1733" s="1">
        <v>45180.90388888889</v>
      </c>
      <c r="L1733" t="s">
        <v>39</v>
      </c>
      <c r="N1733" s="4">
        <v>45184.90388888889</v>
      </c>
      <c r="O1733" t="s">
        <v>39</v>
      </c>
      <c r="R1733" s="4">
        <v>45181.90388888889</v>
      </c>
      <c r="T1733">
        <v>0</v>
      </c>
      <c r="AC1733" s="2">
        <f t="shared" si="243"/>
        <v>1</v>
      </c>
      <c r="AD1733" s="2">
        <f t="shared" si="244"/>
        <v>15</v>
      </c>
      <c r="AE1733" s="2">
        <f t="shared" si="245"/>
        <v>14</v>
      </c>
      <c r="AF1733" s="2">
        <f t="shared" si="246"/>
        <v>16</v>
      </c>
      <c r="AG1733" s="2">
        <f t="shared" si="247"/>
        <v>1</v>
      </c>
      <c r="AH1733" s="4">
        <f t="shared" si="248"/>
        <v>45271.90388888889</v>
      </c>
      <c r="AI1733" s="2" t="str">
        <f t="shared" si="249"/>
        <v/>
      </c>
      <c r="AJ1733" s="2" t="str">
        <f t="shared" si="250"/>
        <v/>
      </c>
      <c r="AK1733" s="2" t="str">
        <f t="shared" si="251"/>
        <v/>
      </c>
    </row>
    <row r="1734" spans="1:37" x14ac:dyDescent="0.25">
      <c r="A1734">
        <v>2277</v>
      </c>
      <c r="B1734" t="s">
        <v>1892</v>
      </c>
      <c r="C1734" t="s">
        <v>1577</v>
      </c>
      <c r="D1734" t="s">
        <v>1862</v>
      </c>
      <c r="E1734" t="s">
        <v>29</v>
      </c>
      <c r="F1734" t="s">
        <v>1863</v>
      </c>
      <c r="G1734" t="s">
        <v>31</v>
      </c>
      <c r="H1734" s="1">
        <v>45166.90388888889</v>
      </c>
      <c r="I1734" s="1">
        <v>45170.90388888889</v>
      </c>
      <c r="J1734" t="s">
        <v>32</v>
      </c>
      <c r="K1734" s="1">
        <v>45182.90388888889</v>
      </c>
      <c r="L1734" t="s">
        <v>33</v>
      </c>
      <c r="M1734" t="s">
        <v>67</v>
      </c>
      <c r="R1734" s="4">
        <v>45183.90388888889</v>
      </c>
      <c r="T1734">
        <v>0</v>
      </c>
      <c r="Y1734" t="s">
        <v>55</v>
      </c>
      <c r="AC1734" s="2">
        <f t="shared" si="243"/>
        <v>4</v>
      </c>
      <c r="AD1734" s="2">
        <f t="shared" si="244"/>
        <v>16</v>
      </c>
      <c r="AE1734" s="2">
        <f t="shared" si="245"/>
        <v>12</v>
      </c>
      <c r="AF1734" s="2">
        <f t="shared" si="246"/>
        <v>17</v>
      </c>
      <c r="AG1734" s="2">
        <f t="shared" si="247"/>
        <v>1</v>
      </c>
      <c r="AH1734" s="4">
        <f t="shared" si="248"/>
        <v>45273.90388888889</v>
      </c>
      <c r="AI1734" s="2" t="str">
        <f t="shared" si="249"/>
        <v/>
      </c>
      <c r="AJ1734" s="2" t="str">
        <f t="shared" si="250"/>
        <v/>
      </c>
      <c r="AK1734" s="2" t="str">
        <f t="shared" si="251"/>
        <v/>
      </c>
    </row>
    <row r="1735" spans="1:37" x14ac:dyDescent="0.25">
      <c r="A1735">
        <v>2276</v>
      </c>
      <c r="B1735" t="s">
        <v>1893</v>
      </c>
      <c r="C1735" t="s">
        <v>1577</v>
      </c>
      <c r="D1735" t="s">
        <v>1862</v>
      </c>
      <c r="E1735" t="s">
        <v>29</v>
      </c>
      <c r="F1735" t="s">
        <v>1863</v>
      </c>
      <c r="G1735" t="s">
        <v>31</v>
      </c>
      <c r="H1735" s="1">
        <v>45164.90388888889</v>
      </c>
      <c r="I1735" s="1">
        <v>45167.90388888889</v>
      </c>
      <c r="J1735" t="s">
        <v>32</v>
      </c>
      <c r="K1735" s="1">
        <v>45174.90388888889</v>
      </c>
      <c r="L1735" t="s">
        <v>33</v>
      </c>
      <c r="M1735" t="s">
        <v>108</v>
      </c>
      <c r="R1735" s="4">
        <v>45175.90388888889</v>
      </c>
      <c r="T1735">
        <v>0</v>
      </c>
      <c r="Y1735" t="s">
        <v>55</v>
      </c>
      <c r="AC1735" s="2">
        <f t="shared" si="243"/>
        <v>3</v>
      </c>
      <c r="AD1735" s="2">
        <f t="shared" si="244"/>
        <v>10</v>
      </c>
      <c r="AE1735" s="2">
        <f t="shared" si="245"/>
        <v>7</v>
      </c>
      <c r="AF1735" s="2">
        <f t="shared" si="246"/>
        <v>11</v>
      </c>
      <c r="AG1735" s="2">
        <f t="shared" si="247"/>
        <v>1</v>
      </c>
      <c r="AH1735" s="4">
        <f t="shared" si="248"/>
        <v>45265.90388888889</v>
      </c>
      <c r="AI1735" s="2" t="str">
        <f t="shared" si="249"/>
        <v/>
      </c>
      <c r="AJ1735" s="2" t="str">
        <f t="shared" si="250"/>
        <v/>
      </c>
      <c r="AK1735" s="2" t="str">
        <f t="shared" si="251"/>
        <v/>
      </c>
    </row>
    <row r="1736" spans="1:37" x14ac:dyDescent="0.25">
      <c r="A1736">
        <v>2236</v>
      </c>
      <c r="B1736" t="s">
        <v>1894</v>
      </c>
      <c r="C1736" t="s">
        <v>1577</v>
      </c>
      <c r="D1736" t="s">
        <v>1862</v>
      </c>
      <c r="E1736" t="s">
        <v>29</v>
      </c>
      <c r="F1736" t="s">
        <v>1863</v>
      </c>
      <c r="G1736" t="s">
        <v>31</v>
      </c>
      <c r="H1736" s="1">
        <v>45026.959444444445</v>
      </c>
      <c r="I1736" s="1">
        <v>45030.959444444445</v>
      </c>
      <c r="J1736" t="s">
        <v>32</v>
      </c>
      <c r="K1736" s="1">
        <v>45050.959444444445</v>
      </c>
      <c r="L1736" t="s">
        <v>33</v>
      </c>
      <c r="M1736" t="s">
        <v>51</v>
      </c>
      <c r="T1736">
        <v>0</v>
      </c>
      <c r="Y1736" t="s">
        <v>35</v>
      </c>
      <c r="AC1736" s="2">
        <f t="shared" si="243"/>
        <v>4</v>
      </c>
      <c r="AD1736" s="2">
        <f t="shared" si="244"/>
        <v>24</v>
      </c>
      <c r="AE1736" s="2">
        <f t="shared" si="245"/>
        <v>20</v>
      </c>
      <c r="AF1736" s="2" t="str">
        <f t="shared" si="246"/>
        <v/>
      </c>
      <c r="AG1736" s="2" t="str">
        <f t="shared" si="247"/>
        <v/>
      </c>
      <c r="AH1736" s="4" t="str">
        <f t="shared" si="248"/>
        <v/>
      </c>
      <c r="AI1736" s="2" t="str">
        <f t="shared" si="249"/>
        <v/>
      </c>
      <c r="AJ1736" s="2" t="str">
        <f t="shared" si="250"/>
        <v/>
      </c>
      <c r="AK1736" s="2" t="str">
        <f t="shared" si="251"/>
        <v/>
      </c>
    </row>
    <row r="1737" spans="1:37" x14ac:dyDescent="0.25">
      <c r="A1737">
        <v>2232</v>
      </c>
      <c r="B1737" t="s">
        <v>1895</v>
      </c>
      <c r="C1737" t="s">
        <v>1577</v>
      </c>
      <c r="D1737" t="s">
        <v>1862</v>
      </c>
      <c r="E1737" t="s">
        <v>29</v>
      </c>
      <c r="F1737" t="s">
        <v>1863</v>
      </c>
      <c r="G1737" t="s">
        <v>31</v>
      </c>
      <c r="H1737" s="1">
        <v>45031.959444444445</v>
      </c>
      <c r="I1737" s="1">
        <v>45033.959444444445</v>
      </c>
      <c r="J1737" t="s">
        <v>32</v>
      </c>
      <c r="K1737" s="1">
        <v>45041.959444444445</v>
      </c>
      <c r="L1737" t="s">
        <v>33</v>
      </c>
      <c r="M1737" t="s">
        <v>51</v>
      </c>
      <c r="T1737">
        <v>0</v>
      </c>
      <c r="Y1737" t="s">
        <v>55</v>
      </c>
      <c r="AC1737" s="2">
        <f t="shared" si="243"/>
        <v>2</v>
      </c>
      <c r="AD1737" s="2">
        <f t="shared" si="244"/>
        <v>10</v>
      </c>
      <c r="AE1737" s="2">
        <f t="shared" si="245"/>
        <v>8</v>
      </c>
      <c r="AF1737" s="2" t="str">
        <f t="shared" si="246"/>
        <v/>
      </c>
      <c r="AG1737" s="2" t="str">
        <f t="shared" si="247"/>
        <v/>
      </c>
      <c r="AH1737" s="4" t="str">
        <f t="shared" si="248"/>
        <v/>
      </c>
      <c r="AI1737" s="2" t="str">
        <f t="shared" si="249"/>
        <v/>
      </c>
      <c r="AJ1737" s="2" t="str">
        <f t="shared" si="250"/>
        <v/>
      </c>
      <c r="AK1737" s="2" t="str">
        <f t="shared" si="251"/>
        <v/>
      </c>
    </row>
    <row r="1738" spans="1:37" x14ac:dyDescent="0.25">
      <c r="A1738">
        <v>2179</v>
      </c>
      <c r="B1738" t="s">
        <v>1896</v>
      </c>
      <c r="C1738" t="s">
        <v>1577</v>
      </c>
      <c r="D1738" t="s">
        <v>1862</v>
      </c>
      <c r="E1738" t="s">
        <v>29</v>
      </c>
      <c r="F1738" t="s">
        <v>1863</v>
      </c>
      <c r="G1738" t="s">
        <v>31</v>
      </c>
      <c r="H1738" s="1">
        <v>44753.601967592593</v>
      </c>
      <c r="I1738" s="1">
        <v>44756.601967592593</v>
      </c>
      <c r="J1738" t="s">
        <v>32</v>
      </c>
      <c r="K1738" s="1">
        <v>44764.601967592593</v>
      </c>
      <c r="L1738" t="s">
        <v>39</v>
      </c>
      <c r="N1738" s="4">
        <v>44768.601967592593</v>
      </c>
      <c r="O1738" t="s">
        <v>39</v>
      </c>
      <c r="R1738" s="4">
        <v>44767.601967592593</v>
      </c>
      <c r="T1738">
        <v>0</v>
      </c>
      <c r="AC1738" s="2">
        <f t="shared" si="243"/>
        <v>3</v>
      </c>
      <c r="AD1738" s="2">
        <f t="shared" si="244"/>
        <v>11</v>
      </c>
      <c r="AE1738" s="2">
        <f t="shared" si="245"/>
        <v>8</v>
      </c>
      <c r="AF1738" s="2">
        <f t="shared" si="246"/>
        <v>14</v>
      </c>
      <c r="AG1738" s="2">
        <f t="shared" si="247"/>
        <v>3</v>
      </c>
      <c r="AH1738" s="4">
        <f t="shared" si="248"/>
        <v>44857.601967592593</v>
      </c>
      <c r="AI1738" s="2" t="str">
        <f t="shared" si="249"/>
        <v/>
      </c>
      <c r="AJ1738" s="2" t="str">
        <f t="shared" si="250"/>
        <v/>
      </c>
      <c r="AK1738" s="2" t="str">
        <f t="shared" si="251"/>
        <v/>
      </c>
    </row>
    <row r="1739" spans="1:37" x14ac:dyDescent="0.25">
      <c r="A1739">
        <v>2176</v>
      </c>
      <c r="B1739" t="s">
        <v>1897</v>
      </c>
      <c r="C1739" t="s">
        <v>1577</v>
      </c>
      <c r="D1739" t="s">
        <v>1862</v>
      </c>
      <c r="E1739" t="s">
        <v>29</v>
      </c>
      <c r="F1739" t="s">
        <v>1863</v>
      </c>
      <c r="G1739" t="s">
        <v>31</v>
      </c>
      <c r="H1739" s="1">
        <v>44754.601967592593</v>
      </c>
      <c r="I1739" s="1">
        <v>44758.601967592593</v>
      </c>
      <c r="J1739" t="s">
        <v>32</v>
      </c>
      <c r="K1739" s="1">
        <v>44762.601967592593</v>
      </c>
      <c r="L1739" t="s">
        <v>33</v>
      </c>
      <c r="M1739" t="s">
        <v>108</v>
      </c>
      <c r="R1739" s="4">
        <v>44764.601967592593</v>
      </c>
      <c r="T1739">
        <v>0</v>
      </c>
      <c r="Y1739" t="s">
        <v>35</v>
      </c>
      <c r="AC1739" s="2">
        <f t="shared" si="243"/>
        <v>4</v>
      </c>
      <c r="AD1739" s="2">
        <f t="shared" si="244"/>
        <v>8</v>
      </c>
      <c r="AE1739" s="2">
        <f t="shared" si="245"/>
        <v>4</v>
      </c>
      <c r="AF1739" s="2">
        <f t="shared" si="246"/>
        <v>10</v>
      </c>
      <c r="AG1739" s="2">
        <f t="shared" si="247"/>
        <v>2</v>
      </c>
      <c r="AH1739" s="4">
        <f t="shared" si="248"/>
        <v>44854.601967592593</v>
      </c>
      <c r="AI1739" s="2" t="str">
        <f t="shared" si="249"/>
        <v/>
      </c>
      <c r="AJ1739" s="2" t="str">
        <f t="shared" si="250"/>
        <v/>
      </c>
      <c r="AK1739" s="2" t="str">
        <f t="shared" si="251"/>
        <v/>
      </c>
    </row>
    <row r="1740" spans="1:37" x14ac:dyDescent="0.25">
      <c r="A1740">
        <v>2158</v>
      </c>
      <c r="B1740" t="s">
        <v>1898</v>
      </c>
      <c r="C1740" t="s">
        <v>1577</v>
      </c>
      <c r="D1740" t="s">
        <v>1862</v>
      </c>
      <c r="E1740" t="s">
        <v>29</v>
      </c>
      <c r="F1740" t="s">
        <v>1863</v>
      </c>
      <c r="G1740" t="s">
        <v>31</v>
      </c>
      <c r="H1740" s="1">
        <v>45141.393807870372</v>
      </c>
      <c r="I1740" s="1">
        <v>45142.393807870372</v>
      </c>
      <c r="J1740" t="s">
        <v>32</v>
      </c>
      <c r="K1740" s="1">
        <v>45150.393807870372</v>
      </c>
      <c r="L1740" t="s">
        <v>33</v>
      </c>
      <c r="M1740" t="s">
        <v>67</v>
      </c>
      <c r="R1740" s="4">
        <v>45153.393807870372</v>
      </c>
      <c r="T1740">
        <v>0</v>
      </c>
      <c r="Y1740" t="s">
        <v>35</v>
      </c>
      <c r="AC1740" s="2">
        <f t="shared" si="243"/>
        <v>1</v>
      </c>
      <c r="AD1740" s="2">
        <f t="shared" si="244"/>
        <v>9</v>
      </c>
      <c r="AE1740" s="2">
        <f t="shared" si="245"/>
        <v>8</v>
      </c>
      <c r="AF1740" s="2">
        <f t="shared" si="246"/>
        <v>12</v>
      </c>
      <c r="AG1740" s="2">
        <f t="shared" si="247"/>
        <v>3</v>
      </c>
      <c r="AH1740" s="4">
        <f t="shared" si="248"/>
        <v>45243.393807870372</v>
      </c>
      <c r="AI1740" s="2" t="str">
        <f t="shared" si="249"/>
        <v/>
      </c>
      <c r="AJ1740" s="2" t="str">
        <f t="shared" si="250"/>
        <v/>
      </c>
      <c r="AK1740" s="2" t="str">
        <f t="shared" si="251"/>
        <v/>
      </c>
    </row>
    <row r="1741" spans="1:37" x14ac:dyDescent="0.25">
      <c r="A1741">
        <v>2155</v>
      </c>
      <c r="B1741" t="s">
        <v>1899</v>
      </c>
      <c r="C1741" t="s">
        <v>1577</v>
      </c>
      <c r="D1741" t="s">
        <v>1862</v>
      </c>
      <c r="E1741" t="s">
        <v>29</v>
      </c>
      <c r="F1741" t="s">
        <v>1863</v>
      </c>
      <c r="G1741" t="s">
        <v>31</v>
      </c>
      <c r="H1741" s="1">
        <v>45140.393807870372</v>
      </c>
      <c r="I1741" s="1">
        <v>45142.393807870372</v>
      </c>
      <c r="J1741" t="s">
        <v>32</v>
      </c>
      <c r="K1741" s="1">
        <v>45156.393807870372</v>
      </c>
      <c r="L1741" t="s">
        <v>164</v>
      </c>
      <c r="N1741" s="4">
        <v>45160.393807870372</v>
      </c>
      <c r="O1741" t="s">
        <v>164</v>
      </c>
      <c r="R1741" s="4">
        <v>45159.393807870372</v>
      </c>
      <c r="T1741">
        <v>0</v>
      </c>
      <c r="AC1741" s="2">
        <f t="shared" si="243"/>
        <v>2</v>
      </c>
      <c r="AD1741" s="2">
        <f t="shared" si="244"/>
        <v>16</v>
      </c>
      <c r="AE1741" s="2">
        <f t="shared" si="245"/>
        <v>14</v>
      </c>
      <c r="AF1741" s="2">
        <f t="shared" si="246"/>
        <v>19</v>
      </c>
      <c r="AG1741" s="2">
        <f t="shared" si="247"/>
        <v>3</v>
      </c>
      <c r="AH1741" s="4">
        <f t="shared" si="248"/>
        <v>45249.393807870372</v>
      </c>
      <c r="AI1741" s="2" t="str">
        <f t="shared" si="249"/>
        <v/>
      </c>
      <c r="AJ1741" s="2" t="str">
        <f t="shared" si="250"/>
        <v/>
      </c>
      <c r="AK1741" s="2" t="str">
        <f t="shared" si="251"/>
        <v/>
      </c>
    </row>
    <row r="1742" spans="1:37" x14ac:dyDescent="0.25">
      <c r="A1742">
        <v>2086</v>
      </c>
      <c r="B1742" t="s">
        <v>1900</v>
      </c>
      <c r="C1742" t="s">
        <v>1577</v>
      </c>
      <c r="D1742" t="s">
        <v>1862</v>
      </c>
      <c r="E1742" t="s">
        <v>29</v>
      </c>
      <c r="F1742" t="s">
        <v>1863</v>
      </c>
      <c r="G1742" t="s">
        <v>31</v>
      </c>
      <c r="H1742" s="1">
        <v>44832.879004629627</v>
      </c>
      <c r="I1742" s="1">
        <v>44835.879004629627</v>
      </c>
      <c r="J1742" t="s">
        <v>44</v>
      </c>
      <c r="K1742" s="1"/>
      <c r="T1742">
        <v>0</v>
      </c>
      <c r="AC1742" s="2">
        <f t="shared" si="243"/>
        <v>3</v>
      </c>
      <c r="AD1742" s="2" t="str">
        <f t="shared" si="244"/>
        <v/>
      </c>
      <c r="AE1742" s="2" t="str">
        <f t="shared" si="245"/>
        <v/>
      </c>
      <c r="AF1742" s="2" t="str">
        <f t="shared" si="246"/>
        <v/>
      </c>
      <c r="AG1742" s="2" t="str">
        <f t="shared" si="247"/>
        <v/>
      </c>
      <c r="AH1742" s="4" t="str">
        <f t="shared" si="248"/>
        <v/>
      </c>
      <c r="AI1742" s="2" t="str">
        <f t="shared" si="249"/>
        <v/>
      </c>
      <c r="AJ1742" s="2" t="str">
        <f t="shared" si="250"/>
        <v/>
      </c>
      <c r="AK1742" s="2" t="str">
        <f t="shared" si="251"/>
        <v/>
      </c>
    </row>
    <row r="1743" spans="1:37" x14ac:dyDescent="0.25">
      <c r="A1743">
        <v>2082</v>
      </c>
      <c r="B1743" t="s">
        <v>1901</v>
      </c>
      <c r="C1743" t="s">
        <v>1577</v>
      </c>
      <c r="D1743" t="s">
        <v>1862</v>
      </c>
      <c r="E1743" t="s">
        <v>29</v>
      </c>
      <c r="F1743" t="s">
        <v>1863</v>
      </c>
      <c r="G1743" t="s">
        <v>31</v>
      </c>
      <c r="H1743" s="1">
        <v>44835.879004629627</v>
      </c>
      <c r="I1743" s="1">
        <v>44839.879004629627</v>
      </c>
      <c r="J1743" t="s">
        <v>32</v>
      </c>
      <c r="K1743" s="1">
        <v>44844.879004629627</v>
      </c>
      <c r="L1743" t="s">
        <v>39</v>
      </c>
      <c r="N1743" s="4">
        <v>44847.879004629627</v>
      </c>
      <c r="O1743" t="s">
        <v>39</v>
      </c>
      <c r="R1743" s="4">
        <v>44845.879004629627</v>
      </c>
      <c r="T1743">
        <v>0</v>
      </c>
      <c r="AC1743" s="2">
        <f t="shared" si="243"/>
        <v>4</v>
      </c>
      <c r="AD1743" s="2">
        <f t="shared" si="244"/>
        <v>9</v>
      </c>
      <c r="AE1743" s="2">
        <f t="shared" si="245"/>
        <v>5</v>
      </c>
      <c r="AF1743" s="2">
        <f t="shared" si="246"/>
        <v>10</v>
      </c>
      <c r="AG1743" s="2">
        <f t="shared" si="247"/>
        <v>1</v>
      </c>
      <c r="AH1743" s="4">
        <f t="shared" si="248"/>
        <v>44935.879004629627</v>
      </c>
      <c r="AI1743" s="2" t="str">
        <f t="shared" si="249"/>
        <v/>
      </c>
      <c r="AJ1743" s="2" t="str">
        <f t="shared" si="250"/>
        <v/>
      </c>
      <c r="AK1743" s="2" t="str">
        <f t="shared" si="251"/>
        <v/>
      </c>
    </row>
    <row r="1744" spans="1:37" x14ac:dyDescent="0.25">
      <c r="A1744">
        <v>1994</v>
      </c>
      <c r="B1744" t="s">
        <v>1902</v>
      </c>
      <c r="C1744" t="s">
        <v>1577</v>
      </c>
      <c r="D1744" t="s">
        <v>1862</v>
      </c>
      <c r="E1744" t="s">
        <v>29</v>
      </c>
      <c r="F1744" t="s">
        <v>1863</v>
      </c>
      <c r="G1744" t="s">
        <v>31</v>
      </c>
      <c r="H1744" s="1">
        <v>45016.653923611113</v>
      </c>
      <c r="I1744" s="1">
        <v>45019.653923611113</v>
      </c>
      <c r="J1744" t="s">
        <v>32</v>
      </c>
      <c r="K1744" s="1">
        <v>45035.653923611113</v>
      </c>
      <c r="L1744" t="s">
        <v>57</v>
      </c>
      <c r="N1744" s="4">
        <v>45041.653923611113</v>
      </c>
      <c r="O1744" t="s">
        <v>57</v>
      </c>
      <c r="P1744" s="4">
        <v>45037.653923611113</v>
      </c>
      <c r="Q1744" s="4">
        <v>45038.653923611113</v>
      </c>
      <c r="R1744" s="4">
        <v>45038.653923611113</v>
      </c>
      <c r="S1744" s="4">
        <v>45040.653923611113</v>
      </c>
      <c r="T1744">
        <v>1</v>
      </c>
      <c r="U1744" s="4">
        <v>45044.653923611113</v>
      </c>
      <c r="V1744" s="4">
        <v>45046.653923611113</v>
      </c>
      <c r="W1744" s="4">
        <v>45047.653923611113</v>
      </c>
      <c r="Z1744" s="4">
        <v>45067.653923611113</v>
      </c>
      <c r="AC1744" s="2">
        <f t="shared" si="243"/>
        <v>3</v>
      </c>
      <c r="AD1744" s="2">
        <f t="shared" si="244"/>
        <v>19</v>
      </c>
      <c r="AE1744" s="2">
        <f t="shared" si="245"/>
        <v>16</v>
      </c>
      <c r="AF1744" s="2">
        <f t="shared" si="246"/>
        <v>22</v>
      </c>
      <c r="AG1744" s="2">
        <f t="shared" si="247"/>
        <v>3</v>
      </c>
      <c r="AH1744" s="4">
        <f t="shared" si="248"/>
        <v>45128.653923611113</v>
      </c>
      <c r="AI1744" s="2">
        <f t="shared" si="249"/>
        <v>4</v>
      </c>
      <c r="AJ1744" s="2">
        <f t="shared" si="250"/>
        <v>29</v>
      </c>
      <c r="AK1744" s="2">
        <f t="shared" si="251"/>
        <v>9</v>
      </c>
    </row>
    <row r="1745" spans="1:37" x14ac:dyDescent="0.25">
      <c r="A1745">
        <v>1882</v>
      </c>
      <c r="B1745" t="s">
        <v>1903</v>
      </c>
      <c r="C1745" t="s">
        <v>1577</v>
      </c>
      <c r="D1745" t="s">
        <v>1862</v>
      </c>
      <c r="E1745" t="s">
        <v>29</v>
      </c>
      <c r="F1745" t="s">
        <v>1863</v>
      </c>
      <c r="G1745" t="s">
        <v>31</v>
      </c>
      <c r="H1745" s="1">
        <v>44845.425185185188</v>
      </c>
      <c r="I1745" s="1">
        <v>44847.425185185188</v>
      </c>
      <c r="J1745" t="s">
        <v>32</v>
      </c>
      <c r="K1745" s="1">
        <v>44856.425185185188</v>
      </c>
      <c r="L1745" t="s">
        <v>33</v>
      </c>
      <c r="M1745" t="s">
        <v>108</v>
      </c>
      <c r="R1745" s="4">
        <v>44858.425185185188</v>
      </c>
      <c r="T1745">
        <v>0</v>
      </c>
      <c r="Y1745" t="s">
        <v>35</v>
      </c>
      <c r="AC1745" s="2">
        <f t="shared" si="243"/>
        <v>2</v>
      </c>
      <c r="AD1745" s="2">
        <f t="shared" si="244"/>
        <v>11</v>
      </c>
      <c r="AE1745" s="2">
        <f t="shared" si="245"/>
        <v>9</v>
      </c>
      <c r="AF1745" s="2">
        <f t="shared" si="246"/>
        <v>13</v>
      </c>
      <c r="AG1745" s="2">
        <f t="shared" si="247"/>
        <v>2</v>
      </c>
      <c r="AH1745" s="4">
        <f t="shared" si="248"/>
        <v>44948.425185185188</v>
      </c>
      <c r="AI1745" s="2" t="str">
        <f t="shared" si="249"/>
        <v/>
      </c>
      <c r="AJ1745" s="2" t="str">
        <f t="shared" si="250"/>
        <v/>
      </c>
      <c r="AK1745" s="2" t="str">
        <f t="shared" si="251"/>
        <v/>
      </c>
    </row>
    <row r="1746" spans="1:37" x14ac:dyDescent="0.25">
      <c r="A1746">
        <v>1881</v>
      </c>
      <c r="B1746" t="s">
        <v>1904</v>
      </c>
      <c r="C1746" t="s">
        <v>1577</v>
      </c>
      <c r="D1746" t="s">
        <v>1862</v>
      </c>
      <c r="E1746" t="s">
        <v>1905</v>
      </c>
      <c r="F1746" t="s">
        <v>1906</v>
      </c>
      <c r="G1746" t="s">
        <v>31</v>
      </c>
      <c r="H1746" s="1">
        <v>44843.425185185188</v>
      </c>
      <c r="I1746" s="1">
        <v>44846.425185185188</v>
      </c>
      <c r="J1746" t="s">
        <v>32</v>
      </c>
      <c r="K1746" s="1">
        <v>44853.425185185188</v>
      </c>
      <c r="L1746" t="s">
        <v>33</v>
      </c>
      <c r="M1746" t="s">
        <v>34</v>
      </c>
      <c r="R1746" s="4">
        <v>44855.425185185188</v>
      </c>
      <c r="T1746">
        <v>0</v>
      </c>
      <c r="Y1746" t="s">
        <v>55</v>
      </c>
      <c r="AC1746" s="2">
        <f t="shared" si="243"/>
        <v>3</v>
      </c>
      <c r="AD1746" s="2">
        <f t="shared" si="244"/>
        <v>10</v>
      </c>
      <c r="AE1746" s="2">
        <f t="shared" si="245"/>
        <v>7</v>
      </c>
      <c r="AF1746" s="2">
        <f t="shared" si="246"/>
        <v>12</v>
      </c>
      <c r="AG1746" s="2">
        <f t="shared" si="247"/>
        <v>2</v>
      </c>
      <c r="AH1746" s="4">
        <f t="shared" si="248"/>
        <v>44945.425185185188</v>
      </c>
      <c r="AI1746" s="2" t="str">
        <f t="shared" si="249"/>
        <v/>
      </c>
      <c r="AJ1746" s="2" t="str">
        <f t="shared" si="250"/>
        <v/>
      </c>
      <c r="AK1746" s="2" t="str">
        <f t="shared" si="251"/>
        <v/>
      </c>
    </row>
    <row r="1747" spans="1:37" x14ac:dyDescent="0.25">
      <c r="A1747">
        <v>1869</v>
      </c>
      <c r="B1747" t="s">
        <v>1907</v>
      </c>
      <c r="C1747" t="s">
        <v>1577</v>
      </c>
      <c r="D1747" t="s">
        <v>1862</v>
      </c>
      <c r="E1747" t="s">
        <v>1905</v>
      </c>
      <c r="F1747" t="s">
        <v>1906</v>
      </c>
      <c r="G1747" t="s">
        <v>31</v>
      </c>
      <c r="H1747" s="1">
        <v>44639.350624999999</v>
      </c>
      <c r="I1747" s="1">
        <v>44640.350624999999</v>
      </c>
      <c r="J1747" t="s">
        <v>32</v>
      </c>
      <c r="K1747" s="1">
        <v>44654.350624999999</v>
      </c>
      <c r="L1747" t="s">
        <v>33</v>
      </c>
      <c r="M1747" t="s">
        <v>51</v>
      </c>
      <c r="R1747" s="4">
        <v>44655.350624999999</v>
      </c>
      <c r="T1747">
        <v>0</v>
      </c>
      <c r="Y1747" t="s">
        <v>55</v>
      </c>
      <c r="AC1747" s="2">
        <f t="shared" si="243"/>
        <v>1</v>
      </c>
      <c r="AD1747" s="2">
        <f t="shared" si="244"/>
        <v>15</v>
      </c>
      <c r="AE1747" s="2">
        <f t="shared" si="245"/>
        <v>14</v>
      </c>
      <c r="AF1747" s="2">
        <f t="shared" si="246"/>
        <v>16</v>
      </c>
      <c r="AG1747" s="2">
        <f t="shared" si="247"/>
        <v>1</v>
      </c>
      <c r="AH1747" s="4">
        <f t="shared" si="248"/>
        <v>44745.350624999999</v>
      </c>
      <c r="AI1747" s="2" t="str">
        <f t="shared" si="249"/>
        <v/>
      </c>
      <c r="AJ1747" s="2" t="str">
        <f t="shared" si="250"/>
        <v/>
      </c>
      <c r="AK1747" s="2" t="str">
        <f t="shared" si="251"/>
        <v/>
      </c>
    </row>
    <row r="1748" spans="1:37" x14ac:dyDescent="0.25">
      <c r="A1748">
        <v>1868</v>
      </c>
      <c r="B1748" t="s">
        <v>1908</v>
      </c>
      <c r="C1748" t="s">
        <v>1577</v>
      </c>
      <c r="D1748" t="s">
        <v>1862</v>
      </c>
      <c r="E1748" t="s">
        <v>1905</v>
      </c>
      <c r="F1748" t="s">
        <v>1906</v>
      </c>
      <c r="G1748" t="s">
        <v>31</v>
      </c>
      <c r="H1748" s="1">
        <v>44641.350624999999</v>
      </c>
      <c r="I1748" s="1">
        <v>44645.350624999999</v>
      </c>
      <c r="J1748" t="s">
        <v>32</v>
      </c>
      <c r="K1748" s="1">
        <v>44650.350624999999</v>
      </c>
      <c r="L1748" t="s">
        <v>33</v>
      </c>
      <c r="M1748" t="s">
        <v>34</v>
      </c>
      <c r="T1748">
        <v>0</v>
      </c>
      <c r="Y1748" t="s">
        <v>55</v>
      </c>
      <c r="AC1748" s="2">
        <f t="shared" si="243"/>
        <v>4</v>
      </c>
      <c r="AD1748" s="2">
        <f t="shared" si="244"/>
        <v>9</v>
      </c>
      <c r="AE1748" s="2">
        <f t="shared" si="245"/>
        <v>5</v>
      </c>
      <c r="AF1748" s="2" t="str">
        <f t="shared" si="246"/>
        <v/>
      </c>
      <c r="AG1748" s="2" t="str">
        <f t="shared" si="247"/>
        <v/>
      </c>
      <c r="AH1748" s="4" t="str">
        <f t="shared" si="248"/>
        <v/>
      </c>
      <c r="AI1748" s="2" t="str">
        <f t="shared" si="249"/>
        <v/>
      </c>
      <c r="AJ1748" s="2" t="str">
        <f t="shared" si="250"/>
        <v/>
      </c>
      <c r="AK1748" s="2" t="str">
        <f t="shared" si="251"/>
        <v/>
      </c>
    </row>
    <row r="1749" spans="1:37" x14ac:dyDescent="0.25">
      <c r="A1749">
        <v>1849</v>
      </c>
      <c r="B1749" t="s">
        <v>1909</v>
      </c>
      <c r="C1749" t="s">
        <v>1577</v>
      </c>
      <c r="D1749" t="s">
        <v>1862</v>
      </c>
      <c r="E1749" t="s">
        <v>1905</v>
      </c>
      <c r="F1749" t="s">
        <v>1906</v>
      </c>
      <c r="G1749" t="s">
        <v>31</v>
      </c>
      <c r="H1749" s="1">
        <v>44611.970185185186</v>
      </c>
      <c r="I1749" s="1">
        <v>44613.970185185186</v>
      </c>
      <c r="J1749" t="s">
        <v>32</v>
      </c>
      <c r="K1749" s="1">
        <v>44620.970185185186</v>
      </c>
      <c r="L1749" t="s">
        <v>57</v>
      </c>
      <c r="N1749" s="4">
        <v>44623.970185185186</v>
      </c>
      <c r="O1749" t="s">
        <v>57</v>
      </c>
      <c r="P1749" s="4">
        <v>44622.970185185186</v>
      </c>
      <c r="Q1749" s="4">
        <v>44625.970185185186</v>
      </c>
      <c r="R1749" s="4">
        <v>44622.970185185186</v>
      </c>
      <c r="S1749" s="4">
        <v>44632.970185185186</v>
      </c>
      <c r="T1749">
        <v>1</v>
      </c>
      <c r="U1749" s="4">
        <v>44633.970185185186</v>
      </c>
      <c r="V1749" s="4">
        <v>44635.970185185186</v>
      </c>
      <c r="W1749" s="4">
        <v>44636.970185185186</v>
      </c>
      <c r="Z1749" s="4">
        <v>44649.970185185186</v>
      </c>
      <c r="AC1749" s="2">
        <f t="shared" si="243"/>
        <v>2</v>
      </c>
      <c r="AD1749" s="2">
        <f t="shared" si="244"/>
        <v>9</v>
      </c>
      <c r="AE1749" s="2">
        <f t="shared" si="245"/>
        <v>7</v>
      </c>
      <c r="AF1749" s="2">
        <f t="shared" si="246"/>
        <v>11</v>
      </c>
      <c r="AG1749" s="2">
        <f t="shared" si="247"/>
        <v>2</v>
      </c>
      <c r="AH1749" s="4">
        <f t="shared" si="248"/>
        <v>44712.970185185186</v>
      </c>
      <c r="AI1749" s="2">
        <f t="shared" si="249"/>
        <v>1</v>
      </c>
      <c r="AJ1749" s="2">
        <f t="shared" si="250"/>
        <v>27</v>
      </c>
      <c r="AK1749" s="2">
        <f t="shared" si="251"/>
        <v>14</v>
      </c>
    </row>
    <row r="1750" spans="1:37" x14ac:dyDescent="0.25">
      <c r="A1750">
        <v>1847</v>
      </c>
      <c r="B1750" t="s">
        <v>1910</v>
      </c>
      <c r="C1750" t="s">
        <v>1577</v>
      </c>
      <c r="D1750" t="s">
        <v>1862</v>
      </c>
      <c r="E1750" t="s">
        <v>1905</v>
      </c>
      <c r="F1750" t="s">
        <v>1906</v>
      </c>
      <c r="G1750" t="s">
        <v>31</v>
      </c>
      <c r="H1750" s="1">
        <v>44606.970185185186</v>
      </c>
      <c r="I1750" s="1">
        <v>44609.970185185186</v>
      </c>
      <c r="J1750" t="s">
        <v>32</v>
      </c>
      <c r="K1750" s="1">
        <v>44618.970185185186</v>
      </c>
      <c r="L1750" t="s">
        <v>39</v>
      </c>
      <c r="N1750" s="4">
        <v>44625.970185185186</v>
      </c>
      <c r="O1750" t="s">
        <v>39</v>
      </c>
      <c r="R1750" s="4">
        <v>44622.970185185186</v>
      </c>
      <c r="T1750">
        <v>0</v>
      </c>
      <c r="AC1750" s="2">
        <f t="shared" si="243"/>
        <v>3</v>
      </c>
      <c r="AD1750" s="2">
        <f t="shared" si="244"/>
        <v>12</v>
      </c>
      <c r="AE1750" s="2">
        <f t="shared" si="245"/>
        <v>9</v>
      </c>
      <c r="AF1750" s="2">
        <f t="shared" si="246"/>
        <v>16</v>
      </c>
      <c r="AG1750" s="2">
        <f t="shared" si="247"/>
        <v>4</v>
      </c>
      <c r="AH1750" s="4">
        <f t="shared" si="248"/>
        <v>44712.970185185186</v>
      </c>
      <c r="AI1750" s="2" t="str">
        <f t="shared" si="249"/>
        <v/>
      </c>
      <c r="AJ1750" s="2" t="str">
        <f t="shared" si="250"/>
        <v/>
      </c>
      <c r="AK1750" s="2" t="str">
        <f t="shared" si="251"/>
        <v/>
      </c>
    </row>
    <row r="1751" spans="1:37" x14ac:dyDescent="0.25">
      <c r="A1751">
        <v>1821</v>
      </c>
      <c r="B1751" t="s">
        <v>1911</v>
      </c>
      <c r="C1751" t="s">
        <v>1577</v>
      </c>
      <c r="D1751" t="s">
        <v>1862</v>
      </c>
      <c r="E1751" t="s">
        <v>1905</v>
      </c>
      <c r="F1751" t="s">
        <v>1906</v>
      </c>
      <c r="G1751" t="s">
        <v>31</v>
      </c>
      <c r="H1751" s="1">
        <v>44659.459594907406</v>
      </c>
      <c r="I1751" s="1">
        <v>44663.459594907406</v>
      </c>
      <c r="J1751" t="s">
        <v>32</v>
      </c>
      <c r="K1751" s="1">
        <v>44683.459594907406</v>
      </c>
      <c r="L1751" t="s">
        <v>33</v>
      </c>
      <c r="M1751" t="s">
        <v>92</v>
      </c>
      <c r="T1751">
        <v>0</v>
      </c>
      <c r="Y1751" t="s">
        <v>35</v>
      </c>
      <c r="AC1751" s="2">
        <f t="shared" si="243"/>
        <v>4</v>
      </c>
      <c r="AD1751" s="2">
        <f t="shared" si="244"/>
        <v>24</v>
      </c>
      <c r="AE1751" s="2">
        <f t="shared" si="245"/>
        <v>20</v>
      </c>
      <c r="AF1751" s="2" t="str">
        <f t="shared" si="246"/>
        <v/>
      </c>
      <c r="AG1751" s="2" t="str">
        <f t="shared" si="247"/>
        <v/>
      </c>
      <c r="AH1751" s="4" t="str">
        <f t="shared" si="248"/>
        <v/>
      </c>
      <c r="AI1751" s="2" t="str">
        <f t="shared" si="249"/>
        <v/>
      </c>
      <c r="AJ1751" s="2" t="str">
        <f t="shared" si="250"/>
        <v/>
      </c>
      <c r="AK1751" s="2" t="str">
        <f t="shared" si="251"/>
        <v/>
      </c>
    </row>
    <row r="1752" spans="1:37" x14ac:dyDescent="0.25">
      <c r="A1752">
        <v>1733</v>
      </c>
      <c r="B1752" t="s">
        <v>1912</v>
      </c>
      <c r="C1752" t="s">
        <v>1577</v>
      </c>
      <c r="D1752" t="s">
        <v>1862</v>
      </c>
      <c r="E1752" t="s">
        <v>1905</v>
      </c>
      <c r="F1752" t="s">
        <v>1906</v>
      </c>
      <c r="G1752" t="s">
        <v>31</v>
      </c>
      <c r="H1752" s="1">
        <v>44564.634641203702</v>
      </c>
      <c r="I1752" s="1">
        <v>44565.634641203702</v>
      </c>
      <c r="J1752" t="s">
        <v>32</v>
      </c>
      <c r="K1752" s="1">
        <v>44573.634641203702</v>
      </c>
      <c r="L1752" t="s">
        <v>33</v>
      </c>
      <c r="M1752" t="s">
        <v>34</v>
      </c>
      <c r="R1752" s="4">
        <v>44576.634641203702</v>
      </c>
      <c r="T1752">
        <v>0</v>
      </c>
      <c r="Y1752" t="s">
        <v>55</v>
      </c>
      <c r="AC1752" s="2">
        <f t="shared" si="243"/>
        <v>1</v>
      </c>
      <c r="AD1752" s="2">
        <f t="shared" si="244"/>
        <v>9</v>
      </c>
      <c r="AE1752" s="2">
        <f t="shared" si="245"/>
        <v>8</v>
      </c>
      <c r="AF1752" s="2">
        <f t="shared" si="246"/>
        <v>12</v>
      </c>
      <c r="AG1752" s="2">
        <f t="shared" si="247"/>
        <v>3</v>
      </c>
      <c r="AH1752" s="4">
        <f t="shared" si="248"/>
        <v>44666.634641203702</v>
      </c>
      <c r="AI1752" s="2" t="str">
        <f t="shared" si="249"/>
        <v/>
      </c>
      <c r="AJ1752" s="2" t="str">
        <f t="shared" si="250"/>
        <v/>
      </c>
      <c r="AK1752" s="2" t="str">
        <f t="shared" si="251"/>
        <v/>
      </c>
    </row>
    <row r="1753" spans="1:37" x14ac:dyDescent="0.25">
      <c r="A1753">
        <v>1707</v>
      </c>
      <c r="B1753" t="s">
        <v>1913</v>
      </c>
      <c r="C1753" t="s">
        <v>1577</v>
      </c>
      <c r="D1753" t="s">
        <v>1862</v>
      </c>
      <c r="E1753" t="s">
        <v>1905</v>
      </c>
      <c r="F1753" t="s">
        <v>1906</v>
      </c>
      <c r="G1753" t="s">
        <v>31</v>
      </c>
      <c r="H1753" s="1">
        <v>44989.751342592594</v>
      </c>
      <c r="I1753" s="1">
        <v>44993.751342592594</v>
      </c>
      <c r="J1753" t="s">
        <v>32</v>
      </c>
      <c r="K1753" s="1">
        <v>45010.751342592594</v>
      </c>
      <c r="L1753" t="s">
        <v>33</v>
      </c>
      <c r="M1753" t="s">
        <v>92</v>
      </c>
      <c r="R1753" s="4">
        <v>45012.751342592594</v>
      </c>
      <c r="T1753">
        <v>0</v>
      </c>
      <c r="Y1753" t="s">
        <v>55</v>
      </c>
      <c r="AC1753" s="2">
        <f t="shared" si="243"/>
        <v>4</v>
      </c>
      <c r="AD1753" s="2">
        <f t="shared" si="244"/>
        <v>21</v>
      </c>
      <c r="AE1753" s="2">
        <f t="shared" si="245"/>
        <v>17</v>
      </c>
      <c r="AF1753" s="2">
        <f t="shared" si="246"/>
        <v>23</v>
      </c>
      <c r="AG1753" s="2">
        <f t="shared" si="247"/>
        <v>2</v>
      </c>
      <c r="AH1753" s="4">
        <f t="shared" si="248"/>
        <v>45102.751342592594</v>
      </c>
      <c r="AI1753" s="2" t="str">
        <f t="shared" si="249"/>
        <v/>
      </c>
      <c r="AJ1753" s="2" t="str">
        <f t="shared" si="250"/>
        <v/>
      </c>
      <c r="AK1753" s="2" t="str">
        <f t="shared" si="251"/>
        <v/>
      </c>
    </row>
    <row r="1754" spans="1:37" x14ac:dyDescent="0.25">
      <c r="A1754">
        <v>1634</v>
      </c>
      <c r="B1754" t="s">
        <v>1914</v>
      </c>
      <c r="C1754" t="s">
        <v>1577</v>
      </c>
      <c r="D1754" t="s">
        <v>1862</v>
      </c>
      <c r="E1754" t="s">
        <v>1905</v>
      </c>
      <c r="F1754" t="s">
        <v>1906</v>
      </c>
      <c r="G1754" t="s">
        <v>31</v>
      </c>
      <c r="H1754" s="1">
        <v>45171.320416666669</v>
      </c>
      <c r="I1754" s="1">
        <v>45175.320416666669</v>
      </c>
      <c r="J1754" t="s">
        <v>32</v>
      </c>
      <c r="K1754" s="1">
        <v>45191.320416666669</v>
      </c>
      <c r="L1754" t="s">
        <v>57</v>
      </c>
      <c r="N1754" s="4">
        <v>45196.320416666669</v>
      </c>
      <c r="O1754" t="s">
        <v>57</v>
      </c>
      <c r="P1754" s="4">
        <v>45193.320416666669</v>
      </c>
      <c r="Q1754" s="4">
        <v>45195.320416666669</v>
      </c>
      <c r="R1754" s="4">
        <v>45193.320416666669</v>
      </c>
      <c r="S1754" s="4">
        <v>45195.320416666669</v>
      </c>
      <c r="T1754">
        <v>1</v>
      </c>
      <c r="U1754" s="4">
        <v>45196.320416666669</v>
      </c>
      <c r="V1754" s="4">
        <v>45198.320416666669</v>
      </c>
      <c r="W1754" s="4">
        <v>45199.320416666669</v>
      </c>
      <c r="Z1754" s="4">
        <v>45215.320416666669</v>
      </c>
      <c r="AC1754" s="2">
        <f t="shared" si="243"/>
        <v>4</v>
      </c>
      <c r="AD1754" s="2">
        <f t="shared" si="244"/>
        <v>20</v>
      </c>
      <c r="AE1754" s="2">
        <f t="shared" si="245"/>
        <v>16</v>
      </c>
      <c r="AF1754" s="2">
        <f t="shared" si="246"/>
        <v>22</v>
      </c>
      <c r="AG1754" s="2">
        <f t="shared" si="247"/>
        <v>2</v>
      </c>
      <c r="AH1754" s="4">
        <f t="shared" si="248"/>
        <v>45283.320416666669</v>
      </c>
      <c r="AI1754" s="2">
        <f t="shared" si="249"/>
        <v>1</v>
      </c>
      <c r="AJ1754" s="2">
        <f t="shared" si="250"/>
        <v>22</v>
      </c>
      <c r="AK1754" s="2">
        <f t="shared" si="251"/>
        <v>6</v>
      </c>
    </row>
    <row r="1755" spans="1:37" x14ac:dyDescent="0.25">
      <c r="A1755">
        <v>1589</v>
      </c>
      <c r="B1755" t="s">
        <v>1915</v>
      </c>
      <c r="C1755" t="s">
        <v>1577</v>
      </c>
      <c r="D1755" t="s">
        <v>1862</v>
      </c>
      <c r="E1755" t="s">
        <v>1905</v>
      </c>
      <c r="F1755" t="s">
        <v>1906</v>
      </c>
      <c r="G1755" t="s">
        <v>31</v>
      </c>
      <c r="H1755" s="1">
        <v>45180.840821759259</v>
      </c>
      <c r="I1755" s="1">
        <v>45182.840821759259</v>
      </c>
      <c r="J1755" t="s">
        <v>32</v>
      </c>
      <c r="K1755" s="1">
        <v>45197.840821759259</v>
      </c>
      <c r="L1755" t="s">
        <v>39</v>
      </c>
      <c r="N1755" s="4">
        <v>45202.840821759259</v>
      </c>
      <c r="O1755" t="s">
        <v>39</v>
      </c>
      <c r="R1755" s="4">
        <v>45199.840821759259</v>
      </c>
      <c r="T1755">
        <v>0</v>
      </c>
      <c r="AC1755" s="2">
        <f t="shared" si="243"/>
        <v>2</v>
      </c>
      <c r="AD1755" s="2">
        <f t="shared" si="244"/>
        <v>17</v>
      </c>
      <c r="AE1755" s="2">
        <f t="shared" si="245"/>
        <v>15</v>
      </c>
      <c r="AF1755" s="2">
        <f t="shared" si="246"/>
        <v>19</v>
      </c>
      <c r="AG1755" s="2">
        <f t="shared" si="247"/>
        <v>2</v>
      </c>
      <c r="AH1755" s="4">
        <f t="shared" si="248"/>
        <v>45289.840821759259</v>
      </c>
      <c r="AI1755" s="2" t="str">
        <f t="shared" si="249"/>
        <v/>
      </c>
      <c r="AJ1755" s="2" t="str">
        <f t="shared" si="250"/>
        <v/>
      </c>
      <c r="AK1755" s="2" t="str">
        <f t="shared" si="251"/>
        <v/>
      </c>
    </row>
    <row r="1756" spans="1:37" x14ac:dyDescent="0.25">
      <c r="A1756">
        <v>1582</v>
      </c>
      <c r="B1756" t="s">
        <v>1916</v>
      </c>
      <c r="C1756" t="s">
        <v>1577</v>
      </c>
      <c r="D1756" t="s">
        <v>1862</v>
      </c>
      <c r="E1756" t="s">
        <v>1905</v>
      </c>
      <c r="F1756" t="s">
        <v>1906</v>
      </c>
      <c r="G1756" t="s">
        <v>31</v>
      </c>
      <c r="H1756" s="1">
        <v>45184.840821759259</v>
      </c>
      <c r="I1756" s="1">
        <v>45187.840821759259</v>
      </c>
      <c r="J1756" t="s">
        <v>32</v>
      </c>
      <c r="K1756" s="1">
        <v>45199.840821759259</v>
      </c>
      <c r="L1756" t="s">
        <v>33</v>
      </c>
      <c r="M1756" t="s">
        <v>34</v>
      </c>
      <c r="T1756">
        <v>0</v>
      </c>
      <c r="Y1756" t="s">
        <v>55</v>
      </c>
      <c r="AC1756" s="2">
        <f t="shared" si="243"/>
        <v>3</v>
      </c>
      <c r="AD1756" s="2">
        <f t="shared" si="244"/>
        <v>15</v>
      </c>
      <c r="AE1756" s="2">
        <f t="shared" si="245"/>
        <v>12</v>
      </c>
      <c r="AF1756" s="2" t="str">
        <f t="shared" si="246"/>
        <v/>
      </c>
      <c r="AG1756" s="2" t="str">
        <f t="shared" si="247"/>
        <v/>
      </c>
      <c r="AH1756" s="4" t="str">
        <f t="shared" si="248"/>
        <v/>
      </c>
      <c r="AI1756" s="2" t="str">
        <f t="shared" si="249"/>
        <v/>
      </c>
      <c r="AJ1756" s="2" t="str">
        <f t="shared" si="250"/>
        <v/>
      </c>
      <c r="AK1756" s="2" t="str">
        <f t="shared" si="251"/>
        <v/>
      </c>
    </row>
    <row r="1757" spans="1:37" x14ac:dyDescent="0.25">
      <c r="A1757">
        <v>1570</v>
      </c>
      <c r="B1757" t="s">
        <v>1917</v>
      </c>
      <c r="C1757" t="s">
        <v>1577</v>
      </c>
      <c r="D1757" t="s">
        <v>1862</v>
      </c>
      <c r="E1757" t="s">
        <v>1905</v>
      </c>
      <c r="F1757" t="s">
        <v>1906</v>
      </c>
      <c r="G1757" t="s">
        <v>31</v>
      </c>
      <c r="H1757" s="1">
        <v>44637.490486111114</v>
      </c>
      <c r="I1757" s="1">
        <v>44641.490486111114</v>
      </c>
      <c r="J1757" t="s">
        <v>32</v>
      </c>
      <c r="K1757" s="1">
        <v>44647.490486111114</v>
      </c>
      <c r="L1757" t="s">
        <v>33</v>
      </c>
      <c r="M1757" t="s">
        <v>92</v>
      </c>
      <c r="R1757" s="4">
        <v>44651.490486111114</v>
      </c>
      <c r="T1757">
        <v>0</v>
      </c>
      <c r="Y1757" t="s">
        <v>55</v>
      </c>
      <c r="AC1757" s="2">
        <f t="shared" si="243"/>
        <v>4</v>
      </c>
      <c r="AD1757" s="2">
        <f t="shared" si="244"/>
        <v>10</v>
      </c>
      <c r="AE1757" s="2">
        <f t="shared" si="245"/>
        <v>6</v>
      </c>
      <c r="AF1757" s="2">
        <f t="shared" si="246"/>
        <v>14</v>
      </c>
      <c r="AG1757" s="2">
        <f t="shared" si="247"/>
        <v>4</v>
      </c>
      <c r="AH1757" s="4">
        <f t="shared" si="248"/>
        <v>44741.490486111114</v>
      </c>
      <c r="AI1757" s="2" t="str">
        <f t="shared" si="249"/>
        <v/>
      </c>
      <c r="AJ1757" s="2" t="str">
        <f t="shared" si="250"/>
        <v/>
      </c>
      <c r="AK1757" s="2" t="str">
        <f t="shared" si="251"/>
        <v/>
      </c>
    </row>
    <row r="1758" spans="1:37" x14ac:dyDescent="0.25">
      <c r="A1758">
        <v>1548</v>
      </c>
      <c r="B1758" t="s">
        <v>1918</v>
      </c>
      <c r="C1758" t="s">
        <v>1577</v>
      </c>
      <c r="D1758" t="s">
        <v>1862</v>
      </c>
      <c r="E1758" t="s">
        <v>1905</v>
      </c>
      <c r="F1758" t="s">
        <v>1906</v>
      </c>
      <c r="G1758" t="s">
        <v>31</v>
      </c>
      <c r="H1758" s="1">
        <v>45073.849814814814</v>
      </c>
      <c r="I1758" s="1">
        <v>45075.849814814814</v>
      </c>
      <c r="J1758" t="s">
        <v>32</v>
      </c>
      <c r="K1758" s="1">
        <v>45089.849814814814</v>
      </c>
      <c r="L1758" t="s">
        <v>39</v>
      </c>
      <c r="N1758" s="4">
        <v>45094.849814814814</v>
      </c>
      <c r="O1758" t="s">
        <v>39</v>
      </c>
      <c r="R1758" s="4">
        <v>45092.849814814814</v>
      </c>
      <c r="T1758">
        <v>0</v>
      </c>
      <c r="AC1758" s="2">
        <f t="shared" si="243"/>
        <v>2</v>
      </c>
      <c r="AD1758" s="2">
        <f t="shared" si="244"/>
        <v>16</v>
      </c>
      <c r="AE1758" s="2">
        <f t="shared" si="245"/>
        <v>14</v>
      </c>
      <c r="AF1758" s="2">
        <f t="shared" si="246"/>
        <v>19</v>
      </c>
      <c r="AG1758" s="2">
        <f t="shared" si="247"/>
        <v>3</v>
      </c>
      <c r="AH1758" s="4">
        <f t="shared" si="248"/>
        <v>45182.849814814814</v>
      </c>
      <c r="AI1758" s="2" t="str">
        <f t="shared" si="249"/>
        <v/>
      </c>
      <c r="AJ1758" s="2" t="str">
        <f t="shared" si="250"/>
        <v/>
      </c>
      <c r="AK1758" s="2" t="str">
        <f t="shared" si="251"/>
        <v/>
      </c>
    </row>
    <row r="1759" spans="1:37" x14ac:dyDescent="0.25">
      <c r="A1759">
        <v>1543</v>
      </c>
      <c r="B1759" t="s">
        <v>1919</v>
      </c>
      <c r="C1759" t="s">
        <v>1577</v>
      </c>
      <c r="D1759" t="s">
        <v>1862</v>
      </c>
      <c r="E1759" t="s">
        <v>1905</v>
      </c>
      <c r="F1759" t="s">
        <v>1906</v>
      </c>
      <c r="G1759" t="s">
        <v>31</v>
      </c>
      <c r="H1759" s="1">
        <v>45073.849814814814</v>
      </c>
      <c r="I1759" s="1">
        <v>45077.849814814814</v>
      </c>
      <c r="J1759" t="s">
        <v>44</v>
      </c>
      <c r="K1759" s="1"/>
      <c r="T1759">
        <v>0</v>
      </c>
      <c r="AC1759" s="2">
        <f t="shared" si="243"/>
        <v>4</v>
      </c>
      <c r="AD1759" s="2" t="str">
        <f t="shared" si="244"/>
        <v/>
      </c>
      <c r="AE1759" s="2" t="str">
        <f t="shared" si="245"/>
        <v/>
      </c>
      <c r="AF1759" s="2" t="str">
        <f t="shared" si="246"/>
        <v/>
      </c>
      <c r="AG1759" s="2" t="str">
        <f t="shared" si="247"/>
        <v/>
      </c>
      <c r="AH1759" s="4" t="str">
        <f t="shared" si="248"/>
        <v/>
      </c>
      <c r="AI1759" s="2" t="str">
        <f t="shared" si="249"/>
        <v/>
      </c>
      <c r="AJ1759" s="2" t="str">
        <f t="shared" si="250"/>
        <v/>
      </c>
      <c r="AK1759" s="2" t="str">
        <f t="shared" si="251"/>
        <v/>
      </c>
    </row>
    <row r="1760" spans="1:37" x14ac:dyDescent="0.25">
      <c r="A1760">
        <v>1520</v>
      </c>
      <c r="B1760" t="s">
        <v>1920</v>
      </c>
      <c r="C1760" t="s">
        <v>1577</v>
      </c>
      <c r="D1760" t="s">
        <v>1862</v>
      </c>
      <c r="E1760" t="s">
        <v>1905</v>
      </c>
      <c r="F1760" t="s">
        <v>1906</v>
      </c>
      <c r="G1760" t="s">
        <v>31</v>
      </c>
      <c r="H1760" s="1">
        <v>44919.208773148152</v>
      </c>
      <c r="I1760" s="1">
        <v>44922.208773148152</v>
      </c>
      <c r="J1760" t="s">
        <v>32</v>
      </c>
      <c r="K1760" s="1">
        <v>44928.208773148152</v>
      </c>
      <c r="L1760" t="s">
        <v>33</v>
      </c>
      <c r="M1760" t="s">
        <v>67</v>
      </c>
      <c r="T1760">
        <v>0</v>
      </c>
      <c r="Y1760" t="s">
        <v>55</v>
      </c>
      <c r="AC1760" s="2">
        <f t="shared" si="243"/>
        <v>3</v>
      </c>
      <c r="AD1760" s="2">
        <f t="shared" si="244"/>
        <v>9</v>
      </c>
      <c r="AE1760" s="2">
        <f t="shared" si="245"/>
        <v>6</v>
      </c>
      <c r="AF1760" s="2" t="str">
        <f t="shared" si="246"/>
        <v/>
      </c>
      <c r="AG1760" s="2" t="str">
        <f t="shared" si="247"/>
        <v/>
      </c>
      <c r="AH1760" s="4" t="str">
        <f t="shared" si="248"/>
        <v/>
      </c>
      <c r="AI1760" s="2" t="str">
        <f t="shared" si="249"/>
        <v/>
      </c>
      <c r="AJ1760" s="2" t="str">
        <f t="shared" si="250"/>
        <v/>
      </c>
      <c r="AK1760" s="2" t="str">
        <f t="shared" si="251"/>
        <v/>
      </c>
    </row>
    <row r="1761" spans="1:37" x14ac:dyDescent="0.25">
      <c r="A1761">
        <v>1511</v>
      </c>
      <c r="B1761" t="s">
        <v>1921</v>
      </c>
      <c r="C1761" t="s">
        <v>1577</v>
      </c>
      <c r="D1761" t="s">
        <v>1862</v>
      </c>
      <c r="E1761" t="s">
        <v>1905</v>
      </c>
      <c r="F1761" t="s">
        <v>1906</v>
      </c>
      <c r="G1761" t="s">
        <v>31</v>
      </c>
      <c r="H1761" s="1">
        <v>44918.208773148152</v>
      </c>
      <c r="I1761" s="1">
        <v>44922.208773148152</v>
      </c>
      <c r="J1761" t="s">
        <v>32</v>
      </c>
      <c r="K1761" s="1">
        <v>44941.208773148152</v>
      </c>
      <c r="L1761" t="s">
        <v>57</v>
      </c>
      <c r="N1761" s="4">
        <v>44944.208773148152</v>
      </c>
      <c r="O1761" t="s">
        <v>57</v>
      </c>
      <c r="P1761" s="4">
        <v>44942.208773148152</v>
      </c>
      <c r="Q1761" s="4">
        <v>44946.208773148152</v>
      </c>
      <c r="R1761" s="4">
        <v>44943.208773148152</v>
      </c>
      <c r="S1761" s="4">
        <v>44951.208773148152</v>
      </c>
      <c r="T1761">
        <v>1</v>
      </c>
      <c r="U1761" s="4">
        <v>44955.208773148152</v>
      </c>
      <c r="V1761" s="4">
        <v>44957.208773148152</v>
      </c>
      <c r="W1761" s="4">
        <v>44960.208773148152</v>
      </c>
      <c r="Z1761" s="4">
        <v>44967.208773148152</v>
      </c>
      <c r="AC1761" s="2">
        <f t="shared" si="243"/>
        <v>4</v>
      </c>
      <c r="AD1761" s="2">
        <f t="shared" si="244"/>
        <v>23</v>
      </c>
      <c r="AE1761" s="2">
        <f t="shared" si="245"/>
        <v>19</v>
      </c>
      <c r="AF1761" s="2">
        <f t="shared" si="246"/>
        <v>25</v>
      </c>
      <c r="AG1761" s="2">
        <f t="shared" si="247"/>
        <v>2</v>
      </c>
      <c r="AH1761" s="4">
        <f t="shared" si="248"/>
        <v>45033.208773148152</v>
      </c>
      <c r="AI1761" s="2">
        <f t="shared" si="249"/>
        <v>4</v>
      </c>
      <c r="AJ1761" s="2">
        <f t="shared" si="250"/>
        <v>24</v>
      </c>
      <c r="AK1761" s="2">
        <f t="shared" si="251"/>
        <v>17</v>
      </c>
    </row>
    <row r="1762" spans="1:37" x14ac:dyDescent="0.25">
      <c r="A1762">
        <v>1439</v>
      </c>
      <c r="B1762" t="s">
        <v>1922</v>
      </c>
      <c r="C1762" t="s">
        <v>1577</v>
      </c>
      <c r="D1762" t="s">
        <v>1862</v>
      </c>
      <c r="E1762" t="s">
        <v>1905</v>
      </c>
      <c r="F1762" t="s">
        <v>1906</v>
      </c>
      <c r="G1762" t="s">
        <v>31</v>
      </c>
      <c r="H1762" s="1">
        <v>45084.936932870369</v>
      </c>
      <c r="I1762" s="1">
        <v>45087.936932870369</v>
      </c>
      <c r="J1762" t="s">
        <v>32</v>
      </c>
      <c r="K1762" s="1">
        <v>45101.936932870369</v>
      </c>
      <c r="L1762" t="s">
        <v>33</v>
      </c>
      <c r="M1762" t="s">
        <v>67</v>
      </c>
      <c r="T1762">
        <v>0</v>
      </c>
      <c r="Y1762" t="s">
        <v>35</v>
      </c>
      <c r="AC1762" s="2">
        <f t="shared" si="243"/>
        <v>3</v>
      </c>
      <c r="AD1762" s="2">
        <f t="shared" si="244"/>
        <v>17</v>
      </c>
      <c r="AE1762" s="2">
        <f t="shared" si="245"/>
        <v>14</v>
      </c>
      <c r="AF1762" s="2" t="str">
        <f t="shared" si="246"/>
        <v/>
      </c>
      <c r="AG1762" s="2" t="str">
        <f t="shared" si="247"/>
        <v/>
      </c>
      <c r="AH1762" s="4" t="str">
        <f t="shared" si="248"/>
        <v/>
      </c>
      <c r="AI1762" s="2" t="str">
        <f t="shared" si="249"/>
        <v/>
      </c>
      <c r="AJ1762" s="2" t="str">
        <f t="shared" si="250"/>
        <v/>
      </c>
      <c r="AK1762" s="2" t="str">
        <f t="shared" si="251"/>
        <v/>
      </c>
    </row>
    <row r="1763" spans="1:37" x14ac:dyDescent="0.25">
      <c r="A1763">
        <v>1438</v>
      </c>
      <c r="B1763" t="s">
        <v>1923</v>
      </c>
      <c r="C1763" t="s">
        <v>1577</v>
      </c>
      <c r="D1763" t="s">
        <v>1862</v>
      </c>
      <c r="E1763" t="s">
        <v>1905</v>
      </c>
      <c r="F1763" t="s">
        <v>1906</v>
      </c>
      <c r="G1763" t="s">
        <v>31</v>
      </c>
      <c r="H1763" s="1">
        <v>45084.936932870369</v>
      </c>
      <c r="I1763" s="1">
        <v>45088.936932870369</v>
      </c>
      <c r="J1763" t="s">
        <v>32</v>
      </c>
      <c r="K1763" s="1">
        <v>45094.936932870369</v>
      </c>
      <c r="L1763" t="s">
        <v>33</v>
      </c>
      <c r="M1763" t="s">
        <v>108</v>
      </c>
      <c r="T1763">
        <v>0</v>
      </c>
      <c r="Y1763" t="s">
        <v>55</v>
      </c>
      <c r="AC1763" s="2">
        <f t="shared" si="243"/>
        <v>4</v>
      </c>
      <c r="AD1763" s="2">
        <f t="shared" si="244"/>
        <v>10</v>
      </c>
      <c r="AE1763" s="2">
        <f t="shared" si="245"/>
        <v>6</v>
      </c>
      <c r="AF1763" s="2" t="str">
        <f t="shared" si="246"/>
        <v/>
      </c>
      <c r="AG1763" s="2" t="str">
        <f t="shared" si="247"/>
        <v/>
      </c>
      <c r="AH1763" s="4" t="str">
        <f t="shared" si="248"/>
        <v/>
      </c>
      <c r="AI1763" s="2" t="str">
        <f t="shared" si="249"/>
        <v/>
      </c>
      <c r="AJ1763" s="2" t="str">
        <f t="shared" si="250"/>
        <v/>
      </c>
      <c r="AK1763" s="2" t="str">
        <f t="shared" si="251"/>
        <v/>
      </c>
    </row>
    <row r="1764" spans="1:37" x14ac:dyDescent="0.25">
      <c r="A1764">
        <v>1431</v>
      </c>
      <c r="B1764" t="s">
        <v>1924</v>
      </c>
      <c r="C1764" t="s">
        <v>1577</v>
      </c>
      <c r="D1764" t="s">
        <v>1862</v>
      </c>
      <c r="E1764" t="s">
        <v>1905</v>
      </c>
      <c r="F1764" t="s">
        <v>1906</v>
      </c>
      <c r="G1764" t="s">
        <v>31</v>
      </c>
      <c r="H1764" s="1">
        <v>45086.936932870369</v>
      </c>
      <c r="I1764" s="1">
        <v>45088.936932870369</v>
      </c>
      <c r="J1764" t="s">
        <v>32</v>
      </c>
      <c r="K1764" s="1">
        <v>45101.936932870369</v>
      </c>
      <c r="L1764" t="s">
        <v>164</v>
      </c>
      <c r="N1764" s="4">
        <v>45105.936932870369</v>
      </c>
      <c r="O1764" t="s">
        <v>164</v>
      </c>
      <c r="R1764" s="4">
        <v>45103.936932870369</v>
      </c>
      <c r="T1764">
        <v>0</v>
      </c>
      <c r="AC1764" s="2">
        <f t="shared" si="243"/>
        <v>2</v>
      </c>
      <c r="AD1764" s="2">
        <f t="shared" si="244"/>
        <v>15</v>
      </c>
      <c r="AE1764" s="2">
        <f t="shared" si="245"/>
        <v>13</v>
      </c>
      <c r="AF1764" s="2">
        <f t="shared" si="246"/>
        <v>17</v>
      </c>
      <c r="AG1764" s="2">
        <f t="shared" si="247"/>
        <v>2</v>
      </c>
      <c r="AH1764" s="4">
        <f t="shared" si="248"/>
        <v>45193.936932870369</v>
      </c>
      <c r="AI1764" s="2" t="str">
        <f t="shared" si="249"/>
        <v/>
      </c>
      <c r="AJ1764" s="2" t="str">
        <f t="shared" si="250"/>
        <v/>
      </c>
      <c r="AK1764" s="2" t="str">
        <f t="shared" si="251"/>
        <v/>
      </c>
    </row>
    <row r="1765" spans="1:37" x14ac:dyDescent="0.25">
      <c r="A1765">
        <v>1333</v>
      </c>
      <c r="B1765" t="s">
        <v>1925</v>
      </c>
      <c r="C1765" t="s">
        <v>1577</v>
      </c>
      <c r="D1765" t="s">
        <v>1862</v>
      </c>
      <c r="E1765" t="s">
        <v>1905</v>
      </c>
      <c r="F1765" t="s">
        <v>1906</v>
      </c>
      <c r="G1765" t="s">
        <v>31</v>
      </c>
      <c r="H1765" s="1">
        <v>45169.691018518519</v>
      </c>
      <c r="I1765" s="1">
        <v>45172.691018518519</v>
      </c>
      <c r="J1765" t="s">
        <v>32</v>
      </c>
      <c r="K1765" s="1">
        <v>45185.691018518519</v>
      </c>
      <c r="L1765" t="s">
        <v>33</v>
      </c>
      <c r="M1765" t="s">
        <v>92</v>
      </c>
      <c r="T1765">
        <v>0</v>
      </c>
      <c r="Y1765" t="s">
        <v>35</v>
      </c>
      <c r="AC1765" s="2">
        <f t="shared" si="243"/>
        <v>3</v>
      </c>
      <c r="AD1765" s="2">
        <f t="shared" si="244"/>
        <v>16</v>
      </c>
      <c r="AE1765" s="2">
        <f t="shared" si="245"/>
        <v>13</v>
      </c>
      <c r="AF1765" s="2" t="str">
        <f t="shared" si="246"/>
        <v/>
      </c>
      <c r="AG1765" s="2" t="str">
        <f t="shared" si="247"/>
        <v/>
      </c>
      <c r="AH1765" s="4" t="str">
        <f t="shared" si="248"/>
        <v/>
      </c>
      <c r="AI1765" s="2" t="str">
        <f t="shared" si="249"/>
        <v/>
      </c>
      <c r="AJ1765" s="2" t="str">
        <f t="shared" si="250"/>
        <v/>
      </c>
      <c r="AK1765" s="2" t="str">
        <f t="shared" si="251"/>
        <v/>
      </c>
    </row>
    <row r="1766" spans="1:37" x14ac:dyDescent="0.25">
      <c r="A1766">
        <v>1331</v>
      </c>
      <c r="B1766" t="s">
        <v>1926</v>
      </c>
      <c r="C1766" t="s">
        <v>1577</v>
      </c>
      <c r="D1766" t="s">
        <v>1862</v>
      </c>
      <c r="E1766" t="s">
        <v>1905</v>
      </c>
      <c r="F1766" t="s">
        <v>1906</v>
      </c>
      <c r="G1766" t="s">
        <v>31</v>
      </c>
      <c r="H1766" s="1">
        <v>45165.691018518519</v>
      </c>
      <c r="I1766" s="1">
        <v>45169.691018518519</v>
      </c>
      <c r="J1766" t="s">
        <v>32</v>
      </c>
      <c r="K1766" s="1">
        <v>45179.691018518519</v>
      </c>
      <c r="L1766" t="s">
        <v>57</v>
      </c>
      <c r="N1766" s="4">
        <v>45185.691018518519</v>
      </c>
      <c r="O1766" t="s">
        <v>57</v>
      </c>
      <c r="P1766" s="4">
        <v>45180.691018518519</v>
      </c>
      <c r="Q1766" s="4">
        <v>45182.691018518519</v>
      </c>
      <c r="R1766" s="4">
        <v>45183.691018518519</v>
      </c>
      <c r="S1766" s="4">
        <v>45188.691018518519</v>
      </c>
      <c r="T1766">
        <v>1</v>
      </c>
      <c r="U1766" s="4">
        <v>45190.691018518519</v>
      </c>
      <c r="V1766" s="4">
        <v>45192.691018518519</v>
      </c>
      <c r="W1766" s="4">
        <v>45194.691018518519</v>
      </c>
      <c r="Z1766" s="4">
        <v>45207.691018518519</v>
      </c>
      <c r="AC1766" s="2">
        <f t="shared" si="243"/>
        <v>4</v>
      </c>
      <c r="AD1766" s="2">
        <f t="shared" si="244"/>
        <v>14</v>
      </c>
      <c r="AE1766" s="2">
        <f t="shared" si="245"/>
        <v>10</v>
      </c>
      <c r="AF1766" s="2">
        <f t="shared" si="246"/>
        <v>18</v>
      </c>
      <c r="AG1766" s="2">
        <f t="shared" si="247"/>
        <v>4</v>
      </c>
      <c r="AH1766" s="4">
        <f t="shared" si="248"/>
        <v>45273.691018518519</v>
      </c>
      <c r="AI1766" s="2">
        <f t="shared" si="249"/>
        <v>2</v>
      </c>
      <c r="AJ1766" s="2">
        <f t="shared" si="250"/>
        <v>24</v>
      </c>
      <c r="AK1766" s="2">
        <f t="shared" si="251"/>
        <v>11</v>
      </c>
    </row>
    <row r="1767" spans="1:37" x14ac:dyDescent="0.25">
      <c r="A1767">
        <v>1310</v>
      </c>
      <c r="B1767" t="s">
        <v>1927</v>
      </c>
      <c r="C1767" t="s">
        <v>1577</v>
      </c>
      <c r="D1767" t="s">
        <v>1862</v>
      </c>
      <c r="E1767" t="s">
        <v>1905</v>
      </c>
      <c r="F1767" t="s">
        <v>1906</v>
      </c>
      <c r="G1767" t="s">
        <v>31</v>
      </c>
      <c r="H1767" s="1">
        <v>44918.189664351848</v>
      </c>
      <c r="I1767" s="1">
        <v>44919.189664351848</v>
      </c>
      <c r="J1767" t="s">
        <v>32</v>
      </c>
      <c r="K1767" s="1">
        <v>44934.189664351848</v>
      </c>
      <c r="L1767" t="s">
        <v>33</v>
      </c>
      <c r="M1767" t="s">
        <v>34</v>
      </c>
      <c r="R1767" s="4">
        <v>44938.189664351848</v>
      </c>
      <c r="T1767">
        <v>0</v>
      </c>
      <c r="Y1767" t="s">
        <v>35</v>
      </c>
      <c r="AC1767" s="2">
        <f t="shared" si="243"/>
        <v>1</v>
      </c>
      <c r="AD1767" s="2">
        <f t="shared" si="244"/>
        <v>16</v>
      </c>
      <c r="AE1767" s="2">
        <f t="shared" si="245"/>
        <v>15</v>
      </c>
      <c r="AF1767" s="2">
        <f t="shared" si="246"/>
        <v>20</v>
      </c>
      <c r="AG1767" s="2">
        <f t="shared" si="247"/>
        <v>4</v>
      </c>
      <c r="AH1767" s="4">
        <f t="shared" si="248"/>
        <v>45028.189664351848</v>
      </c>
      <c r="AI1767" s="2" t="str">
        <f t="shared" si="249"/>
        <v/>
      </c>
      <c r="AJ1767" s="2" t="str">
        <f t="shared" si="250"/>
        <v/>
      </c>
      <c r="AK1767" s="2" t="str">
        <f t="shared" si="251"/>
        <v/>
      </c>
    </row>
    <row r="1768" spans="1:37" x14ac:dyDescent="0.25">
      <c r="A1768">
        <v>1304</v>
      </c>
      <c r="B1768" t="s">
        <v>1928</v>
      </c>
      <c r="C1768" t="s">
        <v>1577</v>
      </c>
      <c r="D1768" t="s">
        <v>1862</v>
      </c>
      <c r="E1768" t="s">
        <v>1905</v>
      </c>
      <c r="F1768" t="s">
        <v>1906</v>
      </c>
      <c r="G1768" t="s">
        <v>31</v>
      </c>
      <c r="H1768" s="1">
        <v>44912.189664351848</v>
      </c>
      <c r="I1768" s="1">
        <v>44916.189664351848</v>
      </c>
      <c r="J1768" t="s">
        <v>32</v>
      </c>
      <c r="K1768" s="1">
        <v>44928.189664351848</v>
      </c>
      <c r="L1768" t="s">
        <v>39</v>
      </c>
      <c r="N1768" s="4">
        <v>44932.189664351848</v>
      </c>
      <c r="O1768" t="s">
        <v>39</v>
      </c>
      <c r="R1768" s="4">
        <v>44930.189664351848</v>
      </c>
      <c r="T1768">
        <v>0</v>
      </c>
      <c r="AC1768" s="2">
        <f t="shared" si="243"/>
        <v>4</v>
      </c>
      <c r="AD1768" s="2">
        <f t="shared" si="244"/>
        <v>16</v>
      </c>
      <c r="AE1768" s="2">
        <f t="shared" si="245"/>
        <v>12</v>
      </c>
      <c r="AF1768" s="2">
        <f t="shared" si="246"/>
        <v>18</v>
      </c>
      <c r="AG1768" s="2">
        <f t="shared" si="247"/>
        <v>2</v>
      </c>
      <c r="AH1768" s="4">
        <f t="shared" si="248"/>
        <v>45020.189664351848</v>
      </c>
      <c r="AI1768" s="2" t="str">
        <f t="shared" si="249"/>
        <v/>
      </c>
      <c r="AJ1768" s="2" t="str">
        <f t="shared" si="250"/>
        <v/>
      </c>
      <c r="AK1768" s="2" t="str">
        <f t="shared" si="251"/>
        <v/>
      </c>
    </row>
    <row r="1769" spans="1:37" x14ac:dyDescent="0.25">
      <c r="A1769">
        <v>1303</v>
      </c>
      <c r="B1769" t="s">
        <v>1929</v>
      </c>
      <c r="C1769" t="s">
        <v>1577</v>
      </c>
      <c r="D1769" t="s">
        <v>1862</v>
      </c>
      <c r="E1769" t="s">
        <v>1905</v>
      </c>
      <c r="F1769" t="s">
        <v>1906</v>
      </c>
      <c r="G1769" t="s">
        <v>31</v>
      </c>
      <c r="H1769" s="1">
        <v>44915.189664351848</v>
      </c>
      <c r="I1769" s="1">
        <v>44919.189664351848</v>
      </c>
      <c r="J1769" t="s">
        <v>32</v>
      </c>
      <c r="K1769" s="1">
        <v>44924.189664351848</v>
      </c>
      <c r="L1769" t="s">
        <v>57</v>
      </c>
      <c r="N1769" s="4">
        <v>44930.189664351848</v>
      </c>
      <c r="O1769" t="s">
        <v>57</v>
      </c>
      <c r="P1769" s="4">
        <v>44925.189664351848</v>
      </c>
      <c r="Q1769" s="4">
        <v>44927.189664351848</v>
      </c>
      <c r="R1769" s="4">
        <v>44928.189664351848</v>
      </c>
      <c r="S1769" s="4">
        <v>44931.189664351848</v>
      </c>
      <c r="T1769">
        <v>1</v>
      </c>
      <c r="U1769" s="4">
        <v>44935.189664351848</v>
      </c>
      <c r="V1769" s="4">
        <v>44936.189664351848</v>
      </c>
      <c r="W1769" s="4">
        <v>44939.189664351848</v>
      </c>
      <c r="Z1769" s="4">
        <v>44950.189664351848</v>
      </c>
      <c r="AC1769" s="2">
        <f t="shared" si="243"/>
        <v>4</v>
      </c>
      <c r="AD1769" s="2">
        <f t="shared" si="244"/>
        <v>9</v>
      </c>
      <c r="AE1769" s="2">
        <f t="shared" si="245"/>
        <v>5</v>
      </c>
      <c r="AF1769" s="2">
        <f t="shared" si="246"/>
        <v>13</v>
      </c>
      <c r="AG1769" s="2">
        <f t="shared" si="247"/>
        <v>4</v>
      </c>
      <c r="AH1769" s="4">
        <f t="shared" si="248"/>
        <v>45018.189664351848</v>
      </c>
      <c r="AI1769" s="2">
        <f t="shared" si="249"/>
        <v>4</v>
      </c>
      <c r="AJ1769" s="2">
        <f t="shared" si="250"/>
        <v>22</v>
      </c>
      <c r="AK1769" s="2">
        <f t="shared" si="251"/>
        <v>11</v>
      </c>
    </row>
    <row r="1770" spans="1:37" x14ac:dyDescent="0.25">
      <c r="A1770">
        <v>1286</v>
      </c>
      <c r="B1770" t="s">
        <v>1930</v>
      </c>
      <c r="C1770" t="s">
        <v>1577</v>
      </c>
      <c r="D1770" t="s">
        <v>1862</v>
      </c>
      <c r="E1770" t="s">
        <v>1905</v>
      </c>
      <c r="F1770" t="s">
        <v>1906</v>
      </c>
      <c r="G1770" t="s">
        <v>31</v>
      </c>
      <c r="H1770" s="1">
        <v>44643.736006944448</v>
      </c>
      <c r="I1770" s="1">
        <v>44647.736006944448</v>
      </c>
      <c r="J1770" t="s">
        <v>32</v>
      </c>
      <c r="K1770" s="1">
        <v>44666.736006944448</v>
      </c>
      <c r="L1770" t="s">
        <v>33</v>
      </c>
      <c r="M1770" t="s">
        <v>34</v>
      </c>
      <c r="R1770" s="4">
        <v>44669.736006944448</v>
      </c>
      <c r="T1770">
        <v>0</v>
      </c>
      <c r="Y1770" t="s">
        <v>35</v>
      </c>
      <c r="AC1770" s="2">
        <f t="shared" si="243"/>
        <v>4</v>
      </c>
      <c r="AD1770" s="2">
        <f t="shared" si="244"/>
        <v>23</v>
      </c>
      <c r="AE1770" s="2">
        <f t="shared" si="245"/>
        <v>19</v>
      </c>
      <c r="AF1770" s="2">
        <f t="shared" si="246"/>
        <v>26</v>
      </c>
      <c r="AG1770" s="2">
        <f t="shared" si="247"/>
        <v>3</v>
      </c>
      <c r="AH1770" s="4">
        <f t="shared" si="248"/>
        <v>44759.736006944448</v>
      </c>
      <c r="AI1770" s="2" t="str">
        <f t="shared" si="249"/>
        <v/>
      </c>
      <c r="AJ1770" s="2" t="str">
        <f t="shared" si="250"/>
        <v/>
      </c>
      <c r="AK1770" s="2" t="str">
        <f t="shared" si="251"/>
        <v/>
      </c>
    </row>
    <row r="1771" spans="1:37" x14ac:dyDescent="0.25">
      <c r="A1771">
        <v>1282</v>
      </c>
      <c r="B1771" t="s">
        <v>1931</v>
      </c>
      <c r="C1771" t="s">
        <v>1577</v>
      </c>
      <c r="D1771" t="s">
        <v>1862</v>
      </c>
      <c r="E1771" t="s">
        <v>1905</v>
      </c>
      <c r="F1771" t="s">
        <v>1906</v>
      </c>
      <c r="G1771" t="s">
        <v>31</v>
      </c>
      <c r="H1771" s="1">
        <v>44643.736006944448</v>
      </c>
      <c r="I1771" s="1">
        <v>44644.736006944448</v>
      </c>
      <c r="J1771" t="s">
        <v>32</v>
      </c>
      <c r="K1771" s="1">
        <v>44659.736006944448</v>
      </c>
      <c r="L1771" t="s">
        <v>33</v>
      </c>
      <c r="M1771" t="s">
        <v>34</v>
      </c>
      <c r="R1771" s="4">
        <v>44663.736006944448</v>
      </c>
      <c r="T1771">
        <v>0</v>
      </c>
      <c r="Y1771" t="s">
        <v>55</v>
      </c>
      <c r="AC1771" s="2">
        <f t="shared" si="243"/>
        <v>1</v>
      </c>
      <c r="AD1771" s="2">
        <f t="shared" si="244"/>
        <v>16</v>
      </c>
      <c r="AE1771" s="2">
        <f t="shared" si="245"/>
        <v>15</v>
      </c>
      <c r="AF1771" s="2">
        <f t="shared" si="246"/>
        <v>20</v>
      </c>
      <c r="AG1771" s="2">
        <f t="shared" si="247"/>
        <v>4</v>
      </c>
      <c r="AH1771" s="4">
        <f t="shared" si="248"/>
        <v>44753.736006944448</v>
      </c>
      <c r="AI1771" s="2" t="str">
        <f t="shared" si="249"/>
        <v/>
      </c>
      <c r="AJ1771" s="2" t="str">
        <f t="shared" si="250"/>
        <v/>
      </c>
      <c r="AK1771" s="2" t="str">
        <f t="shared" si="251"/>
        <v/>
      </c>
    </row>
    <row r="1772" spans="1:37" x14ac:dyDescent="0.25">
      <c r="A1772">
        <v>1266</v>
      </c>
      <c r="B1772" t="s">
        <v>1932</v>
      </c>
      <c r="C1772" t="s">
        <v>1577</v>
      </c>
      <c r="D1772" t="s">
        <v>1862</v>
      </c>
      <c r="E1772" t="s">
        <v>1905</v>
      </c>
      <c r="F1772" t="s">
        <v>1906</v>
      </c>
      <c r="G1772" t="s">
        <v>31</v>
      </c>
      <c r="H1772" s="1">
        <v>44998.913287037038</v>
      </c>
      <c r="I1772" s="1">
        <v>44999.913287037038</v>
      </c>
      <c r="J1772" t="s">
        <v>32</v>
      </c>
      <c r="K1772" s="1">
        <v>45010.913287037038</v>
      </c>
      <c r="L1772" t="s">
        <v>33</v>
      </c>
      <c r="M1772" t="s">
        <v>67</v>
      </c>
      <c r="T1772">
        <v>0</v>
      </c>
      <c r="Y1772" t="s">
        <v>55</v>
      </c>
      <c r="AC1772" s="2">
        <f t="shared" si="243"/>
        <v>1</v>
      </c>
      <c r="AD1772" s="2">
        <f t="shared" si="244"/>
        <v>12</v>
      </c>
      <c r="AE1772" s="2">
        <f t="shared" si="245"/>
        <v>11</v>
      </c>
      <c r="AF1772" s="2" t="str">
        <f t="shared" si="246"/>
        <v/>
      </c>
      <c r="AG1772" s="2" t="str">
        <f t="shared" si="247"/>
        <v/>
      </c>
      <c r="AH1772" s="4" t="str">
        <f t="shared" si="248"/>
        <v/>
      </c>
      <c r="AI1772" s="2" t="str">
        <f t="shared" si="249"/>
        <v/>
      </c>
      <c r="AJ1772" s="2" t="str">
        <f t="shared" si="250"/>
        <v/>
      </c>
      <c r="AK1772" s="2" t="str">
        <f t="shared" si="251"/>
        <v/>
      </c>
    </row>
    <row r="1773" spans="1:37" x14ac:dyDescent="0.25">
      <c r="A1773">
        <v>1265</v>
      </c>
      <c r="B1773" t="s">
        <v>1933</v>
      </c>
      <c r="C1773" t="s">
        <v>1577</v>
      </c>
      <c r="D1773" t="s">
        <v>1862</v>
      </c>
      <c r="E1773" t="s">
        <v>1905</v>
      </c>
      <c r="F1773" t="s">
        <v>1906</v>
      </c>
      <c r="G1773" t="s">
        <v>31</v>
      </c>
      <c r="H1773" s="1">
        <v>45000.913287037038</v>
      </c>
      <c r="I1773" s="1">
        <v>45002.913287037038</v>
      </c>
      <c r="J1773" t="s">
        <v>32</v>
      </c>
      <c r="K1773" s="1">
        <v>45007.913287037038</v>
      </c>
      <c r="L1773" t="s">
        <v>33</v>
      </c>
      <c r="M1773" t="s">
        <v>34</v>
      </c>
      <c r="R1773" s="4">
        <v>45010.913287037038</v>
      </c>
      <c r="T1773">
        <v>0</v>
      </c>
      <c r="Y1773" t="s">
        <v>35</v>
      </c>
      <c r="AC1773" s="2">
        <f t="shared" si="243"/>
        <v>2</v>
      </c>
      <c r="AD1773" s="2">
        <f t="shared" si="244"/>
        <v>7</v>
      </c>
      <c r="AE1773" s="2">
        <f t="shared" si="245"/>
        <v>5</v>
      </c>
      <c r="AF1773" s="2">
        <f t="shared" si="246"/>
        <v>10</v>
      </c>
      <c r="AG1773" s="2">
        <f t="shared" si="247"/>
        <v>3</v>
      </c>
      <c r="AH1773" s="4">
        <f t="shared" si="248"/>
        <v>45100.913287037038</v>
      </c>
      <c r="AI1773" s="2" t="str">
        <f t="shared" si="249"/>
        <v/>
      </c>
      <c r="AJ1773" s="2" t="str">
        <f t="shared" si="250"/>
        <v/>
      </c>
      <c r="AK1773" s="2" t="str">
        <f t="shared" si="251"/>
        <v/>
      </c>
    </row>
    <row r="1774" spans="1:37" x14ac:dyDescent="0.25">
      <c r="A1774">
        <v>1252</v>
      </c>
      <c r="B1774" t="s">
        <v>1934</v>
      </c>
      <c r="C1774" t="s">
        <v>1577</v>
      </c>
      <c r="D1774" t="s">
        <v>1862</v>
      </c>
      <c r="E1774" t="s">
        <v>1905</v>
      </c>
      <c r="F1774" t="s">
        <v>1906</v>
      </c>
      <c r="G1774" t="s">
        <v>31</v>
      </c>
      <c r="H1774" s="1">
        <v>44733.170439814814</v>
      </c>
      <c r="I1774" s="1">
        <v>44737.170439814814</v>
      </c>
      <c r="J1774" t="s">
        <v>32</v>
      </c>
      <c r="K1774" s="1">
        <v>44756.170439814814</v>
      </c>
      <c r="L1774" t="s">
        <v>33</v>
      </c>
      <c r="M1774" t="s">
        <v>67</v>
      </c>
      <c r="R1774" s="4">
        <v>44760.170439814814</v>
      </c>
      <c r="T1774">
        <v>0</v>
      </c>
      <c r="Y1774" t="s">
        <v>35</v>
      </c>
      <c r="AC1774" s="2">
        <f t="shared" si="243"/>
        <v>4</v>
      </c>
      <c r="AD1774" s="2">
        <f t="shared" si="244"/>
        <v>23</v>
      </c>
      <c r="AE1774" s="2">
        <f t="shared" si="245"/>
        <v>19</v>
      </c>
      <c r="AF1774" s="2">
        <f t="shared" si="246"/>
        <v>27</v>
      </c>
      <c r="AG1774" s="2">
        <f t="shared" si="247"/>
        <v>4</v>
      </c>
      <c r="AH1774" s="4">
        <f t="shared" si="248"/>
        <v>44850.170439814814</v>
      </c>
      <c r="AI1774" s="2" t="str">
        <f t="shared" si="249"/>
        <v/>
      </c>
      <c r="AJ1774" s="2" t="str">
        <f t="shared" si="250"/>
        <v/>
      </c>
      <c r="AK1774" s="2" t="str">
        <f t="shared" si="251"/>
        <v/>
      </c>
    </row>
    <row r="1775" spans="1:37" x14ac:dyDescent="0.25">
      <c r="A1775">
        <v>1038</v>
      </c>
      <c r="B1775" t="s">
        <v>1935</v>
      </c>
      <c r="C1775" t="s">
        <v>1577</v>
      </c>
      <c r="D1775" t="s">
        <v>1862</v>
      </c>
      <c r="E1775" t="s">
        <v>1905</v>
      </c>
      <c r="F1775" t="s">
        <v>1906</v>
      </c>
      <c r="G1775" t="s">
        <v>31</v>
      </c>
      <c r="H1775" s="1">
        <v>44987.822372685187</v>
      </c>
      <c r="I1775" s="1">
        <v>44990.822372685187</v>
      </c>
      <c r="J1775" t="s">
        <v>32</v>
      </c>
      <c r="K1775" s="1">
        <v>45001.822372685187</v>
      </c>
      <c r="L1775" t="s">
        <v>33</v>
      </c>
      <c r="M1775" t="s">
        <v>67</v>
      </c>
      <c r="R1775" s="4">
        <v>45004.822372685187</v>
      </c>
      <c r="T1775">
        <v>0</v>
      </c>
      <c r="Y1775" t="s">
        <v>55</v>
      </c>
      <c r="AC1775" s="2">
        <f t="shared" si="243"/>
        <v>3</v>
      </c>
      <c r="AD1775" s="2">
        <f t="shared" si="244"/>
        <v>14</v>
      </c>
      <c r="AE1775" s="2">
        <f t="shared" si="245"/>
        <v>11</v>
      </c>
      <c r="AF1775" s="2">
        <f t="shared" si="246"/>
        <v>17</v>
      </c>
      <c r="AG1775" s="2">
        <f t="shared" si="247"/>
        <v>3</v>
      </c>
      <c r="AH1775" s="4">
        <f t="shared" si="248"/>
        <v>45094.822372685187</v>
      </c>
      <c r="AI1775" s="2" t="str">
        <f t="shared" si="249"/>
        <v/>
      </c>
      <c r="AJ1775" s="2" t="str">
        <f t="shared" si="250"/>
        <v/>
      </c>
      <c r="AK1775" s="2" t="str">
        <f t="shared" si="251"/>
        <v/>
      </c>
    </row>
    <row r="1776" spans="1:37" x14ac:dyDescent="0.25">
      <c r="A1776">
        <v>1033</v>
      </c>
      <c r="B1776" t="s">
        <v>1936</v>
      </c>
      <c r="C1776" t="s">
        <v>1577</v>
      </c>
      <c r="D1776" t="s">
        <v>1862</v>
      </c>
      <c r="E1776" t="s">
        <v>1905</v>
      </c>
      <c r="F1776" t="s">
        <v>1906</v>
      </c>
      <c r="G1776" t="s">
        <v>31</v>
      </c>
      <c r="H1776" s="1">
        <v>44985.822372685187</v>
      </c>
      <c r="I1776" s="1">
        <v>44989.822372685187</v>
      </c>
      <c r="J1776" t="s">
        <v>32</v>
      </c>
      <c r="K1776" s="1">
        <v>44997.822372685187</v>
      </c>
      <c r="L1776" t="s">
        <v>39</v>
      </c>
      <c r="N1776" s="4">
        <v>45002.822372685187</v>
      </c>
      <c r="O1776" t="s">
        <v>39</v>
      </c>
      <c r="R1776" s="4">
        <v>45000.822372685187</v>
      </c>
      <c r="T1776">
        <v>0</v>
      </c>
      <c r="AC1776" s="2">
        <f t="shared" si="243"/>
        <v>4</v>
      </c>
      <c r="AD1776" s="2">
        <f t="shared" si="244"/>
        <v>12</v>
      </c>
      <c r="AE1776" s="2">
        <f t="shared" si="245"/>
        <v>8</v>
      </c>
      <c r="AF1776" s="2">
        <f t="shared" si="246"/>
        <v>15</v>
      </c>
      <c r="AG1776" s="2">
        <f t="shared" si="247"/>
        <v>3</v>
      </c>
      <c r="AH1776" s="4">
        <f t="shared" si="248"/>
        <v>45090.822372685187</v>
      </c>
      <c r="AI1776" s="2" t="str">
        <f t="shared" si="249"/>
        <v/>
      </c>
      <c r="AJ1776" s="2" t="str">
        <f t="shared" si="250"/>
        <v/>
      </c>
      <c r="AK1776" s="2" t="str">
        <f t="shared" si="251"/>
        <v/>
      </c>
    </row>
    <row r="1777" spans="1:37" x14ac:dyDescent="0.25">
      <c r="A1777">
        <v>1017</v>
      </c>
      <c r="B1777" t="s">
        <v>1937</v>
      </c>
      <c r="C1777" t="s">
        <v>1577</v>
      </c>
      <c r="D1777" t="s">
        <v>1862</v>
      </c>
      <c r="E1777" t="s">
        <v>1905</v>
      </c>
      <c r="F1777" t="s">
        <v>1906</v>
      </c>
      <c r="G1777" t="s">
        <v>31</v>
      </c>
      <c r="H1777" s="1">
        <v>44598.329571759263</v>
      </c>
      <c r="I1777" s="1">
        <v>44599.329571759263</v>
      </c>
      <c r="J1777" t="s">
        <v>32</v>
      </c>
      <c r="K1777" s="1">
        <v>44615.329571759263</v>
      </c>
      <c r="L1777" t="s">
        <v>33</v>
      </c>
      <c r="M1777" t="s">
        <v>51</v>
      </c>
      <c r="R1777" s="4">
        <v>44617.329571759263</v>
      </c>
      <c r="T1777">
        <v>0</v>
      </c>
      <c r="Y1777" t="s">
        <v>55</v>
      </c>
      <c r="AC1777" s="2">
        <f t="shared" si="243"/>
        <v>1</v>
      </c>
      <c r="AD1777" s="2">
        <f t="shared" si="244"/>
        <v>17</v>
      </c>
      <c r="AE1777" s="2">
        <f t="shared" si="245"/>
        <v>16</v>
      </c>
      <c r="AF1777" s="2">
        <f t="shared" si="246"/>
        <v>19</v>
      </c>
      <c r="AG1777" s="2">
        <f t="shared" si="247"/>
        <v>2</v>
      </c>
      <c r="AH1777" s="4">
        <f t="shared" si="248"/>
        <v>44707.329571759263</v>
      </c>
      <c r="AI1777" s="2" t="str">
        <f t="shared" si="249"/>
        <v/>
      </c>
      <c r="AJ1777" s="2" t="str">
        <f t="shared" si="250"/>
        <v/>
      </c>
      <c r="AK1777" s="2" t="str">
        <f t="shared" si="251"/>
        <v/>
      </c>
    </row>
    <row r="1778" spans="1:37" x14ac:dyDescent="0.25">
      <c r="A1778">
        <v>1016</v>
      </c>
      <c r="B1778" t="s">
        <v>1938</v>
      </c>
      <c r="C1778" t="s">
        <v>1577</v>
      </c>
      <c r="D1778" t="s">
        <v>1862</v>
      </c>
      <c r="E1778" t="s">
        <v>1905</v>
      </c>
      <c r="F1778" t="s">
        <v>1906</v>
      </c>
      <c r="G1778" t="s">
        <v>31</v>
      </c>
      <c r="H1778" s="1">
        <v>44599.329571759263</v>
      </c>
      <c r="I1778" s="1">
        <v>44600.329571759263</v>
      </c>
      <c r="J1778" t="s">
        <v>44</v>
      </c>
      <c r="K1778" s="1"/>
      <c r="T1778">
        <v>0</v>
      </c>
      <c r="AC1778" s="2">
        <f t="shared" si="243"/>
        <v>1</v>
      </c>
      <c r="AD1778" s="2" t="str">
        <f t="shared" si="244"/>
        <v/>
      </c>
      <c r="AE1778" s="2" t="str">
        <f t="shared" si="245"/>
        <v/>
      </c>
      <c r="AF1778" s="2" t="str">
        <f t="shared" si="246"/>
        <v/>
      </c>
      <c r="AG1778" s="2" t="str">
        <f t="shared" si="247"/>
        <v/>
      </c>
      <c r="AH1778" s="4" t="str">
        <f t="shared" si="248"/>
        <v/>
      </c>
      <c r="AI1778" s="2" t="str">
        <f t="shared" si="249"/>
        <v/>
      </c>
      <c r="AJ1778" s="2" t="str">
        <f t="shared" si="250"/>
        <v/>
      </c>
      <c r="AK1778" s="2" t="str">
        <f t="shared" si="251"/>
        <v/>
      </c>
    </row>
    <row r="1779" spans="1:37" x14ac:dyDescent="0.25">
      <c r="A1779">
        <v>966</v>
      </c>
      <c r="B1779" t="s">
        <v>1939</v>
      </c>
      <c r="C1779" t="s">
        <v>1577</v>
      </c>
      <c r="D1779" t="s">
        <v>1862</v>
      </c>
      <c r="E1779" t="s">
        <v>1905</v>
      </c>
      <c r="F1779" t="s">
        <v>1906</v>
      </c>
      <c r="G1779" t="s">
        <v>31</v>
      </c>
      <c r="H1779" s="1">
        <v>45118.340451388889</v>
      </c>
      <c r="I1779" s="1">
        <v>45122.340451388889</v>
      </c>
      <c r="J1779" t="s">
        <v>32</v>
      </c>
      <c r="K1779" s="1">
        <v>45138.340451388889</v>
      </c>
      <c r="L1779" t="s">
        <v>39</v>
      </c>
      <c r="N1779" s="4">
        <v>45143.340451388889</v>
      </c>
      <c r="O1779" t="s">
        <v>39</v>
      </c>
      <c r="R1779" s="4">
        <v>45140.340451388889</v>
      </c>
      <c r="T1779">
        <v>0</v>
      </c>
      <c r="AC1779" s="2">
        <f t="shared" si="243"/>
        <v>4</v>
      </c>
      <c r="AD1779" s="2">
        <f t="shared" si="244"/>
        <v>20</v>
      </c>
      <c r="AE1779" s="2">
        <f t="shared" si="245"/>
        <v>16</v>
      </c>
      <c r="AF1779" s="2">
        <f t="shared" si="246"/>
        <v>22</v>
      </c>
      <c r="AG1779" s="2">
        <f t="shared" si="247"/>
        <v>2</v>
      </c>
      <c r="AH1779" s="4">
        <f t="shared" si="248"/>
        <v>45230.340451388889</v>
      </c>
      <c r="AI1779" s="2" t="str">
        <f t="shared" si="249"/>
        <v/>
      </c>
      <c r="AJ1779" s="2" t="str">
        <f t="shared" si="250"/>
        <v/>
      </c>
      <c r="AK1779" s="2" t="str">
        <f t="shared" si="251"/>
        <v/>
      </c>
    </row>
    <row r="1780" spans="1:37" x14ac:dyDescent="0.25">
      <c r="A1780">
        <v>965</v>
      </c>
      <c r="B1780" t="s">
        <v>1940</v>
      </c>
      <c r="C1780" t="s">
        <v>1577</v>
      </c>
      <c r="D1780" t="s">
        <v>1862</v>
      </c>
      <c r="E1780" t="s">
        <v>1905</v>
      </c>
      <c r="F1780" t="s">
        <v>1906</v>
      </c>
      <c r="G1780" t="s">
        <v>31</v>
      </c>
      <c r="H1780" s="1">
        <v>45120.340451388889</v>
      </c>
      <c r="I1780" s="1">
        <v>45121.340451388889</v>
      </c>
      <c r="J1780" t="s">
        <v>32</v>
      </c>
      <c r="K1780" s="1">
        <v>45130.340451388889</v>
      </c>
      <c r="L1780" t="s">
        <v>57</v>
      </c>
      <c r="N1780" s="4">
        <v>45137.340451388889</v>
      </c>
      <c r="O1780" t="s">
        <v>57</v>
      </c>
      <c r="P1780" s="4">
        <v>45131.340451388889</v>
      </c>
      <c r="Q1780" s="4">
        <v>45133.340451388889</v>
      </c>
      <c r="R1780" s="4">
        <v>45133.340451388889</v>
      </c>
      <c r="S1780" s="4">
        <v>45134.340451388889</v>
      </c>
      <c r="T1780">
        <v>1</v>
      </c>
      <c r="U1780" s="4">
        <v>45137.340451388889</v>
      </c>
      <c r="V1780" s="4">
        <v>45140.340451388889</v>
      </c>
      <c r="W1780" s="4">
        <v>45143.340451388889</v>
      </c>
      <c r="Z1780" s="4">
        <v>45155.340451388889</v>
      </c>
      <c r="AC1780" s="2">
        <f t="shared" si="243"/>
        <v>1</v>
      </c>
      <c r="AD1780" s="2">
        <f t="shared" si="244"/>
        <v>10</v>
      </c>
      <c r="AE1780" s="2">
        <f t="shared" si="245"/>
        <v>9</v>
      </c>
      <c r="AF1780" s="2">
        <f t="shared" si="246"/>
        <v>13</v>
      </c>
      <c r="AG1780" s="2">
        <f t="shared" si="247"/>
        <v>3</v>
      </c>
      <c r="AH1780" s="4">
        <f t="shared" si="248"/>
        <v>45223.340451388889</v>
      </c>
      <c r="AI1780" s="2">
        <f t="shared" si="249"/>
        <v>3</v>
      </c>
      <c r="AJ1780" s="2">
        <f t="shared" si="250"/>
        <v>22</v>
      </c>
      <c r="AK1780" s="2">
        <f t="shared" si="251"/>
        <v>10</v>
      </c>
    </row>
    <row r="1781" spans="1:37" x14ac:dyDescent="0.25">
      <c r="A1781">
        <v>887</v>
      </c>
      <c r="B1781" t="s">
        <v>1941</v>
      </c>
      <c r="C1781" t="s">
        <v>1577</v>
      </c>
      <c r="D1781" t="s">
        <v>1862</v>
      </c>
      <c r="E1781" t="s">
        <v>1905</v>
      </c>
      <c r="F1781" t="s">
        <v>1906</v>
      </c>
      <c r="G1781" t="s">
        <v>31</v>
      </c>
      <c r="H1781" s="1">
        <v>44824.199942129628</v>
      </c>
      <c r="I1781" s="1">
        <v>44827.199942129628</v>
      </c>
      <c r="J1781" t="s">
        <v>32</v>
      </c>
      <c r="K1781" s="1">
        <v>44848.199942129628</v>
      </c>
      <c r="L1781" t="s">
        <v>33</v>
      </c>
      <c r="M1781" t="s">
        <v>67</v>
      </c>
      <c r="T1781">
        <v>0</v>
      </c>
      <c r="Y1781" t="s">
        <v>35</v>
      </c>
      <c r="AC1781" s="2">
        <f t="shared" si="243"/>
        <v>3</v>
      </c>
      <c r="AD1781" s="2">
        <f t="shared" si="244"/>
        <v>24</v>
      </c>
      <c r="AE1781" s="2">
        <f t="shared" si="245"/>
        <v>21</v>
      </c>
      <c r="AF1781" s="2" t="str">
        <f t="shared" si="246"/>
        <v/>
      </c>
      <c r="AG1781" s="2" t="str">
        <f t="shared" si="247"/>
        <v/>
      </c>
      <c r="AH1781" s="4" t="str">
        <f t="shared" si="248"/>
        <v/>
      </c>
      <c r="AI1781" s="2" t="str">
        <f t="shared" si="249"/>
        <v/>
      </c>
      <c r="AJ1781" s="2" t="str">
        <f t="shared" si="250"/>
        <v/>
      </c>
      <c r="AK1781" s="2" t="str">
        <f t="shared" si="251"/>
        <v/>
      </c>
    </row>
    <row r="1782" spans="1:37" x14ac:dyDescent="0.25">
      <c r="A1782">
        <v>864</v>
      </c>
      <c r="B1782" t="s">
        <v>1942</v>
      </c>
      <c r="C1782" t="s">
        <v>1577</v>
      </c>
      <c r="D1782" t="s">
        <v>1862</v>
      </c>
      <c r="E1782" t="s">
        <v>1905</v>
      </c>
      <c r="F1782" t="s">
        <v>1906</v>
      </c>
      <c r="G1782" t="s">
        <v>31</v>
      </c>
      <c r="H1782" s="1">
        <v>45126.103344907409</v>
      </c>
      <c r="I1782" s="1">
        <v>45128.103344907409</v>
      </c>
      <c r="J1782" t="s">
        <v>32</v>
      </c>
      <c r="K1782" s="1">
        <v>45139.103344907409</v>
      </c>
      <c r="L1782" t="s">
        <v>33</v>
      </c>
      <c r="M1782" t="s">
        <v>51</v>
      </c>
      <c r="T1782">
        <v>0</v>
      </c>
      <c r="Y1782" t="s">
        <v>55</v>
      </c>
      <c r="AC1782" s="2">
        <f t="shared" si="243"/>
        <v>2</v>
      </c>
      <c r="AD1782" s="2">
        <f t="shared" si="244"/>
        <v>13</v>
      </c>
      <c r="AE1782" s="2">
        <f t="shared" si="245"/>
        <v>11</v>
      </c>
      <c r="AF1782" s="2" t="str">
        <f t="shared" si="246"/>
        <v/>
      </c>
      <c r="AG1782" s="2" t="str">
        <f t="shared" si="247"/>
        <v/>
      </c>
      <c r="AH1782" s="4" t="str">
        <f t="shared" si="248"/>
        <v/>
      </c>
      <c r="AI1782" s="2" t="str">
        <f t="shared" si="249"/>
        <v/>
      </c>
      <c r="AJ1782" s="2" t="str">
        <f t="shared" si="250"/>
        <v/>
      </c>
      <c r="AK1782" s="2" t="str">
        <f t="shared" si="251"/>
        <v/>
      </c>
    </row>
    <row r="1783" spans="1:37" x14ac:dyDescent="0.25">
      <c r="A1783">
        <v>851</v>
      </c>
      <c r="B1783" t="s">
        <v>1943</v>
      </c>
      <c r="C1783" t="s">
        <v>1577</v>
      </c>
      <c r="D1783" t="s">
        <v>1862</v>
      </c>
      <c r="E1783" t="s">
        <v>1905</v>
      </c>
      <c r="F1783" t="s">
        <v>1906</v>
      </c>
      <c r="G1783" t="s">
        <v>31</v>
      </c>
      <c r="H1783" s="1">
        <v>44961.002604166664</v>
      </c>
      <c r="I1783" s="1">
        <v>44963.002604166664</v>
      </c>
      <c r="J1783" t="s">
        <v>32</v>
      </c>
      <c r="K1783" s="1">
        <v>44969.002604166664</v>
      </c>
      <c r="L1783" t="s">
        <v>39</v>
      </c>
      <c r="N1783" s="4">
        <v>44974.002604166664</v>
      </c>
      <c r="O1783" t="s">
        <v>39</v>
      </c>
      <c r="R1783" s="4">
        <v>44971.002604166664</v>
      </c>
      <c r="T1783">
        <v>0</v>
      </c>
      <c r="AC1783" s="2">
        <f t="shared" si="243"/>
        <v>2</v>
      </c>
      <c r="AD1783" s="2">
        <f t="shared" si="244"/>
        <v>8</v>
      </c>
      <c r="AE1783" s="2">
        <f t="shared" si="245"/>
        <v>6</v>
      </c>
      <c r="AF1783" s="2">
        <f t="shared" si="246"/>
        <v>10</v>
      </c>
      <c r="AG1783" s="2">
        <f t="shared" si="247"/>
        <v>2</v>
      </c>
      <c r="AH1783" s="4">
        <f t="shared" si="248"/>
        <v>45061.002604166664</v>
      </c>
      <c r="AI1783" s="2" t="str">
        <f t="shared" si="249"/>
        <v/>
      </c>
      <c r="AJ1783" s="2" t="str">
        <f t="shared" si="250"/>
        <v/>
      </c>
      <c r="AK1783" s="2" t="str">
        <f t="shared" si="251"/>
        <v/>
      </c>
    </row>
    <row r="1784" spans="1:37" x14ac:dyDescent="0.25">
      <c r="A1784">
        <v>746</v>
      </c>
      <c r="B1784" t="s">
        <v>1944</v>
      </c>
      <c r="C1784" t="s">
        <v>1577</v>
      </c>
      <c r="D1784" t="s">
        <v>1862</v>
      </c>
      <c r="E1784" t="s">
        <v>1905</v>
      </c>
      <c r="F1784" t="s">
        <v>1906</v>
      </c>
      <c r="G1784" t="s">
        <v>31</v>
      </c>
      <c r="H1784" s="1">
        <v>44866.220567129632</v>
      </c>
      <c r="I1784" s="1">
        <v>44869.220567129632</v>
      </c>
      <c r="J1784" t="s">
        <v>44</v>
      </c>
      <c r="K1784" s="1"/>
      <c r="T1784">
        <v>0</v>
      </c>
      <c r="AC1784" s="2">
        <f t="shared" si="243"/>
        <v>3</v>
      </c>
      <c r="AD1784" s="2" t="str">
        <f t="shared" si="244"/>
        <v/>
      </c>
      <c r="AE1784" s="2" t="str">
        <f t="shared" si="245"/>
        <v/>
      </c>
      <c r="AF1784" s="2" t="str">
        <f t="shared" si="246"/>
        <v/>
      </c>
      <c r="AG1784" s="2" t="str">
        <f t="shared" si="247"/>
        <v/>
      </c>
      <c r="AH1784" s="4" t="str">
        <f t="shared" si="248"/>
        <v/>
      </c>
      <c r="AI1784" s="2" t="str">
        <f t="shared" si="249"/>
        <v/>
      </c>
      <c r="AJ1784" s="2" t="str">
        <f t="shared" si="250"/>
        <v/>
      </c>
      <c r="AK1784" s="2" t="str">
        <f t="shared" si="251"/>
        <v/>
      </c>
    </row>
    <row r="1785" spans="1:37" x14ac:dyDescent="0.25">
      <c r="A1785">
        <v>743</v>
      </c>
      <c r="B1785" t="s">
        <v>1945</v>
      </c>
      <c r="C1785" t="s">
        <v>1577</v>
      </c>
      <c r="D1785" t="s">
        <v>1862</v>
      </c>
      <c r="E1785" t="s">
        <v>1905</v>
      </c>
      <c r="F1785" t="s">
        <v>1906</v>
      </c>
      <c r="G1785" t="s">
        <v>31</v>
      </c>
      <c r="H1785" s="1">
        <v>44870.220567129632</v>
      </c>
      <c r="I1785" s="1">
        <v>44871.220567129632</v>
      </c>
      <c r="J1785" t="s">
        <v>44</v>
      </c>
      <c r="K1785" s="1"/>
      <c r="T1785">
        <v>0</v>
      </c>
      <c r="AC1785" s="2">
        <f t="shared" si="243"/>
        <v>1</v>
      </c>
      <c r="AD1785" s="2" t="str">
        <f t="shared" si="244"/>
        <v/>
      </c>
      <c r="AE1785" s="2" t="str">
        <f t="shared" si="245"/>
        <v/>
      </c>
      <c r="AF1785" s="2" t="str">
        <f t="shared" si="246"/>
        <v/>
      </c>
      <c r="AG1785" s="2" t="str">
        <f t="shared" si="247"/>
        <v/>
      </c>
      <c r="AH1785" s="4" t="str">
        <f t="shared" si="248"/>
        <v/>
      </c>
      <c r="AI1785" s="2" t="str">
        <f t="shared" si="249"/>
        <v/>
      </c>
      <c r="AJ1785" s="2" t="str">
        <f t="shared" si="250"/>
        <v/>
      </c>
      <c r="AK1785" s="2" t="str">
        <f t="shared" si="251"/>
        <v/>
      </c>
    </row>
    <row r="1786" spans="1:37" x14ac:dyDescent="0.25">
      <c r="A1786">
        <v>703</v>
      </c>
      <c r="B1786" t="s">
        <v>1946</v>
      </c>
      <c r="C1786" t="s">
        <v>1577</v>
      </c>
      <c r="D1786" t="s">
        <v>1862</v>
      </c>
      <c r="E1786" t="s">
        <v>1905</v>
      </c>
      <c r="F1786" t="s">
        <v>1906</v>
      </c>
      <c r="G1786" t="s">
        <v>31</v>
      </c>
      <c r="H1786" s="1">
        <v>45115.640983796293</v>
      </c>
      <c r="I1786" s="1">
        <v>45116.640983796293</v>
      </c>
      <c r="J1786" t="s">
        <v>32</v>
      </c>
      <c r="K1786" s="1">
        <v>45134.640983796293</v>
      </c>
      <c r="L1786" t="s">
        <v>57</v>
      </c>
      <c r="N1786" s="4">
        <v>45139.640983796293</v>
      </c>
      <c r="O1786" t="s">
        <v>57</v>
      </c>
      <c r="P1786" s="4">
        <v>45135.640983796293</v>
      </c>
      <c r="Q1786" s="4">
        <v>45138.640983796293</v>
      </c>
      <c r="R1786" s="4">
        <v>45136.640983796293</v>
      </c>
      <c r="S1786" s="4">
        <v>45144.640983796293</v>
      </c>
      <c r="T1786">
        <v>1</v>
      </c>
      <c r="U1786" s="4">
        <v>45147.640983796293</v>
      </c>
      <c r="V1786" s="4">
        <v>45150.640983796293</v>
      </c>
      <c r="W1786" s="4">
        <v>45151.640983796293</v>
      </c>
      <c r="Z1786" s="4">
        <v>45160.640983796293</v>
      </c>
      <c r="AC1786" s="2">
        <f t="shared" si="243"/>
        <v>1</v>
      </c>
      <c r="AD1786" s="2">
        <f t="shared" si="244"/>
        <v>19</v>
      </c>
      <c r="AE1786" s="2">
        <f t="shared" si="245"/>
        <v>18</v>
      </c>
      <c r="AF1786" s="2">
        <f t="shared" si="246"/>
        <v>21</v>
      </c>
      <c r="AG1786" s="2">
        <f t="shared" si="247"/>
        <v>2</v>
      </c>
      <c r="AH1786" s="4">
        <f t="shared" si="248"/>
        <v>45226.640983796293</v>
      </c>
      <c r="AI1786" s="2">
        <f t="shared" si="249"/>
        <v>3</v>
      </c>
      <c r="AJ1786" s="2">
        <f t="shared" si="250"/>
        <v>24</v>
      </c>
      <c r="AK1786" s="2">
        <f t="shared" si="251"/>
        <v>15</v>
      </c>
    </row>
    <row r="1787" spans="1:37" x14ac:dyDescent="0.25">
      <c r="A1787">
        <v>702</v>
      </c>
      <c r="B1787" t="s">
        <v>1947</v>
      </c>
      <c r="C1787" t="s">
        <v>1577</v>
      </c>
      <c r="D1787" t="s">
        <v>1862</v>
      </c>
      <c r="E1787" t="s">
        <v>1905</v>
      </c>
      <c r="F1787" t="s">
        <v>1906</v>
      </c>
      <c r="G1787" t="s">
        <v>31</v>
      </c>
      <c r="H1787" s="1">
        <v>45119.640983796293</v>
      </c>
      <c r="I1787" s="1">
        <v>45120.640983796293</v>
      </c>
      <c r="J1787" t="s">
        <v>32</v>
      </c>
      <c r="K1787" s="1">
        <v>45126.640983796293</v>
      </c>
      <c r="L1787" t="s">
        <v>33</v>
      </c>
      <c r="M1787" t="s">
        <v>67</v>
      </c>
      <c r="R1787" s="4">
        <v>45127.640983796293</v>
      </c>
      <c r="T1787">
        <v>0</v>
      </c>
      <c r="Y1787" t="s">
        <v>35</v>
      </c>
      <c r="AC1787" s="2">
        <f t="shared" si="243"/>
        <v>1</v>
      </c>
      <c r="AD1787" s="2">
        <f t="shared" si="244"/>
        <v>7</v>
      </c>
      <c r="AE1787" s="2">
        <f t="shared" si="245"/>
        <v>6</v>
      </c>
      <c r="AF1787" s="2">
        <f t="shared" si="246"/>
        <v>8</v>
      </c>
      <c r="AG1787" s="2">
        <f t="shared" si="247"/>
        <v>1</v>
      </c>
      <c r="AH1787" s="4">
        <f t="shared" si="248"/>
        <v>45217.640983796293</v>
      </c>
      <c r="AI1787" s="2" t="str">
        <f t="shared" si="249"/>
        <v/>
      </c>
      <c r="AJ1787" s="2" t="str">
        <f t="shared" si="250"/>
        <v/>
      </c>
      <c r="AK1787" s="2" t="str">
        <f t="shared" si="251"/>
        <v/>
      </c>
    </row>
    <row r="1788" spans="1:37" x14ac:dyDescent="0.25">
      <c r="A1788">
        <v>607</v>
      </c>
      <c r="B1788" t="s">
        <v>1948</v>
      </c>
      <c r="C1788" t="s">
        <v>1577</v>
      </c>
      <c r="D1788" t="s">
        <v>1862</v>
      </c>
      <c r="E1788" t="s">
        <v>1905</v>
      </c>
      <c r="F1788" t="s">
        <v>1906</v>
      </c>
      <c r="G1788" t="s">
        <v>31</v>
      </c>
      <c r="H1788" s="1">
        <v>44569.309340277781</v>
      </c>
      <c r="I1788" s="1">
        <v>44571.309340277781</v>
      </c>
      <c r="J1788" t="s">
        <v>32</v>
      </c>
      <c r="K1788" s="1">
        <v>44581.309340277781</v>
      </c>
      <c r="L1788" t="s">
        <v>39</v>
      </c>
      <c r="N1788" s="4">
        <v>44588.309340277781</v>
      </c>
      <c r="O1788" t="s">
        <v>39</v>
      </c>
      <c r="R1788" s="4">
        <v>44584.309340277781</v>
      </c>
      <c r="T1788">
        <v>0</v>
      </c>
      <c r="AC1788" s="2">
        <f t="shared" si="243"/>
        <v>2</v>
      </c>
      <c r="AD1788" s="2">
        <f t="shared" si="244"/>
        <v>12</v>
      </c>
      <c r="AE1788" s="2">
        <f t="shared" si="245"/>
        <v>10</v>
      </c>
      <c r="AF1788" s="2">
        <f t="shared" si="246"/>
        <v>15</v>
      </c>
      <c r="AG1788" s="2">
        <f t="shared" si="247"/>
        <v>3</v>
      </c>
      <c r="AH1788" s="4">
        <f t="shared" si="248"/>
        <v>44674.309340277781</v>
      </c>
      <c r="AI1788" s="2" t="str">
        <f t="shared" si="249"/>
        <v/>
      </c>
      <c r="AJ1788" s="2" t="str">
        <f t="shared" si="250"/>
        <v/>
      </c>
      <c r="AK1788" s="2" t="str">
        <f t="shared" si="251"/>
        <v/>
      </c>
    </row>
    <row r="1789" spans="1:37" x14ac:dyDescent="0.25">
      <c r="A1789">
        <v>601</v>
      </c>
      <c r="B1789" t="s">
        <v>1949</v>
      </c>
      <c r="C1789" t="s">
        <v>1577</v>
      </c>
      <c r="D1789" t="s">
        <v>1862</v>
      </c>
      <c r="E1789" t="s">
        <v>1905</v>
      </c>
      <c r="F1789" t="s">
        <v>1906</v>
      </c>
      <c r="G1789" t="s">
        <v>31</v>
      </c>
      <c r="H1789" s="1">
        <v>44569.309340277781</v>
      </c>
      <c r="I1789" s="1">
        <v>44572.309340277781</v>
      </c>
      <c r="J1789" t="s">
        <v>44</v>
      </c>
      <c r="K1789" s="1"/>
      <c r="T1789">
        <v>0</v>
      </c>
      <c r="AC1789" s="2">
        <f t="shared" si="243"/>
        <v>3</v>
      </c>
      <c r="AD1789" s="2" t="str">
        <f t="shared" si="244"/>
        <v/>
      </c>
      <c r="AE1789" s="2" t="str">
        <f t="shared" si="245"/>
        <v/>
      </c>
      <c r="AF1789" s="2" t="str">
        <f t="shared" si="246"/>
        <v/>
      </c>
      <c r="AG1789" s="2" t="str">
        <f t="shared" si="247"/>
        <v/>
      </c>
      <c r="AH1789" s="4" t="str">
        <f t="shared" si="248"/>
        <v/>
      </c>
      <c r="AI1789" s="2" t="str">
        <f t="shared" si="249"/>
        <v/>
      </c>
      <c r="AJ1789" s="2" t="str">
        <f t="shared" si="250"/>
        <v/>
      </c>
      <c r="AK1789" s="2" t="str">
        <f t="shared" si="251"/>
        <v/>
      </c>
    </row>
    <row r="1790" spans="1:37" x14ac:dyDescent="0.25">
      <c r="A1790">
        <v>599</v>
      </c>
      <c r="B1790" t="s">
        <v>1950</v>
      </c>
      <c r="C1790" t="s">
        <v>1577</v>
      </c>
      <c r="D1790" t="s">
        <v>1862</v>
      </c>
      <c r="E1790" t="s">
        <v>1905</v>
      </c>
      <c r="F1790" t="s">
        <v>1906</v>
      </c>
      <c r="G1790" t="s">
        <v>31</v>
      </c>
      <c r="H1790" s="1">
        <v>44881.821550925924</v>
      </c>
      <c r="I1790" s="1">
        <v>44883.821550925924</v>
      </c>
      <c r="J1790" t="s">
        <v>32</v>
      </c>
      <c r="K1790" s="1">
        <v>44899.821550925924</v>
      </c>
      <c r="L1790" t="s">
        <v>33</v>
      </c>
      <c r="M1790" t="s">
        <v>34</v>
      </c>
      <c r="T1790">
        <v>0</v>
      </c>
      <c r="Y1790" t="s">
        <v>55</v>
      </c>
      <c r="AC1790" s="2">
        <f t="shared" si="243"/>
        <v>2</v>
      </c>
      <c r="AD1790" s="2">
        <f t="shared" si="244"/>
        <v>18</v>
      </c>
      <c r="AE1790" s="2">
        <f t="shared" si="245"/>
        <v>16</v>
      </c>
      <c r="AF1790" s="2" t="str">
        <f t="shared" si="246"/>
        <v/>
      </c>
      <c r="AG1790" s="2" t="str">
        <f t="shared" si="247"/>
        <v/>
      </c>
      <c r="AH1790" s="4" t="str">
        <f t="shared" si="248"/>
        <v/>
      </c>
      <c r="AI1790" s="2" t="str">
        <f t="shared" si="249"/>
        <v/>
      </c>
      <c r="AJ1790" s="2" t="str">
        <f t="shared" si="250"/>
        <v/>
      </c>
      <c r="AK1790" s="2" t="str">
        <f t="shared" si="251"/>
        <v/>
      </c>
    </row>
    <row r="1791" spans="1:37" x14ac:dyDescent="0.25">
      <c r="A1791">
        <v>460</v>
      </c>
      <c r="B1791" t="s">
        <v>1951</v>
      </c>
      <c r="C1791" t="s">
        <v>1577</v>
      </c>
      <c r="D1791" t="s">
        <v>1862</v>
      </c>
      <c r="E1791" t="s">
        <v>1905</v>
      </c>
      <c r="F1791" t="s">
        <v>1906</v>
      </c>
      <c r="G1791" t="s">
        <v>31</v>
      </c>
      <c r="H1791" s="1">
        <v>44970.571030092593</v>
      </c>
      <c r="I1791" s="1">
        <v>44973.571030092593</v>
      </c>
      <c r="J1791" t="s">
        <v>32</v>
      </c>
      <c r="K1791" s="1">
        <v>44984.571030092593</v>
      </c>
      <c r="L1791" t="s">
        <v>39</v>
      </c>
      <c r="N1791" s="4">
        <v>44989.571030092593</v>
      </c>
      <c r="O1791" t="s">
        <v>39</v>
      </c>
      <c r="R1791" s="4">
        <v>44986.571030092593</v>
      </c>
      <c r="T1791">
        <v>0</v>
      </c>
      <c r="AC1791" s="2">
        <f t="shared" si="243"/>
        <v>3</v>
      </c>
      <c r="AD1791" s="2">
        <f t="shared" si="244"/>
        <v>14</v>
      </c>
      <c r="AE1791" s="2">
        <f t="shared" si="245"/>
        <v>11</v>
      </c>
      <c r="AF1791" s="2">
        <f t="shared" si="246"/>
        <v>16</v>
      </c>
      <c r="AG1791" s="2">
        <f t="shared" si="247"/>
        <v>2</v>
      </c>
      <c r="AH1791" s="4">
        <f t="shared" si="248"/>
        <v>45076.571030092593</v>
      </c>
      <c r="AI1791" s="2" t="str">
        <f t="shared" si="249"/>
        <v/>
      </c>
      <c r="AJ1791" s="2" t="str">
        <f t="shared" si="250"/>
        <v/>
      </c>
      <c r="AK1791" s="2" t="str">
        <f t="shared" si="251"/>
        <v/>
      </c>
    </row>
    <row r="1792" spans="1:37" x14ac:dyDescent="0.25">
      <c r="A1792">
        <v>454</v>
      </c>
      <c r="B1792" t="s">
        <v>1952</v>
      </c>
      <c r="C1792" t="s">
        <v>1577</v>
      </c>
      <c r="D1792" t="s">
        <v>1862</v>
      </c>
      <c r="E1792" t="s">
        <v>1905</v>
      </c>
      <c r="F1792" t="s">
        <v>1906</v>
      </c>
      <c r="G1792" t="s">
        <v>31</v>
      </c>
      <c r="H1792" s="1">
        <v>44971.571030092593</v>
      </c>
      <c r="I1792" s="1">
        <v>44974.571030092593</v>
      </c>
      <c r="J1792" t="s">
        <v>32</v>
      </c>
      <c r="K1792" s="1">
        <v>44994.571030092593</v>
      </c>
      <c r="L1792" t="s">
        <v>33</v>
      </c>
      <c r="M1792" t="s">
        <v>51</v>
      </c>
      <c r="T1792">
        <v>0</v>
      </c>
      <c r="Y1792" t="s">
        <v>35</v>
      </c>
      <c r="AC1792" s="2">
        <f t="shared" si="243"/>
        <v>3</v>
      </c>
      <c r="AD1792" s="2">
        <f t="shared" si="244"/>
        <v>23</v>
      </c>
      <c r="AE1792" s="2">
        <f t="shared" si="245"/>
        <v>20</v>
      </c>
      <c r="AF1792" s="2" t="str">
        <f t="shared" si="246"/>
        <v/>
      </c>
      <c r="AG1792" s="2" t="str">
        <f t="shared" si="247"/>
        <v/>
      </c>
      <c r="AH1792" s="4" t="str">
        <f t="shared" si="248"/>
        <v/>
      </c>
      <c r="AI1792" s="2" t="str">
        <f t="shared" si="249"/>
        <v/>
      </c>
      <c r="AJ1792" s="2" t="str">
        <f t="shared" si="250"/>
        <v/>
      </c>
      <c r="AK1792" s="2" t="str">
        <f t="shared" si="251"/>
        <v/>
      </c>
    </row>
    <row r="1793" spans="1:37" x14ac:dyDescent="0.25">
      <c r="A1793">
        <v>453</v>
      </c>
      <c r="B1793" t="s">
        <v>1953</v>
      </c>
      <c r="C1793" t="s">
        <v>1577</v>
      </c>
      <c r="D1793" t="s">
        <v>1862</v>
      </c>
      <c r="E1793" t="s">
        <v>1905</v>
      </c>
      <c r="F1793" t="s">
        <v>1906</v>
      </c>
      <c r="G1793" t="s">
        <v>31</v>
      </c>
      <c r="H1793" s="1">
        <v>44969.571030092593</v>
      </c>
      <c r="I1793" s="1">
        <v>44973.571030092593</v>
      </c>
      <c r="J1793" t="s">
        <v>32</v>
      </c>
      <c r="K1793" s="1">
        <v>44983.571030092593</v>
      </c>
      <c r="L1793" t="s">
        <v>33</v>
      </c>
      <c r="M1793" t="s">
        <v>34</v>
      </c>
      <c r="T1793">
        <v>0</v>
      </c>
      <c r="Y1793" t="s">
        <v>35</v>
      </c>
      <c r="AC1793" s="2">
        <f t="shared" si="243"/>
        <v>4</v>
      </c>
      <c r="AD1793" s="2">
        <f t="shared" si="244"/>
        <v>14</v>
      </c>
      <c r="AE1793" s="2">
        <f t="shared" si="245"/>
        <v>10</v>
      </c>
      <c r="AF1793" s="2" t="str">
        <f t="shared" si="246"/>
        <v/>
      </c>
      <c r="AG1793" s="2" t="str">
        <f t="shared" si="247"/>
        <v/>
      </c>
      <c r="AH1793" s="4" t="str">
        <f t="shared" si="248"/>
        <v/>
      </c>
      <c r="AI1793" s="2" t="str">
        <f t="shared" si="249"/>
        <v/>
      </c>
      <c r="AJ1793" s="2" t="str">
        <f t="shared" si="250"/>
        <v/>
      </c>
      <c r="AK1793" s="2" t="str">
        <f t="shared" si="251"/>
        <v/>
      </c>
    </row>
    <row r="1794" spans="1:37" x14ac:dyDescent="0.25">
      <c r="A1794">
        <v>394</v>
      </c>
      <c r="B1794" t="s">
        <v>1954</v>
      </c>
      <c r="C1794" t="s">
        <v>1577</v>
      </c>
      <c r="D1794" t="s">
        <v>1862</v>
      </c>
      <c r="E1794" t="s">
        <v>1905</v>
      </c>
      <c r="F1794" t="s">
        <v>1906</v>
      </c>
      <c r="G1794" t="s">
        <v>31</v>
      </c>
      <c r="H1794" s="1">
        <v>44973.686574074076</v>
      </c>
      <c r="I1794" s="1">
        <v>44976.686574074076</v>
      </c>
      <c r="J1794" t="s">
        <v>32</v>
      </c>
      <c r="K1794" s="1">
        <v>44984.686574074076</v>
      </c>
      <c r="L1794" t="s">
        <v>39</v>
      </c>
      <c r="N1794" s="4">
        <v>44986.686574074076</v>
      </c>
      <c r="O1794" t="s">
        <v>39</v>
      </c>
      <c r="R1794" s="4">
        <v>44985.686574074076</v>
      </c>
      <c r="T1794">
        <v>0</v>
      </c>
      <c r="AC1794" s="2">
        <f t="shared" si="243"/>
        <v>3</v>
      </c>
      <c r="AD1794" s="2">
        <f t="shared" si="244"/>
        <v>11</v>
      </c>
      <c r="AE1794" s="2">
        <f t="shared" si="245"/>
        <v>8</v>
      </c>
      <c r="AF1794" s="2">
        <f t="shared" si="246"/>
        <v>12</v>
      </c>
      <c r="AG1794" s="2">
        <f t="shared" si="247"/>
        <v>1</v>
      </c>
      <c r="AH1794" s="4">
        <f t="shared" si="248"/>
        <v>45075.686574074076</v>
      </c>
      <c r="AI1794" s="2" t="str">
        <f t="shared" si="249"/>
        <v/>
      </c>
      <c r="AJ1794" s="2" t="str">
        <f t="shared" si="250"/>
        <v/>
      </c>
      <c r="AK1794" s="2" t="str">
        <f t="shared" si="251"/>
        <v/>
      </c>
    </row>
    <row r="1795" spans="1:37" x14ac:dyDescent="0.25">
      <c r="A1795">
        <v>350</v>
      </c>
      <c r="B1795" t="s">
        <v>1955</v>
      </c>
      <c r="C1795" t="s">
        <v>1577</v>
      </c>
      <c r="D1795" t="s">
        <v>1862</v>
      </c>
      <c r="E1795" t="s">
        <v>1905</v>
      </c>
      <c r="F1795" t="s">
        <v>1906</v>
      </c>
      <c r="G1795" t="s">
        <v>31</v>
      </c>
      <c r="H1795" s="1">
        <v>44683.644375000003</v>
      </c>
      <c r="I1795" s="1">
        <v>44684.644375000003</v>
      </c>
      <c r="J1795" t="s">
        <v>44</v>
      </c>
      <c r="K1795" s="1"/>
      <c r="T1795">
        <v>0</v>
      </c>
      <c r="AC1795" s="2">
        <f t="shared" ref="AC1795:AC1858" si="252">IF(AND(I1795&lt;&gt;"",H1795&lt;&gt;""), I1795-H1795, "")</f>
        <v>1</v>
      </c>
      <c r="AD1795" s="2" t="str">
        <f t="shared" ref="AD1795:AD1858" si="253">IF(AND(K1795&lt;&gt;"",H1795&lt;&gt;""), K1795-H1795, "")</f>
        <v/>
      </c>
      <c r="AE1795" s="2" t="str">
        <f t="shared" ref="AE1795:AE1858" si="254">IF(AND(K1795&lt;&gt;"",I1795&lt;&gt;""), K1795-I1795, "")</f>
        <v/>
      </c>
      <c r="AF1795" s="2" t="str">
        <f t="shared" ref="AF1795:AF1858" si="255">IF(AND(R1795&lt;&gt;"",H1795&lt;&gt;""), R1795-H1795, "")</f>
        <v/>
      </c>
      <c r="AG1795" s="2" t="str">
        <f t="shared" ref="AG1795:AG1858" si="256">IF(AND(R1795&lt;&gt;"",K1795&lt;&gt;""), R1795-K1795, "")</f>
        <v/>
      </c>
      <c r="AH1795" s="4" t="str">
        <f t="shared" ref="AH1795:AH1858" si="257">IF(R1795&lt;&gt;"", R1795+90, "")</f>
        <v/>
      </c>
      <c r="AI1795" s="2" t="str">
        <f t="shared" ref="AI1795:AI1858" si="258">IF(AND(U1795&lt;&gt;"",S1795&lt;&gt;""), U1795-S1795, "")</f>
        <v/>
      </c>
      <c r="AJ1795" s="2" t="str">
        <f t="shared" ref="AJ1795:AJ1858" si="259">IF(AND(Z1795&lt;&gt;"",R1795&lt;&gt;""), Z1795-R1795, "")</f>
        <v/>
      </c>
      <c r="AK1795" s="2" t="str">
        <f t="shared" ref="AK1795:AK1858" si="260">IF(AND(W1795&lt;&gt;"",R1795&lt;&gt;""), W1795-R1795, "")</f>
        <v/>
      </c>
    </row>
    <row r="1796" spans="1:37" x14ac:dyDescent="0.25">
      <c r="A1796">
        <v>290</v>
      </c>
      <c r="B1796" t="s">
        <v>1956</v>
      </c>
      <c r="C1796" t="s">
        <v>1577</v>
      </c>
      <c r="D1796" t="s">
        <v>1862</v>
      </c>
      <c r="E1796" t="s">
        <v>1905</v>
      </c>
      <c r="F1796" t="s">
        <v>1906</v>
      </c>
      <c r="G1796" t="s">
        <v>31</v>
      </c>
      <c r="H1796" s="1">
        <v>44700.67763888889</v>
      </c>
      <c r="I1796" s="1">
        <v>44704.67763888889</v>
      </c>
      <c r="J1796" t="s">
        <v>32</v>
      </c>
      <c r="K1796" s="1">
        <v>44715.67763888889</v>
      </c>
      <c r="L1796" t="s">
        <v>39</v>
      </c>
      <c r="N1796" s="4">
        <v>44722.67763888889</v>
      </c>
      <c r="O1796" t="s">
        <v>39</v>
      </c>
      <c r="R1796" s="4">
        <v>44718.67763888889</v>
      </c>
      <c r="T1796">
        <v>0</v>
      </c>
      <c r="AC1796" s="2">
        <f t="shared" si="252"/>
        <v>4</v>
      </c>
      <c r="AD1796" s="2">
        <f t="shared" si="253"/>
        <v>15</v>
      </c>
      <c r="AE1796" s="2">
        <f t="shared" si="254"/>
        <v>11</v>
      </c>
      <c r="AF1796" s="2">
        <f t="shared" si="255"/>
        <v>18</v>
      </c>
      <c r="AG1796" s="2">
        <f t="shared" si="256"/>
        <v>3</v>
      </c>
      <c r="AH1796" s="4">
        <f t="shared" si="257"/>
        <v>44808.67763888889</v>
      </c>
      <c r="AI1796" s="2" t="str">
        <f t="shared" si="258"/>
        <v/>
      </c>
      <c r="AJ1796" s="2" t="str">
        <f t="shared" si="259"/>
        <v/>
      </c>
      <c r="AK1796" s="2" t="str">
        <f t="shared" si="260"/>
        <v/>
      </c>
    </row>
    <row r="1797" spans="1:37" x14ac:dyDescent="0.25">
      <c r="A1797">
        <v>288</v>
      </c>
      <c r="B1797" t="s">
        <v>1957</v>
      </c>
      <c r="C1797" t="s">
        <v>1577</v>
      </c>
      <c r="D1797" t="s">
        <v>1862</v>
      </c>
      <c r="E1797" t="s">
        <v>1905</v>
      </c>
      <c r="F1797" t="s">
        <v>1906</v>
      </c>
      <c r="G1797" t="s">
        <v>31</v>
      </c>
      <c r="H1797" s="1">
        <v>44700.67763888889</v>
      </c>
      <c r="I1797" s="1">
        <v>44701.67763888889</v>
      </c>
      <c r="J1797" t="s">
        <v>32</v>
      </c>
      <c r="K1797" s="1">
        <v>44709.67763888889</v>
      </c>
      <c r="L1797" t="s">
        <v>39</v>
      </c>
      <c r="N1797" s="4">
        <v>44712.67763888889</v>
      </c>
      <c r="O1797" t="s">
        <v>39</v>
      </c>
      <c r="R1797" s="4">
        <v>44710.67763888889</v>
      </c>
      <c r="T1797">
        <v>0</v>
      </c>
      <c r="AC1797" s="2">
        <f t="shared" si="252"/>
        <v>1</v>
      </c>
      <c r="AD1797" s="2">
        <f t="shared" si="253"/>
        <v>9</v>
      </c>
      <c r="AE1797" s="2">
        <f t="shared" si="254"/>
        <v>8</v>
      </c>
      <c r="AF1797" s="2">
        <f t="shared" si="255"/>
        <v>10</v>
      </c>
      <c r="AG1797" s="2">
        <f t="shared" si="256"/>
        <v>1</v>
      </c>
      <c r="AH1797" s="4">
        <f t="shared" si="257"/>
        <v>44800.67763888889</v>
      </c>
      <c r="AI1797" s="2" t="str">
        <f t="shared" si="258"/>
        <v/>
      </c>
      <c r="AJ1797" s="2" t="str">
        <f t="shared" si="259"/>
        <v/>
      </c>
      <c r="AK1797" s="2" t="str">
        <f t="shared" si="260"/>
        <v/>
      </c>
    </row>
    <row r="1798" spans="1:37" x14ac:dyDescent="0.25">
      <c r="A1798">
        <v>208</v>
      </c>
      <c r="B1798" t="s">
        <v>1958</v>
      </c>
      <c r="C1798" t="s">
        <v>1577</v>
      </c>
      <c r="D1798" t="s">
        <v>1862</v>
      </c>
      <c r="E1798" t="s">
        <v>1905</v>
      </c>
      <c r="F1798" t="s">
        <v>1906</v>
      </c>
      <c r="G1798" t="s">
        <v>31</v>
      </c>
      <c r="H1798" s="1">
        <v>44751.342893518522</v>
      </c>
      <c r="I1798" s="1">
        <v>44752.342893518522</v>
      </c>
      <c r="J1798" t="s">
        <v>44</v>
      </c>
      <c r="K1798" s="1"/>
      <c r="T1798">
        <v>0</v>
      </c>
      <c r="AC1798" s="2">
        <f t="shared" si="252"/>
        <v>1</v>
      </c>
      <c r="AD1798" s="2" t="str">
        <f t="shared" si="253"/>
        <v/>
      </c>
      <c r="AE1798" s="2" t="str">
        <f t="shared" si="254"/>
        <v/>
      </c>
      <c r="AF1798" s="2" t="str">
        <f t="shared" si="255"/>
        <v/>
      </c>
      <c r="AG1798" s="2" t="str">
        <f t="shared" si="256"/>
        <v/>
      </c>
      <c r="AH1798" s="4" t="str">
        <f t="shared" si="257"/>
        <v/>
      </c>
      <c r="AI1798" s="2" t="str">
        <f t="shared" si="258"/>
        <v/>
      </c>
      <c r="AJ1798" s="2" t="str">
        <f t="shared" si="259"/>
        <v/>
      </c>
      <c r="AK1798" s="2" t="str">
        <f t="shared" si="260"/>
        <v/>
      </c>
    </row>
    <row r="1799" spans="1:37" x14ac:dyDescent="0.25">
      <c r="A1799">
        <v>206</v>
      </c>
      <c r="B1799" t="s">
        <v>1959</v>
      </c>
      <c r="C1799" t="s">
        <v>1577</v>
      </c>
      <c r="D1799" t="s">
        <v>1862</v>
      </c>
      <c r="E1799" t="s">
        <v>1905</v>
      </c>
      <c r="F1799" t="s">
        <v>1906</v>
      </c>
      <c r="G1799" t="s">
        <v>31</v>
      </c>
      <c r="H1799" s="1">
        <v>44747.342893518522</v>
      </c>
      <c r="I1799" s="1">
        <v>44748.342893518522</v>
      </c>
      <c r="J1799" t="s">
        <v>32</v>
      </c>
      <c r="K1799" s="1">
        <v>44760.342893518522</v>
      </c>
      <c r="L1799" t="s">
        <v>33</v>
      </c>
      <c r="M1799" t="s">
        <v>67</v>
      </c>
      <c r="R1799" s="4">
        <v>44763.342893518522</v>
      </c>
      <c r="T1799">
        <v>0</v>
      </c>
      <c r="Y1799" t="s">
        <v>55</v>
      </c>
      <c r="AC1799" s="2">
        <f t="shared" si="252"/>
        <v>1</v>
      </c>
      <c r="AD1799" s="2">
        <f t="shared" si="253"/>
        <v>13</v>
      </c>
      <c r="AE1799" s="2">
        <f t="shared" si="254"/>
        <v>12</v>
      </c>
      <c r="AF1799" s="2">
        <f t="shared" si="255"/>
        <v>16</v>
      </c>
      <c r="AG1799" s="2">
        <f t="shared" si="256"/>
        <v>3</v>
      </c>
      <c r="AH1799" s="4">
        <f t="shared" si="257"/>
        <v>44853.342893518522</v>
      </c>
      <c r="AI1799" s="2" t="str">
        <f t="shared" si="258"/>
        <v/>
      </c>
      <c r="AJ1799" s="2" t="str">
        <f t="shared" si="259"/>
        <v/>
      </c>
      <c r="AK1799" s="2" t="str">
        <f t="shared" si="260"/>
        <v/>
      </c>
    </row>
    <row r="1800" spans="1:37" x14ac:dyDescent="0.25">
      <c r="A1800">
        <v>205</v>
      </c>
      <c r="B1800" t="s">
        <v>1960</v>
      </c>
      <c r="C1800" t="s">
        <v>1577</v>
      </c>
      <c r="D1800" t="s">
        <v>1862</v>
      </c>
      <c r="E1800" t="s">
        <v>1905</v>
      </c>
      <c r="F1800" t="s">
        <v>1906</v>
      </c>
      <c r="G1800" t="s">
        <v>31</v>
      </c>
      <c r="H1800" s="1">
        <v>44750.342893518522</v>
      </c>
      <c r="I1800" s="1">
        <v>44751.342893518522</v>
      </c>
      <c r="J1800" t="s">
        <v>32</v>
      </c>
      <c r="K1800" s="1">
        <v>44758.342893518522</v>
      </c>
      <c r="L1800" t="s">
        <v>33</v>
      </c>
      <c r="M1800" t="s">
        <v>108</v>
      </c>
      <c r="R1800" s="4">
        <v>44762.342893518522</v>
      </c>
      <c r="T1800">
        <v>0</v>
      </c>
      <c r="Y1800" t="s">
        <v>35</v>
      </c>
      <c r="AC1800" s="2">
        <f t="shared" si="252"/>
        <v>1</v>
      </c>
      <c r="AD1800" s="2">
        <f t="shared" si="253"/>
        <v>8</v>
      </c>
      <c r="AE1800" s="2">
        <f t="shared" si="254"/>
        <v>7</v>
      </c>
      <c r="AF1800" s="2">
        <f t="shared" si="255"/>
        <v>12</v>
      </c>
      <c r="AG1800" s="2">
        <f t="shared" si="256"/>
        <v>4</v>
      </c>
      <c r="AH1800" s="4">
        <f t="shared" si="257"/>
        <v>44852.342893518522</v>
      </c>
      <c r="AI1800" s="2" t="str">
        <f t="shared" si="258"/>
        <v/>
      </c>
      <c r="AJ1800" s="2" t="str">
        <f t="shared" si="259"/>
        <v/>
      </c>
      <c r="AK1800" s="2" t="str">
        <f t="shared" si="260"/>
        <v/>
      </c>
    </row>
    <row r="1801" spans="1:37" x14ac:dyDescent="0.25">
      <c r="A1801">
        <v>180</v>
      </c>
      <c r="B1801" t="s">
        <v>1961</v>
      </c>
      <c r="C1801" t="s">
        <v>1577</v>
      </c>
      <c r="D1801" t="s">
        <v>1862</v>
      </c>
      <c r="E1801" t="s">
        <v>1905</v>
      </c>
      <c r="F1801" t="s">
        <v>1906</v>
      </c>
      <c r="G1801" t="s">
        <v>31</v>
      </c>
      <c r="H1801" s="1">
        <v>45088.370925925927</v>
      </c>
      <c r="I1801" s="1">
        <v>45091.370925925927</v>
      </c>
      <c r="J1801" t="s">
        <v>32</v>
      </c>
      <c r="K1801" s="1">
        <v>45106.370925925927</v>
      </c>
      <c r="L1801" t="s">
        <v>33</v>
      </c>
      <c r="M1801" t="s">
        <v>67</v>
      </c>
      <c r="R1801" s="4">
        <v>45107.370925925927</v>
      </c>
      <c r="T1801">
        <v>0</v>
      </c>
      <c r="Y1801" t="s">
        <v>55</v>
      </c>
      <c r="AC1801" s="2">
        <f t="shared" si="252"/>
        <v>3</v>
      </c>
      <c r="AD1801" s="2">
        <f t="shared" si="253"/>
        <v>18</v>
      </c>
      <c r="AE1801" s="2">
        <f t="shared" si="254"/>
        <v>15</v>
      </c>
      <c r="AF1801" s="2">
        <f t="shared" si="255"/>
        <v>19</v>
      </c>
      <c r="AG1801" s="2">
        <f t="shared" si="256"/>
        <v>1</v>
      </c>
      <c r="AH1801" s="4">
        <f t="shared" si="257"/>
        <v>45197.370925925927</v>
      </c>
      <c r="AI1801" s="2" t="str">
        <f t="shared" si="258"/>
        <v/>
      </c>
      <c r="AJ1801" s="2" t="str">
        <f t="shared" si="259"/>
        <v/>
      </c>
      <c r="AK1801" s="2" t="str">
        <f t="shared" si="260"/>
        <v/>
      </c>
    </row>
    <row r="1802" spans="1:37" x14ac:dyDescent="0.25">
      <c r="A1802">
        <v>108</v>
      </c>
      <c r="B1802" t="s">
        <v>1962</v>
      </c>
      <c r="C1802" t="s">
        <v>1577</v>
      </c>
      <c r="D1802" t="s">
        <v>1862</v>
      </c>
      <c r="E1802" t="s">
        <v>1905</v>
      </c>
      <c r="F1802" t="s">
        <v>1906</v>
      </c>
      <c r="G1802" t="s">
        <v>31</v>
      </c>
      <c r="H1802" s="1">
        <v>45015.880046296297</v>
      </c>
      <c r="I1802" s="1">
        <v>45016.880046296297</v>
      </c>
      <c r="J1802" t="s">
        <v>44</v>
      </c>
      <c r="K1802" s="1"/>
      <c r="T1802">
        <v>0</v>
      </c>
      <c r="AC1802" s="2">
        <f t="shared" si="252"/>
        <v>1</v>
      </c>
      <c r="AD1802" s="2" t="str">
        <f t="shared" si="253"/>
        <v/>
      </c>
      <c r="AE1802" s="2" t="str">
        <f t="shared" si="254"/>
        <v/>
      </c>
      <c r="AF1802" s="2" t="str">
        <f t="shared" si="255"/>
        <v/>
      </c>
      <c r="AG1802" s="2" t="str">
        <f t="shared" si="256"/>
        <v/>
      </c>
      <c r="AH1802" s="4" t="str">
        <f t="shared" si="257"/>
        <v/>
      </c>
      <c r="AI1802" s="2" t="str">
        <f t="shared" si="258"/>
        <v/>
      </c>
      <c r="AJ1802" s="2" t="str">
        <f t="shared" si="259"/>
        <v/>
      </c>
      <c r="AK1802" s="2" t="str">
        <f t="shared" si="260"/>
        <v/>
      </c>
    </row>
    <row r="1803" spans="1:37" x14ac:dyDescent="0.25">
      <c r="A1803">
        <v>78</v>
      </c>
      <c r="B1803" t="s">
        <v>1963</v>
      </c>
      <c r="C1803" t="s">
        <v>1577</v>
      </c>
      <c r="D1803" t="s">
        <v>1862</v>
      </c>
      <c r="E1803" t="s">
        <v>1905</v>
      </c>
      <c r="F1803" t="s">
        <v>1906</v>
      </c>
      <c r="G1803" t="s">
        <v>31</v>
      </c>
      <c r="H1803" s="1">
        <v>44750.410798611112</v>
      </c>
      <c r="I1803" s="1">
        <v>44752.410798611112</v>
      </c>
      <c r="J1803" t="s">
        <v>32</v>
      </c>
      <c r="K1803" s="1">
        <v>44758.410798611112</v>
      </c>
      <c r="L1803" t="s">
        <v>33</v>
      </c>
      <c r="M1803" t="s">
        <v>108</v>
      </c>
      <c r="R1803" s="4">
        <v>44762.410798611112</v>
      </c>
      <c r="T1803">
        <v>0</v>
      </c>
      <c r="Y1803" t="s">
        <v>55</v>
      </c>
      <c r="AC1803" s="2">
        <f t="shared" si="252"/>
        <v>2</v>
      </c>
      <c r="AD1803" s="2">
        <f t="shared" si="253"/>
        <v>8</v>
      </c>
      <c r="AE1803" s="2">
        <f t="shared" si="254"/>
        <v>6</v>
      </c>
      <c r="AF1803" s="2">
        <f t="shared" si="255"/>
        <v>12</v>
      </c>
      <c r="AG1803" s="2">
        <f t="shared" si="256"/>
        <v>4</v>
      </c>
      <c r="AH1803" s="4">
        <f t="shared" si="257"/>
        <v>44852.410798611112</v>
      </c>
      <c r="AI1803" s="2" t="str">
        <f t="shared" si="258"/>
        <v/>
      </c>
      <c r="AJ1803" s="2" t="str">
        <f t="shared" si="259"/>
        <v/>
      </c>
      <c r="AK1803" s="2" t="str">
        <f t="shared" si="260"/>
        <v/>
      </c>
    </row>
    <row r="1804" spans="1:37" x14ac:dyDescent="0.25">
      <c r="A1804">
        <v>77</v>
      </c>
      <c r="B1804" t="s">
        <v>1964</v>
      </c>
      <c r="C1804" t="s">
        <v>1577</v>
      </c>
      <c r="D1804" t="s">
        <v>1862</v>
      </c>
      <c r="E1804" t="s">
        <v>1905</v>
      </c>
      <c r="F1804" t="s">
        <v>1906</v>
      </c>
      <c r="G1804" t="s">
        <v>31</v>
      </c>
      <c r="H1804" s="1">
        <v>44750.410798611112</v>
      </c>
      <c r="I1804" s="1">
        <v>44752.410798611112</v>
      </c>
      <c r="J1804" t="s">
        <v>32</v>
      </c>
      <c r="K1804" s="1">
        <v>44764.410798611112</v>
      </c>
      <c r="L1804" t="s">
        <v>39</v>
      </c>
      <c r="N1804" s="4">
        <v>44772.410798611112</v>
      </c>
      <c r="O1804" t="s">
        <v>39</v>
      </c>
      <c r="R1804" s="4">
        <v>44768.410798611112</v>
      </c>
      <c r="T1804">
        <v>0</v>
      </c>
      <c r="AC1804" s="2">
        <f t="shared" si="252"/>
        <v>2</v>
      </c>
      <c r="AD1804" s="2">
        <f t="shared" si="253"/>
        <v>14</v>
      </c>
      <c r="AE1804" s="2">
        <f t="shared" si="254"/>
        <v>12</v>
      </c>
      <c r="AF1804" s="2">
        <f t="shared" si="255"/>
        <v>18</v>
      </c>
      <c r="AG1804" s="2">
        <f t="shared" si="256"/>
        <v>4</v>
      </c>
      <c r="AH1804" s="4">
        <f t="shared" si="257"/>
        <v>44858.410798611112</v>
      </c>
      <c r="AI1804" s="2" t="str">
        <f t="shared" si="258"/>
        <v/>
      </c>
      <c r="AJ1804" s="2" t="str">
        <f t="shared" si="259"/>
        <v/>
      </c>
      <c r="AK1804" s="2" t="str">
        <f t="shared" si="260"/>
        <v/>
      </c>
    </row>
    <row r="1805" spans="1:37" x14ac:dyDescent="0.25">
      <c r="A1805">
        <v>74</v>
      </c>
      <c r="B1805" t="s">
        <v>1965</v>
      </c>
      <c r="C1805" t="s">
        <v>1577</v>
      </c>
      <c r="D1805" t="s">
        <v>1862</v>
      </c>
      <c r="E1805" t="s">
        <v>1905</v>
      </c>
      <c r="F1805" t="s">
        <v>1906</v>
      </c>
      <c r="G1805" t="s">
        <v>31</v>
      </c>
      <c r="H1805" s="1">
        <v>44745.410798611112</v>
      </c>
      <c r="I1805" s="1">
        <v>44749.410798611112</v>
      </c>
      <c r="J1805" t="s">
        <v>32</v>
      </c>
      <c r="K1805" s="1">
        <v>44770.410798611112</v>
      </c>
      <c r="L1805" t="s">
        <v>39</v>
      </c>
      <c r="N1805" s="4">
        <v>44777.410798611112</v>
      </c>
      <c r="O1805" t="s">
        <v>39</v>
      </c>
      <c r="R1805" s="4">
        <v>44774.410798611112</v>
      </c>
      <c r="T1805">
        <v>0</v>
      </c>
      <c r="AC1805" s="2">
        <f t="shared" si="252"/>
        <v>4</v>
      </c>
      <c r="AD1805" s="2">
        <f t="shared" si="253"/>
        <v>25</v>
      </c>
      <c r="AE1805" s="2">
        <f t="shared" si="254"/>
        <v>21</v>
      </c>
      <c r="AF1805" s="2">
        <f t="shared" si="255"/>
        <v>29</v>
      </c>
      <c r="AG1805" s="2">
        <f t="shared" si="256"/>
        <v>4</v>
      </c>
      <c r="AH1805" s="4">
        <f t="shared" si="257"/>
        <v>44864.410798611112</v>
      </c>
      <c r="AI1805" s="2" t="str">
        <f t="shared" si="258"/>
        <v/>
      </c>
      <c r="AJ1805" s="2" t="str">
        <f t="shared" si="259"/>
        <v/>
      </c>
      <c r="AK1805" s="2" t="str">
        <f t="shared" si="260"/>
        <v/>
      </c>
    </row>
    <row r="1806" spans="1:37" x14ac:dyDescent="0.25">
      <c r="A1806">
        <v>72</v>
      </c>
      <c r="B1806" t="s">
        <v>1966</v>
      </c>
      <c r="C1806" t="s">
        <v>1577</v>
      </c>
      <c r="D1806" t="s">
        <v>1862</v>
      </c>
      <c r="E1806" t="s">
        <v>1905</v>
      </c>
      <c r="F1806" t="s">
        <v>1906</v>
      </c>
      <c r="G1806" t="s">
        <v>31</v>
      </c>
      <c r="H1806" s="1">
        <v>44750.410798611112</v>
      </c>
      <c r="I1806" s="1">
        <v>44753.410798611112</v>
      </c>
      <c r="J1806" t="s">
        <v>32</v>
      </c>
      <c r="K1806" s="1">
        <v>44756.410798611112</v>
      </c>
      <c r="L1806" t="s">
        <v>39</v>
      </c>
      <c r="N1806" s="4">
        <v>44761.410798611112</v>
      </c>
      <c r="O1806" t="s">
        <v>39</v>
      </c>
      <c r="R1806" s="4">
        <v>44758.410798611112</v>
      </c>
      <c r="T1806">
        <v>0</v>
      </c>
      <c r="AC1806" s="2">
        <f t="shared" si="252"/>
        <v>3</v>
      </c>
      <c r="AD1806" s="2">
        <f t="shared" si="253"/>
        <v>6</v>
      </c>
      <c r="AE1806" s="2">
        <f t="shared" si="254"/>
        <v>3</v>
      </c>
      <c r="AF1806" s="2">
        <f t="shared" si="255"/>
        <v>8</v>
      </c>
      <c r="AG1806" s="2">
        <f t="shared" si="256"/>
        <v>2</v>
      </c>
      <c r="AH1806" s="4">
        <f t="shared" si="257"/>
        <v>44848.410798611112</v>
      </c>
      <c r="AI1806" s="2" t="str">
        <f t="shared" si="258"/>
        <v/>
      </c>
      <c r="AJ1806" s="2" t="str">
        <f t="shared" si="259"/>
        <v/>
      </c>
      <c r="AK1806" s="2" t="str">
        <f t="shared" si="260"/>
        <v/>
      </c>
    </row>
    <row r="1807" spans="1:37" x14ac:dyDescent="0.25">
      <c r="A1807">
        <v>15</v>
      </c>
      <c r="B1807" t="s">
        <v>1967</v>
      </c>
      <c r="C1807" t="s">
        <v>1577</v>
      </c>
      <c r="D1807" t="s">
        <v>1862</v>
      </c>
      <c r="E1807" t="s">
        <v>1905</v>
      </c>
      <c r="F1807" t="s">
        <v>1906</v>
      </c>
      <c r="G1807" t="s">
        <v>31</v>
      </c>
      <c r="H1807" s="1">
        <v>44637.901284722226</v>
      </c>
      <c r="I1807" s="1">
        <v>44638.901284722226</v>
      </c>
      <c r="J1807" t="s">
        <v>32</v>
      </c>
      <c r="K1807" s="1">
        <v>44644.901284722226</v>
      </c>
      <c r="L1807" t="s">
        <v>57</v>
      </c>
      <c r="N1807" s="4">
        <v>44646.901284722226</v>
      </c>
      <c r="O1807" t="s">
        <v>57</v>
      </c>
      <c r="P1807" s="4">
        <v>44645.901284722226</v>
      </c>
      <c r="Q1807" s="4">
        <v>44646.901284722226</v>
      </c>
      <c r="R1807" s="4">
        <v>44645.901284722226</v>
      </c>
      <c r="S1807" s="4">
        <v>44654.901284722226</v>
      </c>
      <c r="T1807">
        <v>1</v>
      </c>
      <c r="U1807" s="4">
        <v>44656.901284722226</v>
      </c>
      <c r="V1807" s="4">
        <v>44657.901284722226</v>
      </c>
      <c r="W1807" s="4">
        <v>44658.901284722226</v>
      </c>
      <c r="Z1807" s="4">
        <v>44679.901284722226</v>
      </c>
      <c r="AC1807" s="2">
        <f t="shared" si="252"/>
        <v>1</v>
      </c>
      <c r="AD1807" s="2">
        <f t="shared" si="253"/>
        <v>7</v>
      </c>
      <c r="AE1807" s="2">
        <f t="shared" si="254"/>
        <v>6</v>
      </c>
      <c r="AF1807" s="2">
        <f t="shared" si="255"/>
        <v>8</v>
      </c>
      <c r="AG1807" s="2">
        <f t="shared" si="256"/>
        <v>1</v>
      </c>
      <c r="AH1807" s="4">
        <f t="shared" si="257"/>
        <v>44735.901284722226</v>
      </c>
      <c r="AI1807" s="2">
        <f t="shared" si="258"/>
        <v>2</v>
      </c>
      <c r="AJ1807" s="2">
        <f t="shared" si="259"/>
        <v>34</v>
      </c>
      <c r="AK1807" s="2">
        <f t="shared" si="260"/>
        <v>13</v>
      </c>
    </row>
    <row r="1808" spans="1:37" x14ac:dyDescent="0.25">
      <c r="A1808">
        <v>2290</v>
      </c>
      <c r="B1808" t="s">
        <v>1968</v>
      </c>
      <c r="C1808" t="s">
        <v>1577</v>
      </c>
      <c r="D1808" t="s">
        <v>1969</v>
      </c>
      <c r="E1808" t="s">
        <v>1056</v>
      </c>
      <c r="F1808" t="s">
        <v>1970</v>
      </c>
      <c r="G1808" t="s">
        <v>49</v>
      </c>
      <c r="H1808" s="1">
        <v>44762.489282407405</v>
      </c>
      <c r="I1808" s="1">
        <v>44766.489282407405</v>
      </c>
      <c r="J1808" t="s">
        <v>44</v>
      </c>
      <c r="K1808" s="1"/>
      <c r="T1808">
        <v>0</v>
      </c>
      <c r="AC1808" s="2">
        <f t="shared" si="252"/>
        <v>4</v>
      </c>
      <c r="AD1808" s="2" t="str">
        <f t="shared" si="253"/>
        <v/>
      </c>
      <c r="AE1808" s="2" t="str">
        <f t="shared" si="254"/>
        <v/>
      </c>
      <c r="AF1808" s="2" t="str">
        <f t="shared" si="255"/>
        <v/>
      </c>
      <c r="AG1808" s="2" t="str">
        <f t="shared" si="256"/>
        <v/>
      </c>
      <c r="AH1808" s="4" t="str">
        <f t="shared" si="257"/>
        <v/>
      </c>
      <c r="AI1808" s="2" t="str">
        <f t="shared" si="258"/>
        <v/>
      </c>
      <c r="AJ1808" s="2" t="str">
        <f t="shared" si="259"/>
        <v/>
      </c>
      <c r="AK1808" s="2" t="str">
        <f t="shared" si="260"/>
        <v/>
      </c>
    </row>
    <row r="1809" spans="1:37" x14ac:dyDescent="0.25">
      <c r="A1809">
        <v>2028</v>
      </c>
      <c r="B1809" t="s">
        <v>1971</v>
      </c>
      <c r="C1809" t="s">
        <v>1577</v>
      </c>
      <c r="D1809" t="s">
        <v>1969</v>
      </c>
      <c r="E1809" t="s">
        <v>1056</v>
      </c>
      <c r="F1809" t="s">
        <v>1970</v>
      </c>
      <c r="G1809" t="s">
        <v>49</v>
      </c>
      <c r="H1809" s="1">
        <v>44787.679872685185</v>
      </c>
      <c r="I1809" s="1">
        <v>44788.679872685185</v>
      </c>
      <c r="J1809" t="s">
        <v>44</v>
      </c>
      <c r="K1809" s="1"/>
      <c r="T1809">
        <v>0</v>
      </c>
      <c r="AC1809" s="2">
        <f t="shared" si="252"/>
        <v>1</v>
      </c>
      <c r="AD1809" s="2" t="str">
        <f t="shared" si="253"/>
        <v/>
      </c>
      <c r="AE1809" s="2" t="str">
        <f t="shared" si="254"/>
        <v/>
      </c>
      <c r="AF1809" s="2" t="str">
        <f t="shared" si="255"/>
        <v/>
      </c>
      <c r="AG1809" s="2" t="str">
        <f t="shared" si="256"/>
        <v/>
      </c>
      <c r="AH1809" s="4" t="str">
        <f t="shared" si="257"/>
        <v/>
      </c>
      <c r="AI1809" s="2" t="str">
        <f t="shared" si="258"/>
        <v/>
      </c>
      <c r="AJ1809" s="2" t="str">
        <f t="shared" si="259"/>
        <v/>
      </c>
      <c r="AK1809" s="2" t="str">
        <f t="shared" si="260"/>
        <v/>
      </c>
    </row>
    <row r="1810" spans="1:37" x14ac:dyDescent="0.25">
      <c r="A1810">
        <v>1829</v>
      </c>
      <c r="B1810" t="s">
        <v>1972</v>
      </c>
      <c r="C1810" t="s">
        <v>1577</v>
      </c>
      <c r="D1810" t="s">
        <v>1969</v>
      </c>
      <c r="E1810" t="s">
        <v>1056</v>
      </c>
      <c r="F1810" t="s">
        <v>1970</v>
      </c>
      <c r="G1810" t="s">
        <v>49</v>
      </c>
      <c r="H1810" s="1">
        <v>44661.459594907406</v>
      </c>
      <c r="I1810" s="1">
        <v>44665.459594907406</v>
      </c>
      <c r="J1810" t="s">
        <v>44</v>
      </c>
      <c r="K1810" s="1"/>
      <c r="T1810">
        <v>0</v>
      </c>
      <c r="AC1810" s="2">
        <f t="shared" si="252"/>
        <v>4</v>
      </c>
      <c r="AD1810" s="2" t="str">
        <f t="shared" si="253"/>
        <v/>
      </c>
      <c r="AE1810" s="2" t="str">
        <f t="shared" si="254"/>
        <v/>
      </c>
      <c r="AF1810" s="2" t="str">
        <f t="shared" si="255"/>
        <v/>
      </c>
      <c r="AG1810" s="2" t="str">
        <f t="shared" si="256"/>
        <v/>
      </c>
      <c r="AH1810" s="4" t="str">
        <f t="shared" si="257"/>
        <v/>
      </c>
      <c r="AI1810" s="2" t="str">
        <f t="shared" si="258"/>
        <v/>
      </c>
      <c r="AJ1810" s="2" t="str">
        <f t="shared" si="259"/>
        <v/>
      </c>
      <c r="AK1810" s="2" t="str">
        <f t="shared" si="260"/>
        <v/>
      </c>
    </row>
    <row r="1811" spans="1:37" x14ac:dyDescent="0.25">
      <c r="A1811">
        <v>1759</v>
      </c>
      <c r="B1811" t="s">
        <v>1973</v>
      </c>
      <c r="C1811" t="s">
        <v>1577</v>
      </c>
      <c r="D1811" t="s">
        <v>1969</v>
      </c>
      <c r="E1811" t="s">
        <v>1056</v>
      </c>
      <c r="F1811" t="s">
        <v>1970</v>
      </c>
      <c r="G1811" t="s">
        <v>49</v>
      </c>
      <c r="H1811" s="1">
        <v>44714.645821759259</v>
      </c>
      <c r="I1811" s="1">
        <v>44715.645821759259</v>
      </c>
      <c r="J1811" t="s">
        <v>44</v>
      </c>
      <c r="K1811" s="1"/>
      <c r="T1811">
        <v>0</v>
      </c>
      <c r="AC1811" s="2">
        <f t="shared" si="252"/>
        <v>1</v>
      </c>
      <c r="AD1811" s="2" t="str">
        <f t="shared" si="253"/>
        <v/>
      </c>
      <c r="AE1811" s="2" t="str">
        <f t="shared" si="254"/>
        <v/>
      </c>
      <c r="AF1811" s="2" t="str">
        <f t="shared" si="255"/>
        <v/>
      </c>
      <c r="AG1811" s="2" t="str">
        <f t="shared" si="256"/>
        <v/>
      </c>
      <c r="AH1811" s="4" t="str">
        <f t="shared" si="257"/>
        <v/>
      </c>
      <c r="AI1811" s="2" t="str">
        <f t="shared" si="258"/>
        <v/>
      </c>
      <c r="AJ1811" s="2" t="str">
        <f t="shared" si="259"/>
        <v/>
      </c>
      <c r="AK1811" s="2" t="str">
        <f t="shared" si="260"/>
        <v/>
      </c>
    </row>
    <row r="1812" spans="1:37" x14ac:dyDescent="0.25">
      <c r="A1812">
        <v>1632</v>
      </c>
      <c r="B1812" t="s">
        <v>1974</v>
      </c>
      <c r="C1812" t="s">
        <v>1577</v>
      </c>
      <c r="D1812" t="s">
        <v>1969</v>
      </c>
      <c r="E1812" t="s">
        <v>1056</v>
      </c>
      <c r="F1812" t="s">
        <v>1970</v>
      </c>
      <c r="G1812" t="s">
        <v>49</v>
      </c>
      <c r="H1812" s="1">
        <v>45171.320416666669</v>
      </c>
      <c r="I1812" s="1">
        <v>45174.320416666669</v>
      </c>
      <c r="J1812" t="s">
        <v>44</v>
      </c>
      <c r="K1812" s="1"/>
      <c r="T1812">
        <v>0</v>
      </c>
      <c r="AC1812" s="2">
        <f t="shared" si="252"/>
        <v>3</v>
      </c>
      <c r="AD1812" s="2" t="str">
        <f t="shared" si="253"/>
        <v/>
      </c>
      <c r="AE1812" s="2" t="str">
        <f t="shared" si="254"/>
        <v/>
      </c>
      <c r="AF1812" s="2" t="str">
        <f t="shared" si="255"/>
        <v/>
      </c>
      <c r="AG1812" s="2" t="str">
        <f t="shared" si="256"/>
        <v/>
      </c>
      <c r="AH1812" s="4" t="str">
        <f t="shared" si="257"/>
        <v/>
      </c>
      <c r="AI1812" s="2" t="str">
        <f t="shared" si="258"/>
        <v/>
      </c>
      <c r="AJ1812" s="2" t="str">
        <f t="shared" si="259"/>
        <v/>
      </c>
      <c r="AK1812" s="2" t="str">
        <f t="shared" si="260"/>
        <v/>
      </c>
    </row>
    <row r="1813" spans="1:37" x14ac:dyDescent="0.25">
      <c r="A1813">
        <v>1516</v>
      </c>
      <c r="B1813" t="s">
        <v>1975</v>
      </c>
      <c r="C1813" t="s">
        <v>1577</v>
      </c>
      <c r="D1813" t="s">
        <v>1969</v>
      </c>
      <c r="E1813" t="s">
        <v>1056</v>
      </c>
      <c r="F1813" t="s">
        <v>1970</v>
      </c>
      <c r="G1813" t="s">
        <v>49</v>
      </c>
      <c r="H1813" s="1">
        <v>44925.208773148152</v>
      </c>
      <c r="I1813" s="1">
        <v>44926.208773148152</v>
      </c>
      <c r="J1813" t="s">
        <v>44</v>
      </c>
      <c r="K1813" s="1"/>
      <c r="T1813">
        <v>0</v>
      </c>
      <c r="AC1813" s="2">
        <f t="shared" si="252"/>
        <v>1</v>
      </c>
      <c r="AD1813" s="2" t="str">
        <f t="shared" si="253"/>
        <v/>
      </c>
      <c r="AE1813" s="2" t="str">
        <f t="shared" si="254"/>
        <v/>
      </c>
      <c r="AF1813" s="2" t="str">
        <f t="shared" si="255"/>
        <v/>
      </c>
      <c r="AG1813" s="2" t="str">
        <f t="shared" si="256"/>
        <v/>
      </c>
      <c r="AH1813" s="4" t="str">
        <f t="shared" si="257"/>
        <v/>
      </c>
      <c r="AI1813" s="2" t="str">
        <f t="shared" si="258"/>
        <v/>
      </c>
      <c r="AJ1813" s="2" t="str">
        <f t="shared" si="259"/>
        <v/>
      </c>
      <c r="AK1813" s="2" t="str">
        <f t="shared" si="260"/>
        <v/>
      </c>
    </row>
    <row r="1814" spans="1:37" x14ac:dyDescent="0.25">
      <c r="A1814">
        <v>1435</v>
      </c>
      <c r="B1814" t="s">
        <v>1976</v>
      </c>
      <c r="C1814" t="s">
        <v>1577</v>
      </c>
      <c r="D1814" t="s">
        <v>1969</v>
      </c>
      <c r="E1814" t="s">
        <v>1056</v>
      </c>
      <c r="F1814" t="s">
        <v>1970</v>
      </c>
      <c r="G1814" t="s">
        <v>49</v>
      </c>
      <c r="H1814" s="1">
        <v>45085.936932870369</v>
      </c>
      <c r="I1814" s="1">
        <v>45089.936932870369</v>
      </c>
      <c r="J1814" t="s">
        <v>44</v>
      </c>
      <c r="K1814" s="1"/>
      <c r="T1814">
        <v>0</v>
      </c>
      <c r="AC1814" s="2">
        <f t="shared" si="252"/>
        <v>4</v>
      </c>
      <c r="AD1814" s="2" t="str">
        <f t="shared" si="253"/>
        <v/>
      </c>
      <c r="AE1814" s="2" t="str">
        <f t="shared" si="254"/>
        <v/>
      </c>
      <c r="AF1814" s="2" t="str">
        <f t="shared" si="255"/>
        <v/>
      </c>
      <c r="AG1814" s="2" t="str">
        <f t="shared" si="256"/>
        <v/>
      </c>
      <c r="AH1814" s="4" t="str">
        <f t="shared" si="257"/>
        <v/>
      </c>
      <c r="AI1814" s="2" t="str">
        <f t="shared" si="258"/>
        <v/>
      </c>
      <c r="AJ1814" s="2" t="str">
        <f t="shared" si="259"/>
        <v/>
      </c>
      <c r="AK1814" s="2" t="str">
        <f t="shared" si="260"/>
        <v/>
      </c>
    </row>
    <row r="1815" spans="1:37" x14ac:dyDescent="0.25">
      <c r="A1815">
        <v>1149</v>
      </c>
      <c r="B1815" t="s">
        <v>1977</v>
      </c>
      <c r="C1815" t="s">
        <v>1577</v>
      </c>
      <c r="D1815" t="s">
        <v>1969</v>
      </c>
      <c r="E1815" t="s">
        <v>1056</v>
      </c>
      <c r="F1815" t="s">
        <v>1970</v>
      </c>
      <c r="G1815" t="s">
        <v>49</v>
      </c>
      <c r="H1815" s="1">
        <v>45140.067280092589</v>
      </c>
      <c r="I1815" s="1">
        <v>45143.067280092589</v>
      </c>
      <c r="J1815" t="s">
        <v>44</v>
      </c>
      <c r="K1815" s="1"/>
      <c r="T1815">
        <v>0</v>
      </c>
      <c r="AC1815" s="2">
        <f t="shared" si="252"/>
        <v>3</v>
      </c>
      <c r="AD1815" s="2" t="str">
        <f t="shared" si="253"/>
        <v/>
      </c>
      <c r="AE1815" s="2" t="str">
        <f t="shared" si="254"/>
        <v/>
      </c>
      <c r="AF1815" s="2" t="str">
        <f t="shared" si="255"/>
        <v/>
      </c>
      <c r="AG1815" s="2" t="str">
        <f t="shared" si="256"/>
        <v/>
      </c>
      <c r="AH1815" s="4" t="str">
        <f t="shared" si="257"/>
        <v/>
      </c>
      <c r="AI1815" s="2" t="str">
        <f t="shared" si="258"/>
        <v/>
      </c>
      <c r="AJ1815" s="2" t="str">
        <f t="shared" si="259"/>
        <v/>
      </c>
      <c r="AK1815" s="2" t="str">
        <f t="shared" si="260"/>
        <v/>
      </c>
    </row>
    <row r="1816" spans="1:37" x14ac:dyDescent="0.25">
      <c r="A1816">
        <v>1034</v>
      </c>
      <c r="B1816" t="s">
        <v>1978</v>
      </c>
      <c r="C1816" t="s">
        <v>1577</v>
      </c>
      <c r="D1816" t="s">
        <v>1969</v>
      </c>
      <c r="E1816" t="s">
        <v>1056</v>
      </c>
      <c r="F1816" t="s">
        <v>1970</v>
      </c>
      <c r="G1816" t="s">
        <v>49</v>
      </c>
      <c r="H1816" s="1">
        <v>44986.822372685187</v>
      </c>
      <c r="I1816" s="1">
        <v>44987.822372685187</v>
      </c>
      <c r="J1816" t="s">
        <v>44</v>
      </c>
      <c r="K1816" s="1"/>
      <c r="T1816">
        <v>0</v>
      </c>
      <c r="AC1816" s="2">
        <f t="shared" si="252"/>
        <v>1</v>
      </c>
      <c r="AD1816" s="2" t="str">
        <f t="shared" si="253"/>
        <v/>
      </c>
      <c r="AE1816" s="2" t="str">
        <f t="shared" si="254"/>
        <v/>
      </c>
      <c r="AF1816" s="2" t="str">
        <f t="shared" si="255"/>
        <v/>
      </c>
      <c r="AG1816" s="2" t="str">
        <f t="shared" si="256"/>
        <v/>
      </c>
      <c r="AH1816" s="4" t="str">
        <f t="shared" si="257"/>
        <v/>
      </c>
      <c r="AI1816" s="2" t="str">
        <f t="shared" si="258"/>
        <v/>
      </c>
      <c r="AJ1816" s="2" t="str">
        <f t="shared" si="259"/>
        <v/>
      </c>
      <c r="AK1816" s="2" t="str">
        <f t="shared" si="260"/>
        <v/>
      </c>
    </row>
    <row r="1817" spans="1:37" x14ac:dyDescent="0.25">
      <c r="A1817">
        <v>974</v>
      </c>
      <c r="B1817" t="s">
        <v>1979</v>
      </c>
      <c r="C1817" t="s">
        <v>1577</v>
      </c>
      <c r="D1817" t="s">
        <v>1969</v>
      </c>
      <c r="E1817" t="s">
        <v>1056</v>
      </c>
      <c r="F1817" t="s">
        <v>1970</v>
      </c>
      <c r="G1817" t="s">
        <v>49</v>
      </c>
      <c r="H1817" s="1">
        <v>44754.699247685188</v>
      </c>
      <c r="I1817" s="1">
        <v>44758.699247685188</v>
      </c>
      <c r="J1817" t="s">
        <v>32</v>
      </c>
      <c r="K1817" s="1">
        <v>44781.699247685188</v>
      </c>
      <c r="L1817" t="s">
        <v>39</v>
      </c>
      <c r="N1817" s="4">
        <v>44786.699247685188</v>
      </c>
      <c r="O1817" t="s">
        <v>39</v>
      </c>
      <c r="R1817" s="4">
        <v>44785.699247685188</v>
      </c>
      <c r="T1817">
        <v>0</v>
      </c>
      <c r="AC1817" s="2">
        <f t="shared" si="252"/>
        <v>4</v>
      </c>
      <c r="AD1817" s="2">
        <f t="shared" si="253"/>
        <v>27</v>
      </c>
      <c r="AE1817" s="2">
        <f t="shared" si="254"/>
        <v>23</v>
      </c>
      <c r="AF1817" s="2">
        <f t="shared" si="255"/>
        <v>31</v>
      </c>
      <c r="AG1817" s="2">
        <f t="shared" si="256"/>
        <v>4</v>
      </c>
      <c r="AH1817" s="4">
        <f t="shared" si="257"/>
        <v>44875.699247685188</v>
      </c>
      <c r="AI1817" s="2" t="str">
        <f t="shared" si="258"/>
        <v/>
      </c>
      <c r="AJ1817" s="2" t="str">
        <f t="shared" si="259"/>
        <v/>
      </c>
      <c r="AK1817" s="2" t="str">
        <f t="shared" si="260"/>
        <v/>
      </c>
    </row>
    <row r="1818" spans="1:37" x14ac:dyDescent="0.25">
      <c r="A1818">
        <v>961</v>
      </c>
      <c r="B1818" t="s">
        <v>1980</v>
      </c>
      <c r="C1818" t="s">
        <v>1577</v>
      </c>
      <c r="D1818" t="s">
        <v>1969</v>
      </c>
      <c r="E1818" t="s">
        <v>1056</v>
      </c>
      <c r="F1818" t="s">
        <v>1970</v>
      </c>
      <c r="G1818" t="s">
        <v>49</v>
      </c>
      <c r="H1818" s="1">
        <v>45122.340451388889</v>
      </c>
      <c r="I1818" s="1">
        <v>45124.340451388889</v>
      </c>
      <c r="J1818" t="s">
        <v>32</v>
      </c>
      <c r="K1818" s="1">
        <v>45141.340451388889</v>
      </c>
      <c r="L1818" t="s">
        <v>57</v>
      </c>
      <c r="N1818" s="4">
        <v>45144.340451388889</v>
      </c>
      <c r="O1818" t="s">
        <v>57</v>
      </c>
      <c r="P1818" s="4">
        <v>45143.340451388889</v>
      </c>
      <c r="Q1818" s="4">
        <v>45147.340451388889</v>
      </c>
      <c r="R1818" s="4">
        <v>45142.340451388889</v>
      </c>
      <c r="S1818" s="4">
        <v>45149.340451388889</v>
      </c>
      <c r="T1818">
        <v>1</v>
      </c>
      <c r="U1818" s="4">
        <v>45152.340451388889</v>
      </c>
      <c r="V1818" s="4">
        <v>45155.340451388889</v>
      </c>
      <c r="W1818" s="4">
        <v>45156.340451388889</v>
      </c>
      <c r="Z1818" s="4">
        <v>45166.340451388889</v>
      </c>
      <c r="AC1818" s="2">
        <f t="shared" si="252"/>
        <v>2</v>
      </c>
      <c r="AD1818" s="2">
        <f t="shared" si="253"/>
        <v>19</v>
      </c>
      <c r="AE1818" s="2">
        <f t="shared" si="254"/>
        <v>17</v>
      </c>
      <c r="AF1818" s="2">
        <f t="shared" si="255"/>
        <v>20</v>
      </c>
      <c r="AG1818" s="2">
        <f t="shared" si="256"/>
        <v>1</v>
      </c>
      <c r="AH1818" s="4">
        <f t="shared" si="257"/>
        <v>45232.340451388889</v>
      </c>
      <c r="AI1818" s="2">
        <f t="shared" si="258"/>
        <v>3</v>
      </c>
      <c r="AJ1818" s="2">
        <f t="shared" si="259"/>
        <v>24</v>
      </c>
      <c r="AK1818" s="2">
        <f t="shared" si="260"/>
        <v>14</v>
      </c>
    </row>
    <row r="1819" spans="1:37" x14ac:dyDescent="0.25">
      <c r="A1819">
        <v>900</v>
      </c>
      <c r="B1819" t="s">
        <v>1981</v>
      </c>
      <c r="C1819" t="s">
        <v>1577</v>
      </c>
      <c r="D1819" t="s">
        <v>1969</v>
      </c>
      <c r="E1819" t="s">
        <v>1056</v>
      </c>
      <c r="F1819" t="s">
        <v>1970</v>
      </c>
      <c r="G1819" t="s">
        <v>49</v>
      </c>
      <c r="H1819" s="1">
        <v>44843.939814814818</v>
      </c>
      <c r="I1819" s="1">
        <v>44847.939814814818</v>
      </c>
      <c r="J1819" t="s">
        <v>32</v>
      </c>
      <c r="K1819" s="1">
        <v>44855.939814814818</v>
      </c>
      <c r="L1819" t="s">
        <v>33</v>
      </c>
      <c r="M1819" t="s">
        <v>92</v>
      </c>
      <c r="R1819" s="4">
        <v>44858.939814814818</v>
      </c>
      <c r="T1819">
        <v>0</v>
      </c>
      <c r="Y1819" t="s">
        <v>55</v>
      </c>
      <c r="AC1819" s="2">
        <f t="shared" si="252"/>
        <v>4</v>
      </c>
      <c r="AD1819" s="2">
        <f t="shared" si="253"/>
        <v>12</v>
      </c>
      <c r="AE1819" s="2">
        <f t="shared" si="254"/>
        <v>8</v>
      </c>
      <c r="AF1819" s="2">
        <f t="shared" si="255"/>
        <v>15</v>
      </c>
      <c r="AG1819" s="2">
        <f t="shared" si="256"/>
        <v>3</v>
      </c>
      <c r="AH1819" s="4">
        <f t="shared" si="257"/>
        <v>44948.939814814818</v>
      </c>
      <c r="AI1819" s="2" t="str">
        <f t="shared" si="258"/>
        <v/>
      </c>
      <c r="AJ1819" s="2" t="str">
        <f t="shared" si="259"/>
        <v/>
      </c>
      <c r="AK1819" s="2" t="str">
        <f t="shared" si="260"/>
        <v/>
      </c>
    </row>
    <row r="1820" spans="1:37" x14ac:dyDescent="0.25">
      <c r="A1820">
        <v>896</v>
      </c>
      <c r="B1820" t="s">
        <v>1982</v>
      </c>
      <c r="C1820" t="s">
        <v>1577</v>
      </c>
      <c r="D1820" t="s">
        <v>1969</v>
      </c>
      <c r="E1820" t="s">
        <v>1056</v>
      </c>
      <c r="F1820" t="s">
        <v>1970</v>
      </c>
      <c r="G1820" t="s">
        <v>49</v>
      </c>
      <c r="H1820" s="1">
        <v>44846.939814814818</v>
      </c>
      <c r="I1820" s="1">
        <v>44848.939814814818</v>
      </c>
      <c r="J1820" t="s">
        <v>32</v>
      </c>
      <c r="K1820" s="1">
        <v>44857.939814814818</v>
      </c>
      <c r="L1820" t="s">
        <v>33</v>
      </c>
      <c r="M1820" t="s">
        <v>92</v>
      </c>
      <c r="R1820" s="4">
        <v>44859.939814814818</v>
      </c>
      <c r="T1820">
        <v>0</v>
      </c>
      <c r="Y1820" t="s">
        <v>55</v>
      </c>
      <c r="AC1820" s="2">
        <f t="shared" si="252"/>
        <v>2</v>
      </c>
      <c r="AD1820" s="2">
        <f t="shared" si="253"/>
        <v>11</v>
      </c>
      <c r="AE1820" s="2">
        <f t="shared" si="254"/>
        <v>9</v>
      </c>
      <c r="AF1820" s="2">
        <f t="shared" si="255"/>
        <v>13</v>
      </c>
      <c r="AG1820" s="2">
        <f t="shared" si="256"/>
        <v>2</v>
      </c>
      <c r="AH1820" s="4">
        <f t="shared" si="257"/>
        <v>44949.939814814818</v>
      </c>
      <c r="AI1820" s="2" t="str">
        <f t="shared" si="258"/>
        <v/>
      </c>
      <c r="AJ1820" s="2" t="str">
        <f t="shared" si="259"/>
        <v/>
      </c>
      <c r="AK1820" s="2" t="str">
        <f t="shared" si="260"/>
        <v/>
      </c>
    </row>
    <row r="1821" spans="1:37" x14ac:dyDescent="0.25">
      <c r="A1821">
        <v>893</v>
      </c>
      <c r="B1821" t="s">
        <v>1983</v>
      </c>
      <c r="C1821" t="s">
        <v>1577</v>
      </c>
      <c r="D1821" t="s">
        <v>1969</v>
      </c>
      <c r="E1821" t="s">
        <v>1984</v>
      </c>
      <c r="F1821" t="s">
        <v>1985</v>
      </c>
      <c r="G1821" t="s">
        <v>49</v>
      </c>
      <c r="H1821" s="1">
        <v>44842.939814814818</v>
      </c>
      <c r="I1821" s="1">
        <v>44844.939814814818</v>
      </c>
      <c r="J1821" t="s">
        <v>32</v>
      </c>
      <c r="K1821" s="1">
        <v>44857.939814814818</v>
      </c>
      <c r="L1821" t="s">
        <v>33</v>
      </c>
      <c r="M1821" t="s">
        <v>67</v>
      </c>
      <c r="T1821">
        <v>0</v>
      </c>
      <c r="Y1821" t="s">
        <v>55</v>
      </c>
      <c r="AC1821" s="2">
        <f t="shared" si="252"/>
        <v>2</v>
      </c>
      <c r="AD1821" s="2">
        <f t="shared" si="253"/>
        <v>15</v>
      </c>
      <c r="AE1821" s="2">
        <f t="shared" si="254"/>
        <v>13</v>
      </c>
      <c r="AF1821" s="2" t="str">
        <f t="shared" si="255"/>
        <v/>
      </c>
      <c r="AG1821" s="2" t="str">
        <f t="shared" si="256"/>
        <v/>
      </c>
      <c r="AH1821" s="4" t="str">
        <f t="shared" si="257"/>
        <v/>
      </c>
      <c r="AI1821" s="2" t="str">
        <f t="shared" si="258"/>
        <v/>
      </c>
      <c r="AJ1821" s="2" t="str">
        <f t="shared" si="259"/>
        <v/>
      </c>
      <c r="AK1821" s="2" t="str">
        <f t="shared" si="260"/>
        <v/>
      </c>
    </row>
    <row r="1822" spans="1:37" x14ac:dyDescent="0.25">
      <c r="A1822">
        <v>891</v>
      </c>
      <c r="B1822" t="s">
        <v>1986</v>
      </c>
      <c r="C1822" t="s">
        <v>1577</v>
      </c>
      <c r="D1822" t="s">
        <v>1969</v>
      </c>
      <c r="E1822" t="s">
        <v>1984</v>
      </c>
      <c r="F1822" t="s">
        <v>1985</v>
      </c>
      <c r="G1822" t="s">
        <v>49</v>
      </c>
      <c r="H1822" s="1">
        <v>44845.939814814818</v>
      </c>
      <c r="I1822" s="1">
        <v>44849.939814814818</v>
      </c>
      <c r="J1822" t="s">
        <v>32</v>
      </c>
      <c r="K1822" s="1">
        <v>44866.939814814818</v>
      </c>
      <c r="L1822" t="s">
        <v>39</v>
      </c>
      <c r="N1822" s="4">
        <v>44869.939814814818</v>
      </c>
      <c r="O1822" t="s">
        <v>39</v>
      </c>
      <c r="R1822" s="4">
        <v>44867.939814814818</v>
      </c>
      <c r="T1822">
        <v>0</v>
      </c>
      <c r="AC1822" s="2">
        <f t="shared" si="252"/>
        <v>4</v>
      </c>
      <c r="AD1822" s="2">
        <f t="shared" si="253"/>
        <v>21</v>
      </c>
      <c r="AE1822" s="2">
        <f t="shared" si="254"/>
        <v>17</v>
      </c>
      <c r="AF1822" s="2">
        <f t="shared" si="255"/>
        <v>22</v>
      </c>
      <c r="AG1822" s="2">
        <f t="shared" si="256"/>
        <v>1</v>
      </c>
      <c r="AH1822" s="4">
        <f t="shared" si="257"/>
        <v>44957.939814814818</v>
      </c>
      <c r="AI1822" s="2" t="str">
        <f t="shared" si="258"/>
        <v/>
      </c>
      <c r="AJ1822" s="2" t="str">
        <f t="shared" si="259"/>
        <v/>
      </c>
      <c r="AK1822" s="2" t="str">
        <f t="shared" si="260"/>
        <v/>
      </c>
    </row>
    <row r="1823" spans="1:37" x14ac:dyDescent="0.25">
      <c r="A1823">
        <v>888</v>
      </c>
      <c r="B1823" t="s">
        <v>1987</v>
      </c>
      <c r="C1823" t="s">
        <v>1577</v>
      </c>
      <c r="D1823" t="s">
        <v>1969</v>
      </c>
      <c r="E1823" t="s">
        <v>1984</v>
      </c>
      <c r="F1823" t="s">
        <v>1985</v>
      </c>
      <c r="G1823" t="s">
        <v>49</v>
      </c>
      <c r="H1823" s="1">
        <v>44823.199942129628</v>
      </c>
      <c r="I1823" s="1">
        <v>44826.199942129628</v>
      </c>
      <c r="J1823" t="s">
        <v>32</v>
      </c>
      <c r="K1823" s="1">
        <v>44841.199942129628</v>
      </c>
      <c r="L1823" t="s">
        <v>33</v>
      </c>
      <c r="M1823" t="s">
        <v>34</v>
      </c>
      <c r="R1823" s="4">
        <v>44844.199942129628</v>
      </c>
      <c r="T1823">
        <v>0</v>
      </c>
      <c r="Y1823" t="s">
        <v>55</v>
      </c>
      <c r="AC1823" s="2">
        <f t="shared" si="252"/>
        <v>3</v>
      </c>
      <c r="AD1823" s="2">
        <f t="shared" si="253"/>
        <v>18</v>
      </c>
      <c r="AE1823" s="2">
        <f t="shared" si="254"/>
        <v>15</v>
      </c>
      <c r="AF1823" s="2">
        <f t="shared" si="255"/>
        <v>21</v>
      </c>
      <c r="AG1823" s="2">
        <f t="shared" si="256"/>
        <v>3</v>
      </c>
      <c r="AH1823" s="4">
        <f t="shared" si="257"/>
        <v>44934.199942129628</v>
      </c>
      <c r="AI1823" s="2" t="str">
        <f t="shared" si="258"/>
        <v/>
      </c>
      <c r="AJ1823" s="2" t="str">
        <f t="shared" si="259"/>
        <v/>
      </c>
      <c r="AK1823" s="2" t="str">
        <f t="shared" si="260"/>
        <v/>
      </c>
    </row>
    <row r="1824" spans="1:37" x14ac:dyDescent="0.25">
      <c r="A1824">
        <v>883</v>
      </c>
      <c r="B1824" t="s">
        <v>1988</v>
      </c>
      <c r="C1824" t="s">
        <v>1577</v>
      </c>
      <c r="D1824" t="s">
        <v>1969</v>
      </c>
      <c r="E1824" t="s">
        <v>1984</v>
      </c>
      <c r="F1824" t="s">
        <v>1985</v>
      </c>
      <c r="G1824" t="s">
        <v>49</v>
      </c>
      <c r="H1824" s="1">
        <v>44824.199942129628</v>
      </c>
      <c r="I1824" s="1">
        <v>44826.199942129628</v>
      </c>
      <c r="J1824" t="s">
        <v>32</v>
      </c>
      <c r="K1824" s="1">
        <v>44833.199942129628</v>
      </c>
      <c r="L1824" t="s">
        <v>33</v>
      </c>
      <c r="M1824" t="s">
        <v>92</v>
      </c>
      <c r="T1824">
        <v>0</v>
      </c>
      <c r="Y1824" t="s">
        <v>35</v>
      </c>
      <c r="AC1824" s="2">
        <f t="shared" si="252"/>
        <v>2</v>
      </c>
      <c r="AD1824" s="2">
        <f t="shared" si="253"/>
        <v>9</v>
      </c>
      <c r="AE1824" s="2">
        <f t="shared" si="254"/>
        <v>7</v>
      </c>
      <c r="AF1824" s="2" t="str">
        <f t="shared" si="255"/>
        <v/>
      </c>
      <c r="AG1824" s="2" t="str">
        <f t="shared" si="256"/>
        <v/>
      </c>
      <c r="AH1824" s="4" t="str">
        <f t="shared" si="257"/>
        <v/>
      </c>
      <c r="AI1824" s="2" t="str">
        <f t="shared" si="258"/>
        <v/>
      </c>
      <c r="AJ1824" s="2" t="str">
        <f t="shared" si="259"/>
        <v/>
      </c>
      <c r="AK1824" s="2" t="str">
        <f t="shared" si="260"/>
        <v/>
      </c>
    </row>
    <row r="1825" spans="1:37" x14ac:dyDescent="0.25">
      <c r="A1825">
        <v>882</v>
      </c>
      <c r="B1825" t="s">
        <v>1989</v>
      </c>
      <c r="C1825" t="s">
        <v>1577</v>
      </c>
      <c r="D1825" t="s">
        <v>1969</v>
      </c>
      <c r="E1825" t="s">
        <v>1984</v>
      </c>
      <c r="F1825" t="s">
        <v>1985</v>
      </c>
      <c r="G1825" t="s">
        <v>49</v>
      </c>
      <c r="H1825" s="1">
        <v>44826.199942129628</v>
      </c>
      <c r="I1825" s="1">
        <v>44830.199942129628</v>
      </c>
      <c r="J1825" t="s">
        <v>32</v>
      </c>
      <c r="K1825" s="1">
        <v>44839.199942129628</v>
      </c>
      <c r="L1825" t="s">
        <v>33</v>
      </c>
      <c r="M1825" t="s">
        <v>34</v>
      </c>
      <c r="R1825" s="4">
        <v>44843.199942129628</v>
      </c>
      <c r="T1825">
        <v>0</v>
      </c>
      <c r="Y1825" t="s">
        <v>55</v>
      </c>
      <c r="AC1825" s="2">
        <f t="shared" si="252"/>
        <v>4</v>
      </c>
      <c r="AD1825" s="2">
        <f t="shared" si="253"/>
        <v>13</v>
      </c>
      <c r="AE1825" s="2">
        <f t="shared" si="254"/>
        <v>9</v>
      </c>
      <c r="AF1825" s="2">
        <f t="shared" si="255"/>
        <v>17</v>
      </c>
      <c r="AG1825" s="2">
        <f t="shared" si="256"/>
        <v>4</v>
      </c>
      <c r="AH1825" s="4">
        <f t="shared" si="257"/>
        <v>44933.199942129628</v>
      </c>
      <c r="AI1825" s="2" t="str">
        <f t="shared" si="258"/>
        <v/>
      </c>
      <c r="AJ1825" s="2" t="str">
        <f t="shared" si="259"/>
        <v/>
      </c>
      <c r="AK1825" s="2" t="str">
        <f t="shared" si="260"/>
        <v/>
      </c>
    </row>
    <row r="1826" spans="1:37" x14ac:dyDescent="0.25">
      <c r="A1826">
        <v>869</v>
      </c>
      <c r="B1826" t="s">
        <v>1990</v>
      </c>
      <c r="C1826" t="s">
        <v>1577</v>
      </c>
      <c r="D1826" t="s">
        <v>1969</v>
      </c>
      <c r="E1826" t="s">
        <v>1984</v>
      </c>
      <c r="F1826" t="s">
        <v>1985</v>
      </c>
      <c r="G1826" t="s">
        <v>49</v>
      </c>
      <c r="H1826" s="1">
        <v>45121.103344907409</v>
      </c>
      <c r="I1826" s="1">
        <v>45125.103344907409</v>
      </c>
      <c r="J1826" t="s">
        <v>44</v>
      </c>
      <c r="K1826" s="1"/>
      <c r="T1826">
        <v>0</v>
      </c>
      <c r="AC1826" s="2">
        <f t="shared" si="252"/>
        <v>4</v>
      </c>
      <c r="AD1826" s="2" t="str">
        <f t="shared" si="253"/>
        <v/>
      </c>
      <c r="AE1826" s="2" t="str">
        <f t="shared" si="254"/>
        <v/>
      </c>
      <c r="AF1826" s="2" t="str">
        <f t="shared" si="255"/>
        <v/>
      </c>
      <c r="AG1826" s="2" t="str">
        <f t="shared" si="256"/>
        <v/>
      </c>
      <c r="AH1826" s="4" t="str">
        <f t="shared" si="257"/>
        <v/>
      </c>
      <c r="AI1826" s="2" t="str">
        <f t="shared" si="258"/>
        <v/>
      </c>
      <c r="AJ1826" s="2" t="str">
        <f t="shared" si="259"/>
        <v/>
      </c>
      <c r="AK1826" s="2" t="str">
        <f t="shared" si="260"/>
        <v/>
      </c>
    </row>
    <row r="1827" spans="1:37" x14ac:dyDescent="0.25">
      <c r="A1827">
        <v>868</v>
      </c>
      <c r="B1827" t="s">
        <v>1991</v>
      </c>
      <c r="C1827" t="s">
        <v>1577</v>
      </c>
      <c r="D1827" t="s">
        <v>1969</v>
      </c>
      <c r="E1827" t="s">
        <v>1984</v>
      </c>
      <c r="F1827" t="s">
        <v>1985</v>
      </c>
      <c r="G1827" t="s">
        <v>49</v>
      </c>
      <c r="H1827" s="1">
        <v>45124.103344907409</v>
      </c>
      <c r="I1827" s="1">
        <v>45125.103344907409</v>
      </c>
      <c r="J1827" t="s">
        <v>32</v>
      </c>
      <c r="K1827" s="1">
        <v>45136.103344907409</v>
      </c>
      <c r="L1827" t="s">
        <v>33</v>
      </c>
      <c r="M1827" t="s">
        <v>67</v>
      </c>
      <c r="R1827" s="4">
        <v>45139.103344907409</v>
      </c>
      <c r="T1827">
        <v>0</v>
      </c>
      <c r="Y1827" t="s">
        <v>35</v>
      </c>
      <c r="AC1827" s="2">
        <f t="shared" si="252"/>
        <v>1</v>
      </c>
      <c r="AD1827" s="2">
        <f t="shared" si="253"/>
        <v>12</v>
      </c>
      <c r="AE1827" s="2">
        <f t="shared" si="254"/>
        <v>11</v>
      </c>
      <c r="AF1827" s="2">
        <f t="shared" si="255"/>
        <v>15</v>
      </c>
      <c r="AG1827" s="2">
        <f t="shared" si="256"/>
        <v>3</v>
      </c>
      <c r="AH1827" s="4">
        <f t="shared" si="257"/>
        <v>45229.103344907409</v>
      </c>
      <c r="AI1827" s="2" t="str">
        <f t="shared" si="258"/>
        <v/>
      </c>
      <c r="AJ1827" s="2" t="str">
        <f t="shared" si="259"/>
        <v/>
      </c>
      <c r="AK1827" s="2" t="str">
        <f t="shared" si="260"/>
        <v/>
      </c>
    </row>
    <row r="1828" spans="1:37" x14ac:dyDescent="0.25">
      <c r="A1828">
        <v>867</v>
      </c>
      <c r="B1828" t="s">
        <v>1992</v>
      </c>
      <c r="C1828" t="s">
        <v>1577</v>
      </c>
      <c r="D1828" t="s">
        <v>1969</v>
      </c>
      <c r="E1828" t="s">
        <v>1984</v>
      </c>
      <c r="F1828" t="s">
        <v>1985</v>
      </c>
      <c r="G1828" t="s">
        <v>49</v>
      </c>
      <c r="H1828" s="1">
        <v>45123.103344907409</v>
      </c>
      <c r="I1828" s="1">
        <v>45126.103344907409</v>
      </c>
      <c r="J1828" t="s">
        <v>32</v>
      </c>
      <c r="K1828" s="1">
        <v>45141.103344907409</v>
      </c>
      <c r="L1828" t="s">
        <v>57</v>
      </c>
      <c r="N1828" s="4">
        <v>45145.103344907409</v>
      </c>
      <c r="O1828" t="s">
        <v>57</v>
      </c>
      <c r="P1828" s="4">
        <v>45142.103344907409</v>
      </c>
      <c r="Q1828" s="4">
        <v>45145.103344907409</v>
      </c>
      <c r="R1828" s="4">
        <v>45142.103344907409</v>
      </c>
      <c r="S1828" s="4">
        <v>45151.103344907409</v>
      </c>
      <c r="T1828">
        <v>1</v>
      </c>
      <c r="U1828" s="4">
        <v>45152.103344907409</v>
      </c>
      <c r="V1828" s="4">
        <v>45155.103344907409</v>
      </c>
      <c r="W1828" s="4">
        <v>45158.103344907409</v>
      </c>
      <c r="Z1828" s="4">
        <v>45170.103344907409</v>
      </c>
      <c r="AC1828" s="2">
        <f t="shared" si="252"/>
        <v>3</v>
      </c>
      <c r="AD1828" s="2">
        <f t="shared" si="253"/>
        <v>18</v>
      </c>
      <c r="AE1828" s="2">
        <f t="shared" si="254"/>
        <v>15</v>
      </c>
      <c r="AF1828" s="2">
        <f t="shared" si="255"/>
        <v>19</v>
      </c>
      <c r="AG1828" s="2">
        <f t="shared" si="256"/>
        <v>1</v>
      </c>
      <c r="AH1828" s="4">
        <f t="shared" si="257"/>
        <v>45232.103344907409</v>
      </c>
      <c r="AI1828" s="2">
        <f t="shared" si="258"/>
        <v>1</v>
      </c>
      <c r="AJ1828" s="2">
        <f t="shared" si="259"/>
        <v>28</v>
      </c>
      <c r="AK1828" s="2">
        <f t="shared" si="260"/>
        <v>16</v>
      </c>
    </row>
    <row r="1829" spans="1:37" x14ac:dyDescent="0.25">
      <c r="A1829">
        <v>857</v>
      </c>
      <c r="B1829" t="s">
        <v>1993</v>
      </c>
      <c r="C1829" t="s">
        <v>1577</v>
      </c>
      <c r="D1829" t="s">
        <v>1969</v>
      </c>
      <c r="E1829" t="s">
        <v>1984</v>
      </c>
      <c r="F1829" t="s">
        <v>1985</v>
      </c>
      <c r="G1829" t="s">
        <v>49</v>
      </c>
      <c r="H1829" s="1">
        <v>44957.002604166664</v>
      </c>
      <c r="I1829" s="1">
        <v>44961.002604166664</v>
      </c>
      <c r="J1829" t="s">
        <v>32</v>
      </c>
      <c r="K1829" s="1">
        <v>44973.002604166664</v>
      </c>
      <c r="L1829" t="s">
        <v>57</v>
      </c>
      <c r="N1829" s="4">
        <v>44977.002604166664</v>
      </c>
      <c r="O1829" t="s">
        <v>57</v>
      </c>
      <c r="P1829" s="4">
        <v>44975.002604166664</v>
      </c>
      <c r="Q1829" s="4">
        <v>44977.002604166664</v>
      </c>
      <c r="R1829" s="4">
        <v>44976.002604166664</v>
      </c>
      <c r="S1829" s="4">
        <v>44980.002604166664</v>
      </c>
      <c r="T1829">
        <v>1</v>
      </c>
      <c r="U1829" s="4">
        <v>44984.002604166664</v>
      </c>
      <c r="V1829" s="4">
        <v>44987.002604166664</v>
      </c>
      <c r="W1829" s="4">
        <v>44989.002604166664</v>
      </c>
      <c r="Z1829" s="4">
        <v>45006.002604166664</v>
      </c>
      <c r="AC1829" s="2">
        <f t="shared" si="252"/>
        <v>4</v>
      </c>
      <c r="AD1829" s="2">
        <f t="shared" si="253"/>
        <v>16</v>
      </c>
      <c r="AE1829" s="2">
        <f t="shared" si="254"/>
        <v>12</v>
      </c>
      <c r="AF1829" s="2">
        <f t="shared" si="255"/>
        <v>19</v>
      </c>
      <c r="AG1829" s="2">
        <f t="shared" si="256"/>
        <v>3</v>
      </c>
      <c r="AH1829" s="4">
        <f t="shared" si="257"/>
        <v>45066.002604166664</v>
      </c>
      <c r="AI1829" s="2">
        <f t="shared" si="258"/>
        <v>4</v>
      </c>
      <c r="AJ1829" s="2">
        <f t="shared" si="259"/>
        <v>30</v>
      </c>
      <c r="AK1829" s="2">
        <f t="shared" si="260"/>
        <v>13</v>
      </c>
    </row>
    <row r="1830" spans="1:37" x14ac:dyDescent="0.25">
      <c r="A1830">
        <v>854</v>
      </c>
      <c r="B1830" t="s">
        <v>1994</v>
      </c>
      <c r="C1830" t="s">
        <v>1577</v>
      </c>
      <c r="D1830" t="s">
        <v>1969</v>
      </c>
      <c r="E1830" t="s">
        <v>1984</v>
      </c>
      <c r="F1830" t="s">
        <v>1985</v>
      </c>
      <c r="G1830" t="s">
        <v>49</v>
      </c>
      <c r="H1830" s="1">
        <v>44955.002604166664</v>
      </c>
      <c r="I1830" s="1">
        <v>44958.002604166664</v>
      </c>
      <c r="J1830" t="s">
        <v>44</v>
      </c>
      <c r="K1830" s="1"/>
      <c r="T1830">
        <v>0</v>
      </c>
      <c r="AC1830" s="2">
        <f t="shared" si="252"/>
        <v>3</v>
      </c>
      <c r="AD1830" s="2" t="str">
        <f t="shared" si="253"/>
        <v/>
      </c>
      <c r="AE1830" s="2" t="str">
        <f t="shared" si="254"/>
        <v/>
      </c>
      <c r="AF1830" s="2" t="str">
        <f t="shared" si="255"/>
        <v/>
      </c>
      <c r="AG1830" s="2" t="str">
        <f t="shared" si="256"/>
        <v/>
      </c>
      <c r="AH1830" s="4" t="str">
        <f t="shared" si="257"/>
        <v/>
      </c>
      <c r="AI1830" s="2" t="str">
        <f t="shared" si="258"/>
        <v/>
      </c>
      <c r="AJ1830" s="2" t="str">
        <f t="shared" si="259"/>
        <v/>
      </c>
      <c r="AK1830" s="2" t="str">
        <f t="shared" si="260"/>
        <v/>
      </c>
    </row>
    <row r="1831" spans="1:37" x14ac:dyDescent="0.25">
      <c r="A1831">
        <v>853</v>
      </c>
      <c r="B1831" t="s">
        <v>1995</v>
      </c>
      <c r="C1831" t="s">
        <v>1577</v>
      </c>
      <c r="D1831" t="s">
        <v>1969</v>
      </c>
      <c r="E1831" t="s">
        <v>1984</v>
      </c>
      <c r="F1831" t="s">
        <v>1985</v>
      </c>
      <c r="G1831" t="s">
        <v>49</v>
      </c>
      <c r="H1831" s="1">
        <v>44957.002604166664</v>
      </c>
      <c r="I1831" s="1">
        <v>44959.002604166664</v>
      </c>
      <c r="J1831" t="s">
        <v>32</v>
      </c>
      <c r="K1831" s="1">
        <v>44979.002604166664</v>
      </c>
      <c r="L1831" t="s">
        <v>57</v>
      </c>
      <c r="N1831" s="4">
        <v>44983.002604166664</v>
      </c>
      <c r="O1831" t="s">
        <v>57</v>
      </c>
      <c r="P1831" s="4">
        <v>44981.002604166664</v>
      </c>
      <c r="Q1831" s="4">
        <v>44985.002604166664</v>
      </c>
      <c r="R1831" s="4">
        <v>44980.002604166664</v>
      </c>
      <c r="S1831" s="4">
        <v>44984.002604166664</v>
      </c>
      <c r="T1831">
        <v>1</v>
      </c>
      <c r="U1831" s="4">
        <v>44988.002604166664</v>
      </c>
      <c r="V1831" s="4">
        <v>44989.002604166664</v>
      </c>
      <c r="W1831" s="4">
        <v>44991.002604166664</v>
      </c>
      <c r="Z1831" s="4">
        <v>45008.002604166664</v>
      </c>
      <c r="AC1831" s="2">
        <f t="shared" si="252"/>
        <v>2</v>
      </c>
      <c r="AD1831" s="2">
        <f t="shared" si="253"/>
        <v>22</v>
      </c>
      <c r="AE1831" s="2">
        <f t="shared" si="254"/>
        <v>20</v>
      </c>
      <c r="AF1831" s="2">
        <f t="shared" si="255"/>
        <v>23</v>
      </c>
      <c r="AG1831" s="2">
        <f t="shared" si="256"/>
        <v>1</v>
      </c>
      <c r="AH1831" s="4">
        <f t="shared" si="257"/>
        <v>45070.002604166664</v>
      </c>
      <c r="AI1831" s="2">
        <f t="shared" si="258"/>
        <v>4</v>
      </c>
      <c r="AJ1831" s="2">
        <f t="shared" si="259"/>
        <v>28</v>
      </c>
      <c r="AK1831" s="2">
        <f t="shared" si="260"/>
        <v>11</v>
      </c>
    </row>
    <row r="1832" spans="1:37" x14ac:dyDescent="0.25">
      <c r="A1832">
        <v>742</v>
      </c>
      <c r="B1832" t="s">
        <v>1996</v>
      </c>
      <c r="C1832" t="s">
        <v>1577</v>
      </c>
      <c r="D1832" t="s">
        <v>1969</v>
      </c>
      <c r="E1832" t="s">
        <v>1984</v>
      </c>
      <c r="F1832" t="s">
        <v>1985</v>
      </c>
      <c r="G1832" t="s">
        <v>49</v>
      </c>
      <c r="H1832" s="1">
        <v>44864.220567129632</v>
      </c>
      <c r="I1832" s="1">
        <v>44868.220567129632</v>
      </c>
      <c r="J1832" t="s">
        <v>32</v>
      </c>
      <c r="K1832" s="1">
        <v>44885.220567129632</v>
      </c>
      <c r="L1832" t="s">
        <v>33</v>
      </c>
      <c r="M1832" t="s">
        <v>92</v>
      </c>
      <c r="T1832">
        <v>0</v>
      </c>
      <c r="Y1832" t="s">
        <v>55</v>
      </c>
      <c r="AC1832" s="2">
        <f t="shared" si="252"/>
        <v>4</v>
      </c>
      <c r="AD1832" s="2">
        <f t="shared" si="253"/>
        <v>21</v>
      </c>
      <c r="AE1832" s="2">
        <f t="shared" si="254"/>
        <v>17</v>
      </c>
      <c r="AF1832" s="2" t="str">
        <f t="shared" si="255"/>
        <v/>
      </c>
      <c r="AG1832" s="2" t="str">
        <f t="shared" si="256"/>
        <v/>
      </c>
      <c r="AH1832" s="4" t="str">
        <f t="shared" si="257"/>
        <v/>
      </c>
      <c r="AI1832" s="2" t="str">
        <f t="shared" si="258"/>
        <v/>
      </c>
      <c r="AJ1832" s="2" t="str">
        <f t="shared" si="259"/>
        <v/>
      </c>
      <c r="AK1832" s="2" t="str">
        <f t="shared" si="260"/>
        <v/>
      </c>
    </row>
    <row r="1833" spans="1:37" x14ac:dyDescent="0.25">
      <c r="A1833">
        <v>741</v>
      </c>
      <c r="B1833" t="s">
        <v>1997</v>
      </c>
      <c r="C1833" t="s">
        <v>1577</v>
      </c>
      <c r="D1833" t="s">
        <v>1969</v>
      </c>
      <c r="E1833" t="s">
        <v>1984</v>
      </c>
      <c r="F1833" t="s">
        <v>1985</v>
      </c>
      <c r="G1833" t="s">
        <v>49</v>
      </c>
      <c r="H1833" s="1">
        <v>44869.220567129632</v>
      </c>
      <c r="I1833" s="1">
        <v>44870.220567129632</v>
      </c>
      <c r="J1833" t="s">
        <v>32</v>
      </c>
      <c r="K1833" s="1">
        <v>44892.220567129632</v>
      </c>
      <c r="L1833" t="s">
        <v>164</v>
      </c>
      <c r="N1833" s="4">
        <v>44896.220567129632</v>
      </c>
      <c r="O1833" t="s">
        <v>164</v>
      </c>
      <c r="R1833" s="4">
        <v>44894.220567129632</v>
      </c>
      <c r="T1833">
        <v>0</v>
      </c>
      <c r="AC1833" s="2">
        <f t="shared" si="252"/>
        <v>1</v>
      </c>
      <c r="AD1833" s="2">
        <f t="shared" si="253"/>
        <v>23</v>
      </c>
      <c r="AE1833" s="2">
        <f t="shared" si="254"/>
        <v>22</v>
      </c>
      <c r="AF1833" s="2">
        <f t="shared" si="255"/>
        <v>25</v>
      </c>
      <c r="AG1833" s="2">
        <f t="shared" si="256"/>
        <v>2</v>
      </c>
      <c r="AH1833" s="4">
        <f t="shared" si="257"/>
        <v>44984.220567129632</v>
      </c>
      <c r="AI1833" s="2" t="str">
        <f t="shared" si="258"/>
        <v/>
      </c>
      <c r="AJ1833" s="2" t="str">
        <f t="shared" si="259"/>
        <v/>
      </c>
      <c r="AK1833" s="2" t="str">
        <f t="shared" si="260"/>
        <v/>
      </c>
    </row>
    <row r="1834" spans="1:37" x14ac:dyDescent="0.25">
      <c r="A1834">
        <v>709</v>
      </c>
      <c r="B1834" t="s">
        <v>1998</v>
      </c>
      <c r="C1834" t="s">
        <v>1577</v>
      </c>
      <c r="D1834" t="s">
        <v>1969</v>
      </c>
      <c r="E1834" t="s">
        <v>1984</v>
      </c>
      <c r="F1834" t="s">
        <v>1985</v>
      </c>
      <c r="G1834" t="s">
        <v>49</v>
      </c>
      <c r="H1834" s="1">
        <v>45113.640983796293</v>
      </c>
      <c r="I1834" s="1">
        <v>45117.640983796293</v>
      </c>
      <c r="J1834" t="s">
        <v>32</v>
      </c>
      <c r="K1834" s="1">
        <v>45136.640983796293</v>
      </c>
      <c r="L1834" t="s">
        <v>33</v>
      </c>
      <c r="M1834" t="s">
        <v>92</v>
      </c>
      <c r="R1834" s="4">
        <v>45140.640983796293</v>
      </c>
      <c r="T1834">
        <v>0</v>
      </c>
      <c r="Y1834" t="s">
        <v>35</v>
      </c>
      <c r="AC1834" s="2">
        <f t="shared" si="252"/>
        <v>4</v>
      </c>
      <c r="AD1834" s="2">
        <f t="shared" si="253"/>
        <v>23</v>
      </c>
      <c r="AE1834" s="2">
        <f t="shared" si="254"/>
        <v>19</v>
      </c>
      <c r="AF1834" s="2">
        <f t="shared" si="255"/>
        <v>27</v>
      </c>
      <c r="AG1834" s="2">
        <f t="shared" si="256"/>
        <v>4</v>
      </c>
      <c r="AH1834" s="4">
        <f t="shared" si="257"/>
        <v>45230.640983796293</v>
      </c>
      <c r="AI1834" s="2" t="str">
        <f t="shared" si="258"/>
        <v/>
      </c>
      <c r="AJ1834" s="2" t="str">
        <f t="shared" si="259"/>
        <v/>
      </c>
      <c r="AK1834" s="2" t="str">
        <f t="shared" si="260"/>
        <v/>
      </c>
    </row>
    <row r="1835" spans="1:37" x14ac:dyDescent="0.25">
      <c r="A1835">
        <v>708</v>
      </c>
      <c r="B1835" t="s">
        <v>1999</v>
      </c>
      <c r="C1835" t="s">
        <v>1577</v>
      </c>
      <c r="D1835" t="s">
        <v>1969</v>
      </c>
      <c r="E1835" t="s">
        <v>1984</v>
      </c>
      <c r="F1835" t="s">
        <v>1985</v>
      </c>
      <c r="G1835" t="s">
        <v>49</v>
      </c>
      <c r="H1835" s="1">
        <v>45114.640983796293</v>
      </c>
      <c r="I1835" s="1">
        <v>45115.640983796293</v>
      </c>
      <c r="J1835" t="s">
        <v>32</v>
      </c>
      <c r="K1835" s="1">
        <v>45128.640983796293</v>
      </c>
      <c r="L1835" t="s">
        <v>39</v>
      </c>
      <c r="N1835" s="4">
        <v>45131.640983796293</v>
      </c>
      <c r="O1835" t="s">
        <v>39</v>
      </c>
      <c r="R1835" s="4">
        <v>45130.640983796293</v>
      </c>
      <c r="T1835">
        <v>0</v>
      </c>
      <c r="AC1835" s="2">
        <f t="shared" si="252"/>
        <v>1</v>
      </c>
      <c r="AD1835" s="2">
        <f t="shared" si="253"/>
        <v>14</v>
      </c>
      <c r="AE1835" s="2">
        <f t="shared" si="254"/>
        <v>13</v>
      </c>
      <c r="AF1835" s="2">
        <f t="shared" si="255"/>
        <v>16</v>
      </c>
      <c r="AG1835" s="2">
        <f t="shared" si="256"/>
        <v>2</v>
      </c>
      <c r="AH1835" s="4">
        <f t="shared" si="257"/>
        <v>45220.640983796293</v>
      </c>
      <c r="AI1835" s="2" t="str">
        <f t="shared" si="258"/>
        <v/>
      </c>
      <c r="AJ1835" s="2" t="str">
        <f t="shared" si="259"/>
        <v/>
      </c>
      <c r="AK1835" s="2" t="str">
        <f t="shared" si="260"/>
        <v/>
      </c>
    </row>
    <row r="1836" spans="1:37" x14ac:dyDescent="0.25">
      <c r="A1836">
        <v>706</v>
      </c>
      <c r="B1836" t="s">
        <v>2000</v>
      </c>
      <c r="C1836" t="s">
        <v>1577</v>
      </c>
      <c r="D1836" t="s">
        <v>1969</v>
      </c>
      <c r="E1836" t="s">
        <v>1984</v>
      </c>
      <c r="F1836" t="s">
        <v>1985</v>
      </c>
      <c r="G1836" t="s">
        <v>49</v>
      </c>
      <c r="H1836" s="1">
        <v>45115.640983796293</v>
      </c>
      <c r="I1836" s="1">
        <v>45117.640983796293</v>
      </c>
      <c r="J1836" t="s">
        <v>32</v>
      </c>
      <c r="K1836" s="1">
        <v>45126.640983796293</v>
      </c>
      <c r="L1836" t="s">
        <v>164</v>
      </c>
      <c r="N1836" s="4">
        <v>45130.640983796293</v>
      </c>
      <c r="O1836" t="s">
        <v>164</v>
      </c>
      <c r="R1836" s="4">
        <v>45128.640983796293</v>
      </c>
      <c r="T1836">
        <v>0</v>
      </c>
      <c r="AC1836" s="2">
        <f t="shared" si="252"/>
        <v>2</v>
      </c>
      <c r="AD1836" s="2">
        <f t="shared" si="253"/>
        <v>11</v>
      </c>
      <c r="AE1836" s="2">
        <f t="shared" si="254"/>
        <v>9</v>
      </c>
      <c r="AF1836" s="2">
        <f t="shared" si="255"/>
        <v>13</v>
      </c>
      <c r="AG1836" s="2">
        <f t="shared" si="256"/>
        <v>2</v>
      </c>
      <c r="AH1836" s="4">
        <f t="shared" si="257"/>
        <v>45218.640983796293</v>
      </c>
      <c r="AI1836" s="2" t="str">
        <f t="shared" si="258"/>
        <v/>
      </c>
      <c r="AJ1836" s="2" t="str">
        <f t="shared" si="259"/>
        <v/>
      </c>
      <c r="AK1836" s="2" t="str">
        <f t="shared" si="260"/>
        <v/>
      </c>
    </row>
    <row r="1837" spans="1:37" x14ac:dyDescent="0.25">
      <c r="A1837">
        <v>604</v>
      </c>
      <c r="B1837" t="s">
        <v>2001</v>
      </c>
      <c r="C1837" t="s">
        <v>1577</v>
      </c>
      <c r="D1837" t="s">
        <v>1969</v>
      </c>
      <c r="E1837" t="s">
        <v>1984</v>
      </c>
      <c r="F1837" t="s">
        <v>1985</v>
      </c>
      <c r="G1837" t="s">
        <v>49</v>
      </c>
      <c r="H1837" s="1">
        <v>44568.309340277781</v>
      </c>
      <c r="I1837" s="1">
        <v>44571.309340277781</v>
      </c>
      <c r="J1837" t="s">
        <v>32</v>
      </c>
      <c r="K1837" s="1">
        <v>44588.309340277781</v>
      </c>
      <c r="L1837" t="s">
        <v>164</v>
      </c>
      <c r="N1837" s="4">
        <v>44594.309340277781</v>
      </c>
      <c r="O1837" t="s">
        <v>164</v>
      </c>
      <c r="R1837" s="4">
        <v>44591.309340277781</v>
      </c>
      <c r="T1837">
        <v>0</v>
      </c>
      <c r="AC1837" s="2">
        <f t="shared" si="252"/>
        <v>3</v>
      </c>
      <c r="AD1837" s="2">
        <f t="shared" si="253"/>
        <v>20</v>
      </c>
      <c r="AE1837" s="2">
        <f t="shared" si="254"/>
        <v>17</v>
      </c>
      <c r="AF1837" s="2">
        <f t="shared" si="255"/>
        <v>23</v>
      </c>
      <c r="AG1837" s="2">
        <f t="shared" si="256"/>
        <v>3</v>
      </c>
      <c r="AH1837" s="4">
        <f t="shared" si="257"/>
        <v>44681.309340277781</v>
      </c>
      <c r="AI1837" s="2" t="str">
        <f t="shared" si="258"/>
        <v/>
      </c>
      <c r="AJ1837" s="2" t="str">
        <f t="shared" si="259"/>
        <v/>
      </c>
      <c r="AK1837" s="2" t="str">
        <f t="shared" si="260"/>
        <v/>
      </c>
    </row>
    <row r="1838" spans="1:37" x14ac:dyDescent="0.25">
      <c r="A1838">
        <v>603</v>
      </c>
      <c r="B1838" t="s">
        <v>2002</v>
      </c>
      <c r="C1838" t="s">
        <v>1577</v>
      </c>
      <c r="D1838" t="s">
        <v>1969</v>
      </c>
      <c r="E1838" t="s">
        <v>1984</v>
      </c>
      <c r="F1838" t="s">
        <v>1985</v>
      </c>
      <c r="G1838" t="s">
        <v>49</v>
      </c>
      <c r="H1838" s="1">
        <v>44572.309340277781</v>
      </c>
      <c r="I1838" s="1">
        <v>44573.309340277781</v>
      </c>
      <c r="J1838" t="s">
        <v>32</v>
      </c>
      <c r="K1838" s="1">
        <v>44589.309340277781</v>
      </c>
      <c r="L1838" t="s">
        <v>57</v>
      </c>
      <c r="N1838" s="4">
        <v>44597.309340277781</v>
      </c>
      <c r="O1838" t="s">
        <v>57</v>
      </c>
      <c r="P1838" s="4">
        <v>44590.309340277781</v>
      </c>
      <c r="Q1838" s="4">
        <v>44592.309340277781</v>
      </c>
      <c r="R1838" s="4">
        <v>44593.309340277781</v>
      </c>
      <c r="S1838" s="4">
        <v>44601.309340277781</v>
      </c>
      <c r="T1838">
        <v>1</v>
      </c>
      <c r="U1838" s="4">
        <v>44603.309340277781</v>
      </c>
      <c r="V1838" s="4">
        <v>44604.309340277781</v>
      </c>
      <c r="W1838" s="4">
        <v>44606.309340277781</v>
      </c>
      <c r="Z1838" s="4">
        <v>44617.309340277781</v>
      </c>
      <c r="AC1838" s="2">
        <f t="shared" si="252"/>
        <v>1</v>
      </c>
      <c r="AD1838" s="2">
        <f t="shared" si="253"/>
        <v>17</v>
      </c>
      <c r="AE1838" s="2">
        <f t="shared" si="254"/>
        <v>16</v>
      </c>
      <c r="AF1838" s="2">
        <f t="shared" si="255"/>
        <v>21</v>
      </c>
      <c r="AG1838" s="2">
        <f t="shared" si="256"/>
        <v>4</v>
      </c>
      <c r="AH1838" s="4">
        <f t="shared" si="257"/>
        <v>44683.309340277781</v>
      </c>
      <c r="AI1838" s="2">
        <f t="shared" si="258"/>
        <v>2</v>
      </c>
      <c r="AJ1838" s="2">
        <f t="shared" si="259"/>
        <v>24</v>
      </c>
      <c r="AK1838" s="2">
        <f t="shared" si="260"/>
        <v>13</v>
      </c>
    </row>
    <row r="1839" spans="1:37" x14ac:dyDescent="0.25">
      <c r="A1839">
        <v>602</v>
      </c>
      <c r="B1839" t="s">
        <v>2003</v>
      </c>
      <c r="C1839" t="s">
        <v>1577</v>
      </c>
      <c r="D1839" t="s">
        <v>1969</v>
      </c>
      <c r="E1839" t="s">
        <v>1984</v>
      </c>
      <c r="F1839" t="s">
        <v>1985</v>
      </c>
      <c r="G1839" t="s">
        <v>49</v>
      </c>
      <c r="H1839" s="1">
        <v>44571.309340277781</v>
      </c>
      <c r="I1839" s="1">
        <v>44574.309340277781</v>
      </c>
      <c r="J1839" t="s">
        <v>32</v>
      </c>
      <c r="K1839" s="1">
        <v>44586.309340277781</v>
      </c>
      <c r="L1839" t="s">
        <v>39</v>
      </c>
      <c r="N1839" s="4">
        <v>44591.309340277781</v>
      </c>
      <c r="O1839" t="s">
        <v>39</v>
      </c>
      <c r="R1839" s="4">
        <v>44588.309340277781</v>
      </c>
      <c r="T1839">
        <v>0</v>
      </c>
      <c r="AC1839" s="2">
        <f t="shared" si="252"/>
        <v>3</v>
      </c>
      <c r="AD1839" s="2">
        <f t="shared" si="253"/>
        <v>15</v>
      </c>
      <c r="AE1839" s="2">
        <f t="shared" si="254"/>
        <v>12</v>
      </c>
      <c r="AF1839" s="2">
        <f t="shared" si="255"/>
        <v>17</v>
      </c>
      <c r="AG1839" s="2">
        <f t="shared" si="256"/>
        <v>2</v>
      </c>
      <c r="AH1839" s="4">
        <f t="shared" si="257"/>
        <v>44678.309340277781</v>
      </c>
      <c r="AI1839" s="2" t="str">
        <f t="shared" si="258"/>
        <v/>
      </c>
      <c r="AJ1839" s="2" t="str">
        <f t="shared" si="259"/>
        <v/>
      </c>
      <c r="AK1839" s="2" t="str">
        <f t="shared" si="260"/>
        <v/>
      </c>
    </row>
    <row r="1840" spans="1:37" x14ac:dyDescent="0.25">
      <c r="A1840">
        <v>598</v>
      </c>
      <c r="B1840" t="s">
        <v>2004</v>
      </c>
      <c r="C1840" t="s">
        <v>1577</v>
      </c>
      <c r="D1840" t="s">
        <v>1969</v>
      </c>
      <c r="E1840" t="s">
        <v>1984</v>
      </c>
      <c r="F1840" t="s">
        <v>1985</v>
      </c>
      <c r="G1840" t="s">
        <v>49</v>
      </c>
      <c r="H1840" s="1">
        <v>44880.821550925924</v>
      </c>
      <c r="I1840" s="1">
        <v>44884.821550925924</v>
      </c>
      <c r="J1840" t="s">
        <v>32</v>
      </c>
      <c r="K1840" s="1">
        <v>44892.821550925924</v>
      </c>
      <c r="L1840" t="s">
        <v>57</v>
      </c>
      <c r="N1840" s="4">
        <v>44895.821550925924</v>
      </c>
      <c r="O1840" t="s">
        <v>57</v>
      </c>
      <c r="P1840" s="4">
        <v>44894.821550925924</v>
      </c>
      <c r="Q1840" s="4">
        <v>44895.821550925924</v>
      </c>
      <c r="R1840" s="4">
        <v>44893.821550925924</v>
      </c>
      <c r="S1840" s="4">
        <v>44898.821550925924</v>
      </c>
      <c r="T1840">
        <v>1</v>
      </c>
      <c r="U1840" s="4">
        <v>44902.821550925924</v>
      </c>
      <c r="V1840" s="4">
        <v>44905.821550925924</v>
      </c>
      <c r="W1840" s="4">
        <v>44907.821550925924</v>
      </c>
      <c r="Z1840" s="4">
        <v>44919.821550925924</v>
      </c>
      <c r="AC1840" s="2">
        <f t="shared" si="252"/>
        <v>4</v>
      </c>
      <c r="AD1840" s="2">
        <f t="shared" si="253"/>
        <v>12</v>
      </c>
      <c r="AE1840" s="2">
        <f t="shared" si="254"/>
        <v>8</v>
      </c>
      <c r="AF1840" s="2">
        <f t="shared" si="255"/>
        <v>13</v>
      </c>
      <c r="AG1840" s="2">
        <f t="shared" si="256"/>
        <v>1</v>
      </c>
      <c r="AH1840" s="4">
        <f t="shared" si="257"/>
        <v>44983.821550925924</v>
      </c>
      <c r="AI1840" s="2">
        <f t="shared" si="258"/>
        <v>4</v>
      </c>
      <c r="AJ1840" s="2">
        <f t="shared" si="259"/>
        <v>26</v>
      </c>
      <c r="AK1840" s="2">
        <f t="shared" si="260"/>
        <v>14</v>
      </c>
    </row>
    <row r="1841" spans="1:37" x14ac:dyDescent="0.25">
      <c r="A1841">
        <v>596</v>
      </c>
      <c r="B1841" t="s">
        <v>2005</v>
      </c>
      <c r="C1841" t="s">
        <v>1577</v>
      </c>
      <c r="D1841" t="s">
        <v>1969</v>
      </c>
      <c r="E1841" t="s">
        <v>1984</v>
      </c>
      <c r="F1841" t="s">
        <v>1985</v>
      </c>
      <c r="G1841" t="s">
        <v>49</v>
      </c>
      <c r="H1841" s="1">
        <v>44878.821550925924</v>
      </c>
      <c r="I1841" s="1">
        <v>44881.821550925924</v>
      </c>
      <c r="J1841" t="s">
        <v>32</v>
      </c>
      <c r="K1841" s="1">
        <v>44895.821550925924</v>
      </c>
      <c r="L1841" t="s">
        <v>57</v>
      </c>
      <c r="N1841" s="4">
        <v>44900.821550925924</v>
      </c>
      <c r="O1841" t="s">
        <v>57</v>
      </c>
      <c r="P1841" s="4">
        <v>44897.821550925924</v>
      </c>
      <c r="Q1841" s="4">
        <v>44898.821550925924</v>
      </c>
      <c r="R1841" s="4">
        <v>44898.821550925924</v>
      </c>
      <c r="S1841" s="4">
        <v>44907.821550925924</v>
      </c>
      <c r="T1841">
        <v>1</v>
      </c>
      <c r="U1841" s="4">
        <v>44909.821550925924</v>
      </c>
      <c r="V1841" s="4">
        <v>44910.821550925924</v>
      </c>
      <c r="W1841" s="4">
        <v>44913.821550925924</v>
      </c>
      <c r="Z1841" s="4">
        <v>44928.821550925924</v>
      </c>
      <c r="AC1841" s="2">
        <f t="shared" si="252"/>
        <v>3</v>
      </c>
      <c r="AD1841" s="2">
        <f t="shared" si="253"/>
        <v>17</v>
      </c>
      <c r="AE1841" s="2">
        <f t="shared" si="254"/>
        <v>14</v>
      </c>
      <c r="AF1841" s="2">
        <f t="shared" si="255"/>
        <v>20</v>
      </c>
      <c r="AG1841" s="2">
        <f t="shared" si="256"/>
        <v>3</v>
      </c>
      <c r="AH1841" s="4">
        <f t="shared" si="257"/>
        <v>44988.821550925924</v>
      </c>
      <c r="AI1841" s="2">
        <f t="shared" si="258"/>
        <v>2</v>
      </c>
      <c r="AJ1841" s="2">
        <f t="shared" si="259"/>
        <v>30</v>
      </c>
      <c r="AK1841" s="2">
        <f t="shared" si="260"/>
        <v>15</v>
      </c>
    </row>
    <row r="1842" spans="1:37" x14ac:dyDescent="0.25">
      <c r="A1842">
        <v>593</v>
      </c>
      <c r="B1842" t="s">
        <v>2006</v>
      </c>
      <c r="C1842" t="s">
        <v>1577</v>
      </c>
      <c r="D1842" t="s">
        <v>1969</v>
      </c>
      <c r="E1842" t="s">
        <v>1984</v>
      </c>
      <c r="F1842" t="s">
        <v>1985</v>
      </c>
      <c r="G1842" t="s">
        <v>49</v>
      </c>
      <c r="H1842" s="1">
        <v>44877.821550925924</v>
      </c>
      <c r="I1842" s="1">
        <v>44881.821550925924</v>
      </c>
      <c r="J1842" t="s">
        <v>32</v>
      </c>
      <c r="K1842" s="1">
        <v>44892.821550925924</v>
      </c>
      <c r="L1842" t="s">
        <v>57</v>
      </c>
      <c r="N1842" s="4">
        <v>44898.821550925924</v>
      </c>
      <c r="O1842" t="s">
        <v>57</v>
      </c>
      <c r="P1842" s="4">
        <v>44894.821550925924</v>
      </c>
      <c r="Q1842" s="4">
        <v>44896.821550925924</v>
      </c>
      <c r="R1842" s="4">
        <v>44896.821550925924</v>
      </c>
      <c r="S1842" s="4">
        <v>44900.821550925924</v>
      </c>
      <c r="T1842">
        <v>1</v>
      </c>
      <c r="U1842" s="4">
        <v>44901.821550925924</v>
      </c>
      <c r="V1842" s="4">
        <v>44902.821550925924</v>
      </c>
      <c r="W1842" s="4">
        <v>44903.821550925924</v>
      </c>
      <c r="Z1842" s="4">
        <v>44923.821550925924</v>
      </c>
      <c r="AC1842" s="2">
        <f t="shared" si="252"/>
        <v>4</v>
      </c>
      <c r="AD1842" s="2">
        <f t="shared" si="253"/>
        <v>15</v>
      </c>
      <c r="AE1842" s="2">
        <f t="shared" si="254"/>
        <v>11</v>
      </c>
      <c r="AF1842" s="2">
        <f t="shared" si="255"/>
        <v>19</v>
      </c>
      <c r="AG1842" s="2">
        <f t="shared" si="256"/>
        <v>4</v>
      </c>
      <c r="AH1842" s="4">
        <f t="shared" si="257"/>
        <v>44986.821550925924</v>
      </c>
      <c r="AI1842" s="2">
        <f t="shared" si="258"/>
        <v>1</v>
      </c>
      <c r="AJ1842" s="2">
        <f t="shared" si="259"/>
        <v>27</v>
      </c>
      <c r="AK1842" s="2">
        <f t="shared" si="260"/>
        <v>7</v>
      </c>
    </row>
    <row r="1843" spans="1:37" x14ac:dyDescent="0.25">
      <c r="A1843">
        <v>592</v>
      </c>
      <c r="B1843" t="s">
        <v>2007</v>
      </c>
      <c r="C1843" t="s">
        <v>1577</v>
      </c>
      <c r="D1843" t="s">
        <v>1969</v>
      </c>
      <c r="E1843" t="s">
        <v>1984</v>
      </c>
      <c r="F1843" t="s">
        <v>1985</v>
      </c>
      <c r="G1843" t="s">
        <v>49</v>
      </c>
      <c r="H1843" s="1">
        <v>44878.821550925924</v>
      </c>
      <c r="I1843" s="1">
        <v>44880.821550925924</v>
      </c>
      <c r="J1843" t="s">
        <v>32</v>
      </c>
      <c r="K1843" s="1">
        <v>44897.821550925924</v>
      </c>
      <c r="L1843" t="s">
        <v>57</v>
      </c>
      <c r="N1843" s="4">
        <v>44902.821550925924</v>
      </c>
      <c r="O1843" t="s">
        <v>57</v>
      </c>
      <c r="P1843" s="4">
        <v>44899.821550925924</v>
      </c>
      <c r="Q1843" s="4">
        <v>44900.821550925924</v>
      </c>
      <c r="R1843" s="4">
        <v>44898.821550925924</v>
      </c>
      <c r="S1843" s="4">
        <v>44907.821550925924</v>
      </c>
      <c r="T1843">
        <v>1</v>
      </c>
      <c r="U1843" s="4">
        <v>44909.821550925924</v>
      </c>
      <c r="V1843" s="4">
        <v>44912.821550925924</v>
      </c>
      <c r="W1843" s="4">
        <v>44914.821550925924</v>
      </c>
      <c r="Z1843" s="4">
        <v>44935.821550925924</v>
      </c>
      <c r="AC1843" s="2">
        <f t="shared" si="252"/>
        <v>2</v>
      </c>
      <c r="AD1843" s="2">
        <f t="shared" si="253"/>
        <v>19</v>
      </c>
      <c r="AE1843" s="2">
        <f t="shared" si="254"/>
        <v>17</v>
      </c>
      <c r="AF1843" s="2">
        <f t="shared" si="255"/>
        <v>20</v>
      </c>
      <c r="AG1843" s="2">
        <f t="shared" si="256"/>
        <v>1</v>
      </c>
      <c r="AH1843" s="4">
        <f t="shared" si="257"/>
        <v>44988.821550925924</v>
      </c>
      <c r="AI1843" s="2">
        <f t="shared" si="258"/>
        <v>2</v>
      </c>
      <c r="AJ1843" s="2">
        <f t="shared" si="259"/>
        <v>37</v>
      </c>
      <c r="AK1843" s="2">
        <f t="shared" si="260"/>
        <v>16</v>
      </c>
    </row>
    <row r="1844" spans="1:37" x14ac:dyDescent="0.25">
      <c r="A1844">
        <v>457</v>
      </c>
      <c r="B1844" t="s">
        <v>2008</v>
      </c>
      <c r="C1844" t="s">
        <v>1577</v>
      </c>
      <c r="D1844" t="s">
        <v>1969</v>
      </c>
      <c r="E1844" t="s">
        <v>1984</v>
      </c>
      <c r="F1844" t="s">
        <v>1985</v>
      </c>
      <c r="G1844" t="s">
        <v>49</v>
      </c>
      <c r="H1844" s="1">
        <v>44970.571030092593</v>
      </c>
      <c r="I1844" s="1">
        <v>44973.571030092593</v>
      </c>
      <c r="J1844" t="s">
        <v>32</v>
      </c>
      <c r="K1844" s="1">
        <v>44993.571030092593</v>
      </c>
      <c r="L1844" t="s">
        <v>39</v>
      </c>
      <c r="N1844" s="4">
        <v>45001.571030092593</v>
      </c>
      <c r="O1844" t="s">
        <v>39</v>
      </c>
      <c r="R1844" s="4">
        <v>44997.571030092593</v>
      </c>
      <c r="T1844">
        <v>0</v>
      </c>
      <c r="AC1844" s="2">
        <f t="shared" si="252"/>
        <v>3</v>
      </c>
      <c r="AD1844" s="2">
        <f t="shared" si="253"/>
        <v>23</v>
      </c>
      <c r="AE1844" s="2">
        <f t="shared" si="254"/>
        <v>20</v>
      </c>
      <c r="AF1844" s="2">
        <f t="shared" si="255"/>
        <v>27</v>
      </c>
      <c r="AG1844" s="2">
        <f t="shared" si="256"/>
        <v>4</v>
      </c>
      <c r="AH1844" s="4">
        <f t="shared" si="257"/>
        <v>45087.571030092593</v>
      </c>
      <c r="AI1844" s="2" t="str">
        <f t="shared" si="258"/>
        <v/>
      </c>
      <c r="AJ1844" s="2" t="str">
        <f t="shared" si="259"/>
        <v/>
      </c>
      <c r="AK1844" s="2" t="str">
        <f t="shared" si="260"/>
        <v/>
      </c>
    </row>
    <row r="1845" spans="1:37" x14ac:dyDescent="0.25">
      <c r="A1845">
        <v>398</v>
      </c>
      <c r="B1845" t="s">
        <v>2009</v>
      </c>
      <c r="C1845" t="s">
        <v>1577</v>
      </c>
      <c r="D1845" t="s">
        <v>1969</v>
      </c>
      <c r="E1845" t="s">
        <v>1984</v>
      </c>
      <c r="F1845" t="s">
        <v>1985</v>
      </c>
      <c r="G1845" t="s">
        <v>49</v>
      </c>
      <c r="H1845" s="1">
        <v>44969.686574074076</v>
      </c>
      <c r="I1845" s="1">
        <v>44972.686574074076</v>
      </c>
      <c r="J1845" t="s">
        <v>32</v>
      </c>
      <c r="K1845" s="1">
        <v>44983.686574074076</v>
      </c>
      <c r="L1845" t="s">
        <v>33</v>
      </c>
      <c r="M1845" t="s">
        <v>34</v>
      </c>
      <c r="R1845" s="4">
        <v>44987.686574074076</v>
      </c>
      <c r="T1845">
        <v>0</v>
      </c>
      <c r="Y1845" t="s">
        <v>35</v>
      </c>
      <c r="AC1845" s="2">
        <f t="shared" si="252"/>
        <v>3</v>
      </c>
      <c r="AD1845" s="2">
        <f t="shared" si="253"/>
        <v>14</v>
      </c>
      <c r="AE1845" s="2">
        <f t="shared" si="254"/>
        <v>11</v>
      </c>
      <c r="AF1845" s="2">
        <f t="shared" si="255"/>
        <v>18</v>
      </c>
      <c r="AG1845" s="2">
        <f t="shared" si="256"/>
        <v>4</v>
      </c>
      <c r="AH1845" s="4">
        <f t="shared" si="257"/>
        <v>45077.686574074076</v>
      </c>
      <c r="AI1845" s="2" t="str">
        <f t="shared" si="258"/>
        <v/>
      </c>
      <c r="AJ1845" s="2" t="str">
        <f t="shared" si="259"/>
        <v/>
      </c>
      <c r="AK1845" s="2" t="str">
        <f t="shared" si="260"/>
        <v/>
      </c>
    </row>
    <row r="1846" spans="1:37" x14ac:dyDescent="0.25">
      <c r="A1846">
        <v>397</v>
      </c>
      <c r="B1846" t="s">
        <v>2010</v>
      </c>
      <c r="C1846" t="s">
        <v>1577</v>
      </c>
      <c r="D1846" t="s">
        <v>1969</v>
      </c>
      <c r="E1846" t="s">
        <v>1984</v>
      </c>
      <c r="F1846" t="s">
        <v>1985</v>
      </c>
      <c r="G1846" t="s">
        <v>49</v>
      </c>
      <c r="H1846" s="1">
        <v>44971.686574074076</v>
      </c>
      <c r="I1846" s="1">
        <v>44973.686574074076</v>
      </c>
      <c r="J1846" t="s">
        <v>44</v>
      </c>
      <c r="K1846" s="1"/>
      <c r="T1846">
        <v>0</v>
      </c>
      <c r="AC1846" s="2">
        <f t="shared" si="252"/>
        <v>2</v>
      </c>
      <c r="AD1846" s="2" t="str">
        <f t="shared" si="253"/>
        <v/>
      </c>
      <c r="AE1846" s="2" t="str">
        <f t="shared" si="254"/>
        <v/>
      </c>
      <c r="AF1846" s="2" t="str">
        <f t="shared" si="255"/>
        <v/>
      </c>
      <c r="AG1846" s="2" t="str">
        <f t="shared" si="256"/>
        <v/>
      </c>
      <c r="AH1846" s="4" t="str">
        <f t="shared" si="257"/>
        <v/>
      </c>
      <c r="AI1846" s="2" t="str">
        <f t="shared" si="258"/>
        <v/>
      </c>
      <c r="AJ1846" s="2" t="str">
        <f t="shared" si="259"/>
        <v/>
      </c>
      <c r="AK1846" s="2" t="str">
        <f t="shared" si="260"/>
        <v/>
      </c>
    </row>
    <row r="1847" spans="1:37" x14ac:dyDescent="0.25">
      <c r="A1847">
        <v>391</v>
      </c>
      <c r="B1847" t="s">
        <v>2011</v>
      </c>
      <c r="C1847" t="s">
        <v>1577</v>
      </c>
      <c r="D1847" t="s">
        <v>1969</v>
      </c>
      <c r="E1847" t="s">
        <v>1984</v>
      </c>
      <c r="F1847" t="s">
        <v>1985</v>
      </c>
      <c r="G1847" t="s">
        <v>49</v>
      </c>
      <c r="H1847" s="1">
        <v>44973.686574074076</v>
      </c>
      <c r="I1847" s="1">
        <v>44976.686574074076</v>
      </c>
      <c r="J1847" t="s">
        <v>32</v>
      </c>
      <c r="K1847" s="1">
        <v>44986.686574074076</v>
      </c>
      <c r="L1847" t="s">
        <v>33</v>
      </c>
      <c r="M1847" t="s">
        <v>108</v>
      </c>
      <c r="T1847">
        <v>0</v>
      </c>
      <c r="Y1847" t="s">
        <v>35</v>
      </c>
      <c r="AC1847" s="2">
        <f t="shared" si="252"/>
        <v>3</v>
      </c>
      <c r="AD1847" s="2">
        <f t="shared" si="253"/>
        <v>13</v>
      </c>
      <c r="AE1847" s="2">
        <f t="shared" si="254"/>
        <v>10</v>
      </c>
      <c r="AF1847" s="2" t="str">
        <f t="shared" si="255"/>
        <v/>
      </c>
      <c r="AG1847" s="2" t="str">
        <f t="shared" si="256"/>
        <v/>
      </c>
      <c r="AH1847" s="4" t="str">
        <f t="shared" si="257"/>
        <v/>
      </c>
      <c r="AI1847" s="2" t="str">
        <f t="shared" si="258"/>
        <v/>
      </c>
      <c r="AJ1847" s="2" t="str">
        <f t="shared" si="259"/>
        <v/>
      </c>
      <c r="AK1847" s="2" t="str">
        <f t="shared" si="260"/>
        <v/>
      </c>
    </row>
    <row r="1848" spans="1:37" x14ac:dyDescent="0.25">
      <c r="A1848">
        <v>348</v>
      </c>
      <c r="B1848" t="s">
        <v>2012</v>
      </c>
      <c r="C1848" t="s">
        <v>1577</v>
      </c>
      <c r="D1848" t="s">
        <v>1969</v>
      </c>
      <c r="E1848" t="s">
        <v>1984</v>
      </c>
      <c r="F1848" t="s">
        <v>1985</v>
      </c>
      <c r="G1848" t="s">
        <v>49</v>
      </c>
      <c r="H1848" s="1">
        <v>44682.644375000003</v>
      </c>
      <c r="I1848" s="1">
        <v>44685.644375000003</v>
      </c>
      <c r="J1848" t="s">
        <v>32</v>
      </c>
      <c r="K1848" s="1">
        <v>44693.644375000003</v>
      </c>
      <c r="L1848" t="s">
        <v>57</v>
      </c>
      <c r="N1848" s="4">
        <v>44697.644375000003</v>
      </c>
      <c r="O1848" t="s">
        <v>57</v>
      </c>
      <c r="P1848" s="4">
        <v>44694.644375000003</v>
      </c>
      <c r="Q1848" s="4">
        <v>44698.644375000003</v>
      </c>
      <c r="R1848" s="4">
        <v>44696.644375000003</v>
      </c>
      <c r="S1848" s="4">
        <v>44703.644375000003</v>
      </c>
      <c r="T1848">
        <v>1</v>
      </c>
      <c r="U1848" s="4">
        <v>44705.644375000003</v>
      </c>
      <c r="V1848" s="4">
        <v>44706.644375000003</v>
      </c>
      <c r="W1848" s="4">
        <v>44708.644375000003</v>
      </c>
      <c r="Z1848" s="4">
        <v>44725.644375000003</v>
      </c>
      <c r="AC1848" s="2">
        <f t="shared" si="252"/>
        <v>3</v>
      </c>
      <c r="AD1848" s="2">
        <f t="shared" si="253"/>
        <v>11</v>
      </c>
      <c r="AE1848" s="2">
        <f t="shared" si="254"/>
        <v>8</v>
      </c>
      <c r="AF1848" s="2">
        <f t="shared" si="255"/>
        <v>14</v>
      </c>
      <c r="AG1848" s="2">
        <f t="shared" si="256"/>
        <v>3</v>
      </c>
      <c r="AH1848" s="4">
        <f t="shared" si="257"/>
        <v>44786.644375000003</v>
      </c>
      <c r="AI1848" s="2">
        <f t="shared" si="258"/>
        <v>2</v>
      </c>
      <c r="AJ1848" s="2">
        <f t="shared" si="259"/>
        <v>29</v>
      </c>
      <c r="AK1848" s="2">
        <f t="shared" si="260"/>
        <v>12</v>
      </c>
    </row>
    <row r="1849" spans="1:37" x14ac:dyDescent="0.25">
      <c r="A1849">
        <v>344</v>
      </c>
      <c r="B1849" t="s">
        <v>2013</v>
      </c>
      <c r="C1849" t="s">
        <v>1577</v>
      </c>
      <c r="D1849" t="s">
        <v>1969</v>
      </c>
      <c r="E1849" t="s">
        <v>1984</v>
      </c>
      <c r="F1849" t="s">
        <v>1985</v>
      </c>
      <c r="G1849" t="s">
        <v>49</v>
      </c>
      <c r="H1849" s="1">
        <v>44681.644375000003</v>
      </c>
      <c r="I1849" s="1">
        <v>44685.644375000003</v>
      </c>
      <c r="J1849" t="s">
        <v>44</v>
      </c>
      <c r="K1849" s="1"/>
      <c r="T1849">
        <v>0</v>
      </c>
      <c r="AC1849" s="2">
        <f t="shared" si="252"/>
        <v>4</v>
      </c>
      <c r="AD1849" s="2" t="str">
        <f t="shared" si="253"/>
        <v/>
      </c>
      <c r="AE1849" s="2" t="str">
        <f t="shared" si="254"/>
        <v/>
      </c>
      <c r="AF1849" s="2" t="str">
        <f t="shared" si="255"/>
        <v/>
      </c>
      <c r="AG1849" s="2" t="str">
        <f t="shared" si="256"/>
        <v/>
      </c>
      <c r="AH1849" s="4" t="str">
        <f t="shared" si="257"/>
        <v/>
      </c>
      <c r="AI1849" s="2" t="str">
        <f t="shared" si="258"/>
        <v/>
      </c>
      <c r="AJ1849" s="2" t="str">
        <f t="shared" si="259"/>
        <v/>
      </c>
      <c r="AK1849" s="2" t="str">
        <f t="shared" si="260"/>
        <v/>
      </c>
    </row>
    <row r="1850" spans="1:37" x14ac:dyDescent="0.25">
      <c r="A1850">
        <v>343</v>
      </c>
      <c r="B1850" t="s">
        <v>2014</v>
      </c>
      <c r="C1850" t="s">
        <v>1577</v>
      </c>
      <c r="D1850" t="s">
        <v>1969</v>
      </c>
      <c r="E1850" t="s">
        <v>1984</v>
      </c>
      <c r="F1850" t="s">
        <v>1985</v>
      </c>
      <c r="G1850" t="s">
        <v>49</v>
      </c>
      <c r="H1850" s="1">
        <v>44688.644375000003</v>
      </c>
      <c r="I1850" s="1">
        <v>44689.644375000003</v>
      </c>
      <c r="J1850" t="s">
        <v>32</v>
      </c>
      <c r="K1850" s="1">
        <v>44706.644375000003</v>
      </c>
      <c r="L1850" t="s">
        <v>33</v>
      </c>
      <c r="M1850" t="s">
        <v>108</v>
      </c>
      <c r="R1850" s="4">
        <v>44707.644375000003</v>
      </c>
      <c r="T1850">
        <v>0</v>
      </c>
      <c r="Y1850" t="s">
        <v>55</v>
      </c>
      <c r="AC1850" s="2">
        <f t="shared" si="252"/>
        <v>1</v>
      </c>
      <c r="AD1850" s="2">
        <f t="shared" si="253"/>
        <v>18</v>
      </c>
      <c r="AE1850" s="2">
        <f t="shared" si="254"/>
        <v>17</v>
      </c>
      <c r="AF1850" s="2">
        <f t="shared" si="255"/>
        <v>19</v>
      </c>
      <c r="AG1850" s="2">
        <f t="shared" si="256"/>
        <v>1</v>
      </c>
      <c r="AH1850" s="4">
        <f t="shared" si="257"/>
        <v>44797.644375000003</v>
      </c>
      <c r="AI1850" s="2" t="str">
        <f t="shared" si="258"/>
        <v/>
      </c>
      <c r="AJ1850" s="2" t="str">
        <f t="shared" si="259"/>
        <v/>
      </c>
      <c r="AK1850" s="2" t="str">
        <f t="shared" si="260"/>
        <v/>
      </c>
    </row>
    <row r="1851" spans="1:37" x14ac:dyDescent="0.25">
      <c r="A1851">
        <v>289</v>
      </c>
      <c r="B1851" t="s">
        <v>2015</v>
      </c>
      <c r="C1851" t="s">
        <v>1577</v>
      </c>
      <c r="D1851" t="s">
        <v>1969</v>
      </c>
      <c r="E1851" t="s">
        <v>1984</v>
      </c>
      <c r="F1851" t="s">
        <v>1985</v>
      </c>
      <c r="G1851" t="s">
        <v>49</v>
      </c>
      <c r="H1851" s="1">
        <v>44698.67763888889</v>
      </c>
      <c r="I1851" s="1">
        <v>44700.67763888889</v>
      </c>
      <c r="J1851" t="s">
        <v>32</v>
      </c>
      <c r="K1851" s="1">
        <v>44723.67763888889</v>
      </c>
      <c r="L1851" t="s">
        <v>57</v>
      </c>
      <c r="N1851" s="4">
        <v>44727.67763888889</v>
      </c>
      <c r="O1851" t="s">
        <v>57</v>
      </c>
      <c r="P1851" s="4">
        <v>44724.67763888889</v>
      </c>
      <c r="Q1851" s="4">
        <v>44728.67763888889</v>
      </c>
      <c r="R1851" s="4">
        <v>44726.67763888889</v>
      </c>
      <c r="S1851" s="4">
        <v>44735.67763888889</v>
      </c>
      <c r="T1851">
        <v>1</v>
      </c>
      <c r="U1851" s="4">
        <v>44738.67763888889</v>
      </c>
      <c r="V1851" s="4">
        <v>44739.67763888889</v>
      </c>
      <c r="W1851" s="4">
        <v>44742.67763888889</v>
      </c>
      <c r="Z1851" s="4">
        <v>44756.67763888889</v>
      </c>
      <c r="AC1851" s="2">
        <f t="shared" si="252"/>
        <v>2</v>
      </c>
      <c r="AD1851" s="2">
        <f t="shared" si="253"/>
        <v>25</v>
      </c>
      <c r="AE1851" s="2">
        <f t="shared" si="254"/>
        <v>23</v>
      </c>
      <c r="AF1851" s="2">
        <f t="shared" si="255"/>
        <v>28</v>
      </c>
      <c r="AG1851" s="2">
        <f t="shared" si="256"/>
        <v>3</v>
      </c>
      <c r="AH1851" s="4">
        <f t="shared" si="257"/>
        <v>44816.67763888889</v>
      </c>
      <c r="AI1851" s="2">
        <f t="shared" si="258"/>
        <v>3</v>
      </c>
      <c r="AJ1851" s="2">
        <f t="shared" si="259"/>
        <v>30</v>
      </c>
      <c r="AK1851" s="2">
        <f t="shared" si="260"/>
        <v>16</v>
      </c>
    </row>
    <row r="1852" spans="1:37" x14ac:dyDescent="0.25">
      <c r="A1852">
        <v>281</v>
      </c>
      <c r="B1852" t="s">
        <v>2016</v>
      </c>
      <c r="C1852" t="s">
        <v>1577</v>
      </c>
      <c r="D1852" t="s">
        <v>1969</v>
      </c>
      <c r="E1852" t="s">
        <v>47</v>
      </c>
      <c r="F1852" t="s">
        <v>2017</v>
      </c>
      <c r="G1852" t="s">
        <v>49</v>
      </c>
      <c r="H1852" s="1">
        <v>44699.67763888889</v>
      </c>
      <c r="I1852" s="1">
        <v>44701.67763888889</v>
      </c>
      <c r="J1852" t="s">
        <v>32</v>
      </c>
      <c r="K1852" s="1">
        <v>44716.67763888889</v>
      </c>
      <c r="L1852" t="s">
        <v>33</v>
      </c>
      <c r="M1852" t="s">
        <v>92</v>
      </c>
      <c r="R1852" s="4">
        <v>44719.67763888889</v>
      </c>
      <c r="T1852">
        <v>0</v>
      </c>
      <c r="Y1852" t="s">
        <v>55</v>
      </c>
      <c r="AC1852" s="2">
        <f t="shared" si="252"/>
        <v>2</v>
      </c>
      <c r="AD1852" s="2">
        <f t="shared" si="253"/>
        <v>17</v>
      </c>
      <c r="AE1852" s="2">
        <f t="shared" si="254"/>
        <v>15</v>
      </c>
      <c r="AF1852" s="2">
        <f t="shared" si="255"/>
        <v>20</v>
      </c>
      <c r="AG1852" s="2">
        <f t="shared" si="256"/>
        <v>3</v>
      </c>
      <c r="AH1852" s="4">
        <f t="shared" si="257"/>
        <v>44809.67763888889</v>
      </c>
      <c r="AI1852" s="2" t="str">
        <f t="shared" si="258"/>
        <v/>
      </c>
      <c r="AJ1852" s="2" t="str">
        <f t="shared" si="259"/>
        <v/>
      </c>
      <c r="AK1852" s="2" t="str">
        <f t="shared" si="260"/>
        <v/>
      </c>
    </row>
    <row r="1853" spans="1:37" x14ac:dyDescent="0.25">
      <c r="A1853">
        <v>209</v>
      </c>
      <c r="B1853" t="s">
        <v>2018</v>
      </c>
      <c r="C1853" t="s">
        <v>1577</v>
      </c>
      <c r="D1853" t="s">
        <v>1969</v>
      </c>
      <c r="E1853" t="s">
        <v>47</v>
      </c>
      <c r="F1853" t="s">
        <v>2017</v>
      </c>
      <c r="G1853" t="s">
        <v>49</v>
      </c>
      <c r="H1853" s="1">
        <v>44744.342893518522</v>
      </c>
      <c r="I1853" s="1">
        <v>44748.342893518522</v>
      </c>
      <c r="J1853" t="s">
        <v>32</v>
      </c>
      <c r="K1853" s="1">
        <v>44764.342893518522</v>
      </c>
      <c r="L1853" t="s">
        <v>33</v>
      </c>
      <c r="M1853" t="s">
        <v>34</v>
      </c>
      <c r="R1853" s="4">
        <v>44768.342893518522</v>
      </c>
      <c r="T1853">
        <v>0</v>
      </c>
      <c r="Y1853" t="s">
        <v>55</v>
      </c>
      <c r="AC1853" s="2">
        <f t="shared" si="252"/>
        <v>4</v>
      </c>
      <c r="AD1853" s="2">
        <f t="shared" si="253"/>
        <v>20</v>
      </c>
      <c r="AE1853" s="2">
        <f t="shared" si="254"/>
        <v>16</v>
      </c>
      <c r="AF1853" s="2">
        <f t="shared" si="255"/>
        <v>24</v>
      </c>
      <c r="AG1853" s="2">
        <f t="shared" si="256"/>
        <v>4</v>
      </c>
      <c r="AH1853" s="4">
        <f t="shared" si="257"/>
        <v>44858.342893518522</v>
      </c>
      <c r="AI1853" s="2" t="str">
        <f t="shared" si="258"/>
        <v/>
      </c>
      <c r="AJ1853" s="2" t="str">
        <f t="shared" si="259"/>
        <v/>
      </c>
      <c r="AK1853" s="2" t="str">
        <f t="shared" si="260"/>
        <v/>
      </c>
    </row>
    <row r="1854" spans="1:37" x14ac:dyDescent="0.25">
      <c r="A1854">
        <v>201</v>
      </c>
      <c r="B1854" t="s">
        <v>2019</v>
      </c>
      <c r="C1854" t="s">
        <v>1577</v>
      </c>
      <c r="D1854" t="s">
        <v>1969</v>
      </c>
      <c r="E1854" t="s">
        <v>47</v>
      </c>
      <c r="F1854" t="s">
        <v>2017</v>
      </c>
      <c r="G1854" t="s">
        <v>49</v>
      </c>
      <c r="H1854" s="1">
        <v>44748.342893518522</v>
      </c>
      <c r="I1854" s="1">
        <v>44752.342893518522</v>
      </c>
      <c r="J1854" t="s">
        <v>44</v>
      </c>
      <c r="K1854" s="1"/>
      <c r="T1854">
        <v>0</v>
      </c>
      <c r="AC1854" s="2">
        <f t="shared" si="252"/>
        <v>4</v>
      </c>
      <c r="AD1854" s="2" t="str">
        <f t="shared" si="253"/>
        <v/>
      </c>
      <c r="AE1854" s="2" t="str">
        <f t="shared" si="254"/>
        <v/>
      </c>
      <c r="AF1854" s="2" t="str">
        <f t="shared" si="255"/>
        <v/>
      </c>
      <c r="AG1854" s="2" t="str">
        <f t="shared" si="256"/>
        <v/>
      </c>
      <c r="AH1854" s="4" t="str">
        <f t="shared" si="257"/>
        <v/>
      </c>
      <c r="AI1854" s="2" t="str">
        <f t="shared" si="258"/>
        <v/>
      </c>
      <c r="AJ1854" s="2" t="str">
        <f t="shared" si="259"/>
        <v/>
      </c>
      <c r="AK1854" s="2" t="str">
        <f t="shared" si="260"/>
        <v/>
      </c>
    </row>
    <row r="1855" spans="1:37" x14ac:dyDescent="0.25">
      <c r="A1855">
        <v>107</v>
      </c>
      <c r="B1855" t="s">
        <v>2020</v>
      </c>
      <c r="C1855" t="s">
        <v>1577</v>
      </c>
      <c r="D1855" t="s">
        <v>1969</v>
      </c>
      <c r="E1855" t="s">
        <v>47</v>
      </c>
      <c r="F1855" t="s">
        <v>2017</v>
      </c>
      <c r="G1855" t="s">
        <v>49</v>
      </c>
      <c r="H1855" s="1">
        <v>45013.880046296297</v>
      </c>
      <c r="I1855" s="1">
        <v>45016.880046296297</v>
      </c>
      <c r="J1855" t="s">
        <v>32</v>
      </c>
      <c r="K1855" s="1">
        <v>45022.880046296297</v>
      </c>
      <c r="L1855" t="s">
        <v>164</v>
      </c>
      <c r="N1855" s="4">
        <v>45030.880046296297</v>
      </c>
      <c r="O1855" t="s">
        <v>164</v>
      </c>
      <c r="R1855" s="4">
        <v>45026.880046296297</v>
      </c>
      <c r="T1855">
        <v>0</v>
      </c>
      <c r="AC1855" s="2">
        <f t="shared" si="252"/>
        <v>3</v>
      </c>
      <c r="AD1855" s="2">
        <f t="shared" si="253"/>
        <v>9</v>
      </c>
      <c r="AE1855" s="2">
        <f t="shared" si="254"/>
        <v>6</v>
      </c>
      <c r="AF1855" s="2">
        <f t="shared" si="255"/>
        <v>13</v>
      </c>
      <c r="AG1855" s="2">
        <f t="shared" si="256"/>
        <v>4</v>
      </c>
      <c r="AH1855" s="4">
        <f t="shared" si="257"/>
        <v>45116.880046296297</v>
      </c>
      <c r="AI1855" s="2" t="str">
        <f t="shared" si="258"/>
        <v/>
      </c>
      <c r="AJ1855" s="2" t="str">
        <f t="shared" si="259"/>
        <v/>
      </c>
      <c r="AK1855" s="2" t="str">
        <f t="shared" si="260"/>
        <v/>
      </c>
    </row>
    <row r="1856" spans="1:37" x14ac:dyDescent="0.25">
      <c r="A1856">
        <v>96</v>
      </c>
      <c r="B1856" t="s">
        <v>2021</v>
      </c>
      <c r="C1856" t="s">
        <v>1577</v>
      </c>
      <c r="D1856" t="s">
        <v>1969</v>
      </c>
      <c r="E1856" t="s">
        <v>47</v>
      </c>
      <c r="F1856" t="s">
        <v>2017</v>
      </c>
      <c r="G1856" t="s">
        <v>49</v>
      </c>
      <c r="H1856" s="1">
        <v>44840.587280092594</v>
      </c>
      <c r="I1856" s="1">
        <v>44844.587280092594</v>
      </c>
      <c r="J1856" t="s">
        <v>32</v>
      </c>
      <c r="K1856" s="1">
        <v>44855.587280092594</v>
      </c>
      <c r="L1856" t="s">
        <v>33</v>
      </c>
      <c r="M1856" t="s">
        <v>67</v>
      </c>
      <c r="R1856" s="4">
        <v>44857.587280092594</v>
      </c>
      <c r="T1856">
        <v>0</v>
      </c>
      <c r="Y1856" t="s">
        <v>55</v>
      </c>
      <c r="AC1856" s="2">
        <f t="shared" si="252"/>
        <v>4</v>
      </c>
      <c r="AD1856" s="2">
        <f t="shared" si="253"/>
        <v>15</v>
      </c>
      <c r="AE1856" s="2">
        <f t="shared" si="254"/>
        <v>11</v>
      </c>
      <c r="AF1856" s="2">
        <f t="shared" si="255"/>
        <v>17</v>
      </c>
      <c r="AG1856" s="2">
        <f t="shared" si="256"/>
        <v>2</v>
      </c>
      <c r="AH1856" s="4">
        <f t="shared" si="257"/>
        <v>44947.587280092594</v>
      </c>
      <c r="AI1856" s="2" t="str">
        <f t="shared" si="258"/>
        <v/>
      </c>
      <c r="AJ1856" s="2" t="str">
        <f t="shared" si="259"/>
        <v/>
      </c>
      <c r="AK1856" s="2" t="str">
        <f t="shared" si="260"/>
        <v/>
      </c>
    </row>
    <row r="1857" spans="1:37" x14ac:dyDescent="0.25">
      <c r="A1857">
        <v>75</v>
      </c>
      <c r="B1857" t="s">
        <v>2022</v>
      </c>
      <c r="C1857" t="s">
        <v>1577</v>
      </c>
      <c r="D1857" t="s">
        <v>1969</v>
      </c>
      <c r="E1857" t="s">
        <v>47</v>
      </c>
      <c r="F1857" t="s">
        <v>2017</v>
      </c>
      <c r="G1857" t="s">
        <v>49</v>
      </c>
      <c r="H1857" s="1">
        <v>44747.410798611112</v>
      </c>
      <c r="I1857" s="1">
        <v>44748.410798611112</v>
      </c>
      <c r="J1857" t="s">
        <v>32</v>
      </c>
      <c r="K1857" s="1">
        <v>44769.410798611112</v>
      </c>
      <c r="L1857" t="s">
        <v>33</v>
      </c>
      <c r="M1857" t="s">
        <v>92</v>
      </c>
      <c r="T1857">
        <v>0</v>
      </c>
      <c r="Y1857" t="s">
        <v>55</v>
      </c>
      <c r="AC1857" s="2">
        <f t="shared" si="252"/>
        <v>1</v>
      </c>
      <c r="AD1857" s="2">
        <f t="shared" si="253"/>
        <v>22</v>
      </c>
      <c r="AE1857" s="2">
        <f t="shared" si="254"/>
        <v>21</v>
      </c>
      <c r="AF1857" s="2" t="str">
        <f t="shared" si="255"/>
        <v/>
      </c>
      <c r="AG1857" s="2" t="str">
        <f t="shared" si="256"/>
        <v/>
      </c>
      <c r="AH1857" s="4" t="str">
        <f t="shared" si="257"/>
        <v/>
      </c>
      <c r="AI1857" s="2" t="str">
        <f t="shared" si="258"/>
        <v/>
      </c>
      <c r="AJ1857" s="2" t="str">
        <f t="shared" si="259"/>
        <v/>
      </c>
      <c r="AK1857" s="2" t="str">
        <f t="shared" si="260"/>
        <v/>
      </c>
    </row>
    <row r="1858" spans="1:37" x14ac:dyDescent="0.25">
      <c r="A1858">
        <v>73</v>
      </c>
      <c r="B1858" t="s">
        <v>2023</v>
      </c>
      <c r="C1858" t="s">
        <v>1577</v>
      </c>
      <c r="D1858" t="s">
        <v>1969</v>
      </c>
      <c r="E1858" t="s">
        <v>47</v>
      </c>
      <c r="F1858" t="s">
        <v>2017</v>
      </c>
      <c r="G1858" t="s">
        <v>49</v>
      </c>
      <c r="H1858" s="1">
        <v>44748.410798611112</v>
      </c>
      <c r="I1858" s="1">
        <v>44749.410798611112</v>
      </c>
      <c r="J1858" t="s">
        <v>32</v>
      </c>
      <c r="K1858" s="1">
        <v>44759.410798611112</v>
      </c>
      <c r="L1858" t="s">
        <v>57</v>
      </c>
      <c r="N1858" s="4">
        <v>44764.410798611112</v>
      </c>
      <c r="O1858" t="s">
        <v>57</v>
      </c>
      <c r="P1858" s="4">
        <v>44760.410798611112</v>
      </c>
      <c r="Q1858" s="4">
        <v>44764.410798611112</v>
      </c>
      <c r="R1858" s="4">
        <v>44763.410798611112</v>
      </c>
      <c r="S1858" s="4">
        <v>44772.410798611112</v>
      </c>
      <c r="T1858">
        <v>1</v>
      </c>
      <c r="U1858" s="4">
        <v>44776.410798611112</v>
      </c>
      <c r="V1858" s="4">
        <v>44777.410798611112</v>
      </c>
      <c r="W1858" s="4">
        <v>44779.410798611112</v>
      </c>
      <c r="Z1858" s="4">
        <v>44796.410798611112</v>
      </c>
      <c r="AC1858" s="2">
        <f t="shared" si="252"/>
        <v>1</v>
      </c>
      <c r="AD1858" s="2">
        <f t="shared" si="253"/>
        <v>11</v>
      </c>
      <c r="AE1858" s="2">
        <f t="shared" si="254"/>
        <v>10</v>
      </c>
      <c r="AF1858" s="2">
        <f t="shared" si="255"/>
        <v>15</v>
      </c>
      <c r="AG1858" s="2">
        <f t="shared" si="256"/>
        <v>4</v>
      </c>
      <c r="AH1858" s="4">
        <f t="shared" si="257"/>
        <v>44853.410798611112</v>
      </c>
      <c r="AI1858" s="2">
        <f t="shared" si="258"/>
        <v>4</v>
      </c>
      <c r="AJ1858" s="2">
        <f t="shared" si="259"/>
        <v>33</v>
      </c>
      <c r="AK1858" s="2">
        <f t="shared" si="260"/>
        <v>16</v>
      </c>
    </row>
    <row r="1859" spans="1:37" x14ac:dyDescent="0.25">
      <c r="A1859">
        <v>71</v>
      </c>
      <c r="B1859" t="s">
        <v>2024</v>
      </c>
      <c r="C1859" t="s">
        <v>1577</v>
      </c>
      <c r="D1859" t="s">
        <v>1969</v>
      </c>
      <c r="E1859" t="s">
        <v>47</v>
      </c>
      <c r="F1859" t="s">
        <v>2017</v>
      </c>
      <c r="G1859" t="s">
        <v>49</v>
      </c>
      <c r="H1859" s="1">
        <v>44752.410798611112</v>
      </c>
      <c r="I1859" s="1">
        <v>44753.410798611112</v>
      </c>
      <c r="J1859" t="s">
        <v>32</v>
      </c>
      <c r="K1859" s="1">
        <v>44762.410798611112</v>
      </c>
      <c r="L1859" t="s">
        <v>164</v>
      </c>
      <c r="N1859" s="4">
        <v>44768.410798611112</v>
      </c>
      <c r="O1859" t="s">
        <v>164</v>
      </c>
      <c r="R1859" s="4">
        <v>44766.410798611112</v>
      </c>
      <c r="T1859">
        <v>0</v>
      </c>
      <c r="AC1859" s="2">
        <f t="shared" ref="AC1859:AC1922" si="261">IF(AND(I1859&lt;&gt;"",H1859&lt;&gt;""), I1859-H1859, "")</f>
        <v>1</v>
      </c>
      <c r="AD1859" s="2">
        <f t="shared" ref="AD1859:AD1922" si="262">IF(AND(K1859&lt;&gt;"",H1859&lt;&gt;""), K1859-H1859, "")</f>
        <v>10</v>
      </c>
      <c r="AE1859" s="2">
        <f t="shared" ref="AE1859:AE1922" si="263">IF(AND(K1859&lt;&gt;"",I1859&lt;&gt;""), K1859-I1859, "")</f>
        <v>9</v>
      </c>
      <c r="AF1859" s="2">
        <f t="shared" ref="AF1859:AF1922" si="264">IF(AND(R1859&lt;&gt;"",H1859&lt;&gt;""), R1859-H1859, "")</f>
        <v>14</v>
      </c>
      <c r="AG1859" s="2">
        <f t="shared" ref="AG1859:AG1922" si="265">IF(AND(R1859&lt;&gt;"",K1859&lt;&gt;""), R1859-K1859, "")</f>
        <v>4</v>
      </c>
      <c r="AH1859" s="4">
        <f t="shared" ref="AH1859:AH1922" si="266">IF(R1859&lt;&gt;"", R1859+90, "")</f>
        <v>44856.410798611112</v>
      </c>
      <c r="AI1859" s="2" t="str">
        <f t="shared" ref="AI1859:AI1922" si="267">IF(AND(U1859&lt;&gt;"",S1859&lt;&gt;""), U1859-S1859, "")</f>
        <v/>
      </c>
      <c r="AJ1859" s="2" t="str">
        <f t="shared" ref="AJ1859:AJ1922" si="268">IF(AND(Z1859&lt;&gt;"",R1859&lt;&gt;""), Z1859-R1859, "")</f>
        <v/>
      </c>
      <c r="AK1859" s="2" t="str">
        <f t="shared" ref="AK1859:AK1922" si="269">IF(AND(W1859&lt;&gt;"",R1859&lt;&gt;""), W1859-R1859, "")</f>
        <v/>
      </c>
    </row>
    <row r="1860" spans="1:37" x14ac:dyDescent="0.25">
      <c r="A1860">
        <v>27</v>
      </c>
      <c r="B1860" t="s">
        <v>2025</v>
      </c>
      <c r="C1860" t="s">
        <v>1577</v>
      </c>
      <c r="D1860" t="s">
        <v>1969</v>
      </c>
      <c r="E1860" t="s">
        <v>47</v>
      </c>
      <c r="F1860" t="s">
        <v>2017</v>
      </c>
      <c r="G1860" t="s">
        <v>49</v>
      </c>
      <c r="H1860" s="1">
        <v>44918.453449074077</v>
      </c>
      <c r="I1860" s="1">
        <v>44921.453449074077</v>
      </c>
      <c r="J1860" t="s">
        <v>32</v>
      </c>
      <c r="K1860" s="1">
        <v>44933.453449074077</v>
      </c>
      <c r="L1860" t="s">
        <v>164</v>
      </c>
      <c r="N1860" s="4">
        <v>44938.453449074077</v>
      </c>
      <c r="O1860" t="s">
        <v>164</v>
      </c>
      <c r="R1860" s="4">
        <v>44934.453449074077</v>
      </c>
      <c r="T1860">
        <v>0</v>
      </c>
      <c r="AC1860" s="2">
        <f t="shared" si="261"/>
        <v>3</v>
      </c>
      <c r="AD1860" s="2">
        <f t="shared" si="262"/>
        <v>15</v>
      </c>
      <c r="AE1860" s="2">
        <f t="shared" si="263"/>
        <v>12</v>
      </c>
      <c r="AF1860" s="2">
        <f t="shared" si="264"/>
        <v>16</v>
      </c>
      <c r="AG1860" s="2">
        <f t="shared" si="265"/>
        <v>1</v>
      </c>
      <c r="AH1860" s="4">
        <f t="shared" si="266"/>
        <v>45024.453449074077</v>
      </c>
      <c r="AI1860" s="2" t="str">
        <f t="shared" si="267"/>
        <v/>
      </c>
      <c r="AJ1860" s="2" t="str">
        <f t="shared" si="268"/>
        <v/>
      </c>
      <c r="AK1860" s="2" t="str">
        <f t="shared" si="269"/>
        <v/>
      </c>
    </row>
    <row r="1861" spans="1:37" x14ac:dyDescent="0.25">
      <c r="A1861">
        <v>26</v>
      </c>
      <c r="B1861" t="s">
        <v>2026</v>
      </c>
      <c r="C1861" t="s">
        <v>1577</v>
      </c>
      <c r="D1861" t="s">
        <v>1969</v>
      </c>
      <c r="E1861" t="s">
        <v>47</v>
      </c>
      <c r="F1861" t="s">
        <v>2017</v>
      </c>
      <c r="G1861" t="s">
        <v>49</v>
      </c>
      <c r="H1861" s="1">
        <v>44922.453449074077</v>
      </c>
      <c r="I1861" s="1">
        <v>44926.453449074077</v>
      </c>
      <c r="J1861" t="s">
        <v>32</v>
      </c>
      <c r="K1861" s="1">
        <v>44945.453449074077</v>
      </c>
      <c r="L1861" t="s">
        <v>57</v>
      </c>
      <c r="N1861" s="4">
        <v>44952.453449074077</v>
      </c>
      <c r="O1861" t="s">
        <v>57</v>
      </c>
      <c r="P1861" s="4">
        <v>44946.453449074077</v>
      </c>
      <c r="Q1861" s="4">
        <v>44948.453449074077</v>
      </c>
      <c r="R1861" s="4">
        <v>44948.453449074077</v>
      </c>
      <c r="S1861" s="4">
        <v>44953.453449074077</v>
      </c>
      <c r="T1861">
        <v>1</v>
      </c>
      <c r="U1861" s="4">
        <v>44954.453449074077</v>
      </c>
      <c r="V1861" s="4">
        <v>44955.453449074077</v>
      </c>
      <c r="W1861" s="4">
        <v>44958.453449074077</v>
      </c>
      <c r="Z1861" s="4">
        <v>44970.453449074077</v>
      </c>
      <c r="AC1861" s="2">
        <f t="shared" si="261"/>
        <v>4</v>
      </c>
      <c r="AD1861" s="2">
        <f t="shared" si="262"/>
        <v>23</v>
      </c>
      <c r="AE1861" s="2">
        <f t="shared" si="263"/>
        <v>19</v>
      </c>
      <c r="AF1861" s="2">
        <f t="shared" si="264"/>
        <v>26</v>
      </c>
      <c r="AG1861" s="2">
        <f t="shared" si="265"/>
        <v>3</v>
      </c>
      <c r="AH1861" s="4">
        <f t="shared" si="266"/>
        <v>45038.453449074077</v>
      </c>
      <c r="AI1861" s="2">
        <f t="shared" si="267"/>
        <v>1</v>
      </c>
      <c r="AJ1861" s="2">
        <f t="shared" si="268"/>
        <v>22</v>
      </c>
      <c r="AK1861" s="2">
        <f t="shared" si="269"/>
        <v>10</v>
      </c>
    </row>
    <row r="1862" spans="1:37" x14ac:dyDescent="0.25">
      <c r="A1862">
        <v>25</v>
      </c>
      <c r="B1862" t="s">
        <v>2027</v>
      </c>
      <c r="C1862" t="s">
        <v>1577</v>
      </c>
      <c r="D1862" t="s">
        <v>1969</v>
      </c>
      <c r="E1862" t="s">
        <v>47</v>
      </c>
      <c r="F1862" t="s">
        <v>2017</v>
      </c>
      <c r="G1862" t="s">
        <v>49</v>
      </c>
      <c r="H1862" s="1">
        <v>44917.453449074077</v>
      </c>
      <c r="I1862" s="1">
        <v>44921.453449074077</v>
      </c>
      <c r="J1862" t="s">
        <v>32</v>
      </c>
      <c r="K1862" s="1">
        <v>44938.453449074077</v>
      </c>
      <c r="L1862" t="s">
        <v>33</v>
      </c>
      <c r="M1862" t="s">
        <v>92</v>
      </c>
      <c r="R1862" s="4">
        <v>44939.453449074077</v>
      </c>
      <c r="T1862">
        <v>0</v>
      </c>
      <c r="Y1862" t="s">
        <v>35</v>
      </c>
      <c r="AC1862" s="2">
        <f t="shared" si="261"/>
        <v>4</v>
      </c>
      <c r="AD1862" s="2">
        <f t="shared" si="262"/>
        <v>21</v>
      </c>
      <c r="AE1862" s="2">
        <f t="shared" si="263"/>
        <v>17</v>
      </c>
      <c r="AF1862" s="2">
        <f t="shared" si="264"/>
        <v>22</v>
      </c>
      <c r="AG1862" s="2">
        <f t="shared" si="265"/>
        <v>1</v>
      </c>
      <c r="AH1862" s="4">
        <f t="shared" si="266"/>
        <v>45029.453449074077</v>
      </c>
      <c r="AI1862" s="2" t="str">
        <f t="shared" si="267"/>
        <v/>
      </c>
      <c r="AJ1862" s="2" t="str">
        <f t="shared" si="268"/>
        <v/>
      </c>
      <c r="AK1862" s="2" t="str">
        <f t="shared" si="269"/>
        <v/>
      </c>
    </row>
    <row r="1863" spans="1:37" x14ac:dyDescent="0.25">
      <c r="A1863">
        <v>19</v>
      </c>
      <c r="B1863" t="s">
        <v>2028</v>
      </c>
      <c r="C1863" t="s">
        <v>1577</v>
      </c>
      <c r="D1863" t="s">
        <v>1969</v>
      </c>
      <c r="E1863" t="s">
        <v>47</v>
      </c>
      <c r="F1863" t="s">
        <v>2017</v>
      </c>
      <c r="G1863" t="s">
        <v>49</v>
      </c>
      <c r="H1863" s="1">
        <v>44637.901284722226</v>
      </c>
      <c r="I1863" s="1">
        <v>44639.901284722226</v>
      </c>
      <c r="J1863" t="s">
        <v>32</v>
      </c>
      <c r="K1863" s="1">
        <v>44649.901284722226</v>
      </c>
      <c r="L1863" t="s">
        <v>33</v>
      </c>
      <c r="M1863" t="s">
        <v>34</v>
      </c>
      <c r="T1863">
        <v>0</v>
      </c>
      <c r="Y1863" t="s">
        <v>55</v>
      </c>
      <c r="AC1863" s="2">
        <f t="shared" si="261"/>
        <v>2</v>
      </c>
      <c r="AD1863" s="2">
        <f t="shared" si="262"/>
        <v>12</v>
      </c>
      <c r="AE1863" s="2">
        <f t="shared" si="263"/>
        <v>10</v>
      </c>
      <c r="AF1863" s="2" t="str">
        <f t="shared" si="264"/>
        <v/>
      </c>
      <c r="AG1863" s="2" t="str">
        <f t="shared" si="265"/>
        <v/>
      </c>
      <c r="AH1863" s="4" t="str">
        <f t="shared" si="266"/>
        <v/>
      </c>
      <c r="AI1863" s="2" t="str">
        <f t="shared" si="267"/>
        <v/>
      </c>
      <c r="AJ1863" s="2" t="str">
        <f t="shared" si="268"/>
        <v/>
      </c>
      <c r="AK1863" s="2" t="str">
        <f t="shared" si="269"/>
        <v/>
      </c>
    </row>
    <row r="1864" spans="1:37" x14ac:dyDescent="0.25">
      <c r="A1864">
        <v>13</v>
      </c>
      <c r="B1864" t="s">
        <v>2029</v>
      </c>
      <c r="C1864" t="s">
        <v>1577</v>
      </c>
      <c r="D1864" t="s">
        <v>1969</v>
      </c>
      <c r="E1864" t="s">
        <v>47</v>
      </c>
      <c r="F1864" t="s">
        <v>2017</v>
      </c>
      <c r="G1864" t="s">
        <v>49</v>
      </c>
      <c r="H1864" s="1">
        <v>44632.901284722226</v>
      </c>
      <c r="I1864" s="1">
        <v>44636.901284722226</v>
      </c>
      <c r="J1864" t="s">
        <v>32</v>
      </c>
      <c r="K1864" s="1">
        <v>44648.901284722226</v>
      </c>
      <c r="L1864" t="s">
        <v>33</v>
      </c>
      <c r="M1864" t="s">
        <v>92</v>
      </c>
      <c r="T1864">
        <v>0</v>
      </c>
      <c r="Y1864" t="s">
        <v>55</v>
      </c>
      <c r="AC1864" s="2">
        <f t="shared" si="261"/>
        <v>4</v>
      </c>
      <c r="AD1864" s="2">
        <f t="shared" si="262"/>
        <v>16</v>
      </c>
      <c r="AE1864" s="2">
        <f t="shared" si="263"/>
        <v>12</v>
      </c>
      <c r="AF1864" s="2" t="str">
        <f t="shared" si="264"/>
        <v/>
      </c>
      <c r="AG1864" s="2" t="str">
        <f t="shared" si="265"/>
        <v/>
      </c>
      <c r="AH1864" s="4" t="str">
        <f t="shared" si="266"/>
        <v/>
      </c>
      <c r="AI1864" s="2" t="str">
        <f t="shared" si="267"/>
        <v/>
      </c>
      <c r="AJ1864" s="2" t="str">
        <f t="shared" si="268"/>
        <v/>
      </c>
      <c r="AK1864" s="2" t="str">
        <f t="shared" si="269"/>
        <v/>
      </c>
    </row>
    <row r="1865" spans="1:37" x14ac:dyDescent="0.25">
      <c r="A1865">
        <v>11</v>
      </c>
      <c r="B1865" t="s">
        <v>2030</v>
      </c>
      <c r="C1865" t="s">
        <v>1577</v>
      </c>
      <c r="D1865" t="s">
        <v>1969</v>
      </c>
      <c r="E1865" t="s">
        <v>47</v>
      </c>
      <c r="F1865" t="s">
        <v>2017</v>
      </c>
      <c r="G1865" t="s">
        <v>49</v>
      </c>
      <c r="H1865" s="1">
        <v>44634.901284722226</v>
      </c>
      <c r="I1865" s="1">
        <v>44636.901284722226</v>
      </c>
      <c r="J1865" t="s">
        <v>32</v>
      </c>
      <c r="K1865" s="1">
        <v>44655.901284722226</v>
      </c>
      <c r="L1865" t="s">
        <v>33</v>
      </c>
      <c r="M1865" t="s">
        <v>67</v>
      </c>
      <c r="R1865" s="4">
        <v>44658.901284722226</v>
      </c>
      <c r="T1865">
        <v>0</v>
      </c>
      <c r="Y1865" t="s">
        <v>35</v>
      </c>
      <c r="AC1865" s="2">
        <f t="shared" si="261"/>
        <v>2</v>
      </c>
      <c r="AD1865" s="2">
        <f t="shared" si="262"/>
        <v>21</v>
      </c>
      <c r="AE1865" s="2">
        <f t="shared" si="263"/>
        <v>19</v>
      </c>
      <c r="AF1865" s="2">
        <f t="shared" si="264"/>
        <v>24</v>
      </c>
      <c r="AG1865" s="2">
        <f t="shared" si="265"/>
        <v>3</v>
      </c>
      <c r="AH1865" s="4">
        <f t="shared" si="266"/>
        <v>44748.901284722226</v>
      </c>
      <c r="AI1865" s="2" t="str">
        <f t="shared" si="267"/>
        <v/>
      </c>
      <c r="AJ1865" s="2" t="str">
        <f t="shared" si="268"/>
        <v/>
      </c>
      <c r="AK1865" s="2" t="str">
        <f t="shared" si="269"/>
        <v/>
      </c>
    </row>
    <row r="1866" spans="1:37" x14ac:dyDescent="0.25">
      <c r="A1866">
        <v>2760</v>
      </c>
      <c r="B1866" t="s">
        <v>2031</v>
      </c>
      <c r="C1866" t="s">
        <v>1577</v>
      </c>
      <c r="D1866" t="s">
        <v>2032</v>
      </c>
      <c r="E1866" t="s">
        <v>2033</v>
      </c>
      <c r="F1866" t="s">
        <v>2034</v>
      </c>
      <c r="G1866" t="s">
        <v>38</v>
      </c>
      <c r="H1866" s="1">
        <v>45026.765081018515</v>
      </c>
      <c r="I1866" s="1">
        <v>45029.765081018515</v>
      </c>
      <c r="J1866" t="s">
        <v>32</v>
      </c>
      <c r="K1866" s="1">
        <v>45037.765081018515</v>
      </c>
      <c r="L1866" t="s">
        <v>33</v>
      </c>
      <c r="M1866" t="s">
        <v>51</v>
      </c>
      <c r="R1866" s="4">
        <v>45040.765081018515</v>
      </c>
      <c r="T1866">
        <v>0</v>
      </c>
      <c r="Y1866" t="s">
        <v>35</v>
      </c>
      <c r="AC1866" s="2">
        <f t="shared" si="261"/>
        <v>3</v>
      </c>
      <c r="AD1866" s="2">
        <f t="shared" si="262"/>
        <v>11</v>
      </c>
      <c r="AE1866" s="2">
        <f t="shared" si="263"/>
        <v>8</v>
      </c>
      <c r="AF1866" s="2">
        <f t="shared" si="264"/>
        <v>14</v>
      </c>
      <c r="AG1866" s="2">
        <f t="shared" si="265"/>
        <v>3</v>
      </c>
      <c r="AH1866" s="4">
        <f t="shared" si="266"/>
        <v>45130.765081018515</v>
      </c>
      <c r="AI1866" s="2" t="str">
        <f t="shared" si="267"/>
        <v/>
      </c>
      <c r="AJ1866" s="2" t="str">
        <f t="shared" si="268"/>
        <v/>
      </c>
      <c r="AK1866" s="2" t="str">
        <f t="shared" si="269"/>
        <v/>
      </c>
    </row>
    <row r="1867" spans="1:37" x14ac:dyDescent="0.25">
      <c r="A1867">
        <v>2684</v>
      </c>
      <c r="B1867" t="s">
        <v>2035</v>
      </c>
      <c r="C1867" t="s">
        <v>1577</v>
      </c>
      <c r="D1867" t="s">
        <v>2032</v>
      </c>
      <c r="E1867" t="s">
        <v>2033</v>
      </c>
      <c r="F1867" t="s">
        <v>2034</v>
      </c>
      <c r="G1867" t="s">
        <v>38</v>
      </c>
      <c r="H1867" s="1">
        <v>45136.716412037036</v>
      </c>
      <c r="I1867" s="1">
        <v>45138.716412037036</v>
      </c>
      <c r="J1867" t="s">
        <v>44</v>
      </c>
      <c r="K1867" s="1"/>
      <c r="T1867">
        <v>0</v>
      </c>
      <c r="AC1867" s="2">
        <f t="shared" si="261"/>
        <v>2</v>
      </c>
      <c r="AD1867" s="2" t="str">
        <f t="shared" si="262"/>
        <v/>
      </c>
      <c r="AE1867" s="2" t="str">
        <f t="shared" si="263"/>
        <v/>
      </c>
      <c r="AF1867" s="2" t="str">
        <f t="shared" si="264"/>
        <v/>
      </c>
      <c r="AG1867" s="2" t="str">
        <f t="shared" si="265"/>
        <v/>
      </c>
      <c r="AH1867" s="4" t="str">
        <f t="shared" si="266"/>
        <v/>
      </c>
      <c r="AI1867" s="2" t="str">
        <f t="shared" si="267"/>
        <v/>
      </c>
      <c r="AJ1867" s="2" t="str">
        <f t="shared" si="268"/>
        <v/>
      </c>
      <c r="AK1867" s="2" t="str">
        <f t="shared" si="269"/>
        <v/>
      </c>
    </row>
    <row r="1868" spans="1:37" x14ac:dyDescent="0.25">
      <c r="A1868">
        <v>2679</v>
      </c>
      <c r="B1868" t="s">
        <v>2036</v>
      </c>
      <c r="C1868" t="s">
        <v>1577</v>
      </c>
      <c r="D1868" t="s">
        <v>2032</v>
      </c>
      <c r="E1868" t="s">
        <v>2033</v>
      </c>
      <c r="F1868" t="s">
        <v>2034</v>
      </c>
      <c r="G1868" t="s">
        <v>38</v>
      </c>
      <c r="H1868" s="1">
        <v>44600.141087962962</v>
      </c>
      <c r="I1868" s="1">
        <v>44603.141087962962</v>
      </c>
      <c r="J1868" t="s">
        <v>32</v>
      </c>
      <c r="K1868" s="1">
        <v>44623.141087962962</v>
      </c>
      <c r="L1868" t="s">
        <v>57</v>
      </c>
      <c r="N1868" s="4">
        <v>44627.141087962962</v>
      </c>
      <c r="O1868" t="s">
        <v>57</v>
      </c>
      <c r="P1868" s="4">
        <v>44625.141087962962</v>
      </c>
      <c r="Q1868" s="4">
        <v>44627.141087962962</v>
      </c>
      <c r="R1868" s="4">
        <v>44626.141087962962</v>
      </c>
      <c r="S1868" s="4">
        <v>44630.141087962962</v>
      </c>
      <c r="T1868">
        <v>1</v>
      </c>
      <c r="U1868" s="4">
        <v>44634.141087962962</v>
      </c>
      <c r="V1868" s="4">
        <v>44637.141087962962</v>
      </c>
      <c r="W1868" s="4">
        <v>44638.141087962962</v>
      </c>
      <c r="Z1868" s="4">
        <v>44649.141087962962</v>
      </c>
      <c r="AC1868" s="2">
        <f t="shared" si="261"/>
        <v>3</v>
      </c>
      <c r="AD1868" s="2">
        <f t="shared" si="262"/>
        <v>23</v>
      </c>
      <c r="AE1868" s="2">
        <f t="shared" si="263"/>
        <v>20</v>
      </c>
      <c r="AF1868" s="2">
        <f t="shared" si="264"/>
        <v>26</v>
      </c>
      <c r="AG1868" s="2">
        <f t="shared" si="265"/>
        <v>3</v>
      </c>
      <c r="AH1868" s="4">
        <f t="shared" si="266"/>
        <v>44716.141087962962</v>
      </c>
      <c r="AI1868" s="2">
        <f t="shared" si="267"/>
        <v>4</v>
      </c>
      <c r="AJ1868" s="2">
        <f t="shared" si="268"/>
        <v>23</v>
      </c>
      <c r="AK1868" s="2">
        <f t="shared" si="269"/>
        <v>12</v>
      </c>
    </row>
    <row r="1869" spans="1:37" x14ac:dyDescent="0.25">
      <c r="A1869">
        <v>2672</v>
      </c>
      <c r="B1869" t="s">
        <v>2037</v>
      </c>
      <c r="C1869" t="s">
        <v>1577</v>
      </c>
      <c r="D1869" t="s">
        <v>2032</v>
      </c>
      <c r="E1869" t="s">
        <v>2033</v>
      </c>
      <c r="F1869" t="s">
        <v>2034</v>
      </c>
      <c r="G1869" t="s">
        <v>38</v>
      </c>
      <c r="H1869" s="1">
        <v>44604.141087962962</v>
      </c>
      <c r="I1869" s="1">
        <v>44607.141087962962</v>
      </c>
      <c r="J1869" t="s">
        <v>32</v>
      </c>
      <c r="K1869" s="1">
        <v>44613.141087962962</v>
      </c>
      <c r="L1869" t="s">
        <v>33</v>
      </c>
      <c r="M1869" t="s">
        <v>34</v>
      </c>
      <c r="R1869" s="4">
        <v>44616.141087962962</v>
      </c>
      <c r="T1869">
        <v>0</v>
      </c>
      <c r="Y1869" t="s">
        <v>35</v>
      </c>
      <c r="AC1869" s="2">
        <f t="shared" si="261"/>
        <v>3</v>
      </c>
      <c r="AD1869" s="2">
        <f t="shared" si="262"/>
        <v>9</v>
      </c>
      <c r="AE1869" s="2">
        <f t="shared" si="263"/>
        <v>6</v>
      </c>
      <c r="AF1869" s="2">
        <f t="shared" si="264"/>
        <v>12</v>
      </c>
      <c r="AG1869" s="2">
        <f t="shared" si="265"/>
        <v>3</v>
      </c>
      <c r="AH1869" s="4">
        <f t="shared" si="266"/>
        <v>44706.141087962962</v>
      </c>
      <c r="AI1869" s="2" t="str">
        <f t="shared" si="267"/>
        <v/>
      </c>
      <c r="AJ1869" s="2" t="str">
        <f t="shared" si="268"/>
        <v/>
      </c>
      <c r="AK1869" s="2" t="str">
        <f t="shared" si="269"/>
        <v/>
      </c>
    </row>
    <row r="1870" spans="1:37" x14ac:dyDescent="0.25">
      <c r="A1870">
        <v>2548</v>
      </c>
      <c r="B1870" t="s">
        <v>2038</v>
      </c>
      <c r="C1870" t="s">
        <v>1577</v>
      </c>
      <c r="D1870" t="s">
        <v>2032</v>
      </c>
      <c r="E1870" t="s">
        <v>2033</v>
      </c>
      <c r="F1870" t="s">
        <v>2034</v>
      </c>
      <c r="G1870" t="s">
        <v>38</v>
      </c>
      <c r="H1870" s="1">
        <v>45107.479166666664</v>
      </c>
      <c r="I1870" s="1">
        <v>45110.479166666664</v>
      </c>
      <c r="J1870" t="s">
        <v>32</v>
      </c>
      <c r="K1870" s="1">
        <v>45125.479166666664</v>
      </c>
      <c r="L1870" t="s">
        <v>33</v>
      </c>
      <c r="M1870" t="s">
        <v>67</v>
      </c>
      <c r="T1870">
        <v>0</v>
      </c>
      <c r="Y1870" t="s">
        <v>35</v>
      </c>
      <c r="AC1870" s="2">
        <f t="shared" si="261"/>
        <v>3</v>
      </c>
      <c r="AD1870" s="2">
        <f t="shared" si="262"/>
        <v>18</v>
      </c>
      <c r="AE1870" s="2">
        <f t="shared" si="263"/>
        <v>15</v>
      </c>
      <c r="AF1870" s="2" t="str">
        <f t="shared" si="264"/>
        <v/>
      </c>
      <c r="AG1870" s="2" t="str">
        <f t="shared" si="265"/>
        <v/>
      </c>
      <c r="AH1870" s="4" t="str">
        <f t="shared" si="266"/>
        <v/>
      </c>
      <c r="AI1870" s="2" t="str">
        <f t="shared" si="267"/>
        <v/>
      </c>
      <c r="AJ1870" s="2" t="str">
        <f t="shared" si="268"/>
        <v/>
      </c>
      <c r="AK1870" s="2" t="str">
        <f t="shared" si="269"/>
        <v/>
      </c>
    </row>
    <row r="1871" spans="1:37" x14ac:dyDescent="0.25">
      <c r="A1871">
        <v>2546</v>
      </c>
      <c r="B1871" t="s">
        <v>2039</v>
      </c>
      <c r="C1871" t="s">
        <v>1577</v>
      </c>
      <c r="D1871" t="s">
        <v>2032</v>
      </c>
      <c r="E1871" t="s">
        <v>2033</v>
      </c>
      <c r="F1871" t="s">
        <v>2034</v>
      </c>
      <c r="G1871" t="s">
        <v>38</v>
      </c>
      <c r="H1871" s="1">
        <v>45108.479166666664</v>
      </c>
      <c r="I1871" s="1">
        <v>45109.479166666664</v>
      </c>
      <c r="J1871" t="s">
        <v>32</v>
      </c>
      <c r="K1871" s="1">
        <v>45126.479166666664</v>
      </c>
      <c r="L1871" t="s">
        <v>57</v>
      </c>
      <c r="N1871" s="4">
        <v>45134.479166666664</v>
      </c>
      <c r="O1871" t="s">
        <v>57</v>
      </c>
      <c r="P1871" s="4">
        <v>45128.479166666664</v>
      </c>
      <c r="Q1871" s="4">
        <v>45132.479166666664</v>
      </c>
      <c r="R1871" s="4">
        <v>45130.479166666664</v>
      </c>
      <c r="S1871" s="4">
        <v>45135.479166666664</v>
      </c>
      <c r="T1871">
        <v>1</v>
      </c>
      <c r="U1871" s="4">
        <v>45138.479166666664</v>
      </c>
      <c r="V1871" s="4">
        <v>45141.479166666664</v>
      </c>
      <c r="W1871" s="4">
        <v>45143.479166666664</v>
      </c>
      <c r="Z1871" s="4">
        <v>45152.479166666664</v>
      </c>
      <c r="AC1871" s="2">
        <f t="shared" si="261"/>
        <v>1</v>
      </c>
      <c r="AD1871" s="2">
        <f t="shared" si="262"/>
        <v>18</v>
      </c>
      <c r="AE1871" s="2">
        <f t="shared" si="263"/>
        <v>17</v>
      </c>
      <c r="AF1871" s="2">
        <f t="shared" si="264"/>
        <v>22</v>
      </c>
      <c r="AG1871" s="2">
        <f t="shared" si="265"/>
        <v>4</v>
      </c>
      <c r="AH1871" s="4">
        <f t="shared" si="266"/>
        <v>45220.479166666664</v>
      </c>
      <c r="AI1871" s="2">
        <f t="shared" si="267"/>
        <v>3</v>
      </c>
      <c r="AJ1871" s="2">
        <f t="shared" si="268"/>
        <v>22</v>
      </c>
      <c r="AK1871" s="2">
        <f t="shared" si="269"/>
        <v>13</v>
      </c>
    </row>
    <row r="1872" spans="1:37" x14ac:dyDescent="0.25">
      <c r="A1872">
        <v>2509</v>
      </c>
      <c r="B1872" t="s">
        <v>2040</v>
      </c>
      <c r="C1872" t="s">
        <v>1577</v>
      </c>
      <c r="D1872" t="s">
        <v>2032</v>
      </c>
      <c r="E1872" t="s">
        <v>2033</v>
      </c>
      <c r="F1872" t="s">
        <v>2034</v>
      </c>
      <c r="G1872" t="s">
        <v>38</v>
      </c>
      <c r="H1872" s="1">
        <v>44738.776979166665</v>
      </c>
      <c r="I1872" s="1">
        <v>44741.776979166665</v>
      </c>
      <c r="J1872" t="s">
        <v>32</v>
      </c>
      <c r="K1872" s="1">
        <v>44753.776979166665</v>
      </c>
      <c r="L1872" t="s">
        <v>39</v>
      </c>
      <c r="N1872" s="4">
        <v>44758.776979166665</v>
      </c>
      <c r="O1872" t="s">
        <v>39</v>
      </c>
      <c r="R1872" s="4">
        <v>44754.776979166665</v>
      </c>
      <c r="T1872">
        <v>0</v>
      </c>
      <c r="AC1872" s="2">
        <f t="shared" si="261"/>
        <v>3</v>
      </c>
      <c r="AD1872" s="2">
        <f t="shared" si="262"/>
        <v>15</v>
      </c>
      <c r="AE1872" s="2">
        <f t="shared" si="263"/>
        <v>12</v>
      </c>
      <c r="AF1872" s="2">
        <f t="shared" si="264"/>
        <v>16</v>
      </c>
      <c r="AG1872" s="2">
        <f t="shared" si="265"/>
        <v>1</v>
      </c>
      <c r="AH1872" s="4">
        <f t="shared" si="266"/>
        <v>44844.776979166665</v>
      </c>
      <c r="AI1872" s="2" t="str">
        <f t="shared" si="267"/>
        <v/>
      </c>
      <c r="AJ1872" s="2" t="str">
        <f t="shared" si="268"/>
        <v/>
      </c>
      <c r="AK1872" s="2" t="str">
        <f t="shared" si="269"/>
        <v/>
      </c>
    </row>
    <row r="1873" spans="1:37" x14ac:dyDescent="0.25">
      <c r="A1873">
        <v>2504</v>
      </c>
      <c r="B1873" t="s">
        <v>2041</v>
      </c>
      <c r="C1873" t="s">
        <v>1577</v>
      </c>
      <c r="D1873" t="s">
        <v>2032</v>
      </c>
      <c r="E1873" t="s">
        <v>2033</v>
      </c>
      <c r="F1873" t="s">
        <v>2034</v>
      </c>
      <c r="G1873" t="s">
        <v>38</v>
      </c>
      <c r="H1873" s="1">
        <v>44737.776979166665</v>
      </c>
      <c r="I1873" s="1">
        <v>44740.776979166665</v>
      </c>
      <c r="J1873" t="s">
        <v>32</v>
      </c>
      <c r="K1873" s="1">
        <v>44760.776979166665</v>
      </c>
      <c r="L1873" t="s">
        <v>33</v>
      </c>
      <c r="M1873" t="s">
        <v>34</v>
      </c>
      <c r="R1873" s="4">
        <v>44763.776979166665</v>
      </c>
      <c r="T1873">
        <v>0</v>
      </c>
      <c r="Y1873" t="s">
        <v>55</v>
      </c>
      <c r="AC1873" s="2">
        <f t="shared" si="261"/>
        <v>3</v>
      </c>
      <c r="AD1873" s="2">
        <f t="shared" si="262"/>
        <v>23</v>
      </c>
      <c r="AE1873" s="2">
        <f t="shared" si="263"/>
        <v>20</v>
      </c>
      <c r="AF1873" s="2">
        <f t="shared" si="264"/>
        <v>26</v>
      </c>
      <c r="AG1873" s="2">
        <f t="shared" si="265"/>
        <v>3</v>
      </c>
      <c r="AH1873" s="4">
        <f t="shared" si="266"/>
        <v>44853.776979166665</v>
      </c>
      <c r="AI1873" s="2" t="str">
        <f t="shared" si="267"/>
        <v/>
      </c>
      <c r="AJ1873" s="2" t="str">
        <f t="shared" si="268"/>
        <v/>
      </c>
      <c r="AK1873" s="2" t="str">
        <f t="shared" si="269"/>
        <v/>
      </c>
    </row>
    <row r="1874" spans="1:37" x14ac:dyDescent="0.25">
      <c r="A1874">
        <v>2501</v>
      </c>
      <c r="B1874" t="s">
        <v>2042</v>
      </c>
      <c r="C1874" t="s">
        <v>1577</v>
      </c>
      <c r="D1874" t="s">
        <v>2032</v>
      </c>
      <c r="E1874" t="s">
        <v>2033</v>
      </c>
      <c r="F1874" t="s">
        <v>2034</v>
      </c>
      <c r="G1874" t="s">
        <v>38</v>
      </c>
      <c r="H1874" s="1">
        <v>44734.776979166665</v>
      </c>
      <c r="I1874" s="1">
        <v>44738.776979166665</v>
      </c>
      <c r="J1874" t="s">
        <v>32</v>
      </c>
      <c r="K1874" s="1">
        <v>44751.776979166665</v>
      </c>
      <c r="L1874" t="s">
        <v>33</v>
      </c>
      <c r="M1874" t="s">
        <v>51</v>
      </c>
      <c r="R1874" s="4">
        <v>44754.776979166665</v>
      </c>
      <c r="T1874">
        <v>0</v>
      </c>
      <c r="Y1874" t="s">
        <v>55</v>
      </c>
      <c r="AC1874" s="2">
        <f t="shared" si="261"/>
        <v>4</v>
      </c>
      <c r="AD1874" s="2">
        <f t="shared" si="262"/>
        <v>17</v>
      </c>
      <c r="AE1874" s="2">
        <f t="shared" si="263"/>
        <v>13</v>
      </c>
      <c r="AF1874" s="2">
        <f t="shared" si="264"/>
        <v>20</v>
      </c>
      <c r="AG1874" s="2">
        <f t="shared" si="265"/>
        <v>3</v>
      </c>
      <c r="AH1874" s="4">
        <f t="shared" si="266"/>
        <v>44844.776979166665</v>
      </c>
      <c r="AI1874" s="2" t="str">
        <f t="shared" si="267"/>
        <v/>
      </c>
      <c r="AJ1874" s="2" t="str">
        <f t="shared" si="268"/>
        <v/>
      </c>
      <c r="AK1874" s="2" t="str">
        <f t="shared" si="269"/>
        <v/>
      </c>
    </row>
    <row r="1875" spans="1:37" x14ac:dyDescent="0.25">
      <c r="A1875">
        <v>2475</v>
      </c>
      <c r="B1875" t="s">
        <v>2043</v>
      </c>
      <c r="C1875" t="s">
        <v>1577</v>
      </c>
      <c r="D1875" t="s">
        <v>2032</v>
      </c>
      <c r="E1875" t="s">
        <v>2033</v>
      </c>
      <c r="F1875" t="s">
        <v>2034</v>
      </c>
      <c r="G1875" t="s">
        <v>38</v>
      </c>
      <c r="H1875" s="1">
        <v>44915.430844907409</v>
      </c>
      <c r="I1875" s="1">
        <v>44917.430844907409</v>
      </c>
      <c r="J1875" t="s">
        <v>32</v>
      </c>
      <c r="K1875" s="1">
        <v>44926.430844907409</v>
      </c>
      <c r="L1875" t="s">
        <v>39</v>
      </c>
      <c r="N1875" s="4">
        <v>44929.430844907409</v>
      </c>
      <c r="O1875" t="s">
        <v>39</v>
      </c>
      <c r="R1875" s="4">
        <v>44928.430844907409</v>
      </c>
      <c r="T1875">
        <v>0</v>
      </c>
      <c r="AC1875" s="2">
        <f t="shared" si="261"/>
        <v>2</v>
      </c>
      <c r="AD1875" s="2">
        <f t="shared" si="262"/>
        <v>11</v>
      </c>
      <c r="AE1875" s="2">
        <f t="shared" si="263"/>
        <v>9</v>
      </c>
      <c r="AF1875" s="2">
        <f t="shared" si="264"/>
        <v>13</v>
      </c>
      <c r="AG1875" s="2">
        <f t="shared" si="265"/>
        <v>2</v>
      </c>
      <c r="AH1875" s="4">
        <f t="shared" si="266"/>
        <v>45018.430844907409</v>
      </c>
      <c r="AI1875" s="2" t="str">
        <f t="shared" si="267"/>
        <v/>
      </c>
      <c r="AJ1875" s="2" t="str">
        <f t="shared" si="268"/>
        <v/>
      </c>
      <c r="AK1875" s="2" t="str">
        <f t="shared" si="269"/>
        <v/>
      </c>
    </row>
    <row r="1876" spans="1:37" x14ac:dyDescent="0.25">
      <c r="A1876">
        <v>2353</v>
      </c>
      <c r="B1876" t="s">
        <v>2044</v>
      </c>
      <c r="C1876" t="s">
        <v>1577</v>
      </c>
      <c r="D1876" t="s">
        <v>2032</v>
      </c>
      <c r="E1876" t="s">
        <v>2033</v>
      </c>
      <c r="F1876" t="s">
        <v>2034</v>
      </c>
      <c r="G1876" t="s">
        <v>38</v>
      </c>
      <c r="H1876" s="1">
        <v>45027.526319444441</v>
      </c>
      <c r="I1876" s="1">
        <v>45028.526319444441</v>
      </c>
      <c r="J1876" t="s">
        <v>32</v>
      </c>
      <c r="K1876" s="1">
        <v>45040.526319444441</v>
      </c>
      <c r="L1876" t="s">
        <v>33</v>
      </c>
      <c r="M1876" t="s">
        <v>67</v>
      </c>
      <c r="T1876">
        <v>0</v>
      </c>
      <c r="Y1876" t="s">
        <v>35</v>
      </c>
      <c r="AC1876" s="2">
        <f t="shared" si="261"/>
        <v>1</v>
      </c>
      <c r="AD1876" s="2">
        <f t="shared" si="262"/>
        <v>13</v>
      </c>
      <c r="AE1876" s="2">
        <f t="shared" si="263"/>
        <v>12</v>
      </c>
      <c r="AF1876" s="2" t="str">
        <f t="shared" si="264"/>
        <v/>
      </c>
      <c r="AG1876" s="2" t="str">
        <f t="shared" si="265"/>
        <v/>
      </c>
      <c r="AH1876" s="4" t="str">
        <f t="shared" si="266"/>
        <v/>
      </c>
      <c r="AI1876" s="2" t="str">
        <f t="shared" si="267"/>
        <v/>
      </c>
      <c r="AJ1876" s="2" t="str">
        <f t="shared" si="268"/>
        <v/>
      </c>
      <c r="AK1876" s="2" t="str">
        <f t="shared" si="269"/>
        <v/>
      </c>
    </row>
    <row r="1877" spans="1:37" x14ac:dyDescent="0.25">
      <c r="A1877">
        <v>2351</v>
      </c>
      <c r="B1877" t="s">
        <v>2045</v>
      </c>
      <c r="C1877" t="s">
        <v>1577</v>
      </c>
      <c r="D1877" t="s">
        <v>2032</v>
      </c>
      <c r="E1877" t="s">
        <v>2033</v>
      </c>
      <c r="F1877" t="s">
        <v>2034</v>
      </c>
      <c r="G1877" t="s">
        <v>38</v>
      </c>
      <c r="H1877" s="1">
        <v>45022.526319444441</v>
      </c>
      <c r="I1877" s="1">
        <v>45026.526319444441</v>
      </c>
      <c r="J1877" t="s">
        <v>32</v>
      </c>
      <c r="K1877" s="1">
        <v>45044.526319444441</v>
      </c>
      <c r="L1877" t="s">
        <v>57</v>
      </c>
      <c r="N1877" s="4">
        <v>45050.526319444441</v>
      </c>
      <c r="O1877" t="s">
        <v>57</v>
      </c>
      <c r="P1877" s="4">
        <v>45045.526319444441</v>
      </c>
      <c r="Q1877" s="4">
        <v>45049.526319444441</v>
      </c>
      <c r="R1877" s="4">
        <v>45048.526319444441</v>
      </c>
      <c r="S1877" s="4">
        <v>45053.526319444441</v>
      </c>
      <c r="T1877">
        <v>1</v>
      </c>
      <c r="U1877" s="4">
        <v>45056.526319444441</v>
      </c>
      <c r="V1877" s="4">
        <v>45059.526319444441</v>
      </c>
      <c r="W1877" s="4">
        <v>45062.526319444441</v>
      </c>
      <c r="Z1877" s="4">
        <v>45070.526319444441</v>
      </c>
      <c r="AC1877" s="2">
        <f t="shared" si="261"/>
        <v>4</v>
      </c>
      <c r="AD1877" s="2">
        <f t="shared" si="262"/>
        <v>22</v>
      </c>
      <c r="AE1877" s="2">
        <f t="shared" si="263"/>
        <v>18</v>
      </c>
      <c r="AF1877" s="2">
        <f t="shared" si="264"/>
        <v>26</v>
      </c>
      <c r="AG1877" s="2">
        <f t="shared" si="265"/>
        <v>4</v>
      </c>
      <c r="AH1877" s="4">
        <f t="shared" si="266"/>
        <v>45138.526319444441</v>
      </c>
      <c r="AI1877" s="2">
        <f t="shared" si="267"/>
        <v>3</v>
      </c>
      <c r="AJ1877" s="2">
        <f t="shared" si="268"/>
        <v>22</v>
      </c>
      <c r="AK1877" s="2">
        <f t="shared" si="269"/>
        <v>14</v>
      </c>
    </row>
    <row r="1878" spans="1:37" x14ac:dyDescent="0.25">
      <c r="A1878">
        <v>2326</v>
      </c>
      <c r="B1878" t="s">
        <v>2046</v>
      </c>
      <c r="C1878" t="s">
        <v>1577</v>
      </c>
      <c r="D1878" t="s">
        <v>2032</v>
      </c>
      <c r="E1878" t="s">
        <v>2033</v>
      </c>
      <c r="F1878" t="s">
        <v>2034</v>
      </c>
      <c r="G1878" t="s">
        <v>38</v>
      </c>
      <c r="H1878" s="1">
        <v>44598.265613425923</v>
      </c>
      <c r="I1878" s="1">
        <v>44602.265613425923</v>
      </c>
      <c r="J1878" t="s">
        <v>32</v>
      </c>
      <c r="K1878" s="1">
        <v>44608.265613425923</v>
      </c>
      <c r="L1878" t="s">
        <v>57</v>
      </c>
      <c r="N1878" s="4">
        <v>44613.265613425923</v>
      </c>
      <c r="O1878" t="s">
        <v>57</v>
      </c>
      <c r="P1878" s="4">
        <v>44610.265613425923</v>
      </c>
      <c r="Q1878" s="4">
        <v>44614.265613425923</v>
      </c>
      <c r="R1878" s="4">
        <v>44610.265613425923</v>
      </c>
      <c r="S1878" s="4">
        <v>44620.265613425923</v>
      </c>
      <c r="T1878">
        <v>1</v>
      </c>
      <c r="U1878" s="4">
        <v>44624.265613425923</v>
      </c>
      <c r="V1878" s="4">
        <v>44627.265613425923</v>
      </c>
      <c r="W1878" s="4">
        <v>44628.265613425923</v>
      </c>
      <c r="Z1878" s="4">
        <v>44649.265613425923</v>
      </c>
      <c r="AC1878" s="2">
        <f t="shared" si="261"/>
        <v>4</v>
      </c>
      <c r="AD1878" s="2">
        <f t="shared" si="262"/>
        <v>10</v>
      </c>
      <c r="AE1878" s="2">
        <f t="shared" si="263"/>
        <v>6</v>
      </c>
      <c r="AF1878" s="2">
        <f t="shared" si="264"/>
        <v>12</v>
      </c>
      <c r="AG1878" s="2">
        <f t="shared" si="265"/>
        <v>2</v>
      </c>
      <c r="AH1878" s="4">
        <f t="shared" si="266"/>
        <v>44700.265613425923</v>
      </c>
      <c r="AI1878" s="2">
        <f t="shared" si="267"/>
        <v>4</v>
      </c>
      <c r="AJ1878" s="2">
        <f t="shared" si="268"/>
        <v>39</v>
      </c>
      <c r="AK1878" s="2">
        <f t="shared" si="269"/>
        <v>18</v>
      </c>
    </row>
    <row r="1879" spans="1:37" x14ac:dyDescent="0.25">
      <c r="A1879">
        <v>2321</v>
      </c>
      <c r="B1879" t="s">
        <v>2047</v>
      </c>
      <c r="C1879" t="s">
        <v>1577</v>
      </c>
      <c r="D1879" t="s">
        <v>2032</v>
      </c>
      <c r="E1879" t="s">
        <v>2033</v>
      </c>
      <c r="F1879" t="s">
        <v>2034</v>
      </c>
      <c r="G1879" t="s">
        <v>38</v>
      </c>
      <c r="H1879" s="1">
        <v>44596.265613425923</v>
      </c>
      <c r="I1879" s="1">
        <v>44600.265613425923</v>
      </c>
      <c r="J1879" t="s">
        <v>32</v>
      </c>
      <c r="K1879" s="1">
        <v>44615.265613425923</v>
      </c>
      <c r="L1879" t="s">
        <v>33</v>
      </c>
      <c r="M1879" t="s">
        <v>92</v>
      </c>
      <c r="R1879" s="4">
        <v>44617.265613425923</v>
      </c>
      <c r="T1879">
        <v>0</v>
      </c>
      <c r="Y1879" t="s">
        <v>35</v>
      </c>
      <c r="AC1879" s="2">
        <f t="shared" si="261"/>
        <v>4</v>
      </c>
      <c r="AD1879" s="2">
        <f t="shared" si="262"/>
        <v>19</v>
      </c>
      <c r="AE1879" s="2">
        <f t="shared" si="263"/>
        <v>15</v>
      </c>
      <c r="AF1879" s="2">
        <f t="shared" si="264"/>
        <v>21</v>
      </c>
      <c r="AG1879" s="2">
        <f t="shared" si="265"/>
        <v>2</v>
      </c>
      <c r="AH1879" s="4">
        <f t="shared" si="266"/>
        <v>44707.265613425923</v>
      </c>
      <c r="AI1879" s="2" t="str">
        <f t="shared" si="267"/>
        <v/>
      </c>
      <c r="AJ1879" s="2" t="str">
        <f t="shared" si="268"/>
        <v/>
      </c>
      <c r="AK1879" s="2" t="str">
        <f t="shared" si="269"/>
        <v/>
      </c>
    </row>
    <row r="1880" spans="1:37" x14ac:dyDescent="0.25">
      <c r="A1880">
        <v>2306</v>
      </c>
      <c r="B1880" t="s">
        <v>2048</v>
      </c>
      <c r="C1880" t="s">
        <v>1577</v>
      </c>
      <c r="D1880" t="s">
        <v>2032</v>
      </c>
      <c r="E1880" t="s">
        <v>2033</v>
      </c>
      <c r="F1880" t="s">
        <v>2034</v>
      </c>
      <c r="G1880" t="s">
        <v>38</v>
      </c>
      <c r="H1880" s="1">
        <v>45101.08085648148</v>
      </c>
      <c r="I1880" s="1">
        <v>45102.08085648148</v>
      </c>
      <c r="J1880" t="s">
        <v>32</v>
      </c>
      <c r="K1880" s="1">
        <v>45115.08085648148</v>
      </c>
      <c r="L1880" t="s">
        <v>33</v>
      </c>
      <c r="M1880" t="s">
        <v>108</v>
      </c>
      <c r="T1880">
        <v>0</v>
      </c>
      <c r="Y1880" t="s">
        <v>55</v>
      </c>
      <c r="AC1880" s="2">
        <f t="shared" si="261"/>
        <v>1</v>
      </c>
      <c r="AD1880" s="2">
        <f t="shared" si="262"/>
        <v>14</v>
      </c>
      <c r="AE1880" s="2">
        <f t="shared" si="263"/>
        <v>13</v>
      </c>
      <c r="AF1880" s="2" t="str">
        <f t="shared" si="264"/>
        <v/>
      </c>
      <c r="AG1880" s="2" t="str">
        <f t="shared" si="265"/>
        <v/>
      </c>
      <c r="AH1880" s="4" t="str">
        <f t="shared" si="266"/>
        <v/>
      </c>
      <c r="AI1880" s="2" t="str">
        <f t="shared" si="267"/>
        <v/>
      </c>
      <c r="AJ1880" s="2" t="str">
        <f t="shared" si="268"/>
        <v/>
      </c>
      <c r="AK1880" s="2" t="str">
        <f t="shared" si="269"/>
        <v/>
      </c>
    </row>
    <row r="1881" spans="1:37" x14ac:dyDescent="0.25">
      <c r="A1881">
        <v>2302</v>
      </c>
      <c r="B1881" t="s">
        <v>2049</v>
      </c>
      <c r="C1881" t="s">
        <v>1577</v>
      </c>
      <c r="D1881" t="s">
        <v>2032</v>
      </c>
      <c r="E1881" t="s">
        <v>2033</v>
      </c>
      <c r="F1881" t="s">
        <v>2034</v>
      </c>
      <c r="G1881" t="s">
        <v>38</v>
      </c>
      <c r="H1881" s="1">
        <v>45097.08085648148</v>
      </c>
      <c r="I1881" s="1">
        <v>45101.08085648148</v>
      </c>
      <c r="J1881" t="s">
        <v>32</v>
      </c>
      <c r="K1881" s="1">
        <v>45110.08085648148</v>
      </c>
      <c r="L1881" t="s">
        <v>33</v>
      </c>
      <c r="M1881" t="s">
        <v>67</v>
      </c>
      <c r="R1881" s="4">
        <v>45111.08085648148</v>
      </c>
      <c r="T1881">
        <v>0</v>
      </c>
      <c r="Y1881" t="s">
        <v>35</v>
      </c>
      <c r="AC1881" s="2">
        <f t="shared" si="261"/>
        <v>4</v>
      </c>
      <c r="AD1881" s="2">
        <f t="shared" si="262"/>
        <v>13</v>
      </c>
      <c r="AE1881" s="2">
        <f t="shared" si="263"/>
        <v>9</v>
      </c>
      <c r="AF1881" s="2">
        <f t="shared" si="264"/>
        <v>14</v>
      </c>
      <c r="AG1881" s="2">
        <f t="shared" si="265"/>
        <v>1</v>
      </c>
      <c r="AH1881" s="4">
        <f t="shared" si="266"/>
        <v>45201.08085648148</v>
      </c>
      <c r="AI1881" s="2" t="str">
        <f t="shared" si="267"/>
        <v/>
      </c>
      <c r="AJ1881" s="2" t="str">
        <f t="shared" si="268"/>
        <v/>
      </c>
      <c r="AK1881" s="2" t="str">
        <f t="shared" si="269"/>
        <v/>
      </c>
    </row>
    <row r="1882" spans="1:37" x14ac:dyDescent="0.25">
      <c r="A1882">
        <v>2271</v>
      </c>
      <c r="B1882" t="s">
        <v>2050</v>
      </c>
      <c r="C1882" t="s">
        <v>1577</v>
      </c>
      <c r="D1882" t="s">
        <v>2032</v>
      </c>
      <c r="E1882" t="s">
        <v>2033</v>
      </c>
      <c r="F1882" t="s">
        <v>2034</v>
      </c>
      <c r="G1882" t="s">
        <v>38</v>
      </c>
      <c r="H1882" s="1">
        <v>45167.90388888889</v>
      </c>
      <c r="I1882" s="1">
        <v>45168.90388888889</v>
      </c>
      <c r="J1882" t="s">
        <v>32</v>
      </c>
      <c r="K1882" s="1">
        <v>45173.90388888889</v>
      </c>
      <c r="L1882" t="s">
        <v>57</v>
      </c>
      <c r="N1882" s="4">
        <v>45178.90388888889</v>
      </c>
      <c r="O1882" t="s">
        <v>57</v>
      </c>
      <c r="P1882" s="4">
        <v>45174.90388888889</v>
      </c>
      <c r="Q1882" s="4">
        <v>45175.90388888889</v>
      </c>
      <c r="R1882" s="4">
        <v>45175.90388888889</v>
      </c>
      <c r="S1882" s="4">
        <v>45182.90388888889</v>
      </c>
      <c r="T1882">
        <v>1</v>
      </c>
      <c r="U1882" s="4">
        <v>45184.90388888889</v>
      </c>
      <c r="V1882" s="4">
        <v>45185.90388888889</v>
      </c>
      <c r="W1882" s="4">
        <v>45188.90388888889</v>
      </c>
      <c r="Z1882" s="4">
        <v>45209.90388888889</v>
      </c>
      <c r="AC1882" s="2">
        <f t="shared" si="261"/>
        <v>1</v>
      </c>
      <c r="AD1882" s="2">
        <f t="shared" si="262"/>
        <v>6</v>
      </c>
      <c r="AE1882" s="2">
        <f t="shared" si="263"/>
        <v>5</v>
      </c>
      <c r="AF1882" s="2">
        <f t="shared" si="264"/>
        <v>8</v>
      </c>
      <c r="AG1882" s="2">
        <f t="shared" si="265"/>
        <v>2</v>
      </c>
      <c r="AH1882" s="4">
        <f t="shared" si="266"/>
        <v>45265.90388888889</v>
      </c>
      <c r="AI1882" s="2">
        <f t="shared" si="267"/>
        <v>2</v>
      </c>
      <c r="AJ1882" s="2">
        <f t="shared" si="268"/>
        <v>34</v>
      </c>
      <c r="AK1882" s="2">
        <f t="shared" si="269"/>
        <v>13</v>
      </c>
    </row>
    <row r="1883" spans="1:37" x14ac:dyDescent="0.25">
      <c r="A1883">
        <v>2229</v>
      </c>
      <c r="B1883" t="s">
        <v>2051</v>
      </c>
      <c r="C1883" t="s">
        <v>1577</v>
      </c>
      <c r="D1883" t="s">
        <v>2032</v>
      </c>
      <c r="E1883" t="s">
        <v>2033</v>
      </c>
      <c r="F1883" t="s">
        <v>2034</v>
      </c>
      <c r="G1883" t="s">
        <v>38</v>
      </c>
      <c r="H1883" s="1">
        <v>45151.534872685188</v>
      </c>
      <c r="I1883" s="1">
        <v>45155.534872685188</v>
      </c>
      <c r="J1883" t="s">
        <v>32</v>
      </c>
      <c r="K1883" s="1">
        <v>45176.534872685188</v>
      </c>
      <c r="L1883" t="s">
        <v>33</v>
      </c>
      <c r="M1883" t="s">
        <v>108</v>
      </c>
      <c r="R1883" s="4">
        <v>45177.534872685188</v>
      </c>
      <c r="T1883">
        <v>0</v>
      </c>
      <c r="Y1883" t="s">
        <v>55</v>
      </c>
      <c r="AC1883" s="2">
        <f t="shared" si="261"/>
        <v>4</v>
      </c>
      <c r="AD1883" s="2">
        <f t="shared" si="262"/>
        <v>25</v>
      </c>
      <c r="AE1883" s="2">
        <f t="shared" si="263"/>
        <v>21</v>
      </c>
      <c r="AF1883" s="2">
        <f t="shared" si="264"/>
        <v>26</v>
      </c>
      <c r="AG1883" s="2">
        <f t="shared" si="265"/>
        <v>1</v>
      </c>
      <c r="AH1883" s="4">
        <f t="shared" si="266"/>
        <v>45267.534872685188</v>
      </c>
      <c r="AI1883" s="2" t="str">
        <f t="shared" si="267"/>
        <v/>
      </c>
      <c r="AJ1883" s="2" t="str">
        <f t="shared" si="268"/>
        <v/>
      </c>
      <c r="AK1883" s="2" t="str">
        <f t="shared" si="269"/>
        <v/>
      </c>
    </row>
    <row r="1884" spans="1:37" x14ac:dyDescent="0.25">
      <c r="A1884">
        <v>2227</v>
      </c>
      <c r="B1884" t="s">
        <v>2052</v>
      </c>
      <c r="C1884" t="s">
        <v>1577</v>
      </c>
      <c r="D1884" t="s">
        <v>2032</v>
      </c>
      <c r="E1884" t="s">
        <v>2033</v>
      </c>
      <c r="F1884" t="s">
        <v>2034</v>
      </c>
      <c r="G1884" t="s">
        <v>38</v>
      </c>
      <c r="H1884" s="1">
        <v>45155.534872685188</v>
      </c>
      <c r="I1884" s="1">
        <v>45158.534872685188</v>
      </c>
      <c r="J1884" t="s">
        <v>32</v>
      </c>
      <c r="K1884" s="1">
        <v>45165.534872685188</v>
      </c>
      <c r="L1884" t="s">
        <v>57</v>
      </c>
      <c r="N1884" s="4">
        <v>45169.534872685188</v>
      </c>
      <c r="O1884" t="s">
        <v>57</v>
      </c>
      <c r="P1884" s="4">
        <v>45167.534872685188</v>
      </c>
      <c r="Q1884" s="4">
        <v>45169.534872685188</v>
      </c>
      <c r="R1884" s="4">
        <v>45166.534872685188</v>
      </c>
      <c r="S1884" s="4">
        <v>45176.534872685188</v>
      </c>
      <c r="T1884">
        <v>1</v>
      </c>
      <c r="U1884" s="4">
        <v>45180.534872685188</v>
      </c>
      <c r="V1884" s="4">
        <v>45183.534872685188</v>
      </c>
      <c r="W1884" s="4">
        <v>45186.534872685188</v>
      </c>
      <c r="Z1884" s="4">
        <v>45204.534872685188</v>
      </c>
      <c r="AC1884" s="2">
        <f t="shared" si="261"/>
        <v>3</v>
      </c>
      <c r="AD1884" s="2">
        <f t="shared" si="262"/>
        <v>10</v>
      </c>
      <c r="AE1884" s="2">
        <f t="shared" si="263"/>
        <v>7</v>
      </c>
      <c r="AF1884" s="2">
        <f t="shared" si="264"/>
        <v>11</v>
      </c>
      <c r="AG1884" s="2">
        <f t="shared" si="265"/>
        <v>1</v>
      </c>
      <c r="AH1884" s="4">
        <f t="shared" si="266"/>
        <v>45256.534872685188</v>
      </c>
      <c r="AI1884" s="2">
        <f t="shared" si="267"/>
        <v>4</v>
      </c>
      <c r="AJ1884" s="2">
        <f t="shared" si="268"/>
        <v>38</v>
      </c>
      <c r="AK1884" s="2">
        <f t="shared" si="269"/>
        <v>20</v>
      </c>
    </row>
    <row r="1885" spans="1:37" x14ac:dyDescent="0.25">
      <c r="A1885">
        <v>2221</v>
      </c>
      <c r="B1885" t="s">
        <v>2053</v>
      </c>
      <c r="C1885" t="s">
        <v>1577</v>
      </c>
      <c r="D1885" t="s">
        <v>2032</v>
      </c>
      <c r="E1885" t="s">
        <v>2033</v>
      </c>
      <c r="F1885" t="s">
        <v>2034</v>
      </c>
      <c r="G1885" t="s">
        <v>38</v>
      </c>
      <c r="H1885" s="1">
        <v>45158.534872685188</v>
      </c>
      <c r="I1885" s="1">
        <v>45159.534872685188</v>
      </c>
      <c r="J1885" t="s">
        <v>32</v>
      </c>
      <c r="K1885" s="1">
        <v>45178.534872685188</v>
      </c>
      <c r="L1885" t="s">
        <v>39</v>
      </c>
      <c r="N1885" s="4">
        <v>45181.534872685188</v>
      </c>
      <c r="O1885" t="s">
        <v>39</v>
      </c>
      <c r="R1885" s="4">
        <v>45179.534872685188</v>
      </c>
      <c r="T1885">
        <v>0</v>
      </c>
      <c r="AC1885" s="2">
        <f t="shared" si="261"/>
        <v>1</v>
      </c>
      <c r="AD1885" s="2">
        <f t="shared" si="262"/>
        <v>20</v>
      </c>
      <c r="AE1885" s="2">
        <f t="shared" si="263"/>
        <v>19</v>
      </c>
      <c r="AF1885" s="2">
        <f t="shared" si="264"/>
        <v>21</v>
      </c>
      <c r="AG1885" s="2">
        <f t="shared" si="265"/>
        <v>1</v>
      </c>
      <c r="AH1885" s="4">
        <f t="shared" si="266"/>
        <v>45269.534872685188</v>
      </c>
      <c r="AI1885" s="2" t="str">
        <f t="shared" si="267"/>
        <v/>
      </c>
      <c r="AJ1885" s="2" t="str">
        <f t="shared" si="268"/>
        <v/>
      </c>
      <c r="AK1885" s="2" t="str">
        <f t="shared" si="269"/>
        <v/>
      </c>
    </row>
    <row r="1886" spans="1:37" x14ac:dyDescent="0.25">
      <c r="A1886">
        <v>2178</v>
      </c>
      <c r="B1886" t="s">
        <v>2054</v>
      </c>
      <c r="C1886" t="s">
        <v>1577</v>
      </c>
      <c r="D1886" t="s">
        <v>2032</v>
      </c>
      <c r="E1886" t="s">
        <v>2033</v>
      </c>
      <c r="F1886" t="s">
        <v>2034</v>
      </c>
      <c r="G1886" t="s">
        <v>38</v>
      </c>
      <c r="H1886" s="1">
        <v>44756.601967592593</v>
      </c>
      <c r="I1886" s="1">
        <v>44758.601967592593</v>
      </c>
      <c r="J1886" t="s">
        <v>32</v>
      </c>
      <c r="K1886" s="1">
        <v>44773.601967592593</v>
      </c>
      <c r="L1886" t="s">
        <v>57</v>
      </c>
      <c r="N1886" s="4">
        <v>44777.601967592593</v>
      </c>
      <c r="O1886" t="s">
        <v>57</v>
      </c>
      <c r="P1886" s="4">
        <v>44775.601967592593</v>
      </c>
      <c r="Q1886" s="4">
        <v>44776.601967592593</v>
      </c>
      <c r="R1886" s="4">
        <v>44776.601967592593</v>
      </c>
      <c r="S1886" s="4">
        <v>44777.601967592593</v>
      </c>
      <c r="T1886">
        <v>1</v>
      </c>
      <c r="U1886" s="4">
        <v>44780.601967592593</v>
      </c>
      <c r="V1886" s="4">
        <v>44783.601967592593</v>
      </c>
      <c r="W1886" s="4">
        <v>44784.601967592593</v>
      </c>
      <c r="Z1886" s="4">
        <v>44797.601967592593</v>
      </c>
      <c r="AC1886" s="2">
        <f t="shared" si="261"/>
        <v>2</v>
      </c>
      <c r="AD1886" s="2">
        <f t="shared" si="262"/>
        <v>17</v>
      </c>
      <c r="AE1886" s="2">
        <f t="shared" si="263"/>
        <v>15</v>
      </c>
      <c r="AF1886" s="2">
        <f t="shared" si="264"/>
        <v>20</v>
      </c>
      <c r="AG1886" s="2">
        <f t="shared" si="265"/>
        <v>3</v>
      </c>
      <c r="AH1886" s="4">
        <f t="shared" si="266"/>
        <v>44866.601967592593</v>
      </c>
      <c r="AI1886" s="2">
        <f t="shared" si="267"/>
        <v>3</v>
      </c>
      <c r="AJ1886" s="2">
        <f t="shared" si="268"/>
        <v>21</v>
      </c>
      <c r="AK1886" s="2">
        <f t="shared" si="269"/>
        <v>8</v>
      </c>
    </row>
    <row r="1887" spans="1:37" x14ac:dyDescent="0.25">
      <c r="A1887">
        <v>2177</v>
      </c>
      <c r="B1887" t="s">
        <v>2055</v>
      </c>
      <c r="C1887" t="s">
        <v>1577</v>
      </c>
      <c r="D1887" t="s">
        <v>2032</v>
      </c>
      <c r="E1887" t="s">
        <v>2033</v>
      </c>
      <c r="F1887" t="s">
        <v>2034</v>
      </c>
      <c r="G1887" t="s">
        <v>38</v>
      </c>
      <c r="H1887" s="1">
        <v>44750.601967592593</v>
      </c>
      <c r="I1887" s="1">
        <v>44753.601967592593</v>
      </c>
      <c r="J1887" t="s">
        <v>32</v>
      </c>
      <c r="K1887" s="1">
        <v>44764.601967592593</v>
      </c>
      <c r="L1887" t="s">
        <v>33</v>
      </c>
      <c r="M1887" t="s">
        <v>51</v>
      </c>
      <c r="R1887" s="4">
        <v>44766.601967592593</v>
      </c>
      <c r="T1887">
        <v>0</v>
      </c>
      <c r="Y1887" t="s">
        <v>35</v>
      </c>
      <c r="AC1887" s="2">
        <f t="shared" si="261"/>
        <v>3</v>
      </c>
      <c r="AD1887" s="2">
        <f t="shared" si="262"/>
        <v>14</v>
      </c>
      <c r="AE1887" s="2">
        <f t="shared" si="263"/>
        <v>11</v>
      </c>
      <c r="AF1887" s="2">
        <f t="shared" si="264"/>
        <v>16</v>
      </c>
      <c r="AG1887" s="2">
        <f t="shared" si="265"/>
        <v>2</v>
      </c>
      <c r="AH1887" s="4">
        <f t="shared" si="266"/>
        <v>44856.601967592593</v>
      </c>
      <c r="AI1887" s="2" t="str">
        <f t="shared" si="267"/>
        <v/>
      </c>
      <c r="AJ1887" s="2" t="str">
        <f t="shared" si="268"/>
        <v/>
      </c>
      <c r="AK1887" s="2" t="str">
        <f t="shared" si="269"/>
        <v/>
      </c>
    </row>
    <row r="1888" spans="1:37" x14ac:dyDescent="0.25">
      <c r="A1888">
        <v>2159</v>
      </c>
      <c r="B1888" t="s">
        <v>2056</v>
      </c>
      <c r="C1888" t="s">
        <v>1577</v>
      </c>
      <c r="D1888" t="s">
        <v>2032</v>
      </c>
      <c r="E1888" t="s">
        <v>2033</v>
      </c>
      <c r="F1888" t="s">
        <v>2034</v>
      </c>
      <c r="G1888" t="s">
        <v>38</v>
      </c>
      <c r="H1888" s="1">
        <v>45141.393807870372</v>
      </c>
      <c r="I1888" s="1">
        <v>45142.393807870372</v>
      </c>
      <c r="J1888" t="s">
        <v>32</v>
      </c>
      <c r="K1888" s="1">
        <v>45152.393807870372</v>
      </c>
      <c r="L1888" t="s">
        <v>33</v>
      </c>
      <c r="M1888" t="s">
        <v>108</v>
      </c>
      <c r="R1888" s="4">
        <v>45156.393807870372</v>
      </c>
      <c r="T1888">
        <v>0</v>
      </c>
      <c r="Y1888" t="s">
        <v>55</v>
      </c>
      <c r="AC1888" s="2">
        <f t="shared" si="261"/>
        <v>1</v>
      </c>
      <c r="AD1888" s="2">
        <f t="shared" si="262"/>
        <v>11</v>
      </c>
      <c r="AE1888" s="2">
        <f t="shared" si="263"/>
        <v>10</v>
      </c>
      <c r="AF1888" s="2">
        <f t="shared" si="264"/>
        <v>15</v>
      </c>
      <c r="AG1888" s="2">
        <f t="shared" si="265"/>
        <v>4</v>
      </c>
      <c r="AH1888" s="4">
        <f t="shared" si="266"/>
        <v>45246.393807870372</v>
      </c>
      <c r="AI1888" s="2" t="str">
        <f t="shared" si="267"/>
        <v/>
      </c>
      <c r="AJ1888" s="2" t="str">
        <f t="shared" si="268"/>
        <v/>
      </c>
      <c r="AK1888" s="2" t="str">
        <f t="shared" si="269"/>
        <v/>
      </c>
    </row>
    <row r="1889" spans="1:37" x14ac:dyDescent="0.25">
      <c r="A1889">
        <v>2157</v>
      </c>
      <c r="B1889" t="s">
        <v>2057</v>
      </c>
      <c r="C1889" t="s">
        <v>1577</v>
      </c>
      <c r="D1889" t="s">
        <v>2032</v>
      </c>
      <c r="E1889" t="s">
        <v>2033</v>
      </c>
      <c r="F1889" t="s">
        <v>2034</v>
      </c>
      <c r="G1889" t="s">
        <v>38</v>
      </c>
      <c r="H1889" s="1">
        <v>45140.393807870372</v>
      </c>
      <c r="I1889" s="1">
        <v>45141.393807870372</v>
      </c>
      <c r="J1889" t="s">
        <v>32</v>
      </c>
      <c r="K1889" s="1">
        <v>45153.393807870372</v>
      </c>
      <c r="L1889" t="s">
        <v>39</v>
      </c>
      <c r="N1889" s="4">
        <v>45159.393807870372</v>
      </c>
      <c r="O1889" t="s">
        <v>39</v>
      </c>
      <c r="R1889" s="4">
        <v>45156.393807870372</v>
      </c>
      <c r="T1889">
        <v>0</v>
      </c>
      <c r="AC1889" s="2">
        <f t="shared" si="261"/>
        <v>1</v>
      </c>
      <c r="AD1889" s="2">
        <f t="shared" si="262"/>
        <v>13</v>
      </c>
      <c r="AE1889" s="2">
        <f t="shared" si="263"/>
        <v>12</v>
      </c>
      <c r="AF1889" s="2">
        <f t="shared" si="264"/>
        <v>16</v>
      </c>
      <c r="AG1889" s="2">
        <f t="shared" si="265"/>
        <v>3</v>
      </c>
      <c r="AH1889" s="4">
        <f t="shared" si="266"/>
        <v>45246.393807870372</v>
      </c>
      <c r="AI1889" s="2" t="str">
        <f t="shared" si="267"/>
        <v/>
      </c>
      <c r="AJ1889" s="2" t="str">
        <f t="shared" si="268"/>
        <v/>
      </c>
      <c r="AK1889" s="2" t="str">
        <f t="shared" si="269"/>
        <v/>
      </c>
    </row>
    <row r="1890" spans="1:37" x14ac:dyDescent="0.25">
      <c r="A1890">
        <v>2085</v>
      </c>
      <c r="B1890" t="s">
        <v>2058</v>
      </c>
      <c r="C1890" t="s">
        <v>1577</v>
      </c>
      <c r="D1890" t="s">
        <v>2032</v>
      </c>
      <c r="E1890" t="s">
        <v>2033</v>
      </c>
      <c r="F1890" t="s">
        <v>2034</v>
      </c>
      <c r="G1890" t="s">
        <v>38</v>
      </c>
      <c r="H1890" s="1">
        <v>44838.879004629627</v>
      </c>
      <c r="I1890" s="1">
        <v>44839.879004629627</v>
      </c>
      <c r="J1890" t="s">
        <v>32</v>
      </c>
      <c r="K1890" s="1">
        <v>44845.879004629627</v>
      </c>
      <c r="L1890" t="s">
        <v>57</v>
      </c>
      <c r="N1890" s="4">
        <v>44849.879004629627</v>
      </c>
      <c r="O1890" t="s">
        <v>57</v>
      </c>
      <c r="P1890" s="4">
        <v>44846.879004629627</v>
      </c>
      <c r="Q1890" s="4">
        <v>44848.879004629627</v>
      </c>
      <c r="R1890" s="4">
        <v>44846.879004629627</v>
      </c>
      <c r="S1890" s="4">
        <v>44848.879004629627</v>
      </c>
      <c r="T1890">
        <v>1</v>
      </c>
      <c r="U1890" s="4">
        <v>44852.879004629627</v>
      </c>
      <c r="V1890" s="4">
        <v>44854.879004629627</v>
      </c>
      <c r="W1890" s="4">
        <v>44855.879004629627</v>
      </c>
      <c r="Z1890" s="4">
        <v>44872.879004629627</v>
      </c>
      <c r="AC1890" s="2">
        <f t="shared" si="261"/>
        <v>1</v>
      </c>
      <c r="AD1890" s="2">
        <f t="shared" si="262"/>
        <v>7</v>
      </c>
      <c r="AE1890" s="2">
        <f t="shared" si="263"/>
        <v>6</v>
      </c>
      <c r="AF1890" s="2">
        <f t="shared" si="264"/>
        <v>8</v>
      </c>
      <c r="AG1890" s="2">
        <f t="shared" si="265"/>
        <v>1</v>
      </c>
      <c r="AH1890" s="4">
        <f t="shared" si="266"/>
        <v>44936.879004629627</v>
      </c>
      <c r="AI1890" s="2">
        <f t="shared" si="267"/>
        <v>4</v>
      </c>
      <c r="AJ1890" s="2">
        <f t="shared" si="268"/>
        <v>26</v>
      </c>
      <c r="AK1890" s="2">
        <f t="shared" si="269"/>
        <v>9</v>
      </c>
    </row>
    <row r="1891" spans="1:37" x14ac:dyDescent="0.25">
      <c r="A1891">
        <v>2024</v>
      </c>
      <c r="B1891" t="s">
        <v>2059</v>
      </c>
      <c r="C1891" t="s">
        <v>1577</v>
      </c>
      <c r="D1891" t="s">
        <v>2032</v>
      </c>
      <c r="E1891" t="s">
        <v>2033</v>
      </c>
      <c r="F1891" t="s">
        <v>2034</v>
      </c>
      <c r="G1891" t="s">
        <v>38</v>
      </c>
      <c r="H1891" s="1">
        <v>44782.679872685185</v>
      </c>
      <c r="I1891" s="1">
        <v>44785.679872685185</v>
      </c>
      <c r="J1891" t="s">
        <v>32</v>
      </c>
      <c r="K1891" s="1">
        <v>44802.679872685185</v>
      </c>
      <c r="L1891" t="s">
        <v>33</v>
      </c>
      <c r="M1891" t="s">
        <v>108</v>
      </c>
      <c r="T1891">
        <v>0</v>
      </c>
      <c r="Y1891" t="s">
        <v>55</v>
      </c>
      <c r="AC1891" s="2">
        <f t="shared" si="261"/>
        <v>3</v>
      </c>
      <c r="AD1891" s="2">
        <f t="shared" si="262"/>
        <v>20</v>
      </c>
      <c r="AE1891" s="2">
        <f t="shared" si="263"/>
        <v>17</v>
      </c>
      <c r="AF1891" s="2" t="str">
        <f t="shared" si="264"/>
        <v/>
      </c>
      <c r="AG1891" s="2" t="str">
        <f t="shared" si="265"/>
        <v/>
      </c>
      <c r="AH1891" s="4" t="str">
        <f t="shared" si="266"/>
        <v/>
      </c>
      <c r="AI1891" s="2" t="str">
        <f t="shared" si="267"/>
        <v/>
      </c>
      <c r="AJ1891" s="2" t="str">
        <f t="shared" si="268"/>
        <v/>
      </c>
      <c r="AK1891" s="2" t="str">
        <f t="shared" si="269"/>
        <v/>
      </c>
    </row>
    <row r="1892" spans="1:37" x14ac:dyDescent="0.25">
      <c r="A1892">
        <v>1888</v>
      </c>
      <c r="B1892" t="s">
        <v>2060</v>
      </c>
      <c r="C1892" t="s">
        <v>1577</v>
      </c>
      <c r="D1892" t="s">
        <v>2032</v>
      </c>
      <c r="E1892" t="s">
        <v>2033</v>
      </c>
      <c r="F1892" t="s">
        <v>2034</v>
      </c>
      <c r="G1892" t="s">
        <v>38</v>
      </c>
      <c r="H1892" s="1">
        <v>44840.425185185188</v>
      </c>
      <c r="I1892" s="1">
        <v>44844.425185185188</v>
      </c>
      <c r="J1892" t="s">
        <v>32</v>
      </c>
      <c r="K1892" s="1">
        <v>44852.425185185188</v>
      </c>
      <c r="L1892" t="s">
        <v>33</v>
      </c>
      <c r="M1892" t="s">
        <v>92</v>
      </c>
      <c r="R1892" s="4">
        <v>44854.425185185188</v>
      </c>
      <c r="T1892">
        <v>0</v>
      </c>
      <c r="Y1892" t="s">
        <v>55</v>
      </c>
      <c r="AC1892" s="2">
        <f t="shared" si="261"/>
        <v>4</v>
      </c>
      <c r="AD1892" s="2">
        <f t="shared" si="262"/>
        <v>12</v>
      </c>
      <c r="AE1892" s="2">
        <f t="shared" si="263"/>
        <v>8</v>
      </c>
      <c r="AF1892" s="2">
        <f t="shared" si="264"/>
        <v>14</v>
      </c>
      <c r="AG1892" s="2">
        <f t="shared" si="265"/>
        <v>2</v>
      </c>
      <c r="AH1892" s="4">
        <f t="shared" si="266"/>
        <v>44944.425185185188</v>
      </c>
      <c r="AI1892" s="2" t="str">
        <f t="shared" si="267"/>
        <v/>
      </c>
      <c r="AJ1892" s="2" t="str">
        <f t="shared" si="268"/>
        <v/>
      </c>
      <c r="AK1892" s="2" t="str">
        <f t="shared" si="269"/>
        <v/>
      </c>
    </row>
    <row r="1893" spans="1:37" x14ac:dyDescent="0.25">
      <c r="A1893">
        <v>1830</v>
      </c>
      <c r="B1893" t="s">
        <v>2061</v>
      </c>
      <c r="C1893" t="s">
        <v>1577</v>
      </c>
      <c r="D1893" t="s">
        <v>2032</v>
      </c>
      <c r="E1893" t="s">
        <v>2033</v>
      </c>
      <c r="F1893" t="s">
        <v>2034</v>
      </c>
      <c r="G1893" t="s">
        <v>38</v>
      </c>
      <c r="H1893" s="1">
        <v>44662.459594907406</v>
      </c>
      <c r="I1893" s="1">
        <v>44664.459594907406</v>
      </c>
      <c r="J1893" t="s">
        <v>44</v>
      </c>
      <c r="K1893" s="1"/>
      <c r="T1893">
        <v>0</v>
      </c>
      <c r="AC1893" s="2">
        <f t="shared" si="261"/>
        <v>2</v>
      </c>
      <c r="AD1893" s="2" t="str">
        <f t="shared" si="262"/>
        <v/>
      </c>
      <c r="AE1893" s="2" t="str">
        <f t="shared" si="263"/>
        <v/>
      </c>
      <c r="AF1893" s="2" t="str">
        <f t="shared" si="264"/>
        <v/>
      </c>
      <c r="AG1893" s="2" t="str">
        <f t="shared" si="265"/>
        <v/>
      </c>
      <c r="AH1893" s="4" t="str">
        <f t="shared" si="266"/>
        <v/>
      </c>
      <c r="AI1893" s="2" t="str">
        <f t="shared" si="267"/>
        <v/>
      </c>
      <c r="AJ1893" s="2" t="str">
        <f t="shared" si="268"/>
        <v/>
      </c>
      <c r="AK1893" s="2" t="str">
        <f t="shared" si="269"/>
        <v/>
      </c>
    </row>
    <row r="1894" spans="1:37" x14ac:dyDescent="0.25">
      <c r="A1894">
        <v>1826</v>
      </c>
      <c r="B1894" t="s">
        <v>2062</v>
      </c>
      <c r="C1894" t="s">
        <v>1577</v>
      </c>
      <c r="D1894" t="s">
        <v>2032</v>
      </c>
      <c r="E1894" t="s">
        <v>2033</v>
      </c>
      <c r="F1894" t="s">
        <v>2034</v>
      </c>
      <c r="G1894" t="s">
        <v>38</v>
      </c>
      <c r="H1894" s="1">
        <v>44664.459594907406</v>
      </c>
      <c r="I1894" s="1">
        <v>44665.459594907406</v>
      </c>
      <c r="J1894" t="s">
        <v>32</v>
      </c>
      <c r="K1894" s="1">
        <v>44672.459594907406</v>
      </c>
      <c r="L1894" t="s">
        <v>39</v>
      </c>
      <c r="N1894" s="4">
        <v>44675.459594907406</v>
      </c>
      <c r="O1894" t="s">
        <v>39</v>
      </c>
      <c r="R1894" s="4">
        <v>44673.459594907406</v>
      </c>
      <c r="T1894">
        <v>0</v>
      </c>
      <c r="AC1894" s="2">
        <f t="shared" si="261"/>
        <v>1</v>
      </c>
      <c r="AD1894" s="2">
        <f t="shared" si="262"/>
        <v>8</v>
      </c>
      <c r="AE1894" s="2">
        <f t="shared" si="263"/>
        <v>7</v>
      </c>
      <c r="AF1894" s="2">
        <f t="shared" si="264"/>
        <v>9</v>
      </c>
      <c r="AG1894" s="2">
        <f t="shared" si="265"/>
        <v>1</v>
      </c>
      <c r="AH1894" s="4">
        <f t="shared" si="266"/>
        <v>44763.459594907406</v>
      </c>
      <c r="AI1894" s="2" t="str">
        <f t="shared" si="267"/>
        <v/>
      </c>
      <c r="AJ1894" s="2" t="str">
        <f t="shared" si="268"/>
        <v/>
      </c>
      <c r="AK1894" s="2" t="str">
        <f t="shared" si="269"/>
        <v/>
      </c>
    </row>
    <row r="1895" spans="1:37" x14ac:dyDescent="0.25">
      <c r="A1895">
        <v>1823</v>
      </c>
      <c r="B1895" t="s">
        <v>2063</v>
      </c>
      <c r="C1895" t="s">
        <v>1577</v>
      </c>
      <c r="D1895" t="s">
        <v>2032</v>
      </c>
      <c r="E1895" t="s">
        <v>2033</v>
      </c>
      <c r="F1895" t="s">
        <v>2034</v>
      </c>
      <c r="G1895" t="s">
        <v>38</v>
      </c>
      <c r="H1895" s="1">
        <v>44666.459594907406</v>
      </c>
      <c r="I1895" s="1">
        <v>44667.459594907406</v>
      </c>
      <c r="J1895" t="s">
        <v>32</v>
      </c>
      <c r="K1895" s="1">
        <v>44678.459594907406</v>
      </c>
      <c r="L1895" t="s">
        <v>39</v>
      </c>
      <c r="N1895" s="4">
        <v>44686.459594907406</v>
      </c>
      <c r="O1895" t="s">
        <v>39</v>
      </c>
      <c r="R1895" s="4">
        <v>44682.459594907406</v>
      </c>
      <c r="T1895">
        <v>0</v>
      </c>
      <c r="AC1895" s="2">
        <f t="shared" si="261"/>
        <v>1</v>
      </c>
      <c r="AD1895" s="2">
        <f t="shared" si="262"/>
        <v>12</v>
      </c>
      <c r="AE1895" s="2">
        <f t="shared" si="263"/>
        <v>11</v>
      </c>
      <c r="AF1895" s="2">
        <f t="shared" si="264"/>
        <v>16</v>
      </c>
      <c r="AG1895" s="2">
        <f t="shared" si="265"/>
        <v>4</v>
      </c>
      <c r="AH1895" s="4">
        <f t="shared" si="266"/>
        <v>44772.459594907406</v>
      </c>
      <c r="AI1895" s="2" t="str">
        <f t="shared" si="267"/>
        <v/>
      </c>
      <c r="AJ1895" s="2" t="str">
        <f t="shared" si="268"/>
        <v/>
      </c>
      <c r="AK1895" s="2" t="str">
        <f t="shared" si="269"/>
        <v/>
      </c>
    </row>
    <row r="1896" spans="1:37" x14ac:dyDescent="0.25">
      <c r="A1896">
        <v>1754</v>
      </c>
      <c r="B1896" t="s">
        <v>2064</v>
      </c>
      <c r="C1896" t="s">
        <v>1577</v>
      </c>
      <c r="D1896" t="s">
        <v>2032</v>
      </c>
      <c r="E1896" t="s">
        <v>2033</v>
      </c>
      <c r="F1896" t="s">
        <v>2034</v>
      </c>
      <c r="G1896" t="s">
        <v>38</v>
      </c>
      <c r="H1896" s="1">
        <v>44715.645821759259</v>
      </c>
      <c r="I1896" s="1">
        <v>44716.645821759259</v>
      </c>
      <c r="J1896" t="s">
        <v>32</v>
      </c>
      <c r="K1896" s="1">
        <v>44730.645821759259</v>
      </c>
      <c r="L1896" t="s">
        <v>33</v>
      </c>
      <c r="M1896" t="s">
        <v>51</v>
      </c>
      <c r="R1896" s="4">
        <v>44734.645821759259</v>
      </c>
      <c r="T1896">
        <v>0</v>
      </c>
      <c r="Y1896" t="s">
        <v>55</v>
      </c>
      <c r="AC1896" s="2">
        <f t="shared" si="261"/>
        <v>1</v>
      </c>
      <c r="AD1896" s="2">
        <f t="shared" si="262"/>
        <v>15</v>
      </c>
      <c r="AE1896" s="2">
        <f t="shared" si="263"/>
        <v>14</v>
      </c>
      <c r="AF1896" s="2">
        <f t="shared" si="264"/>
        <v>19</v>
      </c>
      <c r="AG1896" s="2">
        <f t="shared" si="265"/>
        <v>4</v>
      </c>
      <c r="AH1896" s="4">
        <f t="shared" si="266"/>
        <v>44824.645821759259</v>
      </c>
      <c r="AI1896" s="2" t="str">
        <f t="shared" si="267"/>
        <v/>
      </c>
      <c r="AJ1896" s="2" t="str">
        <f t="shared" si="268"/>
        <v/>
      </c>
      <c r="AK1896" s="2" t="str">
        <f t="shared" si="269"/>
        <v/>
      </c>
    </row>
    <row r="1897" spans="1:37" x14ac:dyDescent="0.25">
      <c r="A1897">
        <v>1751</v>
      </c>
      <c r="B1897" t="s">
        <v>2065</v>
      </c>
      <c r="C1897" t="s">
        <v>1577</v>
      </c>
      <c r="D1897" t="s">
        <v>2032</v>
      </c>
      <c r="E1897" t="s">
        <v>2033</v>
      </c>
      <c r="F1897" t="s">
        <v>2034</v>
      </c>
      <c r="G1897" t="s">
        <v>38</v>
      </c>
      <c r="H1897" s="1">
        <v>44713.645821759259</v>
      </c>
      <c r="I1897" s="1">
        <v>44716.645821759259</v>
      </c>
      <c r="J1897" t="s">
        <v>32</v>
      </c>
      <c r="K1897" s="1">
        <v>44733.645821759259</v>
      </c>
      <c r="L1897" t="s">
        <v>33</v>
      </c>
      <c r="M1897" t="s">
        <v>67</v>
      </c>
      <c r="T1897">
        <v>0</v>
      </c>
      <c r="Y1897" t="s">
        <v>55</v>
      </c>
      <c r="AC1897" s="2">
        <f t="shared" si="261"/>
        <v>3</v>
      </c>
      <c r="AD1897" s="2">
        <f t="shared" si="262"/>
        <v>20</v>
      </c>
      <c r="AE1897" s="2">
        <f t="shared" si="263"/>
        <v>17</v>
      </c>
      <c r="AF1897" s="2" t="str">
        <f t="shared" si="264"/>
        <v/>
      </c>
      <c r="AG1897" s="2" t="str">
        <f t="shared" si="265"/>
        <v/>
      </c>
      <c r="AH1897" s="4" t="str">
        <f t="shared" si="266"/>
        <v/>
      </c>
      <c r="AI1897" s="2" t="str">
        <f t="shared" si="267"/>
        <v/>
      </c>
      <c r="AJ1897" s="2" t="str">
        <f t="shared" si="268"/>
        <v/>
      </c>
      <c r="AK1897" s="2" t="str">
        <f t="shared" si="269"/>
        <v/>
      </c>
    </row>
    <row r="1898" spans="1:37" x14ac:dyDescent="0.25">
      <c r="A1898">
        <v>1732</v>
      </c>
      <c r="B1898" t="s">
        <v>2066</v>
      </c>
      <c r="C1898" t="s">
        <v>1577</v>
      </c>
      <c r="D1898" t="s">
        <v>2032</v>
      </c>
      <c r="E1898" t="s">
        <v>2033</v>
      </c>
      <c r="F1898" t="s">
        <v>2034</v>
      </c>
      <c r="G1898" t="s">
        <v>38</v>
      </c>
      <c r="H1898" s="1">
        <v>44561.634641203702</v>
      </c>
      <c r="I1898" s="1">
        <v>44563.634641203702</v>
      </c>
      <c r="J1898" t="s">
        <v>32</v>
      </c>
      <c r="K1898" s="1">
        <v>44581.634641203702</v>
      </c>
      <c r="L1898" t="s">
        <v>39</v>
      </c>
      <c r="N1898" s="4">
        <v>44586.634641203702</v>
      </c>
      <c r="O1898" t="s">
        <v>39</v>
      </c>
      <c r="R1898" s="4">
        <v>44584.634641203702</v>
      </c>
      <c r="T1898">
        <v>0</v>
      </c>
      <c r="AC1898" s="2">
        <f t="shared" si="261"/>
        <v>2</v>
      </c>
      <c r="AD1898" s="2">
        <f t="shared" si="262"/>
        <v>20</v>
      </c>
      <c r="AE1898" s="2">
        <f t="shared" si="263"/>
        <v>18</v>
      </c>
      <c r="AF1898" s="2">
        <f t="shared" si="264"/>
        <v>23</v>
      </c>
      <c r="AG1898" s="2">
        <f t="shared" si="265"/>
        <v>3</v>
      </c>
      <c r="AH1898" s="4">
        <f t="shared" si="266"/>
        <v>44674.634641203702</v>
      </c>
      <c r="AI1898" s="2" t="str">
        <f t="shared" si="267"/>
        <v/>
      </c>
      <c r="AJ1898" s="2" t="str">
        <f t="shared" si="268"/>
        <v/>
      </c>
      <c r="AK1898" s="2" t="str">
        <f t="shared" si="269"/>
        <v/>
      </c>
    </row>
    <row r="1899" spans="1:37" x14ac:dyDescent="0.25">
      <c r="A1899">
        <v>1706</v>
      </c>
      <c r="B1899" t="s">
        <v>2067</v>
      </c>
      <c r="C1899" t="s">
        <v>1577</v>
      </c>
      <c r="D1899" t="s">
        <v>2032</v>
      </c>
      <c r="E1899" t="s">
        <v>2033</v>
      </c>
      <c r="F1899" t="s">
        <v>2034</v>
      </c>
      <c r="G1899" t="s">
        <v>38</v>
      </c>
      <c r="H1899" s="1">
        <v>44986.751342592594</v>
      </c>
      <c r="I1899" s="1">
        <v>44990.751342592594</v>
      </c>
      <c r="J1899" t="s">
        <v>32</v>
      </c>
      <c r="K1899" s="1">
        <v>45010.751342592594</v>
      </c>
      <c r="L1899" t="s">
        <v>33</v>
      </c>
      <c r="M1899" t="s">
        <v>92</v>
      </c>
      <c r="R1899" s="4">
        <v>45013.751342592594</v>
      </c>
      <c r="T1899">
        <v>0</v>
      </c>
      <c r="Y1899" t="s">
        <v>35</v>
      </c>
      <c r="AC1899" s="2">
        <f t="shared" si="261"/>
        <v>4</v>
      </c>
      <c r="AD1899" s="2">
        <f t="shared" si="262"/>
        <v>24</v>
      </c>
      <c r="AE1899" s="2">
        <f t="shared" si="263"/>
        <v>20</v>
      </c>
      <c r="AF1899" s="2">
        <f t="shared" si="264"/>
        <v>27</v>
      </c>
      <c r="AG1899" s="2">
        <f t="shared" si="265"/>
        <v>3</v>
      </c>
      <c r="AH1899" s="4">
        <f t="shared" si="266"/>
        <v>45103.751342592594</v>
      </c>
      <c r="AI1899" s="2" t="str">
        <f t="shared" si="267"/>
        <v/>
      </c>
      <c r="AJ1899" s="2" t="str">
        <f t="shared" si="268"/>
        <v/>
      </c>
      <c r="AK1899" s="2" t="str">
        <f t="shared" si="269"/>
        <v/>
      </c>
    </row>
    <row r="1900" spans="1:37" x14ac:dyDescent="0.25">
      <c r="A1900">
        <v>1704</v>
      </c>
      <c r="B1900" t="s">
        <v>2068</v>
      </c>
      <c r="C1900" t="s">
        <v>1577</v>
      </c>
      <c r="D1900" t="s">
        <v>2032</v>
      </c>
      <c r="E1900" t="s">
        <v>2033</v>
      </c>
      <c r="F1900" t="s">
        <v>2034</v>
      </c>
      <c r="G1900" t="s">
        <v>38</v>
      </c>
      <c r="H1900" s="1">
        <v>44987.751342592594</v>
      </c>
      <c r="I1900" s="1">
        <v>44988.751342592594</v>
      </c>
      <c r="J1900" t="s">
        <v>32</v>
      </c>
      <c r="K1900" s="1">
        <v>45006.751342592594</v>
      </c>
      <c r="L1900" t="s">
        <v>39</v>
      </c>
      <c r="N1900" s="4">
        <v>45012.751342592594</v>
      </c>
      <c r="O1900" t="s">
        <v>39</v>
      </c>
      <c r="R1900" s="4">
        <v>45010.751342592594</v>
      </c>
      <c r="T1900">
        <v>0</v>
      </c>
      <c r="AC1900" s="2">
        <f t="shared" si="261"/>
        <v>1</v>
      </c>
      <c r="AD1900" s="2">
        <f t="shared" si="262"/>
        <v>19</v>
      </c>
      <c r="AE1900" s="2">
        <f t="shared" si="263"/>
        <v>18</v>
      </c>
      <c r="AF1900" s="2">
        <f t="shared" si="264"/>
        <v>23</v>
      </c>
      <c r="AG1900" s="2">
        <f t="shared" si="265"/>
        <v>4</v>
      </c>
      <c r="AH1900" s="4">
        <f t="shared" si="266"/>
        <v>45100.751342592594</v>
      </c>
      <c r="AI1900" s="2" t="str">
        <f t="shared" si="267"/>
        <v/>
      </c>
      <c r="AJ1900" s="2" t="str">
        <f t="shared" si="268"/>
        <v/>
      </c>
      <c r="AK1900" s="2" t="str">
        <f t="shared" si="269"/>
        <v/>
      </c>
    </row>
    <row r="1901" spans="1:37" x14ac:dyDescent="0.25">
      <c r="A1901">
        <v>1674</v>
      </c>
      <c r="B1901" t="s">
        <v>2069</v>
      </c>
      <c r="C1901" t="s">
        <v>1577</v>
      </c>
      <c r="D1901" t="s">
        <v>2032</v>
      </c>
      <c r="E1901" t="s">
        <v>2033</v>
      </c>
      <c r="F1901" t="s">
        <v>2034</v>
      </c>
      <c r="G1901" t="s">
        <v>38</v>
      </c>
      <c r="H1901" s="1">
        <v>44871.144270833334</v>
      </c>
      <c r="I1901" s="1">
        <v>44873.144270833334</v>
      </c>
      <c r="J1901" t="s">
        <v>44</v>
      </c>
      <c r="K1901" s="1"/>
      <c r="T1901">
        <v>0</v>
      </c>
      <c r="AC1901" s="2">
        <f t="shared" si="261"/>
        <v>2</v>
      </c>
      <c r="AD1901" s="2" t="str">
        <f t="shared" si="262"/>
        <v/>
      </c>
      <c r="AE1901" s="2" t="str">
        <f t="shared" si="263"/>
        <v/>
      </c>
      <c r="AF1901" s="2" t="str">
        <f t="shared" si="264"/>
        <v/>
      </c>
      <c r="AG1901" s="2" t="str">
        <f t="shared" si="265"/>
        <v/>
      </c>
      <c r="AH1901" s="4" t="str">
        <f t="shared" si="266"/>
        <v/>
      </c>
      <c r="AI1901" s="2" t="str">
        <f t="shared" si="267"/>
        <v/>
      </c>
      <c r="AJ1901" s="2" t="str">
        <f t="shared" si="268"/>
        <v/>
      </c>
      <c r="AK1901" s="2" t="str">
        <f t="shared" si="269"/>
        <v/>
      </c>
    </row>
    <row r="1902" spans="1:37" x14ac:dyDescent="0.25">
      <c r="A1902">
        <v>1672</v>
      </c>
      <c r="B1902" t="s">
        <v>2070</v>
      </c>
      <c r="C1902" t="s">
        <v>1577</v>
      </c>
      <c r="D1902" t="s">
        <v>2032</v>
      </c>
      <c r="E1902" t="s">
        <v>2033</v>
      </c>
      <c r="F1902" t="s">
        <v>2034</v>
      </c>
      <c r="G1902" t="s">
        <v>38</v>
      </c>
      <c r="H1902" s="1">
        <v>44870.144270833334</v>
      </c>
      <c r="I1902" s="1">
        <v>44874.144270833334</v>
      </c>
      <c r="J1902" t="s">
        <v>32</v>
      </c>
      <c r="K1902" s="1">
        <v>44892.144270833334</v>
      </c>
      <c r="L1902" t="s">
        <v>57</v>
      </c>
      <c r="N1902" s="4">
        <v>44895.144270833334</v>
      </c>
      <c r="O1902" t="s">
        <v>57</v>
      </c>
      <c r="P1902" s="4">
        <v>44894.144270833334</v>
      </c>
      <c r="Q1902" s="4">
        <v>44895.144270833334</v>
      </c>
      <c r="R1902" s="4">
        <v>44893.144270833334</v>
      </c>
      <c r="S1902" s="4">
        <v>44896.144270833334</v>
      </c>
      <c r="T1902">
        <v>1</v>
      </c>
      <c r="U1902" s="4">
        <v>44898.144270833334</v>
      </c>
      <c r="V1902" s="4">
        <v>44900.144270833334</v>
      </c>
      <c r="W1902" s="4">
        <v>44901.144270833334</v>
      </c>
      <c r="Z1902" s="4">
        <v>44924.144270833334</v>
      </c>
      <c r="AC1902" s="2">
        <f t="shared" si="261"/>
        <v>4</v>
      </c>
      <c r="AD1902" s="2">
        <f t="shared" si="262"/>
        <v>22</v>
      </c>
      <c r="AE1902" s="2">
        <f t="shared" si="263"/>
        <v>18</v>
      </c>
      <c r="AF1902" s="2">
        <f t="shared" si="264"/>
        <v>23</v>
      </c>
      <c r="AG1902" s="2">
        <f t="shared" si="265"/>
        <v>1</v>
      </c>
      <c r="AH1902" s="4">
        <f t="shared" si="266"/>
        <v>44983.144270833334</v>
      </c>
      <c r="AI1902" s="2">
        <f t="shared" si="267"/>
        <v>2</v>
      </c>
      <c r="AJ1902" s="2">
        <f t="shared" si="268"/>
        <v>31</v>
      </c>
      <c r="AK1902" s="2">
        <f t="shared" si="269"/>
        <v>8</v>
      </c>
    </row>
    <row r="1903" spans="1:37" x14ac:dyDescent="0.25">
      <c r="A1903">
        <v>1671</v>
      </c>
      <c r="B1903" t="s">
        <v>2071</v>
      </c>
      <c r="C1903" t="s">
        <v>1577</v>
      </c>
      <c r="D1903" t="s">
        <v>2032</v>
      </c>
      <c r="E1903" t="s">
        <v>2033</v>
      </c>
      <c r="F1903" t="s">
        <v>2034</v>
      </c>
      <c r="G1903" t="s">
        <v>38</v>
      </c>
      <c r="H1903" s="1">
        <v>44870.144270833334</v>
      </c>
      <c r="I1903" s="1">
        <v>44874.144270833334</v>
      </c>
      <c r="J1903" t="s">
        <v>32</v>
      </c>
      <c r="K1903" s="1">
        <v>44892.144270833334</v>
      </c>
      <c r="L1903" t="s">
        <v>33</v>
      </c>
      <c r="M1903" t="s">
        <v>92</v>
      </c>
      <c r="T1903">
        <v>0</v>
      </c>
      <c r="Y1903" t="s">
        <v>35</v>
      </c>
      <c r="AC1903" s="2">
        <f t="shared" si="261"/>
        <v>4</v>
      </c>
      <c r="AD1903" s="2">
        <f t="shared" si="262"/>
        <v>22</v>
      </c>
      <c r="AE1903" s="2">
        <f t="shared" si="263"/>
        <v>18</v>
      </c>
      <c r="AF1903" s="2" t="str">
        <f t="shared" si="264"/>
        <v/>
      </c>
      <c r="AG1903" s="2" t="str">
        <f t="shared" si="265"/>
        <v/>
      </c>
      <c r="AH1903" s="4" t="str">
        <f t="shared" si="266"/>
        <v/>
      </c>
      <c r="AI1903" s="2" t="str">
        <f t="shared" si="267"/>
        <v/>
      </c>
      <c r="AJ1903" s="2" t="str">
        <f t="shared" si="268"/>
        <v/>
      </c>
      <c r="AK1903" s="2" t="str">
        <f t="shared" si="269"/>
        <v/>
      </c>
    </row>
    <row r="1904" spans="1:37" x14ac:dyDescent="0.25">
      <c r="A1904">
        <v>1640</v>
      </c>
      <c r="B1904" t="s">
        <v>2072</v>
      </c>
      <c r="C1904" t="s">
        <v>1577</v>
      </c>
      <c r="D1904" t="s">
        <v>2032</v>
      </c>
      <c r="E1904" t="s">
        <v>2033</v>
      </c>
      <c r="F1904" t="s">
        <v>2034</v>
      </c>
      <c r="G1904" t="s">
        <v>38</v>
      </c>
      <c r="H1904" s="1">
        <v>45173.320416666669</v>
      </c>
      <c r="I1904" s="1">
        <v>45175.320416666669</v>
      </c>
      <c r="J1904" t="s">
        <v>44</v>
      </c>
      <c r="K1904" s="1"/>
      <c r="T1904">
        <v>0</v>
      </c>
      <c r="AC1904" s="2">
        <f t="shared" si="261"/>
        <v>2</v>
      </c>
      <c r="AD1904" s="2" t="str">
        <f t="shared" si="262"/>
        <v/>
      </c>
      <c r="AE1904" s="2" t="str">
        <f t="shared" si="263"/>
        <v/>
      </c>
      <c r="AF1904" s="2" t="str">
        <f t="shared" si="264"/>
        <v/>
      </c>
      <c r="AG1904" s="2" t="str">
        <f t="shared" si="265"/>
        <v/>
      </c>
      <c r="AH1904" s="4" t="str">
        <f t="shared" si="266"/>
        <v/>
      </c>
      <c r="AI1904" s="2" t="str">
        <f t="shared" si="267"/>
        <v/>
      </c>
      <c r="AJ1904" s="2" t="str">
        <f t="shared" si="268"/>
        <v/>
      </c>
      <c r="AK1904" s="2" t="str">
        <f t="shared" si="269"/>
        <v/>
      </c>
    </row>
    <row r="1905" spans="1:37" x14ac:dyDescent="0.25">
      <c r="A1905">
        <v>1590</v>
      </c>
      <c r="B1905" t="s">
        <v>2073</v>
      </c>
      <c r="C1905" t="s">
        <v>1577</v>
      </c>
      <c r="D1905" t="s">
        <v>2032</v>
      </c>
      <c r="E1905" t="s">
        <v>2033</v>
      </c>
      <c r="F1905" t="s">
        <v>2034</v>
      </c>
      <c r="G1905" t="s">
        <v>38</v>
      </c>
      <c r="H1905" s="1">
        <v>45185.840821759259</v>
      </c>
      <c r="I1905" s="1">
        <v>45187.840821759259</v>
      </c>
      <c r="J1905" t="s">
        <v>32</v>
      </c>
      <c r="K1905" s="1">
        <v>45202.840821759259</v>
      </c>
      <c r="L1905" t="s">
        <v>39</v>
      </c>
      <c r="N1905" s="4">
        <v>45208.840821759259</v>
      </c>
      <c r="O1905" t="s">
        <v>39</v>
      </c>
      <c r="R1905" s="4">
        <v>45205.840821759259</v>
      </c>
      <c r="T1905">
        <v>0</v>
      </c>
      <c r="AC1905" s="2">
        <f t="shared" si="261"/>
        <v>2</v>
      </c>
      <c r="AD1905" s="2">
        <f t="shared" si="262"/>
        <v>17</v>
      </c>
      <c r="AE1905" s="2">
        <f t="shared" si="263"/>
        <v>15</v>
      </c>
      <c r="AF1905" s="2">
        <f t="shared" si="264"/>
        <v>20</v>
      </c>
      <c r="AG1905" s="2">
        <f t="shared" si="265"/>
        <v>3</v>
      </c>
      <c r="AH1905" s="4">
        <f t="shared" si="266"/>
        <v>45295.840821759259</v>
      </c>
      <c r="AI1905" s="2" t="str">
        <f t="shared" si="267"/>
        <v/>
      </c>
      <c r="AJ1905" s="2" t="str">
        <f t="shared" si="268"/>
        <v/>
      </c>
      <c r="AK1905" s="2" t="str">
        <f t="shared" si="269"/>
        <v/>
      </c>
    </row>
    <row r="1906" spans="1:37" x14ac:dyDescent="0.25">
      <c r="A1906">
        <v>1588</v>
      </c>
      <c r="B1906" t="s">
        <v>2074</v>
      </c>
      <c r="C1906" t="s">
        <v>1577</v>
      </c>
      <c r="D1906" t="s">
        <v>2032</v>
      </c>
      <c r="E1906" t="s">
        <v>2033</v>
      </c>
      <c r="F1906" t="s">
        <v>2034</v>
      </c>
      <c r="G1906" t="s">
        <v>38</v>
      </c>
      <c r="H1906" s="1">
        <v>45182.840821759259</v>
      </c>
      <c r="I1906" s="1">
        <v>45184.840821759259</v>
      </c>
      <c r="J1906" t="s">
        <v>32</v>
      </c>
      <c r="K1906" s="1">
        <v>45193.840821759259</v>
      </c>
      <c r="L1906" t="s">
        <v>33</v>
      </c>
      <c r="M1906" t="s">
        <v>92</v>
      </c>
      <c r="T1906">
        <v>0</v>
      </c>
      <c r="Y1906" t="s">
        <v>35</v>
      </c>
      <c r="AC1906" s="2">
        <f t="shared" si="261"/>
        <v>2</v>
      </c>
      <c r="AD1906" s="2">
        <f t="shared" si="262"/>
        <v>11</v>
      </c>
      <c r="AE1906" s="2">
        <f t="shared" si="263"/>
        <v>9</v>
      </c>
      <c r="AF1906" s="2" t="str">
        <f t="shared" si="264"/>
        <v/>
      </c>
      <c r="AG1906" s="2" t="str">
        <f t="shared" si="265"/>
        <v/>
      </c>
      <c r="AH1906" s="4" t="str">
        <f t="shared" si="266"/>
        <v/>
      </c>
      <c r="AI1906" s="2" t="str">
        <f t="shared" si="267"/>
        <v/>
      </c>
      <c r="AJ1906" s="2" t="str">
        <f t="shared" si="268"/>
        <v/>
      </c>
      <c r="AK1906" s="2" t="str">
        <f t="shared" si="269"/>
        <v/>
      </c>
    </row>
    <row r="1907" spans="1:37" x14ac:dyDescent="0.25">
      <c r="A1907">
        <v>1584</v>
      </c>
      <c r="B1907" t="s">
        <v>2075</v>
      </c>
      <c r="C1907" t="s">
        <v>1577</v>
      </c>
      <c r="D1907" t="s">
        <v>2032</v>
      </c>
      <c r="E1907" t="s">
        <v>2033</v>
      </c>
      <c r="F1907" t="s">
        <v>2034</v>
      </c>
      <c r="G1907" t="s">
        <v>38</v>
      </c>
      <c r="H1907" s="1">
        <v>45181.840821759259</v>
      </c>
      <c r="I1907" s="1">
        <v>45184.840821759259</v>
      </c>
      <c r="J1907" t="s">
        <v>32</v>
      </c>
      <c r="K1907" s="1">
        <v>45191.840821759259</v>
      </c>
      <c r="L1907" t="s">
        <v>164</v>
      </c>
      <c r="N1907" s="4">
        <v>45197.840821759259</v>
      </c>
      <c r="O1907" t="s">
        <v>164</v>
      </c>
      <c r="R1907" s="4">
        <v>45193.840821759259</v>
      </c>
      <c r="T1907">
        <v>0</v>
      </c>
      <c r="AC1907" s="2">
        <f t="shared" si="261"/>
        <v>3</v>
      </c>
      <c r="AD1907" s="2">
        <f t="shared" si="262"/>
        <v>10</v>
      </c>
      <c r="AE1907" s="2">
        <f t="shared" si="263"/>
        <v>7</v>
      </c>
      <c r="AF1907" s="2">
        <f t="shared" si="264"/>
        <v>12</v>
      </c>
      <c r="AG1907" s="2">
        <f t="shared" si="265"/>
        <v>2</v>
      </c>
      <c r="AH1907" s="4">
        <f t="shared" si="266"/>
        <v>45283.840821759259</v>
      </c>
      <c r="AI1907" s="2" t="str">
        <f t="shared" si="267"/>
        <v/>
      </c>
      <c r="AJ1907" s="2" t="str">
        <f t="shared" si="268"/>
        <v/>
      </c>
      <c r="AK1907" s="2" t="str">
        <f t="shared" si="269"/>
        <v/>
      </c>
    </row>
    <row r="1908" spans="1:37" x14ac:dyDescent="0.25">
      <c r="A1908">
        <v>1583</v>
      </c>
      <c r="B1908" t="s">
        <v>2076</v>
      </c>
      <c r="C1908" t="s">
        <v>1577</v>
      </c>
      <c r="D1908" t="s">
        <v>2032</v>
      </c>
      <c r="E1908" t="s">
        <v>2033</v>
      </c>
      <c r="F1908" t="s">
        <v>2034</v>
      </c>
      <c r="G1908" t="s">
        <v>38</v>
      </c>
      <c r="H1908" s="1">
        <v>45182.840821759259</v>
      </c>
      <c r="I1908" s="1">
        <v>45184.840821759259</v>
      </c>
      <c r="J1908" t="s">
        <v>32</v>
      </c>
      <c r="K1908" s="1">
        <v>45198.840821759259</v>
      </c>
      <c r="L1908" t="s">
        <v>33</v>
      </c>
      <c r="M1908" t="s">
        <v>108</v>
      </c>
      <c r="T1908">
        <v>0</v>
      </c>
      <c r="Y1908" t="s">
        <v>35</v>
      </c>
      <c r="AC1908" s="2">
        <f t="shared" si="261"/>
        <v>2</v>
      </c>
      <c r="AD1908" s="2">
        <f t="shared" si="262"/>
        <v>16</v>
      </c>
      <c r="AE1908" s="2">
        <f t="shared" si="263"/>
        <v>14</v>
      </c>
      <c r="AF1908" s="2" t="str">
        <f t="shared" si="264"/>
        <v/>
      </c>
      <c r="AG1908" s="2" t="str">
        <f t="shared" si="265"/>
        <v/>
      </c>
      <c r="AH1908" s="4" t="str">
        <f t="shared" si="266"/>
        <v/>
      </c>
      <c r="AI1908" s="2" t="str">
        <f t="shared" si="267"/>
        <v/>
      </c>
      <c r="AJ1908" s="2" t="str">
        <f t="shared" si="268"/>
        <v/>
      </c>
      <c r="AK1908" s="2" t="str">
        <f t="shared" si="269"/>
        <v/>
      </c>
    </row>
    <row r="1909" spans="1:37" x14ac:dyDescent="0.25">
      <c r="A1909">
        <v>1563</v>
      </c>
      <c r="B1909" t="s">
        <v>2077</v>
      </c>
      <c r="C1909" t="s">
        <v>1577</v>
      </c>
      <c r="D1909" t="s">
        <v>2032</v>
      </c>
      <c r="E1909" t="s">
        <v>2033</v>
      </c>
      <c r="F1909" t="s">
        <v>2034</v>
      </c>
      <c r="G1909" t="s">
        <v>38</v>
      </c>
      <c r="H1909" s="1">
        <v>44641.490486111114</v>
      </c>
      <c r="I1909" s="1">
        <v>44643.490486111114</v>
      </c>
      <c r="J1909" t="s">
        <v>44</v>
      </c>
      <c r="K1909" s="1"/>
      <c r="T1909">
        <v>0</v>
      </c>
      <c r="AC1909" s="2">
        <f t="shared" si="261"/>
        <v>2</v>
      </c>
      <c r="AD1909" s="2" t="str">
        <f t="shared" si="262"/>
        <v/>
      </c>
      <c r="AE1909" s="2" t="str">
        <f t="shared" si="263"/>
        <v/>
      </c>
      <c r="AF1909" s="2" t="str">
        <f t="shared" si="264"/>
        <v/>
      </c>
      <c r="AG1909" s="2" t="str">
        <f t="shared" si="265"/>
        <v/>
      </c>
      <c r="AH1909" s="4" t="str">
        <f t="shared" si="266"/>
        <v/>
      </c>
      <c r="AI1909" s="2" t="str">
        <f t="shared" si="267"/>
        <v/>
      </c>
      <c r="AJ1909" s="2" t="str">
        <f t="shared" si="268"/>
        <v/>
      </c>
      <c r="AK1909" s="2" t="str">
        <f t="shared" si="269"/>
        <v/>
      </c>
    </row>
    <row r="1910" spans="1:37" x14ac:dyDescent="0.25">
      <c r="A1910">
        <v>1550</v>
      </c>
      <c r="B1910" t="s">
        <v>2078</v>
      </c>
      <c r="C1910" t="s">
        <v>1577</v>
      </c>
      <c r="D1910" t="s">
        <v>2032</v>
      </c>
      <c r="E1910" t="s">
        <v>2033</v>
      </c>
      <c r="F1910" t="s">
        <v>2034</v>
      </c>
      <c r="G1910" t="s">
        <v>38</v>
      </c>
      <c r="H1910" s="1">
        <v>45072.849814814814</v>
      </c>
      <c r="I1910" s="1">
        <v>45074.849814814814</v>
      </c>
      <c r="J1910" t="s">
        <v>32</v>
      </c>
      <c r="K1910" s="1">
        <v>45082.849814814814</v>
      </c>
      <c r="L1910" t="s">
        <v>57</v>
      </c>
      <c r="N1910" s="4">
        <v>45088.849814814814</v>
      </c>
      <c r="O1910" t="s">
        <v>57</v>
      </c>
      <c r="P1910" s="4">
        <v>45084.849814814814</v>
      </c>
      <c r="Q1910" s="4">
        <v>45086.849814814814</v>
      </c>
      <c r="R1910" s="4">
        <v>45084.849814814814</v>
      </c>
      <c r="S1910" s="4">
        <v>45086.849814814814</v>
      </c>
      <c r="T1910">
        <v>1</v>
      </c>
      <c r="U1910" s="4">
        <v>45087.849814814814</v>
      </c>
      <c r="V1910" s="4">
        <v>45089.849814814814</v>
      </c>
      <c r="W1910" s="4">
        <v>45092.849814814814</v>
      </c>
      <c r="Z1910" s="4">
        <v>45106.849814814814</v>
      </c>
      <c r="AC1910" s="2">
        <f t="shared" si="261"/>
        <v>2</v>
      </c>
      <c r="AD1910" s="2">
        <f t="shared" si="262"/>
        <v>10</v>
      </c>
      <c r="AE1910" s="2">
        <f t="shared" si="263"/>
        <v>8</v>
      </c>
      <c r="AF1910" s="2">
        <f t="shared" si="264"/>
        <v>12</v>
      </c>
      <c r="AG1910" s="2">
        <f t="shared" si="265"/>
        <v>2</v>
      </c>
      <c r="AH1910" s="4">
        <f t="shared" si="266"/>
        <v>45174.849814814814</v>
      </c>
      <c r="AI1910" s="2">
        <f t="shared" si="267"/>
        <v>1</v>
      </c>
      <c r="AJ1910" s="2">
        <f t="shared" si="268"/>
        <v>22</v>
      </c>
      <c r="AK1910" s="2">
        <f t="shared" si="269"/>
        <v>8</v>
      </c>
    </row>
    <row r="1911" spans="1:37" x14ac:dyDescent="0.25">
      <c r="A1911">
        <v>1545</v>
      </c>
      <c r="B1911" t="s">
        <v>2079</v>
      </c>
      <c r="C1911" t="s">
        <v>1577</v>
      </c>
      <c r="D1911" t="s">
        <v>2032</v>
      </c>
      <c r="E1911" t="s">
        <v>2033</v>
      </c>
      <c r="F1911" t="s">
        <v>2034</v>
      </c>
      <c r="G1911" t="s">
        <v>38</v>
      </c>
      <c r="H1911" s="1">
        <v>45073.849814814814</v>
      </c>
      <c r="I1911" s="1">
        <v>45075.849814814814</v>
      </c>
      <c r="J1911" t="s">
        <v>32</v>
      </c>
      <c r="K1911" s="1">
        <v>45092.849814814814</v>
      </c>
      <c r="L1911" t="s">
        <v>33</v>
      </c>
      <c r="M1911" t="s">
        <v>34</v>
      </c>
      <c r="R1911" s="4">
        <v>45096.849814814814</v>
      </c>
      <c r="T1911">
        <v>0</v>
      </c>
      <c r="Y1911" t="s">
        <v>55</v>
      </c>
      <c r="AC1911" s="2">
        <f t="shared" si="261"/>
        <v>2</v>
      </c>
      <c r="AD1911" s="2">
        <f t="shared" si="262"/>
        <v>19</v>
      </c>
      <c r="AE1911" s="2">
        <f t="shared" si="263"/>
        <v>17</v>
      </c>
      <c r="AF1911" s="2">
        <f t="shared" si="264"/>
        <v>23</v>
      </c>
      <c r="AG1911" s="2">
        <f t="shared" si="265"/>
        <v>4</v>
      </c>
      <c r="AH1911" s="4">
        <f t="shared" si="266"/>
        <v>45186.849814814814</v>
      </c>
      <c r="AI1911" s="2" t="str">
        <f t="shared" si="267"/>
        <v/>
      </c>
      <c r="AJ1911" s="2" t="str">
        <f t="shared" si="268"/>
        <v/>
      </c>
      <c r="AK1911" s="2" t="str">
        <f t="shared" si="269"/>
        <v/>
      </c>
    </row>
    <row r="1912" spans="1:37" x14ac:dyDescent="0.25">
      <c r="A1912">
        <v>1528</v>
      </c>
      <c r="B1912" t="s">
        <v>2080</v>
      </c>
      <c r="C1912" t="s">
        <v>1577</v>
      </c>
      <c r="D1912" t="s">
        <v>2032</v>
      </c>
      <c r="E1912" t="s">
        <v>1905</v>
      </c>
      <c r="F1912" t="s">
        <v>1906</v>
      </c>
      <c r="G1912" t="s">
        <v>38</v>
      </c>
      <c r="H1912" s="1">
        <v>44928.025208333333</v>
      </c>
      <c r="I1912" s="1">
        <v>44929.025208333333</v>
      </c>
      <c r="J1912" t="s">
        <v>32</v>
      </c>
      <c r="K1912" s="1">
        <v>44943.025208333333</v>
      </c>
      <c r="L1912" t="s">
        <v>57</v>
      </c>
      <c r="N1912" s="4">
        <v>44948.025208333333</v>
      </c>
      <c r="O1912" t="s">
        <v>57</v>
      </c>
      <c r="P1912" s="4">
        <v>44944.025208333333</v>
      </c>
      <c r="Q1912" s="4">
        <v>44946.025208333333</v>
      </c>
      <c r="R1912" s="4">
        <v>44945.025208333333</v>
      </c>
      <c r="S1912" s="4">
        <v>44952.025208333333</v>
      </c>
      <c r="T1912">
        <v>1</v>
      </c>
      <c r="U1912" s="4">
        <v>44956.025208333333</v>
      </c>
      <c r="V1912" s="4">
        <v>44959.025208333333</v>
      </c>
      <c r="W1912" s="4">
        <v>44960.025208333333</v>
      </c>
      <c r="Z1912" s="4">
        <v>44974.025208333333</v>
      </c>
      <c r="AC1912" s="2">
        <f t="shared" si="261"/>
        <v>1</v>
      </c>
      <c r="AD1912" s="2">
        <f t="shared" si="262"/>
        <v>15</v>
      </c>
      <c r="AE1912" s="2">
        <f t="shared" si="263"/>
        <v>14</v>
      </c>
      <c r="AF1912" s="2">
        <f t="shared" si="264"/>
        <v>17</v>
      </c>
      <c r="AG1912" s="2">
        <f t="shared" si="265"/>
        <v>2</v>
      </c>
      <c r="AH1912" s="4">
        <f t="shared" si="266"/>
        <v>45035.025208333333</v>
      </c>
      <c r="AI1912" s="2">
        <f t="shared" si="267"/>
        <v>4</v>
      </c>
      <c r="AJ1912" s="2">
        <f t="shared" si="268"/>
        <v>29</v>
      </c>
      <c r="AK1912" s="2">
        <f t="shared" si="269"/>
        <v>15</v>
      </c>
    </row>
    <row r="1913" spans="1:37" x14ac:dyDescent="0.25">
      <c r="A1913">
        <v>1525</v>
      </c>
      <c r="B1913" t="s">
        <v>2081</v>
      </c>
      <c r="C1913" t="s">
        <v>1577</v>
      </c>
      <c r="D1913" t="s">
        <v>2032</v>
      </c>
      <c r="E1913" t="s">
        <v>1905</v>
      </c>
      <c r="F1913" t="s">
        <v>1906</v>
      </c>
      <c r="G1913" t="s">
        <v>38</v>
      </c>
      <c r="H1913" s="1">
        <v>44928.025208333333</v>
      </c>
      <c r="I1913" s="1">
        <v>44932.025208333333</v>
      </c>
      <c r="J1913" t="s">
        <v>32</v>
      </c>
      <c r="K1913" s="1">
        <v>44945.025208333333</v>
      </c>
      <c r="L1913" t="s">
        <v>33</v>
      </c>
      <c r="M1913" t="s">
        <v>67</v>
      </c>
      <c r="R1913" s="4">
        <v>44946.025208333333</v>
      </c>
      <c r="T1913">
        <v>0</v>
      </c>
      <c r="Y1913" t="s">
        <v>35</v>
      </c>
      <c r="AC1913" s="2">
        <f t="shared" si="261"/>
        <v>4</v>
      </c>
      <c r="AD1913" s="2">
        <f t="shared" si="262"/>
        <v>17</v>
      </c>
      <c r="AE1913" s="2">
        <f t="shared" si="263"/>
        <v>13</v>
      </c>
      <c r="AF1913" s="2">
        <f t="shared" si="264"/>
        <v>18</v>
      </c>
      <c r="AG1913" s="2">
        <f t="shared" si="265"/>
        <v>1</v>
      </c>
      <c r="AH1913" s="4">
        <f t="shared" si="266"/>
        <v>45036.025208333333</v>
      </c>
      <c r="AI1913" s="2" t="str">
        <f t="shared" si="267"/>
        <v/>
      </c>
      <c r="AJ1913" s="2" t="str">
        <f t="shared" si="268"/>
        <v/>
      </c>
      <c r="AK1913" s="2" t="str">
        <f t="shared" si="269"/>
        <v/>
      </c>
    </row>
    <row r="1914" spans="1:37" x14ac:dyDescent="0.25">
      <c r="A1914">
        <v>1523</v>
      </c>
      <c r="B1914" t="s">
        <v>2082</v>
      </c>
      <c r="C1914" t="s">
        <v>1577</v>
      </c>
      <c r="D1914" t="s">
        <v>2032</v>
      </c>
      <c r="E1914" t="s">
        <v>1905</v>
      </c>
      <c r="F1914" t="s">
        <v>1906</v>
      </c>
      <c r="G1914" t="s">
        <v>38</v>
      </c>
      <c r="H1914" s="1">
        <v>44927.025208333333</v>
      </c>
      <c r="I1914" s="1">
        <v>44930.025208333333</v>
      </c>
      <c r="J1914" t="s">
        <v>32</v>
      </c>
      <c r="K1914" s="1">
        <v>44945.025208333333</v>
      </c>
      <c r="L1914" t="s">
        <v>39</v>
      </c>
      <c r="N1914" s="4">
        <v>44949.025208333333</v>
      </c>
      <c r="O1914" t="s">
        <v>39</v>
      </c>
      <c r="R1914" s="4">
        <v>44948.025208333333</v>
      </c>
      <c r="T1914">
        <v>0</v>
      </c>
      <c r="AC1914" s="2">
        <f t="shared" si="261"/>
        <v>3</v>
      </c>
      <c r="AD1914" s="2">
        <f t="shared" si="262"/>
        <v>18</v>
      </c>
      <c r="AE1914" s="2">
        <f t="shared" si="263"/>
        <v>15</v>
      </c>
      <c r="AF1914" s="2">
        <f t="shared" si="264"/>
        <v>21</v>
      </c>
      <c r="AG1914" s="2">
        <f t="shared" si="265"/>
        <v>3</v>
      </c>
      <c r="AH1914" s="4">
        <f t="shared" si="266"/>
        <v>45038.025208333333</v>
      </c>
      <c r="AI1914" s="2" t="str">
        <f t="shared" si="267"/>
        <v/>
      </c>
      <c r="AJ1914" s="2" t="str">
        <f t="shared" si="268"/>
        <v/>
      </c>
      <c r="AK1914" s="2" t="str">
        <f t="shared" si="269"/>
        <v/>
      </c>
    </row>
    <row r="1915" spans="1:37" x14ac:dyDescent="0.25">
      <c r="A1915">
        <v>1515</v>
      </c>
      <c r="B1915" t="s">
        <v>2083</v>
      </c>
      <c r="C1915" t="s">
        <v>1577</v>
      </c>
      <c r="D1915" t="s">
        <v>2032</v>
      </c>
      <c r="E1915" t="s">
        <v>1905</v>
      </c>
      <c r="F1915" t="s">
        <v>1906</v>
      </c>
      <c r="G1915" t="s">
        <v>38</v>
      </c>
      <c r="H1915" s="1">
        <v>44920.208773148152</v>
      </c>
      <c r="I1915" s="1">
        <v>44924.208773148152</v>
      </c>
      <c r="J1915" t="s">
        <v>32</v>
      </c>
      <c r="K1915" s="1">
        <v>44928.208773148152</v>
      </c>
      <c r="L1915" t="s">
        <v>39</v>
      </c>
      <c r="N1915" s="4">
        <v>44931.208773148152</v>
      </c>
      <c r="O1915" t="s">
        <v>39</v>
      </c>
      <c r="R1915" s="4">
        <v>44929.208773148152</v>
      </c>
      <c r="T1915">
        <v>0</v>
      </c>
      <c r="AC1915" s="2">
        <f t="shared" si="261"/>
        <v>4</v>
      </c>
      <c r="AD1915" s="2">
        <f t="shared" si="262"/>
        <v>8</v>
      </c>
      <c r="AE1915" s="2">
        <f t="shared" si="263"/>
        <v>4</v>
      </c>
      <c r="AF1915" s="2">
        <f t="shared" si="264"/>
        <v>9</v>
      </c>
      <c r="AG1915" s="2">
        <f t="shared" si="265"/>
        <v>1</v>
      </c>
      <c r="AH1915" s="4">
        <f t="shared" si="266"/>
        <v>45019.208773148152</v>
      </c>
      <c r="AI1915" s="2" t="str">
        <f t="shared" si="267"/>
        <v/>
      </c>
      <c r="AJ1915" s="2" t="str">
        <f t="shared" si="268"/>
        <v/>
      </c>
      <c r="AK1915" s="2" t="str">
        <f t="shared" si="269"/>
        <v/>
      </c>
    </row>
    <row r="1916" spans="1:37" x14ac:dyDescent="0.25">
      <c r="A1916">
        <v>1513</v>
      </c>
      <c r="B1916" t="s">
        <v>2084</v>
      </c>
      <c r="C1916" t="s">
        <v>1577</v>
      </c>
      <c r="D1916" t="s">
        <v>2032</v>
      </c>
      <c r="E1916" t="s">
        <v>1905</v>
      </c>
      <c r="F1916" t="s">
        <v>1906</v>
      </c>
      <c r="G1916" t="s">
        <v>38</v>
      </c>
      <c r="H1916" s="1">
        <v>44925.208773148152</v>
      </c>
      <c r="I1916" s="1">
        <v>44926.208773148152</v>
      </c>
      <c r="J1916" t="s">
        <v>32</v>
      </c>
      <c r="K1916" s="1">
        <v>44937.208773148152</v>
      </c>
      <c r="L1916" t="s">
        <v>33</v>
      </c>
      <c r="M1916" t="s">
        <v>108</v>
      </c>
      <c r="T1916">
        <v>0</v>
      </c>
      <c r="Y1916" t="s">
        <v>35</v>
      </c>
      <c r="AC1916" s="2">
        <f t="shared" si="261"/>
        <v>1</v>
      </c>
      <c r="AD1916" s="2">
        <f t="shared" si="262"/>
        <v>12</v>
      </c>
      <c r="AE1916" s="2">
        <f t="shared" si="263"/>
        <v>11</v>
      </c>
      <c r="AF1916" s="2" t="str">
        <f t="shared" si="264"/>
        <v/>
      </c>
      <c r="AG1916" s="2" t="str">
        <f t="shared" si="265"/>
        <v/>
      </c>
      <c r="AH1916" s="4" t="str">
        <f t="shared" si="266"/>
        <v/>
      </c>
      <c r="AI1916" s="2" t="str">
        <f t="shared" si="267"/>
        <v/>
      </c>
      <c r="AJ1916" s="2" t="str">
        <f t="shared" si="268"/>
        <v/>
      </c>
      <c r="AK1916" s="2" t="str">
        <f t="shared" si="269"/>
        <v/>
      </c>
    </row>
    <row r="1917" spans="1:37" x14ac:dyDescent="0.25">
      <c r="A1917">
        <v>1433</v>
      </c>
      <c r="B1917" t="s">
        <v>2085</v>
      </c>
      <c r="C1917" t="s">
        <v>1577</v>
      </c>
      <c r="D1917" t="s">
        <v>2032</v>
      </c>
      <c r="E1917" t="s">
        <v>1905</v>
      </c>
      <c r="F1917" t="s">
        <v>1906</v>
      </c>
      <c r="G1917" t="s">
        <v>38</v>
      </c>
      <c r="H1917" s="1">
        <v>45085.936932870369</v>
      </c>
      <c r="I1917" s="1">
        <v>45088.936932870369</v>
      </c>
      <c r="J1917" t="s">
        <v>32</v>
      </c>
      <c r="K1917" s="1">
        <v>45106.936932870369</v>
      </c>
      <c r="L1917" t="s">
        <v>57</v>
      </c>
      <c r="N1917" s="4">
        <v>45110.936932870369</v>
      </c>
      <c r="O1917" t="s">
        <v>57</v>
      </c>
      <c r="P1917" s="4">
        <v>45108.936932870369</v>
      </c>
      <c r="Q1917" s="4">
        <v>45110.936932870369</v>
      </c>
      <c r="R1917" s="4">
        <v>45108.936932870369</v>
      </c>
      <c r="S1917" s="4">
        <v>45116.936932870369</v>
      </c>
      <c r="T1917">
        <v>1</v>
      </c>
      <c r="U1917" s="4">
        <v>45118.936932870369</v>
      </c>
      <c r="V1917" s="4">
        <v>45121.936932870369</v>
      </c>
      <c r="W1917" s="4">
        <v>45122.936932870369</v>
      </c>
      <c r="Z1917" s="4">
        <v>45142.936932870369</v>
      </c>
      <c r="AC1917" s="2">
        <f t="shared" si="261"/>
        <v>3</v>
      </c>
      <c r="AD1917" s="2">
        <f t="shared" si="262"/>
        <v>21</v>
      </c>
      <c r="AE1917" s="2">
        <f t="shared" si="263"/>
        <v>18</v>
      </c>
      <c r="AF1917" s="2">
        <f t="shared" si="264"/>
        <v>23</v>
      </c>
      <c r="AG1917" s="2">
        <f t="shared" si="265"/>
        <v>2</v>
      </c>
      <c r="AH1917" s="4">
        <f t="shared" si="266"/>
        <v>45198.936932870369</v>
      </c>
      <c r="AI1917" s="2">
        <f t="shared" si="267"/>
        <v>2</v>
      </c>
      <c r="AJ1917" s="2">
        <f t="shared" si="268"/>
        <v>34</v>
      </c>
      <c r="AK1917" s="2">
        <f t="shared" si="269"/>
        <v>14</v>
      </c>
    </row>
    <row r="1918" spans="1:37" x14ac:dyDescent="0.25">
      <c r="A1918">
        <v>1392</v>
      </c>
      <c r="B1918" t="s">
        <v>2086</v>
      </c>
      <c r="C1918" t="s">
        <v>1577</v>
      </c>
      <c r="D1918" t="s">
        <v>2032</v>
      </c>
      <c r="E1918" t="s">
        <v>1905</v>
      </c>
      <c r="F1918" t="s">
        <v>1906</v>
      </c>
      <c r="G1918" t="s">
        <v>38</v>
      </c>
      <c r="H1918" s="1">
        <v>44792.359849537039</v>
      </c>
      <c r="I1918" s="1">
        <v>44795.359849537039</v>
      </c>
      <c r="J1918" t="s">
        <v>32</v>
      </c>
      <c r="K1918" s="1">
        <v>44802.359849537039</v>
      </c>
      <c r="L1918" t="s">
        <v>39</v>
      </c>
      <c r="N1918" s="4">
        <v>44807.359849537039</v>
      </c>
      <c r="O1918" t="s">
        <v>39</v>
      </c>
      <c r="R1918" s="4">
        <v>44805.359849537039</v>
      </c>
      <c r="T1918">
        <v>0</v>
      </c>
      <c r="AC1918" s="2">
        <f t="shared" si="261"/>
        <v>3</v>
      </c>
      <c r="AD1918" s="2">
        <f t="shared" si="262"/>
        <v>10</v>
      </c>
      <c r="AE1918" s="2">
        <f t="shared" si="263"/>
        <v>7</v>
      </c>
      <c r="AF1918" s="2">
        <f t="shared" si="264"/>
        <v>13</v>
      </c>
      <c r="AG1918" s="2">
        <f t="shared" si="265"/>
        <v>3</v>
      </c>
      <c r="AH1918" s="4">
        <f t="shared" si="266"/>
        <v>44895.359849537039</v>
      </c>
      <c r="AI1918" s="2" t="str">
        <f t="shared" si="267"/>
        <v/>
      </c>
      <c r="AJ1918" s="2" t="str">
        <f t="shared" si="268"/>
        <v/>
      </c>
      <c r="AK1918" s="2" t="str">
        <f t="shared" si="269"/>
        <v/>
      </c>
    </row>
    <row r="1919" spans="1:37" x14ac:dyDescent="0.25">
      <c r="A1919">
        <v>1335</v>
      </c>
      <c r="B1919" t="s">
        <v>2087</v>
      </c>
      <c r="C1919" t="s">
        <v>1577</v>
      </c>
      <c r="D1919" t="s">
        <v>2032</v>
      </c>
      <c r="E1919" t="s">
        <v>1905</v>
      </c>
      <c r="F1919" t="s">
        <v>1906</v>
      </c>
      <c r="G1919" t="s">
        <v>38</v>
      </c>
      <c r="H1919" s="1">
        <v>45169.691018518519</v>
      </c>
      <c r="I1919" s="1">
        <v>45172.691018518519</v>
      </c>
      <c r="J1919" t="s">
        <v>44</v>
      </c>
      <c r="K1919" s="1"/>
      <c r="T1919">
        <v>0</v>
      </c>
      <c r="AC1919" s="2">
        <f t="shared" si="261"/>
        <v>3</v>
      </c>
      <c r="AD1919" s="2" t="str">
        <f t="shared" si="262"/>
        <v/>
      </c>
      <c r="AE1919" s="2" t="str">
        <f t="shared" si="263"/>
        <v/>
      </c>
      <c r="AF1919" s="2" t="str">
        <f t="shared" si="264"/>
        <v/>
      </c>
      <c r="AG1919" s="2" t="str">
        <f t="shared" si="265"/>
        <v/>
      </c>
      <c r="AH1919" s="4" t="str">
        <f t="shared" si="266"/>
        <v/>
      </c>
      <c r="AI1919" s="2" t="str">
        <f t="shared" si="267"/>
        <v/>
      </c>
      <c r="AJ1919" s="2" t="str">
        <f t="shared" si="268"/>
        <v/>
      </c>
      <c r="AK1919" s="2" t="str">
        <f t="shared" si="269"/>
        <v/>
      </c>
    </row>
    <row r="1920" spans="1:37" x14ac:dyDescent="0.25">
      <c r="A1920">
        <v>1305</v>
      </c>
      <c r="B1920" t="s">
        <v>2088</v>
      </c>
      <c r="C1920" t="s">
        <v>1577</v>
      </c>
      <c r="D1920" t="s">
        <v>2032</v>
      </c>
      <c r="E1920" t="s">
        <v>1905</v>
      </c>
      <c r="F1920" t="s">
        <v>1906</v>
      </c>
      <c r="G1920" t="s">
        <v>38</v>
      </c>
      <c r="H1920" s="1">
        <v>44914.189664351848</v>
      </c>
      <c r="I1920" s="1">
        <v>44916.189664351848</v>
      </c>
      <c r="J1920" t="s">
        <v>32</v>
      </c>
      <c r="K1920" s="1">
        <v>44927.189664351848</v>
      </c>
      <c r="L1920" t="s">
        <v>33</v>
      </c>
      <c r="M1920" t="s">
        <v>108</v>
      </c>
      <c r="R1920" s="4">
        <v>44928.189664351848</v>
      </c>
      <c r="T1920">
        <v>0</v>
      </c>
      <c r="Y1920" t="s">
        <v>55</v>
      </c>
      <c r="AC1920" s="2">
        <f t="shared" si="261"/>
        <v>2</v>
      </c>
      <c r="AD1920" s="2">
        <f t="shared" si="262"/>
        <v>13</v>
      </c>
      <c r="AE1920" s="2">
        <f t="shared" si="263"/>
        <v>11</v>
      </c>
      <c r="AF1920" s="2">
        <f t="shared" si="264"/>
        <v>14</v>
      </c>
      <c r="AG1920" s="2">
        <f t="shared" si="265"/>
        <v>1</v>
      </c>
      <c r="AH1920" s="4">
        <f t="shared" si="266"/>
        <v>45018.189664351848</v>
      </c>
      <c r="AI1920" s="2" t="str">
        <f t="shared" si="267"/>
        <v/>
      </c>
      <c r="AJ1920" s="2" t="str">
        <f t="shared" si="268"/>
        <v/>
      </c>
      <c r="AK1920" s="2" t="str">
        <f t="shared" si="269"/>
        <v/>
      </c>
    </row>
    <row r="1921" spans="1:37" x14ac:dyDescent="0.25">
      <c r="A1921">
        <v>1290</v>
      </c>
      <c r="B1921" t="s">
        <v>2089</v>
      </c>
      <c r="C1921" t="s">
        <v>1577</v>
      </c>
      <c r="D1921" t="s">
        <v>2032</v>
      </c>
      <c r="E1921" t="s">
        <v>1905</v>
      </c>
      <c r="F1921" t="s">
        <v>1906</v>
      </c>
      <c r="G1921" t="s">
        <v>38</v>
      </c>
      <c r="H1921" s="1">
        <v>44644.736006944448</v>
      </c>
      <c r="I1921" s="1">
        <v>44645.736006944448</v>
      </c>
      <c r="J1921" t="s">
        <v>32</v>
      </c>
      <c r="K1921" s="1">
        <v>44652.736006944448</v>
      </c>
      <c r="L1921" t="s">
        <v>33</v>
      </c>
      <c r="M1921" t="s">
        <v>51</v>
      </c>
      <c r="T1921">
        <v>0</v>
      </c>
      <c r="Y1921" t="s">
        <v>35</v>
      </c>
      <c r="AC1921" s="2">
        <f t="shared" si="261"/>
        <v>1</v>
      </c>
      <c r="AD1921" s="2">
        <f t="shared" si="262"/>
        <v>8</v>
      </c>
      <c r="AE1921" s="2">
        <f t="shared" si="263"/>
        <v>7</v>
      </c>
      <c r="AF1921" s="2" t="str">
        <f t="shared" si="264"/>
        <v/>
      </c>
      <c r="AG1921" s="2" t="str">
        <f t="shared" si="265"/>
        <v/>
      </c>
      <c r="AH1921" s="4" t="str">
        <f t="shared" si="266"/>
        <v/>
      </c>
      <c r="AI1921" s="2" t="str">
        <f t="shared" si="267"/>
        <v/>
      </c>
      <c r="AJ1921" s="2" t="str">
        <f t="shared" si="268"/>
        <v/>
      </c>
      <c r="AK1921" s="2" t="str">
        <f t="shared" si="269"/>
        <v/>
      </c>
    </row>
    <row r="1922" spans="1:37" x14ac:dyDescent="0.25">
      <c r="A1922">
        <v>1257</v>
      </c>
      <c r="B1922" t="s">
        <v>2090</v>
      </c>
      <c r="C1922" t="s">
        <v>1577</v>
      </c>
      <c r="D1922" t="s">
        <v>2032</v>
      </c>
      <c r="E1922" t="s">
        <v>1905</v>
      </c>
      <c r="F1922" t="s">
        <v>1906</v>
      </c>
      <c r="G1922" t="s">
        <v>38</v>
      </c>
      <c r="H1922" s="1">
        <v>44739.170439814814</v>
      </c>
      <c r="I1922" s="1">
        <v>44740.170439814814</v>
      </c>
      <c r="J1922" t="s">
        <v>32</v>
      </c>
      <c r="K1922" s="1">
        <v>44749.170439814814</v>
      </c>
      <c r="L1922" t="s">
        <v>164</v>
      </c>
      <c r="N1922" s="4">
        <v>44754.170439814814</v>
      </c>
      <c r="O1922" t="s">
        <v>164</v>
      </c>
      <c r="R1922" s="4">
        <v>44752.170439814814</v>
      </c>
      <c r="T1922">
        <v>0</v>
      </c>
      <c r="AC1922" s="2">
        <f t="shared" si="261"/>
        <v>1</v>
      </c>
      <c r="AD1922" s="2">
        <f t="shared" si="262"/>
        <v>10</v>
      </c>
      <c r="AE1922" s="2">
        <f t="shared" si="263"/>
        <v>9</v>
      </c>
      <c r="AF1922" s="2">
        <f t="shared" si="264"/>
        <v>13</v>
      </c>
      <c r="AG1922" s="2">
        <f t="shared" si="265"/>
        <v>3</v>
      </c>
      <c r="AH1922" s="4">
        <f t="shared" si="266"/>
        <v>44842.170439814814</v>
      </c>
      <c r="AI1922" s="2" t="str">
        <f t="shared" si="267"/>
        <v/>
      </c>
      <c r="AJ1922" s="2" t="str">
        <f t="shared" si="268"/>
        <v/>
      </c>
      <c r="AK1922" s="2" t="str">
        <f t="shared" si="269"/>
        <v/>
      </c>
    </row>
    <row r="1923" spans="1:37" x14ac:dyDescent="0.25">
      <c r="A1923">
        <v>1255</v>
      </c>
      <c r="B1923" t="s">
        <v>2091</v>
      </c>
      <c r="C1923" t="s">
        <v>1577</v>
      </c>
      <c r="D1923" t="s">
        <v>2032</v>
      </c>
      <c r="E1923" t="s">
        <v>1905</v>
      </c>
      <c r="F1923" t="s">
        <v>1906</v>
      </c>
      <c r="G1923" t="s">
        <v>38</v>
      </c>
      <c r="H1923" s="1">
        <v>44738.170439814814</v>
      </c>
      <c r="I1923" s="1">
        <v>44740.170439814814</v>
      </c>
      <c r="J1923" t="s">
        <v>32</v>
      </c>
      <c r="K1923" s="1">
        <v>44744.170439814814</v>
      </c>
      <c r="L1923" t="s">
        <v>33</v>
      </c>
      <c r="M1923" t="s">
        <v>67</v>
      </c>
      <c r="R1923" s="4">
        <v>44748.170439814814</v>
      </c>
      <c r="T1923">
        <v>0</v>
      </c>
      <c r="Y1923" t="s">
        <v>35</v>
      </c>
      <c r="AC1923" s="2">
        <f t="shared" ref="AC1923:AC1986" si="270">IF(AND(I1923&lt;&gt;"",H1923&lt;&gt;""), I1923-H1923, "")</f>
        <v>2</v>
      </c>
      <c r="AD1923" s="2">
        <f t="shared" ref="AD1923:AD1986" si="271">IF(AND(K1923&lt;&gt;"",H1923&lt;&gt;""), K1923-H1923, "")</f>
        <v>6</v>
      </c>
      <c r="AE1923" s="2">
        <f t="shared" ref="AE1923:AE1986" si="272">IF(AND(K1923&lt;&gt;"",I1923&lt;&gt;""), K1923-I1923, "")</f>
        <v>4</v>
      </c>
      <c r="AF1923" s="2">
        <f t="shared" ref="AF1923:AF1986" si="273">IF(AND(R1923&lt;&gt;"",H1923&lt;&gt;""), R1923-H1923, "")</f>
        <v>10</v>
      </c>
      <c r="AG1923" s="2">
        <f t="shared" ref="AG1923:AG1986" si="274">IF(AND(R1923&lt;&gt;"",K1923&lt;&gt;""), R1923-K1923, "")</f>
        <v>4</v>
      </c>
      <c r="AH1923" s="4">
        <f t="shared" ref="AH1923:AH1986" si="275">IF(R1923&lt;&gt;"", R1923+90, "")</f>
        <v>44838.170439814814</v>
      </c>
      <c r="AI1923" s="2" t="str">
        <f t="shared" ref="AI1923:AI1986" si="276">IF(AND(U1923&lt;&gt;"",S1923&lt;&gt;""), U1923-S1923, "")</f>
        <v/>
      </c>
      <c r="AJ1923" s="2" t="str">
        <f t="shared" ref="AJ1923:AJ1986" si="277">IF(AND(Z1923&lt;&gt;"",R1923&lt;&gt;""), Z1923-R1923, "")</f>
        <v/>
      </c>
      <c r="AK1923" s="2" t="str">
        <f t="shared" ref="AK1923:AK1986" si="278">IF(AND(W1923&lt;&gt;"",R1923&lt;&gt;""), W1923-R1923, "")</f>
        <v/>
      </c>
    </row>
    <row r="1924" spans="1:37" x14ac:dyDescent="0.25">
      <c r="A1924">
        <v>1253</v>
      </c>
      <c r="B1924" t="s">
        <v>2092</v>
      </c>
      <c r="C1924" t="s">
        <v>1577</v>
      </c>
      <c r="D1924" t="s">
        <v>2032</v>
      </c>
      <c r="E1924" t="s">
        <v>1905</v>
      </c>
      <c r="F1924" t="s">
        <v>1906</v>
      </c>
      <c r="G1924" t="s">
        <v>38</v>
      </c>
      <c r="H1924" s="1">
        <v>44736.170439814814</v>
      </c>
      <c r="I1924" s="1">
        <v>44739.170439814814</v>
      </c>
      <c r="J1924" t="s">
        <v>32</v>
      </c>
      <c r="K1924" s="1">
        <v>44761.170439814814</v>
      </c>
      <c r="L1924" t="s">
        <v>57</v>
      </c>
      <c r="N1924" s="4">
        <v>44768.170439814814</v>
      </c>
      <c r="O1924" t="s">
        <v>57</v>
      </c>
      <c r="P1924" s="4">
        <v>44763.170439814814</v>
      </c>
      <c r="Q1924" s="4">
        <v>44764.170439814814</v>
      </c>
      <c r="R1924" s="4">
        <v>44764.170439814814</v>
      </c>
      <c r="S1924" s="4">
        <v>44771.170439814814</v>
      </c>
      <c r="T1924">
        <v>1</v>
      </c>
      <c r="U1924" s="4">
        <v>44773.170439814814</v>
      </c>
      <c r="V1924" s="4">
        <v>44776.170439814814</v>
      </c>
      <c r="W1924" s="4">
        <v>44778.170439814814</v>
      </c>
      <c r="Z1924" s="4">
        <v>44788.170439814814</v>
      </c>
      <c r="AC1924" s="2">
        <f t="shared" si="270"/>
        <v>3</v>
      </c>
      <c r="AD1924" s="2">
        <f t="shared" si="271"/>
        <v>25</v>
      </c>
      <c r="AE1924" s="2">
        <f t="shared" si="272"/>
        <v>22</v>
      </c>
      <c r="AF1924" s="2">
        <f t="shared" si="273"/>
        <v>28</v>
      </c>
      <c r="AG1924" s="2">
        <f t="shared" si="274"/>
        <v>3</v>
      </c>
      <c r="AH1924" s="4">
        <f t="shared" si="275"/>
        <v>44854.170439814814</v>
      </c>
      <c r="AI1924" s="2">
        <f t="shared" si="276"/>
        <v>2</v>
      </c>
      <c r="AJ1924" s="2">
        <f t="shared" si="277"/>
        <v>24</v>
      </c>
      <c r="AK1924" s="2">
        <f t="shared" si="278"/>
        <v>14</v>
      </c>
    </row>
    <row r="1925" spans="1:37" x14ac:dyDescent="0.25">
      <c r="A1925">
        <v>1148</v>
      </c>
      <c r="B1925" t="s">
        <v>2093</v>
      </c>
      <c r="C1925" t="s">
        <v>1577</v>
      </c>
      <c r="D1925" t="s">
        <v>2032</v>
      </c>
      <c r="E1925" t="s">
        <v>1905</v>
      </c>
      <c r="F1925" t="s">
        <v>1906</v>
      </c>
      <c r="G1925" t="s">
        <v>38</v>
      </c>
      <c r="H1925" s="1">
        <v>45141.067280092589</v>
      </c>
      <c r="I1925" s="1">
        <v>45144.067280092589</v>
      </c>
      <c r="J1925" t="s">
        <v>32</v>
      </c>
      <c r="K1925" s="1">
        <v>45155.067280092589</v>
      </c>
      <c r="L1925" t="s">
        <v>33</v>
      </c>
      <c r="M1925" t="s">
        <v>108</v>
      </c>
      <c r="T1925">
        <v>0</v>
      </c>
      <c r="Y1925" t="s">
        <v>35</v>
      </c>
      <c r="AC1925" s="2">
        <f t="shared" si="270"/>
        <v>3</v>
      </c>
      <c r="AD1925" s="2">
        <f t="shared" si="271"/>
        <v>14</v>
      </c>
      <c r="AE1925" s="2">
        <f t="shared" si="272"/>
        <v>11</v>
      </c>
      <c r="AF1925" s="2" t="str">
        <f t="shared" si="273"/>
        <v/>
      </c>
      <c r="AG1925" s="2" t="str">
        <f t="shared" si="274"/>
        <v/>
      </c>
      <c r="AH1925" s="4" t="str">
        <f t="shared" si="275"/>
        <v/>
      </c>
      <c r="AI1925" s="2" t="str">
        <f t="shared" si="276"/>
        <v/>
      </c>
      <c r="AJ1925" s="2" t="str">
        <f t="shared" si="277"/>
        <v/>
      </c>
      <c r="AK1925" s="2" t="str">
        <f t="shared" si="278"/>
        <v/>
      </c>
    </row>
    <row r="1926" spans="1:37" x14ac:dyDescent="0.25">
      <c r="A1926">
        <v>1145</v>
      </c>
      <c r="B1926" t="s">
        <v>2094</v>
      </c>
      <c r="C1926" t="s">
        <v>1577</v>
      </c>
      <c r="D1926" t="s">
        <v>2032</v>
      </c>
      <c r="E1926" t="s">
        <v>1905</v>
      </c>
      <c r="F1926" t="s">
        <v>1906</v>
      </c>
      <c r="G1926" t="s">
        <v>38</v>
      </c>
      <c r="H1926" s="1">
        <v>45144.067280092589</v>
      </c>
      <c r="I1926" s="1">
        <v>45145.067280092589</v>
      </c>
      <c r="J1926" t="s">
        <v>32</v>
      </c>
      <c r="K1926" s="1">
        <v>45151.067280092589</v>
      </c>
      <c r="L1926" t="s">
        <v>33</v>
      </c>
      <c r="M1926" t="s">
        <v>67</v>
      </c>
      <c r="R1926" s="4">
        <v>45155.067280092589</v>
      </c>
      <c r="T1926">
        <v>0</v>
      </c>
      <c r="Y1926" t="s">
        <v>55</v>
      </c>
      <c r="AC1926" s="2">
        <f t="shared" si="270"/>
        <v>1</v>
      </c>
      <c r="AD1926" s="2">
        <f t="shared" si="271"/>
        <v>7</v>
      </c>
      <c r="AE1926" s="2">
        <f t="shared" si="272"/>
        <v>6</v>
      </c>
      <c r="AF1926" s="2">
        <f t="shared" si="273"/>
        <v>11</v>
      </c>
      <c r="AG1926" s="2">
        <f t="shared" si="274"/>
        <v>4</v>
      </c>
      <c r="AH1926" s="4">
        <f t="shared" si="275"/>
        <v>45245.067280092589</v>
      </c>
      <c r="AI1926" s="2" t="str">
        <f t="shared" si="276"/>
        <v/>
      </c>
      <c r="AJ1926" s="2" t="str">
        <f t="shared" si="277"/>
        <v/>
      </c>
      <c r="AK1926" s="2" t="str">
        <f t="shared" si="278"/>
        <v/>
      </c>
    </row>
    <row r="1927" spans="1:37" x14ac:dyDescent="0.25">
      <c r="A1927">
        <v>1119</v>
      </c>
      <c r="B1927" t="s">
        <v>2095</v>
      </c>
      <c r="C1927" t="s">
        <v>1577</v>
      </c>
      <c r="D1927" t="s">
        <v>2032</v>
      </c>
      <c r="E1927" t="s">
        <v>1905</v>
      </c>
      <c r="F1927" t="s">
        <v>1906</v>
      </c>
      <c r="G1927" t="s">
        <v>38</v>
      </c>
      <c r="H1927" s="1">
        <v>45019.266469907408</v>
      </c>
      <c r="I1927" s="1">
        <v>45022.266469907408</v>
      </c>
      <c r="J1927" t="s">
        <v>44</v>
      </c>
      <c r="K1927" s="1"/>
      <c r="T1927">
        <v>0</v>
      </c>
      <c r="AC1927" s="2">
        <f t="shared" si="270"/>
        <v>3</v>
      </c>
      <c r="AD1927" s="2" t="str">
        <f t="shared" si="271"/>
        <v/>
      </c>
      <c r="AE1927" s="2" t="str">
        <f t="shared" si="272"/>
        <v/>
      </c>
      <c r="AF1927" s="2" t="str">
        <f t="shared" si="273"/>
        <v/>
      </c>
      <c r="AG1927" s="2" t="str">
        <f t="shared" si="274"/>
        <v/>
      </c>
      <c r="AH1927" s="4" t="str">
        <f t="shared" si="275"/>
        <v/>
      </c>
      <c r="AI1927" s="2" t="str">
        <f t="shared" si="276"/>
        <v/>
      </c>
      <c r="AJ1927" s="2" t="str">
        <f t="shared" si="277"/>
        <v/>
      </c>
      <c r="AK1927" s="2" t="str">
        <f t="shared" si="278"/>
        <v/>
      </c>
    </row>
    <row r="1928" spans="1:37" x14ac:dyDescent="0.25">
      <c r="A1928">
        <v>1114</v>
      </c>
      <c r="B1928" t="s">
        <v>2096</v>
      </c>
      <c r="C1928" t="s">
        <v>1577</v>
      </c>
      <c r="D1928" t="s">
        <v>2032</v>
      </c>
      <c r="E1928" t="s">
        <v>1905</v>
      </c>
      <c r="F1928" t="s">
        <v>1906</v>
      </c>
      <c r="G1928" t="s">
        <v>38</v>
      </c>
      <c r="H1928" s="1">
        <v>45021.266469907408</v>
      </c>
      <c r="I1928" s="1">
        <v>45022.266469907408</v>
      </c>
      <c r="J1928" t="s">
        <v>44</v>
      </c>
      <c r="K1928" s="1"/>
      <c r="T1928">
        <v>0</v>
      </c>
      <c r="AC1928" s="2">
        <f t="shared" si="270"/>
        <v>1</v>
      </c>
      <c r="AD1928" s="2" t="str">
        <f t="shared" si="271"/>
        <v/>
      </c>
      <c r="AE1928" s="2" t="str">
        <f t="shared" si="272"/>
        <v/>
      </c>
      <c r="AF1928" s="2" t="str">
        <f t="shared" si="273"/>
        <v/>
      </c>
      <c r="AG1928" s="2" t="str">
        <f t="shared" si="274"/>
        <v/>
      </c>
      <c r="AH1928" s="4" t="str">
        <f t="shared" si="275"/>
        <v/>
      </c>
      <c r="AI1928" s="2" t="str">
        <f t="shared" si="276"/>
        <v/>
      </c>
      <c r="AJ1928" s="2" t="str">
        <f t="shared" si="277"/>
        <v/>
      </c>
      <c r="AK1928" s="2" t="str">
        <f t="shared" si="278"/>
        <v/>
      </c>
    </row>
    <row r="1929" spans="1:37" x14ac:dyDescent="0.25">
      <c r="A1929">
        <v>1064</v>
      </c>
      <c r="B1929" t="s">
        <v>2097</v>
      </c>
      <c r="C1929" t="s">
        <v>1577</v>
      </c>
      <c r="D1929" t="s">
        <v>2032</v>
      </c>
      <c r="E1929" t="s">
        <v>1905</v>
      </c>
      <c r="F1929" t="s">
        <v>1906</v>
      </c>
      <c r="G1929" t="s">
        <v>38</v>
      </c>
      <c r="H1929" s="1">
        <v>44782.414236111108</v>
      </c>
      <c r="I1929" s="1">
        <v>44785.414236111108</v>
      </c>
      <c r="J1929" t="s">
        <v>32</v>
      </c>
      <c r="K1929" s="1">
        <v>44789.414236111108</v>
      </c>
      <c r="L1929" t="s">
        <v>33</v>
      </c>
      <c r="M1929" t="s">
        <v>108</v>
      </c>
      <c r="T1929">
        <v>0</v>
      </c>
      <c r="Y1929" t="s">
        <v>35</v>
      </c>
      <c r="AC1929" s="2">
        <f t="shared" si="270"/>
        <v>3</v>
      </c>
      <c r="AD1929" s="2">
        <f t="shared" si="271"/>
        <v>7</v>
      </c>
      <c r="AE1929" s="2">
        <f t="shared" si="272"/>
        <v>4</v>
      </c>
      <c r="AF1929" s="2" t="str">
        <f t="shared" si="273"/>
        <v/>
      </c>
      <c r="AG1929" s="2" t="str">
        <f t="shared" si="274"/>
        <v/>
      </c>
      <c r="AH1929" s="4" t="str">
        <f t="shared" si="275"/>
        <v/>
      </c>
      <c r="AI1929" s="2" t="str">
        <f t="shared" si="276"/>
        <v/>
      </c>
      <c r="AJ1929" s="2" t="str">
        <f t="shared" si="277"/>
        <v/>
      </c>
      <c r="AK1929" s="2" t="str">
        <f t="shared" si="278"/>
        <v/>
      </c>
    </row>
    <row r="1930" spans="1:37" x14ac:dyDescent="0.25">
      <c r="A1930">
        <v>1062</v>
      </c>
      <c r="B1930" t="s">
        <v>2098</v>
      </c>
      <c r="C1930" t="s">
        <v>1577</v>
      </c>
      <c r="D1930" t="s">
        <v>2032</v>
      </c>
      <c r="E1930" t="s">
        <v>1905</v>
      </c>
      <c r="F1930" t="s">
        <v>1906</v>
      </c>
      <c r="G1930" t="s">
        <v>38</v>
      </c>
      <c r="H1930" s="1">
        <v>44779.414236111108</v>
      </c>
      <c r="I1930" s="1">
        <v>44780.414236111108</v>
      </c>
      <c r="J1930" t="s">
        <v>32</v>
      </c>
      <c r="K1930" s="1">
        <v>44790.414236111108</v>
      </c>
      <c r="L1930" t="s">
        <v>33</v>
      </c>
      <c r="M1930" t="s">
        <v>92</v>
      </c>
      <c r="R1930" s="4">
        <v>44793.414236111108</v>
      </c>
      <c r="T1930">
        <v>0</v>
      </c>
      <c r="Y1930" t="s">
        <v>55</v>
      </c>
      <c r="AC1930" s="2">
        <f t="shared" si="270"/>
        <v>1</v>
      </c>
      <c r="AD1930" s="2">
        <f t="shared" si="271"/>
        <v>11</v>
      </c>
      <c r="AE1930" s="2">
        <f t="shared" si="272"/>
        <v>10</v>
      </c>
      <c r="AF1930" s="2">
        <f t="shared" si="273"/>
        <v>14</v>
      </c>
      <c r="AG1930" s="2">
        <f t="shared" si="274"/>
        <v>3</v>
      </c>
      <c r="AH1930" s="4">
        <f t="shared" si="275"/>
        <v>44883.414236111108</v>
      </c>
      <c r="AI1930" s="2" t="str">
        <f t="shared" si="276"/>
        <v/>
      </c>
      <c r="AJ1930" s="2" t="str">
        <f t="shared" si="277"/>
        <v/>
      </c>
      <c r="AK1930" s="2" t="str">
        <f t="shared" si="278"/>
        <v/>
      </c>
    </row>
    <row r="1931" spans="1:37" x14ac:dyDescent="0.25">
      <c r="A1931">
        <v>1036</v>
      </c>
      <c r="B1931" t="s">
        <v>2099</v>
      </c>
      <c r="C1931" t="s">
        <v>1577</v>
      </c>
      <c r="D1931" t="s">
        <v>2032</v>
      </c>
      <c r="E1931" t="s">
        <v>1905</v>
      </c>
      <c r="F1931" t="s">
        <v>1906</v>
      </c>
      <c r="G1931" t="s">
        <v>38</v>
      </c>
      <c r="H1931" s="1">
        <v>44988.822372685187</v>
      </c>
      <c r="I1931" s="1">
        <v>44990.822372685187</v>
      </c>
      <c r="J1931" t="s">
        <v>32</v>
      </c>
      <c r="K1931" s="1">
        <v>45006.822372685187</v>
      </c>
      <c r="L1931" t="s">
        <v>33</v>
      </c>
      <c r="M1931" t="s">
        <v>34</v>
      </c>
      <c r="T1931">
        <v>0</v>
      </c>
      <c r="Y1931" t="s">
        <v>55</v>
      </c>
      <c r="AC1931" s="2">
        <f t="shared" si="270"/>
        <v>2</v>
      </c>
      <c r="AD1931" s="2">
        <f t="shared" si="271"/>
        <v>18</v>
      </c>
      <c r="AE1931" s="2">
        <f t="shared" si="272"/>
        <v>16</v>
      </c>
      <c r="AF1931" s="2" t="str">
        <f t="shared" si="273"/>
        <v/>
      </c>
      <c r="AG1931" s="2" t="str">
        <f t="shared" si="274"/>
        <v/>
      </c>
      <c r="AH1931" s="4" t="str">
        <f t="shared" si="275"/>
        <v/>
      </c>
      <c r="AI1931" s="2" t="str">
        <f t="shared" si="276"/>
        <v/>
      </c>
      <c r="AJ1931" s="2" t="str">
        <f t="shared" si="277"/>
        <v/>
      </c>
      <c r="AK1931" s="2" t="str">
        <f t="shared" si="278"/>
        <v/>
      </c>
    </row>
    <row r="1932" spans="1:37" x14ac:dyDescent="0.25">
      <c r="A1932">
        <v>1031</v>
      </c>
      <c r="B1932" t="s">
        <v>2100</v>
      </c>
      <c r="C1932" t="s">
        <v>1577</v>
      </c>
      <c r="D1932" t="s">
        <v>2032</v>
      </c>
      <c r="E1932" t="s">
        <v>1905</v>
      </c>
      <c r="F1932" t="s">
        <v>1906</v>
      </c>
      <c r="G1932" t="s">
        <v>38</v>
      </c>
      <c r="H1932" s="1">
        <v>44990.822372685187</v>
      </c>
      <c r="I1932" s="1">
        <v>44991.822372685187</v>
      </c>
      <c r="J1932" t="s">
        <v>32</v>
      </c>
      <c r="K1932" s="1">
        <v>44997.822372685187</v>
      </c>
      <c r="L1932" t="s">
        <v>39</v>
      </c>
      <c r="N1932" s="4">
        <v>44999.822372685187</v>
      </c>
      <c r="O1932" t="s">
        <v>39</v>
      </c>
      <c r="R1932" s="4">
        <v>44998.822372685187</v>
      </c>
      <c r="T1932">
        <v>0</v>
      </c>
      <c r="AC1932" s="2">
        <f t="shared" si="270"/>
        <v>1</v>
      </c>
      <c r="AD1932" s="2">
        <f t="shared" si="271"/>
        <v>7</v>
      </c>
      <c r="AE1932" s="2">
        <f t="shared" si="272"/>
        <v>6</v>
      </c>
      <c r="AF1932" s="2">
        <f t="shared" si="273"/>
        <v>8</v>
      </c>
      <c r="AG1932" s="2">
        <f t="shared" si="274"/>
        <v>1</v>
      </c>
      <c r="AH1932" s="4">
        <f t="shared" si="275"/>
        <v>45088.822372685187</v>
      </c>
      <c r="AI1932" s="2" t="str">
        <f t="shared" si="276"/>
        <v/>
      </c>
      <c r="AJ1932" s="2" t="str">
        <f t="shared" si="277"/>
        <v/>
      </c>
      <c r="AK1932" s="2" t="str">
        <f t="shared" si="278"/>
        <v/>
      </c>
    </row>
    <row r="1933" spans="1:37" x14ac:dyDescent="0.25">
      <c r="A1933">
        <v>1018</v>
      </c>
      <c r="B1933" t="s">
        <v>2101</v>
      </c>
      <c r="C1933" t="s">
        <v>1577</v>
      </c>
      <c r="D1933" t="s">
        <v>2032</v>
      </c>
      <c r="E1933" t="s">
        <v>1905</v>
      </c>
      <c r="F1933" t="s">
        <v>1906</v>
      </c>
      <c r="G1933" t="s">
        <v>38</v>
      </c>
      <c r="H1933" s="1">
        <v>44599.329571759263</v>
      </c>
      <c r="I1933" s="1">
        <v>44600.329571759263</v>
      </c>
      <c r="J1933" t="s">
        <v>32</v>
      </c>
      <c r="K1933" s="1">
        <v>44613.329571759263</v>
      </c>
      <c r="L1933" t="s">
        <v>57</v>
      </c>
      <c r="N1933" s="4">
        <v>44615.329571759263</v>
      </c>
      <c r="O1933" t="s">
        <v>57</v>
      </c>
      <c r="P1933" s="4">
        <v>44615.329571759263</v>
      </c>
      <c r="Q1933" s="4">
        <v>44616.329571759263</v>
      </c>
      <c r="R1933" s="4">
        <v>44614.329571759263</v>
      </c>
      <c r="S1933" s="4">
        <v>44624.329571759263</v>
      </c>
      <c r="T1933">
        <v>1</v>
      </c>
      <c r="U1933" s="4">
        <v>44625.329571759263</v>
      </c>
      <c r="V1933" s="4">
        <v>44627.329571759263</v>
      </c>
      <c r="W1933" s="4">
        <v>44630.329571759263</v>
      </c>
      <c r="Z1933" s="4">
        <v>44639.329571759263</v>
      </c>
      <c r="AC1933" s="2">
        <f t="shared" si="270"/>
        <v>1</v>
      </c>
      <c r="AD1933" s="2">
        <f t="shared" si="271"/>
        <v>14</v>
      </c>
      <c r="AE1933" s="2">
        <f t="shared" si="272"/>
        <v>13</v>
      </c>
      <c r="AF1933" s="2">
        <f t="shared" si="273"/>
        <v>15</v>
      </c>
      <c r="AG1933" s="2">
        <f t="shared" si="274"/>
        <v>1</v>
      </c>
      <c r="AH1933" s="4">
        <f t="shared" si="275"/>
        <v>44704.329571759263</v>
      </c>
      <c r="AI1933" s="2">
        <f t="shared" si="276"/>
        <v>1</v>
      </c>
      <c r="AJ1933" s="2">
        <f t="shared" si="277"/>
        <v>25</v>
      </c>
      <c r="AK1933" s="2">
        <f t="shared" si="278"/>
        <v>16</v>
      </c>
    </row>
    <row r="1934" spans="1:37" x14ac:dyDescent="0.25">
      <c r="A1934">
        <v>1012</v>
      </c>
      <c r="B1934" t="s">
        <v>2102</v>
      </c>
      <c r="C1934" t="s">
        <v>1577</v>
      </c>
      <c r="D1934" t="s">
        <v>2032</v>
      </c>
      <c r="E1934" t="s">
        <v>1905</v>
      </c>
      <c r="F1934" t="s">
        <v>1906</v>
      </c>
      <c r="G1934" t="s">
        <v>38</v>
      </c>
      <c r="H1934" s="1">
        <v>44594.329571759263</v>
      </c>
      <c r="I1934" s="1">
        <v>44596.329571759263</v>
      </c>
      <c r="J1934" t="s">
        <v>32</v>
      </c>
      <c r="K1934" s="1">
        <v>44616.329571759263</v>
      </c>
      <c r="L1934" t="s">
        <v>33</v>
      </c>
      <c r="M1934" t="s">
        <v>108</v>
      </c>
      <c r="R1934" s="4">
        <v>44620.329571759263</v>
      </c>
      <c r="T1934">
        <v>0</v>
      </c>
      <c r="Y1934" t="s">
        <v>55</v>
      </c>
      <c r="AC1934" s="2">
        <f t="shared" si="270"/>
        <v>2</v>
      </c>
      <c r="AD1934" s="2">
        <f t="shared" si="271"/>
        <v>22</v>
      </c>
      <c r="AE1934" s="2">
        <f t="shared" si="272"/>
        <v>20</v>
      </c>
      <c r="AF1934" s="2">
        <f t="shared" si="273"/>
        <v>26</v>
      </c>
      <c r="AG1934" s="2">
        <f t="shared" si="274"/>
        <v>4</v>
      </c>
      <c r="AH1934" s="4">
        <f t="shared" si="275"/>
        <v>44710.329571759263</v>
      </c>
      <c r="AI1934" s="2" t="str">
        <f t="shared" si="276"/>
        <v/>
      </c>
      <c r="AJ1934" s="2" t="str">
        <f t="shared" si="277"/>
        <v/>
      </c>
      <c r="AK1934" s="2" t="str">
        <f t="shared" si="278"/>
        <v/>
      </c>
    </row>
    <row r="1935" spans="1:37" x14ac:dyDescent="0.25">
      <c r="A1935">
        <v>977</v>
      </c>
      <c r="B1935" t="s">
        <v>2103</v>
      </c>
      <c r="C1935" t="s">
        <v>1577</v>
      </c>
      <c r="D1935" t="s">
        <v>2032</v>
      </c>
      <c r="E1935" t="s">
        <v>1905</v>
      </c>
      <c r="F1935" t="s">
        <v>1906</v>
      </c>
      <c r="G1935" t="s">
        <v>38</v>
      </c>
      <c r="H1935" s="1">
        <v>44759.699247685188</v>
      </c>
      <c r="I1935" s="1">
        <v>44760.699247685188</v>
      </c>
      <c r="J1935" t="s">
        <v>32</v>
      </c>
      <c r="K1935" s="1">
        <v>44777.699247685188</v>
      </c>
      <c r="L1935" t="s">
        <v>33</v>
      </c>
      <c r="M1935" t="s">
        <v>92</v>
      </c>
      <c r="T1935">
        <v>0</v>
      </c>
      <c r="Y1935" t="s">
        <v>35</v>
      </c>
      <c r="AC1935" s="2">
        <f t="shared" si="270"/>
        <v>1</v>
      </c>
      <c r="AD1935" s="2">
        <f t="shared" si="271"/>
        <v>18</v>
      </c>
      <c r="AE1935" s="2">
        <f t="shared" si="272"/>
        <v>17</v>
      </c>
      <c r="AF1935" s="2" t="str">
        <f t="shared" si="273"/>
        <v/>
      </c>
      <c r="AG1935" s="2" t="str">
        <f t="shared" si="274"/>
        <v/>
      </c>
      <c r="AH1935" s="4" t="str">
        <f t="shared" si="275"/>
        <v/>
      </c>
      <c r="AI1935" s="2" t="str">
        <f t="shared" si="276"/>
        <v/>
      </c>
      <c r="AJ1935" s="2" t="str">
        <f t="shared" si="277"/>
        <v/>
      </c>
      <c r="AK1935" s="2" t="str">
        <f t="shared" si="278"/>
        <v/>
      </c>
    </row>
    <row r="1936" spans="1:37" x14ac:dyDescent="0.25">
      <c r="A1936">
        <v>969</v>
      </c>
      <c r="B1936" t="s">
        <v>2104</v>
      </c>
      <c r="C1936" t="s">
        <v>1577</v>
      </c>
      <c r="D1936" t="s">
        <v>2032</v>
      </c>
      <c r="E1936" t="s">
        <v>1905</v>
      </c>
      <c r="F1936" t="s">
        <v>1906</v>
      </c>
      <c r="G1936" t="s">
        <v>38</v>
      </c>
      <c r="H1936" s="1">
        <v>45119.340451388889</v>
      </c>
      <c r="I1936" s="1">
        <v>45122.340451388889</v>
      </c>
      <c r="J1936" t="s">
        <v>32</v>
      </c>
      <c r="K1936" s="1">
        <v>45140.340451388889</v>
      </c>
      <c r="L1936" t="s">
        <v>39</v>
      </c>
      <c r="N1936" s="4">
        <v>45148.340451388889</v>
      </c>
      <c r="O1936" t="s">
        <v>39</v>
      </c>
      <c r="R1936" s="4">
        <v>45144.340451388889</v>
      </c>
      <c r="T1936">
        <v>0</v>
      </c>
      <c r="AC1936" s="2">
        <f t="shared" si="270"/>
        <v>3</v>
      </c>
      <c r="AD1936" s="2">
        <f t="shared" si="271"/>
        <v>21</v>
      </c>
      <c r="AE1936" s="2">
        <f t="shared" si="272"/>
        <v>18</v>
      </c>
      <c r="AF1936" s="2">
        <f t="shared" si="273"/>
        <v>25</v>
      </c>
      <c r="AG1936" s="2">
        <f t="shared" si="274"/>
        <v>4</v>
      </c>
      <c r="AH1936" s="4">
        <f t="shared" si="275"/>
        <v>45234.340451388889</v>
      </c>
      <c r="AI1936" s="2" t="str">
        <f t="shared" si="276"/>
        <v/>
      </c>
      <c r="AJ1936" s="2" t="str">
        <f t="shared" si="277"/>
        <v/>
      </c>
      <c r="AK1936" s="2" t="str">
        <f t="shared" si="278"/>
        <v/>
      </c>
    </row>
    <row r="1937" spans="1:37" x14ac:dyDescent="0.25">
      <c r="A1937">
        <v>963</v>
      </c>
      <c r="B1937" t="s">
        <v>2105</v>
      </c>
      <c r="C1937" t="s">
        <v>1577</v>
      </c>
      <c r="D1937" t="s">
        <v>2032</v>
      </c>
      <c r="E1937" t="s">
        <v>1905</v>
      </c>
      <c r="F1937" t="s">
        <v>1906</v>
      </c>
      <c r="G1937" t="s">
        <v>38</v>
      </c>
      <c r="H1937" s="1">
        <v>45125.340451388889</v>
      </c>
      <c r="I1937" s="1">
        <v>45126.340451388889</v>
      </c>
      <c r="J1937" t="s">
        <v>32</v>
      </c>
      <c r="K1937" s="1">
        <v>45130.340451388889</v>
      </c>
      <c r="L1937" t="s">
        <v>33</v>
      </c>
      <c r="M1937" t="s">
        <v>108</v>
      </c>
      <c r="T1937">
        <v>0</v>
      </c>
      <c r="Y1937" t="s">
        <v>55</v>
      </c>
      <c r="AC1937" s="2">
        <f t="shared" si="270"/>
        <v>1</v>
      </c>
      <c r="AD1937" s="2">
        <f t="shared" si="271"/>
        <v>5</v>
      </c>
      <c r="AE1937" s="2">
        <f t="shared" si="272"/>
        <v>4</v>
      </c>
      <c r="AF1937" s="2" t="str">
        <f t="shared" si="273"/>
        <v/>
      </c>
      <c r="AG1937" s="2" t="str">
        <f t="shared" si="274"/>
        <v/>
      </c>
      <c r="AH1937" s="4" t="str">
        <f t="shared" si="275"/>
        <v/>
      </c>
      <c r="AI1937" s="2" t="str">
        <f t="shared" si="276"/>
        <v/>
      </c>
      <c r="AJ1937" s="2" t="str">
        <f t="shared" si="277"/>
        <v/>
      </c>
      <c r="AK1937" s="2" t="str">
        <f t="shared" si="278"/>
        <v/>
      </c>
    </row>
    <row r="1938" spans="1:37" x14ac:dyDescent="0.25">
      <c r="A1938">
        <v>898</v>
      </c>
      <c r="B1938" t="s">
        <v>2106</v>
      </c>
      <c r="C1938" t="s">
        <v>1577</v>
      </c>
      <c r="D1938" t="s">
        <v>2032</v>
      </c>
      <c r="E1938" t="s">
        <v>1905</v>
      </c>
      <c r="F1938" t="s">
        <v>1906</v>
      </c>
      <c r="G1938" t="s">
        <v>38</v>
      </c>
      <c r="H1938" s="1">
        <v>44844.939814814818</v>
      </c>
      <c r="I1938" s="1">
        <v>44845.939814814818</v>
      </c>
      <c r="J1938" t="s">
        <v>32</v>
      </c>
      <c r="K1938" s="1">
        <v>44853.939814814818</v>
      </c>
      <c r="L1938" t="s">
        <v>33</v>
      </c>
      <c r="M1938" t="s">
        <v>34</v>
      </c>
      <c r="R1938" s="4">
        <v>44857.939814814818</v>
      </c>
      <c r="T1938">
        <v>0</v>
      </c>
      <c r="Y1938" t="s">
        <v>55</v>
      </c>
      <c r="AC1938" s="2">
        <f t="shared" si="270"/>
        <v>1</v>
      </c>
      <c r="AD1938" s="2">
        <f t="shared" si="271"/>
        <v>9</v>
      </c>
      <c r="AE1938" s="2">
        <f t="shared" si="272"/>
        <v>8</v>
      </c>
      <c r="AF1938" s="2">
        <f t="shared" si="273"/>
        <v>13</v>
      </c>
      <c r="AG1938" s="2">
        <f t="shared" si="274"/>
        <v>4</v>
      </c>
      <c r="AH1938" s="4">
        <f t="shared" si="275"/>
        <v>44947.939814814818</v>
      </c>
      <c r="AI1938" s="2" t="str">
        <f t="shared" si="276"/>
        <v/>
      </c>
      <c r="AJ1938" s="2" t="str">
        <f t="shared" si="277"/>
        <v/>
      </c>
      <c r="AK1938" s="2" t="str">
        <f t="shared" si="278"/>
        <v/>
      </c>
    </row>
    <row r="1939" spans="1:37" x14ac:dyDescent="0.25">
      <c r="A1939">
        <v>897</v>
      </c>
      <c r="B1939" t="s">
        <v>2107</v>
      </c>
      <c r="C1939" t="s">
        <v>1577</v>
      </c>
      <c r="D1939" t="s">
        <v>2032</v>
      </c>
      <c r="E1939" t="s">
        <v>1905</v>
      </c>
      <c r="F1939" t="s">
        <v>1906</v>
      </c>
      <c r="G1939" t="s">
        <v>38</v>
      </c>
      <c r="H1939" s="1">
        <v>44844.939814814818</v>
      </c>
      <c r="I1939" s="1">
        <v>44847.939814814818</v>
      </c>
      <c r="J1939" t="s">
        <v>32</v>
      </c>
      <c r="K1939" s="1">
        <v>44859.939814814818</v>
      </c>
      <c r="L1939" t="s">
        <v>33</v>
      </c>
      <c r="M1939" t="s">
        <v>67</v>
      </c>
      <c r="T1939">
        <v>0</v>
      </c>
      <c r="Y1939" t="s">
        <v>55</v>
      </c>
      <c r="AC1939" s="2">
        <f t="shared" si="270"/>
        <v>3</v>
      </c>
      <c r="AD1939" s="2">
        <f t="shared" si="271"/>
        <v>15</v>
      </c>
      <c r="AE1939" s="2">
        <f t="shared" si="272"/>
        <v>12</v>
      </c>
      <c r="AF1939" s="2" t="str">
        <f t="shared" si="273"/>
        <v/>
      </c>
      <c r="AG1939" s="2" t="str">
        <f t="shared" si="274"/>
        <v/>
      </c>
      <c r="AH1939" s="4" t="str">
        <f t="shared" si="275"/>
        <v/>
      </c>
      <c r="AI1939" s="2" t="str">
        <f t="shared" si="276"/>
        <v/>
      </c>
      <c r="AJ1939" s="2" t="str">
        <f t="shared" si="277"/>
        <v/>
      </c>
      <c r="AK1939" s="2" t="str">
        <f t="shared" si="278"/>
        <v/>
      </c>
    </row>
    <row r="1940" spans="1:37" x14ac:dyDescent="0.25">
      <c r="A1940">
        <v>895</v>
      </c>
      <c r="B1940" t="s">
        <v>2108</v>
      </c>
      <c r="C1940" t="s">
        <v>1577</v>
      </c>
      <c r="D1940" t="s">
        <v>2032</v>
      </c>
      <c r="E1940" t="s">
        <v>1905</v>
      </c>
      <c r="F1940" t="s">
        <v>1906</v>
      </c>
      <c r="G1940" t="s">
        <v>38</v>
      </c>
      <c r="H1940" s="1">
        <v>44846.939814814818</v>
      </c>
      <c r="I1940" s="1">
        <v>44848.939814814818</v>
      </c>
      <c r="J1940" t="s">
        <v>32</v>
      </c>
      <c r="K1940" s="1">
        <v>44861.939814814818</v>
      </c>
      <c r="L1940" t="s">
        <v>33</v>
      </c>
      <c r="M1940" t="s">
        <v>92</v>
      </c>
      <c r="T1940">
        <v>0</v>
      </c>
      <c r="Y1940" t="s">
        <v>55</v>
      </c>
      <c r="AC1940" s="2">
        <f t="shared" si="270"/>
        <v>2</v>
      </c>
      <c r="AD1940" s="2">
        <f t="shared" si="271"/>
        <v>15</v>
      </c>
      <c r="AE1940" s="2">
        <f t="shared" si="272"/>
        <v>13</v>
      </c>
      <c r="AF1940" s="2" t="str">
        <f t="shared" si="273"/>
        <v/>
      </c>
      <c r="AG1940" s="2" t="str">
        <f t="shared" si="274"/>
        <v/>
      </c>
      <c r="AH1940" s="4" t="str">
        <f t="shared" si="275"/>
        <v/>
      </c>
      <c r="AI1940" s="2" t="str">
        <f t="shared" si="276"/>
        <v/>
      </c>
      <c r="AJ1940" s="2" t="str">
        <f t="shared" si="277"/>
        <v/>
      </c>
      <c r="AK1940" s="2" t="str">
        <f t="shared" si="278"/>
        <v/>
      </c>
    </row>
    <row r="1941" spans="1:37" x14ac:dyDescent="0.25">
      <c r="A1941">
        <v>884</v>
      </c>
      <c r="B1941" t="s">
        <v>2109</v>
      </c>
      <c r="C1941" t="s">
        <v>1577</v>
      </c>
      <c r="D1941" t="s">
        <v>2032</v>
      </c>
      <c r="E1941" t="s">
        <v>1905</v>
      </c>
      <c r="F1941" t="s">
        <v>1906</v>
      </c>
      <c r="G1941" t="s">
        <v>38</v>
      </c>
      <c r="H1941" s="1">
        <v>44827.199942129628</v>
      </c>
      <c r="I1941" s="1">
        <v>44829.199942129628</v>
      </c>
      <c r="J1941" t="s">
        <v>32</v>
      </c>
      <c r="K1941" s="1">
        <v>44838.199942129628</v>
      </c>
      <c r="L1941" t="s">
        <v>33</v>
      </c>
      <c r="M1941" t="s">
        <v>34</v>
      </c>
      <c r="T1941">
        <v>0</v>
      </c>
      <c r="Y1941" t="s">
        <v>55</v>
      </c>
      <c r="AC1941" s="2">
        <f t="shared" si="270"/>
        <v>2</v>
      </c>
      <c r="AD1941" s="2">
        <f t="shared" si="271"/>
        <v>11</v>
      </c>
      <c r="AE1941" s="2">
        <f t="shared" si="272"/>
        <v>9</v>
      </c>
      <c r="AF1941" s="2" t="str">
        <f t="shared" si="273"/>
        <v/>
      </c>
      <c r="AG1941" s="2" t="str">
        <f t="shared" si="274"/>
        <v/>
      </c>
      <c r="AH1941" s="4" t="str">
        <f t="shared" si="275"/>
        <v/>
      </c>
      <c r="AI1941" s="2" t="str">
        <f t="shared" si="276"/>
        <v/>
      </c>
      <c r="AJ1941" s="2" t="str">
        <f t="shared" si="277"/>
        <v/>
      </c>
      <c r="AK1941" s="2" t="str">
        <f t="shared" si="278"/>
        <v/>
      </c>
    </row>
    <row r="1942" spans="1:37" x14ac:dyDescent="0.25">
      <c r="A1942">
        <v>881</v>
      </c>
      <c r="B1942" t="s">
        <v>2110</v>
      </c>
      <c r="C1942" t="s">
        <v>1577</v>
      </c>
      <c r="D1942" t="s">
        <v>2032</v>
      </c>
      <c r="E1942" t="s">
        <v>1905</v>
      </c>
      <c r="F1942" t="s">
        <v>1906</v>
      </c>
      <c r="G1942" t="s">
        <v>38</v>
      </c>
      <c r="H1942" s="1">
        <v>44824.199942129628</v>
      </c>
      <c r="I1942" s="1">
        <v>44828.199942129628</v>
      </c>
      <c r="J1942" t="s">
        <v>32</v>
      </c>
      <c r="K1942" s="1">
        <v>44832.199942129628</v>
      </c>
      <c r="L1942" t="s">
        <v>57</v>
      </c>
      <c r="N1942" s="4">
        <v>44835.199942129628</v>
      </c>
      <c r="O1942" t="s">
        <v>57</v>
      </c>
      <c r="P1942" s="4">
        <v>44834.199942129628</v>
      </c>
      <c r="Q1942" s="4">
        <v>44837.199942129628</v>
      </c>
      <c r="R1942" s="4">
        <v>44834.199942129628</v>
      </c>
      <c r="S1942" s="4">
        <v>44835.199942129628</v>
      </c>
      <c r="T1942">
        <v>1</v>
      </c>
      <c r="U1942" s="4">
        <v>44839.199942129628</v>
      </c>
      <c r="V1942" s="4">
        <v>44842.199942129628</v>
      </c>
      <c r="W1942" s="4">
        <v>44843.199942129628</v>
      </c>
      <c r="Z1942" s="4">
        <v>44860.199942129628</v>
      </c>
      <c r="AC1942" s="2">
        <f t="shared" si="270"/>
        <v>4</v>
      </c>
      <c r="AD1942" s="2">
        <f t="shared" si="271"/>
        <v>8</v>
      </c>
      <c r="AE1942" s="2">
        <f t="shared" si="272"/>
        <v>4</v>
      </c>
      <c r="AF1942" s="2">
        <f t="shared" si="273"/>
        <v>10</v>
      </c>
      <c r="AG1942" s="2">
        <f t="shared" si="274"/>
        <v>2</v>
      </c>
      <c r="AH1942" s="4">
        <f t="shared" si="275"/>
        <v>44924.199942129628</v>
      </c>
      <c r="AI1942" s="2">
        <f t="shared" si="276"/>
        <v>4</v>
      </c>
      <c r="AJ1942" s="2">
        <f t="shared" si="277"/>
        <v>26</v>
      </c>
      <c r="AK1942" s="2">
        <f t="shared" si="278"/>
        <v>9</v>
      </c>
    </row>
    <row r="1943" spans="1:37" x14ac:dyDescent="0.25">
      <c r="A1943">
        <v>855</v>
      </c>
      <c r="B1943" t="s">
        <v>2111</v>
      </c>
      <c r="C1943" t="s">
        <v>1577</v>
      </c>
      <c r="D1943" t="s">
        <v>2032</v>
      </c>
      <c r="E1943" t="s">
        <v>1905</v>
      </c>
      <c r="F1943" t="s">
        <v>1906</v>
      </c>
      <c r="G1943" t="s">
        <v>38</v>
      </c>
      <c r="H1943" s="1">
        <v>44959.002604166664</v>
      </c>
      <c r="I1943" s="1">
        <v>44960.002604166664</v>
      </c>
      <c r="J1943" t="s">
        <v>32</v>
      </c>
      <c r="K1943" s="1">
        <v>44966.002604166664</v>
      </c>
      <c r="L1943" t="s">
        <v>57</v>
      </c>
      <c r="N1943" s="4">
        <v>44971.002604166664</v>
      </c>
      <c r="O1943" t="s">
        <v>57</v>
      </c>
      <c r="P1943" s="4">
        <v>44968.002604166664</v>
      </c>
      <c r="Q1943" s="4">
        <v>44969.002604166664</v>
      </c>
      <c r="R1943" s="4">
        <v>44967.002604166664</v>
      </c>
      <c r="S1943" s="4">
        <v>44969.002604166664</v>
      </c>
      <c r="T1943">
        <v>1</v>
      </c>
      <c r="U1943" s="4">
        <v>44971.002604166664</v>
      </c>
      <c r="V1943" s="4">
        <v>44973.002604166664</v>
      </c>
      <c r="W1943" s="4">
        <v>44975.002604166664</v>
      </c>
      <c r="Z1943" s="4">
        <v>44985.002604166664</v>
      </c>
      <c r="AC1943" s="2">
        <f t="shared" si="270"/>
        <v>1</v>
      </c>
      <c r="AD1943" s="2">
        <f t="shared" si="271"/>
        <v>7</v>
      </c>
      <c r="AE1943" s="2">
        <f t="shared" si="272"/>
        <v>6</v>
      </c>
      <c r="AF1943" s="2">
        <f t="shared" si="273"/>
        <v>8</v>
      </c>
      <c r="AG1943" s="2">
        <f t="shared" si="274"/>
        <v>1</v>
      </c>
      <c r="AH1943" s="4">
        <f t="shared" si="275"/>
        <v>45057.002604166664</v>
      </c>
      <c r="AI1943" s="2">
        <f t="shared" si="276"/>
        <v>2</v>
      </c>
      <c r="AJ1943" s="2">
        <f t="shared" si="277"/>
        <v>18</v>
      </c>
      <c r="AK1943" s="2">
        <f t="shared" si="278"/>
        <v>8</v>
      </c>
    </row>
    <row r="1944" spans="1:37" x14ac:dyDescent="0.25">
      <c r="A1944">
        <v>852</v>
      </c>
      <c r="B1944" t="s">
        <v>2112</v>
      </c>
      <c r="C1944" t="s">
        <v>1577</v>
      </c>
      <c r="D1944" t="s">
        <v>2032</v>
      </c>
      <c r="E1944" t="s">
        <v>1905</v>
      </c>
      <c r="F1944" t="s">
        <v>1906</v>
      </c>
      <c r="G1944" t="s">
        <v>38</v>
      </c>
      <c r="H1944" s="1">
        <v>44960.002604166664</v>
      </c>
      <c r="I1944" s="1">
        <v>44961.002604166664</v>
      </c>
      <c r="J1944" t="s">
        <v>32</v>
      </c>
      <c r="K1944" s="1">
        <v>44981.002604166664</v>
      </c>
      <c r="L1944" t="s">
        <v>33</v>
      </c>
      <c r="M1944" t="s">
        <v>92</v>
      </c>
      <c r="T1944">
        <v>0</v>
      </c>
      <c r="Y1944" t="s">
        <v>35</v>
      </c>
      <c r="AC1944" s="2">
        <f t="shared" si="270"/>
        <v>1</v>
      </c>
      <c r="AD1944" s="2">
        <f t="shared" si="271"/>
        <v>21</v>
      </c>
      <c r="AE1944" s="2">
        <f t="shared" si="272"/>
        <v>20</v>
      </c>
      <c r="AF1944" s="2" t="str">
        <f t="shared" si="273"/>
        <v/>
      </c>
      <c r="AG1944" s="2" t="str">
        <f t="shared" si="274"/>
        <v/>
      </c>
      <c r="AH1944" s="4" t="str">
        <f t="shared" si="275"/>
        <v/>
      </c>
      <c r="AI1944" s="2" t="str">
        <f t="shared" si="276"/>
        <v/>
      </c>
      <c r="AJ1944" s="2" t="str">
        <f t="shared" si="277"/>
        <v/>
      </c>
      <c r="AK1944" s="2" t="str">
        <f t="shared" si="278"/>
        <v/>
      </c>
    </row>
    <row r="1945" spans="1:37" x14ac:dyDescent="0.25">
      <c r="A1945">
        <v>749</v>
      </c>
      <c r="B1945" t="s">
        <v>2113</v>
      </c>
      <c r="C1945" t="s">
        <v>1577</v>
      </c>
      <c r="D1945" t="s">
        <v>2032</v>
      </c>
      <c r="E1945" t="s">
        <v>1905</v>
      </c>
      <c r="F1945" t="s">
        <v>1906</v>
      </c>
      <c r="G1945" t="s">
        <v>38</v>
      </c>
      <c r="H1945" s="1">
        <v>44868.220567129632</v>
      </c>
      <c r="I1945" s="1">
        <v>44869.220567129632</v>
      </c>
      <c r="J1945" t="s">
        <v>32</v>
      </c>
      <c r="K1945" s="1">
        <v>44879.220567129632</v>
      </c>
      <c r="L1945" t="s">
        <v>39</v>
      </c>
      <c r="N1945" s="4">
        <v>44882.220567129632</v>
      </c>
      <c r="O1945" t="s">
        <v>39</v>
      </c>
      <c r="R1945" s="4">
        <v>44881.220567129632</v>
      </c>
      <c r="T1945">
        <v>0</v>
      </c>
      <c r="AC1945" s="2">
        <f t="shared" si="270"/>
        <v>1</v>
      </c>
      <c r="AD1945" s="2">
        <f t="shared" si="271"/>
        <v>11</v>
      </c>
      <c r="AE1945" s="2">
        <f t="shared" si="272"/>
        <v>10</v>
      </c>
      <c r="AF1945" s="2">
        <f t="shared" si="273"/>
        <v>13</v>
      </c>
      <c r="AG1945" s="2">
        <f t="shared" si="274"/>
        <v>2</v>
      </c>
      <c r="AH1945" s="4">
        <f t="shared" si="275"/>
        <v>44971.220567129632</v>
      </c>
      <c r="AI1945" s="2" t="str">
        <f t="shared" si="276"/>
        <v/>
      </c>
      <c r="AJ1945" s="2" t="str">
        <f t="shared" si="277"/>
        <v/>
      </c>
      <c r="AK1945" s="2" t="str">
        <f t="shared" si="278"/>
        <v/>
      </c>
    </row>
    <row r="1946" spans="1:37" x14ac:dyDescent="0.25">
      <c r="A1946">
        <v>744</v>
      </c>
      <c r="B1946" t="s">
        <v>2114</v>
      </c>
      <c r="C1946" t="s">
        <v>1577</v>
      </c>
      <c r="D1946" t="s">
        <v>2032</v>
      </c>
      <c r="E1946" t="s">
        <v>1905</v>
      </c>
      <c r="F1946" t="s">
        <v>1906</v>
      </c>
      <c r="G1946" t="s">
        <v>38</v>
      </c>
      <c r="H1946" s="1">
        <v>44872.220567129632</v>
      </c>
      <c r="I1946" s="1">
        <v>44873.220567129632</v>
      </c>
      <c r="J1946" t="s">
        <v>44</v>
      </c>
      <c r="K1946" s="1"/>
      <c r="T1946">
        <v>0</v>
      </c>
      <c r="AC1946" s="2">
        <f t="shared" si="270"/>
        <v>1</v>
      </c>
      <c r="AD1946" s="2" t="str">
        <f t="shared" si="271"/>
        <v/>
      </c>
      <c r="AE1946" s="2" t="str">
        <f t="shared" si="272"/>
        <v/>
      </c>
      <c r="AF1946" s="2" t="str">
        <f t="shared" si="273"/>
        <v/>
      </c>
      <c r="AG1946" s="2" t="str">
        <f t="shared" si="274"/>
        <v/>
      </c>
      <c r="AH1946" s="4" t="str">
        <f t="shared" si="275"/>
        <v/>
      </c>
      <c r="AI1946" s="2" t="str">
        <f t="shared" si="276"/>
        <v/>
      </c>
      <c r="AJ1946" s="2" t="str">
        <f t="shared" si="277"/>
        <v/>
      </c>
      <c r="AK1946" s="2" t="str">
        <f t="shared" si="278"/>
        <v/>
      </c>
    </row>
    <row r="1947" spans="1:37" x14ac:dyDescent="0.25">
      <c r="A1947">
        <v>610</v>
      </c>
      <c r="B1947" t="s">
        <v>2115</v>
      </c>
      <c r="C1947" t="s">
        <v>1577</v>
      </c>
      <c r="D1947" t="s">
        <v>2032</v>
      </c>
      <c r="E1947" t="s">
        <v>1905</v>
      </c>
      <c r="F1947" t="s">
        <v>1906</v>
      </c>
      <c r="G1947" t="s">
        <v>38</v>
      </c>
      <c r="H1947" s="1">
        <v>44568.309340277781</v>
      </c>
      <c r="I1947" s="1">
        <v>44571.309340277781</v>
      </c>
      <c r="J1947" t="s">
        <v>32</v>
      </c>
      <c r="K1947" s="1">
        <v>44587.309340277781</v>
      </c>
      <c r="L1947" t="s">
        <v>33</v>
      </c>
      <c r="M1947" t="s">
        <v>67</v>
      </c>
      <c r="R1947" s="4">
        <v>44590.309340277781</v>
      </c>
      <c r="T1947">
        <v>0</v>
      </c>
      <c r="Y1947" t="s">
        <v>55</v>
      </c>
      <c r="AC1947" s="2">
        <f t="shared" si="270"/>
        <v>3</v>
      </c>
      <c r="AD1947" s="2">
        <f t="shared" si="271"/>
        <v>19</v>
      </c>
      <c r="AE1947" s="2">
        <f t="shared" si="272"/>
        <v>16</v>
      </c>
      <c r="AF1947" s="2">
        <f t="shared" si="273"/>
        <v>22</v>
      </c>
      <c r="AG1947" s="2">
        <f t="shared" si="274"/>
        <v>3</v>
      </c>
      <c r="AH1947" s="4">
        <f t="shared" si="275"/>
        <v>44680.309340277781</v>
      </c>
      <c r="AI1947" s="2" t="str">
        <f t="shared" si="276"/>
        <v/>
      </c>
      <c r="AJ1947" s="2" t="str">
        <f t="shared" si="277"/>
        <v/>
      </c>
      <c r="AK1947" s="2" t="str">
        <f t="shared" si="278"/>
        <v/>
      </c>
    </row>
    <row r="1948" spans="1:37" x14ac:dyDescent="0.25">
      <c r="A1948">
        <v>458</v>
      </c>
      <c r="B1948" t="s">
        <v>2116</v>
      </c>
      <c r="C1948" t="s">
        <v>1577</v>
      </c>
      <c r="D1948" t="s">
        <v>2032</v>
      </c>
      <c r="E1948" t="s">
        <v>1905</v>
      </c>
      <c r="F1948" t="s">
        <v>1906</v>
      </c>
      <c r="G1948" t="s">
        <v>38</v>
      </c>
      <c r="H1948" s="1">
        <v>44970.571030092593</v>
      </c>
      <c r="I1948" s="1">
        <v>44973.571030092593</v>
      </c>
      <c r="J1948" t="s">
        <v>44</v>
      </c>
      <c r="K1948" s="1"/>
      <c r="T1948">
        <v>0</v>
      </c>
      <c r="AC1948" s="2">
        <f t="shared" si="270"/>
        <v>3</v>
      </c>
      <c r="AD1948" s="2" t="str">
        <f t="shared" si="271"/>
        <v/>
      </c>
      <c r="AE1948" s="2" t="str">
        <f t="shared" si="272"/>
        <v/>
      </c>
      <c r="AF1948" s="2" t="str">
        <f t="shared" si="273"/>
        <v/>
      </c>
      <c r="AG1948" s="2" t="str">
        <f t="shared" si="274"/>
        <v/>
      </c>
      <c r="AH1948" s="4" t="str">
        <f t="shared" si="275"/>
        <v/>
      </c>
      <c r="AI1948" s="2" t="str">
        <f t="shared" si="276"/>
        <v/>
      </c>
      <c r="AJ1948" s="2" t="str">
        <f t="shared" si="277"/>
        <v/>
      </c>
      <c r="AK1948" s="2" t="str">
        <f t="shared" si="278"/>
        <v/>
      </c>
    </row>
    <row r="1949" spans="1:37" x14ac:dyDescent="0.25">
      <c r="A1949">
        <v>456</v>
      </c>
      <c r="B1949" t="s">
        <v>2117</v>
      </c>
      <c r="C1949" t="s">
        <v>1577</v>
      </c>
      <c r="D1949" t="s">
        <v>2032</v>
      </c>
      <c r="E1949" t="s">
        <v>1905</v>
      </c>
      <c r="F1949" t="s">
        <v>1906</v>
      </c>
      <c r="G1949" t="s">
        <v>38</v>
      </c>
      <c r="H1949" s="1">
        <v>44973.571030092593</v>
      </c>
      <c r="I1949" s="1">
        <v>44974.571030092593</v>
      </c>
      <c r="J1949" t="s">
        <v>44</v>
      </c>
      <c r="K1949" s="1"/>
      <c r="T1949">
        <v>0</v>
      </c>
      <c r="AC1949" s="2">
        <f t="shared" si="270"/>
        <v>1</v>
      </c>
      <c r="AD1949" s="2" t="str">
        <f t="shared" si="271"/>
        <v/>
      </c>
      <c r="AE1949" s="2" t="str">
        <f t="shared" si="272"/>
        <v/>
      </c>
      <c r="AF1949" s="2" t="str">
        <f t="shared" si="273"/>
        <v/>
      </c>
      <c r="AG1949" s="2" t="str">
        <f t="shared" si="274"/>
        <v/>
      </c>
      <c r="AH1949" s="4" t="str">
        <f t="shared" si="275"/>
        <v/>
      </c>
      <c r="AI1949" s="2" t="str">
        <f t="shared" si="276"/>
        <v/>
      </c>
      <c r="AJ1949" s="2" t="str">
        <f t="shared" si="277"/>
        <v/>
      </c>
      <c r="AK1949" s="2" t="str">
        <f t="shared" si="278"/>
        <v/>
      </c>
    </row>
    <row r="1950" spans="1:37" x14ac:dyDescent="0.25">
      <c r="A1950">
        <v>399</v>
      </c>
      <c r="B1950" t="s">
        <v>2118</v>
      </c>
      <c r="C1950" t="s">
        <v>1577</v>
      </c>
      <c r="D1950" t="s">
        <v>2032</v>
      </c>
      <c r="E1950" t="s">
        <v>1905</v>
      </c>
      <c r="F1950" t="s">
        <v>1906</v>
      </c>
      <c r="G1950" t="s">
        <v>38</v>
      </c>
      <c r="H1950" s="1">
        <v>44972.686574074076</v>
      </c>
      <c r="I1950" s="1">
        <v>44976.686574074076</v>
      </c>
      <c r="J1950" t="s">
        <v>32</v>
      </c>
      <c r="K1950" s="1">
        <v>44981.686574074076</v>
      </c>
      <c r="L1950" t="s">
        <v>33</v>
      </c>
      <c r="M1950" t="s">
        <v>34</v>
      </c>
      <c r="R1950" s="4">
        <v>44983.686574074076</v>
      </c>
      <c r="T1950">
        <v>0</v>
      </c>
      <c r="Y1950" t="s">
        <v>55</v>
      </c>
      <c r="AC1950" s="2">
        <f t="shared" si="270"/>
        <v>4</v>
      </c>
      <c r="AD1950" s="2">
        <f t="shared" si="271"/>
        <v>9</v>
      </c>
      <c r="AE1950" s="2">
        <f t="shared" si="272"/>
        <v>5</v>
      </c>
      <c r="AF1950" s="2">
        <f t="shared" si="273"/>
        <v>11</v>
      </c>
      <c r="AG1950" s="2">
        <f t="shared" si="274"/>
        <v>2</v>
      </c>
      <c r="AH1950" s="4">
        <f t="shared" si="275"/>
        <v>45073.686574074076</v>
      </c>
      <c r="AI1950" s="2" t="str">
        <f t="shared" si="276"/>
        <v/>
      </c>
      <c r="AJ1950" s="2" t="str">
        <f t="shared" si="277"/>
        <v/>
      </c>
      <c r="AK1950" s="2" t="str">
        <f t="shared" si="278"/>
        <v/>
      </c>
    </row>
    <row r="1951" spans="1:37" x14ac:dyDescent="0.25">
      <c r="A1951">
        <v>396</v>
      </c>
      <c r="B1951" t="s">
        <v>2119</v>
      </c>
      <c r="C1951" t="s">
        <v>1577</v>
      </c>
      <c r="D1951" t="s">
        <v>2032</v>
      </c>
      <c r="E1951" t="s">
        <v>2120</v>
      </c>
      <c r="F1951" t="s">
        <v>2121</v>
      </c>
      <c r="G1951" t="s">
        <v>38</v>
      </c>
      <c r="H1951" s="1">
        <v>44970.686574074076</v>
      </c>
      <c r="I1951" s="1">
        <v>44974.686574074076</v>
      </c>
      <c r="J1951" t="s">
        <v>44</v>
      </c>
      <c r="K1951" s="1"/>
      <c r="T1951">
        <v>0</v>
      </c>
      <c r="AC1951" s="2">
        <f t="shared" si="270"/>
        <v>4</v>
      </c>
      <c r="AD1951" s="2" t="str">
        <f t="shared" si="271"/>
        <v/>
      </c>
      <c r="AE1951" s="2" t="str">
        <f t="shared" si="272"/>
        <v/>
      </c>
      <c r="AF1951" s="2" t="str">
        <f t="shared" si="273"/>
        <v/>
      </c>
      <c r="AG1951" s="2" t="str">
        <f t="shared" si="274"/>
        <v/>
      </c>
      <c r="AH1951" s="4" t="str">
        <f t="shared" si="275"/>
        <v/>
      </c>
      <c r="AI1951" s="2" t="str">
        <f t="shared" si="276"/>
        <v/>
      </c>
      <c r="AJ1951" s="2" t="str">
        <f t="shared" si="277"/>
        <v/>
      </c>
      <c r="AK1951" s="2" t="str">
        <f t="shared" si="278"/>
        <v/>
      </c>
    </row>
    <row r="1952" spans="1:37" x14ac:dyDescent="0.25">
      <c r="A1952">
        <v>395</v>
      </c>
      <c r="B1952" t="s">
        <v>2122</v>
      </c>
      <c r="C1952" t="s">
        <v>1577</v>
      </c>
      <c r="D1952" t="s">
        <v>2032</v>
      </c>
      <c r="E1952" t="s">
        <v>2120</v>
      </c>
      <c r="F1952" t="s">
        <v>2121</v>
      </c>
      <c r="G1952" t="s">
        <v>38</v>
      </c>
      <c r="H1952" s="1">
        <v>44974.686574074076</v>
      </c>
      <c r="I1952" s="1">
        <v>44975.686574074076</v>
      </c>
      <c r="J1952" t="s">
        <v>44</v>
      </c>
      <c r="K1952" s="1"/>
      <c r="T1952">
        <v>0</v>
      </c>
      <c r="AC1952" s="2">
        <f t="shared" si="270"/>
        <v>1</v>
      </c>
      <c r="AD1952" s="2" t="str">
        <f t="shared" si="271"/>
        <v/>
      </c>
      <c r="AE1952" s="2" t="str">
        <f t="shared" si="272"/>
        <v/>
      </c>
      <c r="AF1952" s="2" t="str">
        <f t="shared" si="273"/>
        <v/>
      </c>
      <c r="AG1952" s="2" t="str">
        <f t="shared" si="274"/>
        <v/>
      </c>
      <c r="AH1952" s="4" t="str">
        <f t="shared" si="275"/>
        <v/>
      </c>
      <c r="AI1952" s="2" t="str">
        <f t="shared" si="276"/>
        <v/>
      </c>
      <c r="AJ1952" s="2" t="str">
        <f t="shared" si="277"/>
        <v/>
      </c>
      <c r="AK1952" s="2" t="str">
        <f t="shared" si="278"/>
        <v/>
      </c>
    </row>
    <row r="1953" spans="1:37" x14ac:dyDescent="0.25">
      <c r="A1953">
        <v>286</v>
      </c>
      <c r="B1953" t="s">
        <v>2123</v>
      </c>
      <c r="C1953" t="s">
        <v>1577</v>
      </c>
      <c r="D1953" t="s">
        <v>2032</v>
      </c>
      <c r="E1953" t="s">
        <v>2120</v>
      </c>
      <c r="F1953" t="s">
        <v>2121</v>
      </c>
      <c r="G1953" t="s">
        <v>38</v>
      </c>
      <c r="H1953" s="1">
        <v>44703.67763888889</v>
      </c>
      <c r="I1953" s="1">
        <v>44705.67763888889</v>
      </c>
      <c r="J1953" t="s">
        <v>32</v>
      </c>
      <c r="K1953" s="1">
        <v>44721.67763888889</v>
      </c>
      <c r="L1953" t="s">
        <v>57</v>
      </c>
      <c r="N1953" s="4">
        <v>44726.67763888889</v>
      </c>
      <c r="O1953" t="s">
        <v>57</v>
      </c>
      <c r="P1953" s="4">
        <v>44722.67763888889</v>
      </c>
      <c r="Q1953" s="4">
        <v>44723.67763888889</v>
      </c>
      <c r="R1953" s="4">
        <v>44725.67763888889</v>
      </c>
      <c r="S1953" s="4">
        <v>44732.67763888889</v>
      </c>
      <c r="T1953">
        <v>1</v>
      </c>
      <c r="U1953" s="4">
        <v>44734.67763888889</v>
      </c>
      <c r="V1953" s="4">
        <v>44737.67763888889</v>
      </c>
      <c r="W1953" s="4">
        <v>44740.67763888889</v>
      </c>
      <c r="Z1953" s="4">
        <v>44759.67763888889</v>
      </c>
      <c r="AC1953" s="2">
        <f t="shared" si="270"/>
        <v>2</v>
      </c>
      <c r="AD1953" s="2">
        <f t="shared" si="271"/>
        <v>18</v>
      </c>
      <c r="AE1953" s="2">
        <f t="shared" si="272"/>
        <v>16</v>
      </c>
      <c r="AF1953" s="2">
        <f t="shared" si="273"/>
        <v>22</v>
      </c>
      <c r="AG1953" s="2">
        <f t="shared" si="274"/>
        <v>4</v>
      </c>
      <c r="AH1953" s="4">
        <f t="shared" si="275"/>
        <v>44815.67763888889</v>
      </c>
      <c r="AI1953" s="2">
        <f t="shared" si="276"/>
        <v>2</v>
      </c>
      <c r="AJ1953" s="2">
        <f t="shared" si="277"/>
        <v>34</v>
      </c>
      <c r="AK1953" s="2">
        <f t="shared" si="278"/>
        <v>15</v>
      </c>
    </row>
    <row r="1954" spans="1:37" x14ac:dyDescent="0.25">
      <c r="A1954">
        <v>283</v>
      </c>
      <c r="B1954" t="s">
        <v>2124</v>
      </c>
      <c r="C1954" t="s">
        <v>1577</v>
      </c>
      <c r="D1954" t="s">
        <v>2032</v>
      </c>
      <c r="E1954" t="s">
        <v>2120</v>
      </c>
      <c r="F1954" t="s">
        <v>2121</v>
      </c>
      <c r="G1954" t="s">
        <v>38</v>
      </c>
      <c r="H1954" s="1">
        <v>44704.67763888889</v>
      </c>
      <c r="I1954" s="1">
        <v>44705.67763888889</v>
      </c>
      <c r="J1954" t="s">
        <v>32</v>
      </c>
      <c r="K1954" s="1">
        <v>44721.67763888889</v>
      </c>
      <c r="L1954" t="s">
        <v>33</v>
      </c>
      <c r="M1954" t="s">
        <v>34</v>
      </c>
      <c r="R1954" s="4">
        <v>44722.67763888889</v>
      </c>
      <c r="T1954">
        <v>0</v>
      </c>
      <c r="Y1954" t="s">
        <v>35</v>
      </c>
      <c r="AC1954" s="2">
        <f t="shared" si="270"/>
        <v>1</v>
      </c>
      <c r="AD1954" s="2">
        <f t="shared" si="271"/>
        <v>17</v>
      </c>
      <c r="AE1954" s="2">
        <f t="shared" si="272"/>
        <v>16</v>
      </c>
      <c r="AF1954" s="2">
        <f t="shared" si="273"/>
        <v>18</v>
      </c>
      <c r="AG1954" s="2">
        <f t="shared" si="274"/>
        <v>1</v>
      </c>
      <c r="AH1954" s="4">
        <f t="shared" si="275"/>
        <v>44812.67763888889</v>
      </c>
      <c r="AI1954" s="2" t="str">
        <f t="shared" si="276"/>
        <v/>
      </c>
      <c r="AJ1954" s="2" t="str">
        <f t="shared" si="277"/>
        <v/>
      </c>
      <c r="AK1954" s="2" t="str">
        <f t="shared" si="278"/>
        <v/>
      </c>
    </row>
    <row r="1955" spans="1:37" x14ac:dyDescent="0.25">
      <c r="A1955">
        <v>204</v>
      </c>
      <c r="B1955" t="s">
        <v>2125</v>
      </c>
      <c r="C1955" t="s">
        <v>1577</v>
      </c>
      <c r="D1955" t="s">
        <v>2032</v>
      </c>
      <c r="E1955" t="s">
        <v>2120</v>
      </c>
      <c r="F1955" t="s">
        <v>2121</v>
      </c>
      <c r="G1955" t="s">
        <v>38</v>
      </c>
      <c r="H1955" s="1">
        <v>44749.342893518522</v>
      </c>
      <c r="I1955" s="1">
        <v>44752.342893518522</v>
      </c>
      <c r="J1955" t="s">
        <v>32</v>
      </c>
      <c r="K1955" s="1">
        <v>44763.342893518522</v>
      </c>
      <c r="L1955" t="s">
        <v>33</v>
      </c>
      <c r="M1955" t="s">
        <v>51</v>
      </c>
      <c r="T1955">
        <v>0</v>
      </c>
      <c r="Y1955" t="s">
        <v>55</v>
      </c>
      <c r="AC1955" s="2">
        <f t="shared" si="270"/>
        <v>3</v>
      </c>
      <c r="AD1955" s="2">
        <f t="shared" si="271"/>
        <v>14</v>
      </c>
      <c r="AE1955" s="2">
        <f t="shared" si="272"/>
        <v>11</v>
      </c>
      <c r="AF1955" s="2" t="str">
        <f t="shared" si="273"/>
        <v/>
      </c>
      <c r="AG1955" s="2" t="str">
        <f t="shared" si="274"/>
        <v/>
      </c>
      <c r="AH1955" s="4" t="str">
        <f t="shared" si="275"/>
        <v/>
      </c>
      <c r="AI1955" s="2" t="str">
        <f t="shared" si="276"/>
        <v/>
      </c>
      <c r="AJ1955" s="2" t="str">
        <f t="shared" si="277"/>
        <v/>
      </c>
      <c r="AK1955" s="2" t="str">
        <f t="shared" si="278"/>
        <v/>
      </c>
    </row>
    <row r="1956" spans="1:37" x14ac:dyDescent="0.25">
      <c r="A1956">
        <v>178</v>
      </c>
      <c r="B1956" t="s">
        <v>2126</v>
      </c>
      <c r="C1956" t="s">
        <v>1577</v>
      </c>
      <c r="D1956" t="s">
        <v>2032</v>
      </c>
      <c r="E1956" t="s">
        <v>2120</v>
      </c>
      <c r="F1956" t="s">
        <v>2121</v>
      </c>
      <c r="G1956" t="s">
        <v>38</v>
      </c>
      <c r="H1956" s="1">
        <v>45093.370925925927</v>
      </c>
      <c r="I1956" s="1">
        <v>45094.370925925927</v>
      </c>
      <c r="J1956" t="s">
        <v>32</v>
      </c>
      <c r="K1956" s="1">
        <v>45110.370925925927</v>
      </c>
      <c r="L1956" t="s">
        <v>33</v>
      </c>
      <c r="M1956" t="s">
        <v>108</v>
      </c>
      <c r="T1956">
        <v>0</v>
      </c>
      <c r="Y1956" t="s">
        <v>55</v>
      </c>
      <c r="AC1956" s="2">
        <f t="shared" si="270"/>
        <v>1</v>
      </c>
      <c r="AD1956" s="2">
        <f t="shared" si="271"/>
        <v>17</v>
      </c>
      <c r="AE1956" s="2">
        <f t="shared" si="272"/>
        <v>16</v>
      </c>
      <c r="AF1956" s="2" t="str">
        <f t="shared" si="273"/>
        <v/>
      </c>
      <c r="AG1956" s="2" t="str">
        <f t="shared" si="274"/>
        <v/>
      </c>
      <c r="AH1956" s="4" t="str">
        <f t="shared" si="275"/>
        <v/>
      </c>
      <c r="AI1956" s="2" t="str">
        <f t="shared" si="276"/>
        <v/>
      </c>
      <c r="AJ1956" s="2" t="str">
        <f t="shared" si="277"/>
        <v/>
      </c>
      <c r="AK1956" s="2" t="str">
        <f t="shared" si="278"/>
        <v/>
      </c>
    </row>
    <row r="1957" spans="1:37" x14ac:dyDescent="0.25">
      <c r="A1957">
        <v>106</v>
      </c>
      <c r="B1957" t="s">
        <v>2127</v>
      </c>
      <c r="C1957" t="s">
        <v>1577</v>
      </c>
      <c r="D1957" t="s">
        <v>2032</v>
      </c>
      <c r="E1957" t="s">
        <v>2120</v>
      </c>
      <c r="F1957" t="s">
        <v>2121</v>
      </c>
      <c r="G1957" t="s">
        <v>38</v>
      </c>
      <c r="H1957" s="1">
        <v>45014.880046296297</v>
      </c>
      <c r="I1957" s="1">
        <v>45015.880046296297</v>
      </c>
      <c r="J1957" t="s">
        <v>32</v>
      </c>
      <c r="K1957" s="1">
        <v>45032.880046296297</v>
      </c>
      <c r="L1957" t="s">
        <v>33</v>
      </c>
      <c r="M1957" t="s">
        <v>51</v>
      </c>
      <c r="T1957">
        <v>0</v>
      </c>
      <c r="Y1957" t="s">
        <v>35</v>
      </c>
      <c r="AC1957" s="2">
        <f t="shared" si="270"/>
        <v>1</v>
      </c>
      <c r="AD1957" s="2">
        <f t="shared" si="271"/>
        <v>18</v>
      </c>
      <c r="AE1957" s="2">
        <f t="shared" si="272"/>
        <v>17</v>
      </c>
      <c r="AF1957" s="2" t="str">
        <f t="shared" si="273"/>
        <v/>
      </c>
      <c r="AG1957" s="2" t="str">
        <f t="shared" si="274"/>
        <v/>
      </c>
      <c r="AH1957" s="4" t="str">
        <f t="shared" si="275"/>
        <v/>
      </c>
      <c r="AI1957" s="2" t="str">
        <f t="shared" si="276"/>
        <v/>
      </c>
      <c r="AJ1957" s="2" t="str">
        <f t="shared" si="277"/>
        <v/>
      </c>
      <c r="AK1957" s="2" t="str">
        <f t="shared" si="278"/>
        <v/>
      </c>
    </row>
    <row r="1958" spans="1:37" x14ac:dyDescent="0.25">
      <c r="A1958">
        <v>105</v>
      </c>
      <c r="B1958" t="s">
        <v>2128</v>
      </c>
      <c r="C1958" t="s">
        <v>1577</v>
      </c>
      <c r="D1958" t="s">
        <v>2032</v>
      </c>
      <c r="E1958" t="s">
        <v>2120</v>
      </c>
      <c r="F1958" t="s">
        <v>2121</v>
      </c>
      <c r="G1958" t="s">
        <v>38</v>
      </c>
      <c r="H1958" s="1">
        <v>45010.880046296297</v>
      </c>
      <c r="I1958" s="1">
        <v>45014.880046296297</v>
      </c>
      <c r="J1958" t="s">
        <v>32</v>
      </c>
      <c r="K1958" s="1">
        <v>45027.880046296297</v>
      </c>
      <c r="L1958" t="s">
        <v>39</v>
      </c>
      <c r="N1958" s="4">
        <v>45032.880046296297</v>
      </c>
      <c r="O1958" t="s">
        <v>39</v>
      </c>
      <c r="R1958" s="4">
        <v>45030.880046296297</v>
      </c>
      <c r="T1958">
        <v>0</v>
      </c>
      <c r="AC1958" s="2">
        <f t="shared" si="270"/>
        <v>4</v>
      </c>
      <c r="AD1958" s="2">
        <f t="shared" si="271"/>
        <v>17</v>
      </c>
      <c r="AE1958" s="2">
        <f t="shared" si="272"/>
        <v>13</v>
      </c>
      <c r="AF1958" s="2">
        <f t="shared" si="273"/>
        <v>20</v>
      </c>
      <c r="AG1958" s="2">
        <f t="shared" si="274"/>
        <v>3</v>
      </c>
      <c r="AH1958" s="4">
        <f t="shared" si="275"/>
        <v>45120.880046296297</v>
      </c>
      <c r="AI1958" s="2" t="str">
        <f t="shared" si="276"/>
        <v/>
      </c>
      <c r="AJ1958" s="2" t="str">
        <f t="shared" si="277"/>
        <v/>
      </c>
      <c r="AK1958" s="2" t="str">
        <f t="shared" si="278"/>
        <v/>
      </c>
    </row>
    <row r="1959" spans="1:37" x14ac:dyDescent="0.25">
      <c r="A1959">
        <v>101</v>
      </c>
      <c r="B1959" t="s">
        <v>2129</v>
      </c>
      <c r="C1959" t="s">
        <v>1577</v>
      </c>
      <c r="D1959" t="s">
        <v>2032</v>
      </c>
      <c r="E1959" t="s">
        <v>2120</v>
      </c>
      <c r="F1959" t="s">
        <v>2121</v>
      </c>
      <c r="G1959" t="s">
        <v>38</v>
      </c>
      <c r="H1959" s="1">
        <v>45014.880046296297</v>
      </c>
      <c r="I1959" s="1">
        <v>45016.880046296297</v>
      </c>
      <c r="J1959" t="s">
        <v>32</v>
      </c>
      <c r="K1959" s="1">
        <v>45034.880046296297</v>
      </c>
      <c r="L1959" t="s">
        <v>33</v>
      </c>
      <c r="M1959" t="s">
        <v>51</v>
      </c>
      <c r="T1959">
        <v>0</v>
      </c>
      <c r="Y1959" t="s">
        <v>55</v>
      </c>
      <c r="AC1959" s="2">
        <f t="shared" si="270"/>
        <v>2</v>
      </c>
      <c r="AD1959" s="2">
        <f t="shared" si="271"/>
        <v>20</v>
      </c>
      <c r="AE1959" s="2">
        <f t="shared" si="272"/>
        <v>18</v>
      </c>
      <c r="AF1959" s="2" t="str">
        <f t="shared" si="273"/>
        <v/>
      </c>
      <c r="AG1959" s="2" t="str">
        <f t="shared" si="274"/>
        <v/>
      </c>
      <c r="AH1959" s="4" t="str">
        <f t="shared" si="275"/>
        <v/>
      </c>
      <c r="AI1959" s="2" t="str">
        <f t="shared" si="276"/>
        <v/>
      </c>
      <c r="AJ1959" s="2" t="str">
        <f t="shared" si="277"/>
        <v/>
      </c>
      <c r="AK1959" s="2" t="str">
        <f t="shared" si="278"/>
        <v/>
      </c>
    </row>
    <row r="1960" spans="1:37" x14ac:dyDescent="0.25">
      <c r="A1960">
        <v>100</v>
      </c>
      <c r="B1960" t="s">
        <v>2130</v>
      </c>
      <c r="C1960" t="s">
        <v>1577</v>
      </c>
      <c r="D1960" t="s">
        <v>2032</v>
      </c>
      <c r="E1960" t="s">
        <v>2120</v>
      </c>
      <c r="F1960" t="s">
        <v>2121</v>
      </c>
      <c r="G1960" t="s">
        <v>38</v>
      </c>
      <c r="H1960" s="1">
        <v>44837.587280092594</v>
      </c>
      <c r="I1960" s="1">
        <v>44841.587280092594</v>
      </c>
      <c r="J1960" t="s">
        <v>44</v>
      </c>
      <c r="K1960" s="1"/>
      <c r="T1960">
        <v>0</v>
      </c>
      <c r="AC1960" s="2">
        <f t="shared" si="270"/>
        <v>4</v>
      </c>
      <c r="AD1960" s="2" t="str">
        <f t="shared" si="271"/>
        <v/>
      </c>
      <c r="AE1960" s="2" t="str">
        <f t="shared" si="272"/>
        <v/>
      </c>
      <c r="AF1960" s="2" t="str">
        <f t="shared" si="273"/>
        <v/>
      </c>
      <c r="AG1960" s="2" t="str">
        <f t="shared" si="274"/>
        <v/>
      </c>
      <c r="AH1960" s="4" t="str">
        <f t="shared" si="275"/>
        <v/>
      </c>
      <c r="AI1960" s="2" t="str">
        <f t="shared" si="276"/>
        <v/>
      </c>
      <c r="AJ1960" s="2" t="str">
        <f t="shared" si="277"/>
        <v/>
      </c>
      <c r="AK1960" s="2" t="str">
        <f t="shared" si="278"/>
        <v/>
      </c>
    </row>
    <row r="1961" spans="1:37" x14ac:dyDescent="0.25">
      <c r="A1961">
        <v>91</v>
      </c>
      <c r="B1961" t="s">
        <v>2131</v>
      </c>
      <c r="C1961" t="s">
        <v>1577</v>
      </c>
      <c r="D1961" t="s">
        <v>2032</v>
      </c>
      <c r="E1961" t="s">
        <v>2120</v>
      </c>
      <c r="F1961" t="s">
        <v>2121</v>
      </c>
      <c r="G1961" t="s">
        <v>38</v>
      </c>
      <c r="H1961" s="1">
        <v>44842.587280092594</v>
      </c>
      <c r="I1961" s="1">
        <v>44844.587280092594</v>
      </c>
      <c r="J1961" t="s">
        <v>32</v>
      </c>
      <c r="K1961" s="1">
        <v>44859.587280092594</v>
      </c>
      <c r="L1961" t="s">
        <v>39</v>
      </c>
      <c r="N1961" s="4">
        <v>44864.587280092594</v>
      </c>
      <c r="O1961" t="s">
        <v>39</v>
      </c>
      <c r="R1961" s="4">
        <v>44860.587280092594</v>
      </c>
      <c r="T1961">
        <v>0</v>
      </c>
      <c r="AC1961" s="2">
        <f t="shared" si="270"/>
        <v>2</v>
      </c>
      <c r="AD1961" s="2">
        <f t="shared" si="271"/>
        <v>17</v>
      </c>
      <c r="AE1961" s="2">
        <f t="shared" si="272"/>
        <v>15</v>
      </c>
      <c r="AF1961" s="2">
        <f t="shared" si="273"/>
        <v>18</v>
      </c>
      <c r="AG1961" s="2">
        <f t="shared" si="274"/>
        <v>1</v>
      </c>
      <c r="AH1961" s="4">
        <f t="shared" si="275"/>
        <v>44950.587280092594</v>
      </c>
      <c r="AI1961" s="2" t="str">
        <f t="shared" si="276"/>
        <v/>
      </c>
      <c r="AJ1961" s="2" t="str">
        <f t="shared" si="277"/>
        <v/>
      </c>
      <c r="AK1961" s="2" t="str">
        <f t="shared" si="278"/>
        <v/>
      </c>
    </row>
    <row r="1962" spans="1:37" x14ac:dyDescent="0.25">
      <c r="A1962">
        <v>30</v>
      </c>
      <c r="B1962" t="s">
        <v>2132</v>
      </c>
      <c r="C1962" t="s">
        <v>1577</v>
      </c>
      <c r="D1962" t="s">
        <v>2032</v>
      </c>
      <c r="E1962" t="s">
        <v>2120</v>
      </c>
      <c r="F1962" t="s">
        <v>2121</v>
      </c>
      <c r="G1962" t="s">
        <v>38</v>
      </c>
      <c r="H1962" s="1">
        <v>44920.453449074077</v>
      </c>
      <c r="I1962" s="1">
        <v>44924.453449074077</v>
      </c>
      <c r="J1962" t="s">
        <v>44</v>
      </c>
      <c r="K1962" s="1"/>
      <c r="T1962">
        <v>0</v>
      </c>
      <c r="AC1962" s="2">
        <f t="shared" si="270"/>
        <v>4</v>
      </c>
      <c r="AD1962" s="2" t="str">
        <f t="shared" si="271"/>
        <v/>
      </c>
      <c r="AE1962" s="2" t="str">
        <f t="shared" si="272"/>
        <v/>
      </c>
      <c r="AF1962" s="2" t="str">
        <f t="shared" si="273"/>
        <v/>
      </c>
      <c r="AG1962" s="2" t="str">
        <f t="shared" si="274"/>
        <v/>
      </c>
      <c r="AH1962" s="4" t="str">
        <f t="shared" si="275"/>
        <v/>
      </c>
      <c r="AI1962" s="2" t="str">
        <f t="shared" si="276"/>
        <v/>
      </c>
      <c r="AJ1962" s="2" t="str">
        <f t="shared" si="277"/>
        <v/>
      </c>
      <c r="AK1962" s="2" t="str">
        <f t="shared" si="278"/>
        <v/>
      </c>
    </row>
    <row r="1963" spans="1:37" x14ac:dyDescent="0.25">
      <c r="A1963">
        <v>23</v>
      </c>
      <c r="B1963" t="s">
        <v>2133</v>
      </c>
      <c r="C1963" t="s">
        <v>1577</v>
      </c>
      <c r="D1963" t="s">
        <v>2032</v>
      </c>
      <c r="E1963" t="s">
        <v>2120</v>
      </c>
      <c r="F1963" t="s">
        <v>2121</v>
      </c>
      <c r="G1963" t="s">
        <v>38</v>
      </c>
      <c r="H1963" s="1">
        <v>44919.453449074077</v>
      </c>
      <c r="I1963" s="1">
        <v>44923.453449074077</v>
      </c>
      <c r="J1963" t="s">
        <v>44</v>
      </c>
      <c r="K1963" s="1"/>
      <c r="T1963">
        <v>0</v>
      </c>
      <c r="AC1963" s="2">
        <f t="shared" si="270"/>
        <v>4</v>
      </c>
      <c r="AD1963" s="2" t="str">
        <f t="shared" si="271"/>
        <v/>
      </c>
      <c r="AE1963" s="2" t="str">
        <f t="shared" si="272"/>
        <v/>
      </c>
      <c r="AF1963" s="2" t="str">
        <f t="shared" si="273"/>
        <v/>
      </c>
      <c r="AG1963" s="2" t="str">
        <f t="shared" si="274"/>
        <v/>
      </c>
      <c r="AH1963" s="4" t="str">
        <f t="shared" si="275"/>
        <v/>
      </c>
      <c r="AI1963" s="2" t="str">
        <f t="shared" si="276"/>
        <v/>
      </c>
      <c r="AJ1963" s="2" t="str">
        <f t="shared" si="277"/>
        <v/>
      </c>
      <c r="AK1963" s="2" t="str">
        <f t="shared" si="278"/>
        <v/>
      </c>
    </row>
    <row r="1964" spans="1:37" x14ac:dyDescent="0.25">
      <c r="A1964">
        <v>21</v>
      </c>
      <c r="B1964" t="s">
        <v>2134</v>
      </c>
      <c r="C1964" t="s">
        <v>1577</v>
      </c>
      <c r="D1964" t="s">
        <v>2032</v>
      </c>
      <c r="E1964" t="s">
        <v>2120</v>
      </c>
      <c r="F1964" t="s">
        <v>2121</v>
      </c>
      <c r="G1964" t="s">
        <v>38</v>
      </c>
      <c r="H1964" s="1">
        <v>44920.453449074077</v>
      </c>
      <c r="I1964" s="1">
        <v>44921.453449074077</v>
      </c>
      <c r="J1964" t="s">
        <v>32</v>
      </c>
      <c r="K1964" s="1">
        <v>44941.453449074077</v>
      </c>
      <c r="L1964" t="s">
        <v>57</v>
      </c>
      <c r="N1964" s="4">
        <v>44947.453449074077</v>
      </c>
      <c r="O1964" t="s">
        <v>57</v>
      </c>
      <c r="P1964" s="4">
        <v>44943.453449074077</v>
      </c>
      <c r="Q1964" s="4">
        <v>44944.453449074077</v>
      </c>
      <c r="R1964" s="4">
        <v>44944.453449074077</v>
      </c>
      <c r="S1964" s="4">
        <v>44949.453449074077</v>
      </c>
      <c r="T1964">
        <v>1</v>
      </c>
      <c r="U1964" s="4">
        <v>44950.453449074077</v>
      </c>
      <c r="V1964" s="4">
        <v>44953.453449074077</v>
      </c>
      <c r="W1964" s="4">
        <v>44956.453449074077</v>
      </c>
      <c r="Z1964" s="4">
        <v>44976.453449074077</v>
      </c>
      <c r="AC1964" s="2">
        <f t="shared" si="270"/>
        <v>1</v>
      </c>
      <c r="AD1964" s="2">
        <f t="shared" si="271"/>
        <v>21</v>
      </c>
      <c r="AE1964" s="2">
        <f t="shared" si="272"/>
        <v>20</v>
      </c>
      <c r="AF1964" s="2">
        <f t="shared" si="273"/>
        <v>24</v>
      </c>
      <c r="AG1964" s="2">
        <f t="shared" si="274"/>
        <v>3</v>
      </c>
      <c r="AH1964" s="4">
        <f t="shared" si="275"/>
        <v>45034.453449074077</v>
      </c>
      <c r="AI1964" s="2">
        <f t="shared" si="276"/>
        <v>1</v>
      </c>
      <c r="AJ1964" s="2">
        <f t="shared" si="277"/>
        <v>32</v>
      </c>
      <c r="AK1964" s="2">
        <f t="shared" si="278"/>
        <v>12</v>
      </c>
    </row>
    <row r="1965" spans="1:37" x14ac:dyDescent="0.25">
      <c r="A1965">
        <v>20</v>
      </c>
      <c r="B1965" t="s">
        <v>2135</v>
      </c>
      <c r="C1965" t="s">
        <v>1577</v>
      </c>
      <c r="D1965" t="s">
        <v>2032</v>
      </c>
      <c r="E1965" t="s">
        <v>2120</v>
      </c>
      <c r="F1965" t="s">
        <v>2121</v>
      </c>
      <c r="G1965" t="s">
        <v>38</v>
      </c>
      <c r="H1965" s="1">
        <v>44634.901284722226</v>
      </c>
      <c r="I1965" s="1">
        <v>44637.901284722226</v>
      </c>
      <c r="J1965" t="s">
        <v>32</v>
      </c>
      <c r="K1965" s="1">
        <v>44652.901284722226</v>
      </c>
      <c r="L1965" t="s">
        <v>39</v>
      </c>
      <c r="N1965" s="4">
        <v>44657.901284722226</v>
      </c>
      <c r="O1965" t="s">
        <v>39</v>
      </c>
      <c r="R1965" s="4">
        <v>44656.901284722226</v>
      </c>
      <c r="T1965">
        <v>0</v>
      </c>
      <c r="AC1965" s="2">
        <f t="shared" si="270"/>
        <v>3</v>
      </c>
      <c r="AD1965" s="2">
        <f t="shared" si="271"/>
        <v>18</v>
      </c>
      <c r="AE1965" s="2">
        <f t="shared" si="272"/>
        <v>15</v>
      </c>
      <c r="AF1965" s="2">
        <f t="shared" si="273"/>
        <v>22</v>
      </c>
      <c r="AG1965" s="2">
        <f t="shared" si="274"/>
        <v>4</v>
      </c>
      <c r="AH1965" s="4">
        <f t="shared" si="275"/>
        <v>44746.901284722226</v>
      </c>
      <c r="AI1965" s="2" t="str">
        <f t="shared" si="276"/>
        <v/>
      </c>
      <c r="AJ1965" s="2" t="str">
        <f t="shared" si="277"/>
        <v/>
      </c>
      <c r="AK1965" s="2" t="str">
        <f t="shared" si="278"/>
        <v/>
      </c>
    </row>
    <row r="1966" spans="1:37" x14ac:dyDescent="0.25">
      <c r="A1966">
        <v>12</v>
      </c>
      <c r="B1966" t="s">
        <v>2136</v>
      </c>
      <c r="C1966" t="s">
        <v>1577</v>
      </c>
      <c r="D1966" t="s">
        <v>2032</v>
      </c>
      <c r="E1966" t="s">
        <v>2120</v>
      </c>
      <c r="F1966" t="s">
        <v>2121</v>
      </c>
      <c r="G1966" t="s">
        <v>38</v>
      </c>
      <c r="H1966" s="1">
        <v>44636.901284722226</v>
      </c>
      <c r="I1966" s="1">
        <v>44638.901284722226</v>
      </c>
      <c r="J1966" t="s">
        <v>44</v>
      </c>
      <c r="K1966" s="1"/>
      <c r="T1966">
        <v>0</v>
      </c>
      <c r="AC1966" s="2">
        <f t="shared" si="270"/>
        <v>2</v>
      </c>
      <c r="AD1966" s="2" t="str">
        <f t="shared" si="271"/>
        <v/>
      </c>
      <c r="AE1966" s="2" t="str">
        <f t="shared" si="272"/>
        <v/>
      </c>
      <c r="AF1966" s="2" t="str">
        <f t="shared" si="273"/>
        <v/>
      </c>
      <c r="AG1966" s="2" t="str">
        <f t="shared" si="274"/>
        <v/>
      </c>
      <c r="AH1966" s="4" t="str">
        <f t="shared" si="275"/>
        <v/>
      </c>
      <c r="AI1966" s="2" t="str">
        <f t="shared" si="276"/>
        <v/>
      </c>
      <c r="AJ1966" s="2" t="str">
        <f t="shared" si="277"/>
        <v/>
      </c>
      <c r="AK1966" s="2" t="str">
        <f t="shared" si="278"/>
        <v/>
      </c>
    </row>
    <row r="1967" spans="1:37" x14ac:dyDescent="0.25">
      <c r="A1967">
        <v>439</v>
      </c>
      <c r="B1967" t="s">
        <v>2137</v>
      </c>
      <c r="C1967" t="s">
        <v>2138</v>
      </c>
      <c r="D1967" t="s">
        <v>2139</v>
      </c>
      <c r="E1967" t="s">
        <v>96</v>
      </c>
      <c r="F1967" t="s">
        <v>2140</v>
      </c>
      <c r="G1967" t="s">
        <v>98</v>
      </c>
      <c r="H1967" s="1">
        <v>44736.315601851849</v>
      </c>
      <c r="I1967" s="1">
        <v>44738.315601851849</v>
      </c>
      <c r="J1967" t="s">
        <v>32</v>
      </c>
      <c r="K1967" s="1">
        <v>44754.315601851849</v>
      </c>
      <c r="L1967" t="s">
        <v>33</v>
      </c>
      <c r="M1967" t="s">
        <v>108</v>
      </c>
      <c r="R1967" s="4">
        <v>44755.315601851849</v>
      </c>
      <c r="T1967">
        <v>0</v>
      </c>
      <c r="Y1967" t="s">
        <v>55</v>
      </c>
      <c r="AC1967" s="2">
        <f t="shared" si="270"/>
        <v>2</v>
      </c>
      <c r="AD1967" s="2">
        <f t="shared" si="271"/>
        <v>18</v>
      </c>
      <c r="AE1967" s="2">
        <f t="shared" si="272"/>
        <v>16</v>
      </c>
      <c r="AF1967" s="2">
        <f t="shared" si="273"/>
        <v>19</v>
      </c>
      <c r="AG1967" s="2">
        <f t="shared" si="274"/>
        <v>1</v>
      </c>
      <c r="AH1967" s="4">
        <f t="shared" si="275"/>
        <v>44845.315601851849</v>
      </c>
      <c r="AI1967" s="2" t="str">
        <f t="shared" si="276"/>
        <v/>
      </c>
      <c r="AJ1967" s="2" t="str">
        <f t="shared" si="277"/>
        <v/>
      </c>
      <c r="AK1967" s="2" t="str">
        <f t="shared" si="278"/>
        <v/>
      </c>
    </row>
    <row r="1968" spans="1:37" x14ac:dyDescent="0.25">
      <c r="A1968">
        <v>432</v>
      </c>
      <c r="B1968" t="s">
        <v>2141</v>
      </c>
      <c r="C1968" t="s">
        <v>2138</v>
      </c>
      <c r="D1968" t="s">
        <v>2139</v>
      </c>
      <c r="E1968" t="s">
        <v>96</v>
      </c>
      <c r="F1968" t="s">
        <v>2140</v>
      </c>
      <c r="G1968" t="s">
        <v>98</v>
      </c>
      <c r="H1968" s="1">
        <v>44735.315601851849</v>
      </c>
      <c r="I1968" s="1">
        <v>44736.315601851849</v>
      </c>
      <c r="J1968" t="s">
        <v>32</v>
      </c>
      <c r="K1968" s="1">
        <v>44756.315601851849</v>
      </c>
      <c r="L1968" t="s">
        <v>33</v>
      </c>
      <c r="M1968" t="s">
        <v>51</v>
      </c>
      <c r="T1968">
        <v>0</v>
      </c>
      <c r="Y1968" t="s">
        <v>35</v>
      </c>
      <c r="AC1968" s="2">
        <f t="shared" si="270"/>
        <v>1</v>
      </c>
      <c r="AD1968" s="2">
        <f t="shared" si="271"/>
        <v>21</v>
      </c>
      <c r="AE1968" s="2">
        <f t="shared" si="272"/>
        <v>20</v>
      </c>
      <c r="AF1968" s="2" t="str">
        <f t="shared" si="273"/>
        <v/>
      </c>
      <c r="AG1968" s="2" t="str">
        <f t="shared" si="274"/>
        <v/>
      </c>
      <c r="AH1968" s="4" t="str">
        <f t="shared" si="275"/>
        <v/>
      </c>
      <c r="AI1968" s="2" t="str">
        <f t="shared" si="276"/>
        <v/>
      </c>
      <c r="AJ1968" s="2" t="str">
        <f t="shared" si="277"/>
        <v/>
      </c>
      <c r="AK1968" s="2" t="str">
        <f t="shared" si="278"/>
        <v/>
      </c>
    </row>
    <row r="1969" spans="1:37" x14ac:dyDescent="0.25">
      <c r="A1969">
        <v>365</v>
      </c>
      <c r="B1969" t="s">
        <v>2142</v>
      </c>
      <c r="C1969" t="s">
        <v>2138</v>
      </c>
      <c r="D1969" t="s">
        <v>2139</v>
      </c>
      <c r="E1969" t="s">
        <v>96</v>
      </c>
      <c r="F1969" t="s">
        <v>2140</v>
      </c>
      <c r="G1969" t="s">
        <v>98</v>
      </c>
      <c r="H1969" s="1">
        <v>44679.751585648148</v>
      </c>
      <c r="I1969" s="1">
        <v>44683.751585648148</v>
      </c>
      <c r="J1969" t="s">
        <v>32</v>
      </c>
      <c r="K1969" s="1">
        <v>44696.751585648148</v>
      </c>
      <c r="L1969" t="s">
        <v>39</v>
      </c>
      <c r="N1969" s="4">
        <v>44702.751585648148</v>
      </c>
      <c r="O1969" t="s">
        <v>39</v>
      </c>
      <c r="R1969" s="4">
        <v>44698.751585648148</v>
      </c>
      <c r="T1969">
        <v>0</v>
      </c>
      <c r="AC1969" s="2">
        <f t="shared" si="270"/>
        <v>4</v>
      </c>
      <c r="AD1969" s="2">
        <f t="shared" si="271"/>
        <v>17</v>
      </c>
      <c r="AE1969" s="2">
        <f t="shared" si="272"/>
        <v>13</v>
      </c>
      <c r="AF1969" s="2">
        <f t="shared" si="273"/>
        <v>19</v>
      </c>
      <c r="AG1969" s="2">
        <f t="shared" si="274"/>
        <v>2</v>
      </c>
      <c r="AH1969" s="4">
        <f t="shared" si="275"/>
        <v>44788.751585648148</v>
      </c>
      <c r="AI1969" s="2" t="str">
        <f t="shared" si="276"/>
        <v/>
      </c>
      <c r="AJ1969" s="2" t="str">
        <f t="shared" si="277"/>
        <v/>
      </c>
      <c r="AK1969" s="2" t="str">
        <f t="shared" si="278"/>
        <v/>
      </c>
    </row>
    <row r="1970" spans="1:37" x14ac:dyDescent="0.25">
      <c r="A1970">
        <v>364</v>
      </c>
      <c r="B1970" t="s">
        <v>2143</v>
      </c>
      <c r="C1970" t="s">
        <v>2138</v>
      </c>
      <c r="D1970" t="s">
        <v>2139</v>
      </c>
      <c r="E1970" t="s">
        <v>96</v>
      </c>
      <c r="F1970" t="s">
        <v>2140</v>
      </c>
      <c r="G1970" t="s">
        <v>98</v>
      </c>
      <c r="H1970" s="1">
        <v>44682.751585648148</v>
      </c>
      <c r="I1970" s="1">
        <v>44685.751585648148</v>
      </c>
      <c r="J1970" t="s">
        <v>32</v>
      </c>
      <c r="K1970" s="1">
        <v>44702.751585648148</v>
      </c>
      <c r="L1970" t="s">
        <v>57</v>
      </c>
      <c r="N1970" s="4">
        <v>44706.751585648148</v>
      </c>
      <c r="O1970" t="s">
        <v>57</v>
      </c>
      <c r="P1970" s="4">
        <v>44704.751585648148</v>
      </c>
      <c r="Q1970" s="4">
        <v>44708.751585648148</v>
      </c>
      <c r="R1970" s="4">
        <v>44703.751585648148</v>
      </c>
      <c r="S1970" s="4">
        <v>44705.751585648148</v>
      </c>
      <c r="T1970">
        <v>1</v>
      </c>
      <c r="U1970" s="4">
        <v>44708.751585648148</v>
      </c>
      <c r="V1970" s="4">
        <v>44711.751585648148</v>
      </c>
      <c r="W1970" s="4">
        <v>44712.751585648148</v>
      </c>
      <c r="Z1970" s="4">
        <v>44732.751585648148</v>
      </c>
      <c r="AC1970" s="2">
        <f t="shared" si="270"/>
        <v>3</v>
      </c>
      <c r="AD1970" s="2">
        <f t="shared" si="271"/>
        <v>20</v>
      </c>
      <c r="AE1970" s="2">
        <f t="shared" si="272"/>
        <v>17</v>
      </c>
      <c r="AF1970" s="2">
        <f t="shared" si="273"/>
        <v>21</v>
      </c>
      <c r="AG1970" s="2">
        <f t="shared" si="274"/>
        <v>1</v>
      </c>
      <c r="AH1970" s="4">
        <f t="shared" si="275"/>
        <v>44793.751585648148</v>
      </c>
      <c r="AI1970" s="2">
        <f t="shared" si="276"/>
        <v>3</v>
      </c>
      <c r="AJ1970" s="2">
        <f t="shared" si="277"/>
        <v>29</v>
      </c>
      <c r="AK1970" s="2">
        <f t="shared" si="278"/>
        <v>9</v>
      </c>
    </row>
    <row r="1971" spans="1:37" x14ac:dyDescent="0.25">
      <c r="A1971">
        <v>360</v>
      </c>
      <c r="B1971" t="s">
        <v>2144</v>
      </c>
      <c r="C1971" t="s">
        <v>2138</v>
      </c>
      <c r="D1971" t="s">
        <v>2139</v>
      </c>
      <c r="E1971" t="s">
        <v>96</v>
      </c>
      <c r="F1971" t="s">
        <v>2140</v>
      </c>
      <c r="G1971" t="s">
        <v>98</v>
      </c>
      <c r="H1971" s="1">
        <v>44842.176585648151</v>
      </c>
      <c r="I1971" s="1">
        <v>44843.176585648151</v>
      </c>
      <c r="J1971" t="s">
        <v>32</v>
      </c>
      <c r="K1971" s="1">
        <v>44852.176585648151</v>
      </c>
      <c r="L1971" t="s">
        <v>33</v>
      </c>
      <c r="M1971" t="s">
        <v>51</v>
      </c>
      <c r="R1971" s="4">
        <v>44854.176585648151</v>
      </c>
      <c r="T1971">
        <v>0</v>
      </c>
      <c r="Y1971" t="s">
        <v>55</v>
      </c>
      <c r="AC1971" s="2">
        <f t="shared" si="270"/>
        <v>1</v>
      </c>
      <c r="AD1971" s="2">
        <f t="shared" si="271"/>
        <v>10</v>
      </c>
      <c r="AE1971" s="2">
        <f t="shared" si="272"/>
        <v>9</v>
      </c>
      <c r="AF1971" s="2">
        <f t="shared" si="273"/>
        <v>12</v>
      </c>
      <c r="AG1971" s="2">
        <f t="shared" si="274"/>
        <v>2</v>
      </c>
      <c r="AH1971" s="4">
        <f t="shared" si="275"/>
        <v>44944.176585648151</v>
      </c>
      <c r="AI1971" s="2" t="str">
        <f t="shared" si="276"/>
        <v/>
      </c>
      <c r="AJ1971" s="2" t="str">
        <f t="shared" si="277"/>
        <v/>
      </c>
      <c r="AK1971" s="2" t="str">
        <f t="shared" si="278"/>
        <v/>
      </c>
    </row>
    <row r="1972" spans="1:37" x14ac:dyDescent="0.25">
      <c r="A1972">
        <v>358</v>
      </c>
      <c r="B1972" t="s">
        <v>2145</v>
      </c>
      <c r="C1972" t="s">
        <v>2138</v>
      </c>
      <c r="D1972" t="s">
        <v>2139</v>
      </c>
      <c r="E1972" t="s">
        <v>96</v>
      </c>
      <c r="F1972" t="s">
        <v>2140</v>
      </c>
      <c r="G1972" t="s">
        <v>98</v>
      </c>
      <c r="H1972" s="1">
        <v>44837.176585648151</v>
      </c>
      <c r="I1972" s="1">
        <v>44841.176585648151</v>
      </c>
      <c r="J1972" t="s">
        <v>32</v>
      </c>
      <c r="K1972" s="1">
        <v>44850.176585648151</v>
      </c>
      <c r="L1972" t="s">
        <v>33</v>
      </c>
      <c r="M1972" t="s">
        <v>51</v>
      </c>
      <c r="R1972" s="4">
        <v>44854.176585648151</v>
      </c>
      <c r="T1972">
        <v>0</v>
      </c>
      <c r="Y1972" t="s">
        <v>55</v>
      </c>
      <c r="AC1972" s="2">
        <f t="shared" si="270"/>
        <v>4</v>
      </c>
      <c r="AD1972" s="2">
        <f t="shared" si="271"/>
        <v>13</v>
      </c>
      <c r="AE1972" s="2">
        <f t="shared" si="272"/>
        <v>9</v>
      </c>
      <c r="AF1972" s="2">
        <f t="shared" si="273"/>
        <v>17</v>
      </c>
      <c r="AG1972" s="2">
        <f t="shared" si="274"/>
        <v>4</v>
      </c>
      <c r="AH1972" s="4">
        <f t="shared" si="275"/>
        <v>44944.176585648151</v>
      </c>
      <c r="AI1972" s="2" t="str">
        <f t="shared" si="276"/>
        <v/>
      </c>
      <c r="AJ1972" s="2" t="str">
        <f t="shared" si="277"/>
        <v/>
      </c>
      <c r="AK1972" s="2" t="str">
        <f t="shared" si="278"/>
        <v/>
      </c>
    </row>
    <row r="1973" spans="1:37" x14ac:dyDescent="0.25">
      <c r="A1973">
        <v>354</v>
      </c>
      <c r="B1973" t="s">
        <v>2146</v>
      </c>
      <c r="C1973" t="s">
        <v>2138</v>
      </c>
      <c r="D1973" t="s">
        <v>2139</v>
      </c>
      <c r="E1973" t="s">
        <v>96</v>
      </c>
      <c r="F1973" t="s">
        <v>2140</v>
      </c>
      <c r="G1973" t="s">
        <v>98</v>
      </c>
      <c r="H1973" s="1">
        <v>44835.176585648151</v>
      </c>
      <c r="I1973" s="1">
        <v>44838.176585648151</v>
      </c>
      <c r="J1973" t="s">
        <v>32</v>
      </c>
      <c r="K1973" s="1">
        <v>44851.176585648151</v>
      </c>
      <c r="L1973" t="s">
        <v>39</v>
      </c>
      <c r="N1973" s="4">
        <v>44853.176585648151</v>
      </c>
      <c r="O1973" t="s">
        <v>39</v>
      </c>
      <c r="R1973" s="4">
        <v>44852.176585648151</v>
      </c>
      <c r="T1973">
        <v>0</v>
      </c>
      <c r="AC1973" s="2">
        <f t="shared" si="270"/>
        <v>3</v>
      </c>
      <c r="AD1973" s="2">
        <f t="shared" si="271"/>
        <v>16</v>
      </c>
      <c r="AE1973" s="2">
        <f t="shared" si="272"/>
        <v>13</v>
      </c>
      <c r="AF1973" s="2">
        <f t="shared" si="273"/>
        <v>17</v>
      </c>
      <c r="AG1973" s="2">
        <f t="shared" si="274"/>
        <v>1</v>
      </c>
      <c r="AH1973" s="4">
        <f t="shared" si="275"/>
        <v>44942.176585648151</v>
      </c>
      <c r="AI1973" s="2" t="str">
        <f t="shared" si="276"/>
        <v/>
      </c>
      <c r="AJ1973" s="2" t="str">
        <f t="shared" si="277"/>
        <v/>
      </c>
      <c r="AK1973" s="2" t="str">
        <f t="shared" si="278"/>
        <v/>
      </c>
    </row>
    <row r="1974" spans="1:37" x14ac:dyDescent="0.25">
      <c r="A1974">
        <v>326</v>
      </c>
      <c r="B1974" t="s">
        <v>2147</v>
      </c>
      <c r="C1974" t="s">
        <v>2138</v>
      </c>
      <c r="D1974" t="s">
        <v>2139</v>
      </c>
      <c r="E1974" t="s">
        <v>96</v>
      </c>
      <c r="F1974" t="s">
        <v>2140</v>
      </c>
      <c r="G1974" t="s">
        <v>98</v>
      </c>
      <c r="H1974" s="1">
        <v>44577.917696759258</v>
      </c>
      <c r="I1974" s="1">
        <v>44578.917696759258</v>
      </c>
      <c r="J1974" t="s">
        <v>32</v>
      </c>
      <c r="K1974" s="1">
        <v>44584.917696759258</v>
      </c>
      <c r="L1974" t="s">
        <v>39</v>
      </c>
      <c r="N1974" s="4">
        <v>44586.917696759258</v>
      </c>
      <c r="O1974" t="s">
        <v>39</v>
      </c>
      <c r="R1974" s="4">
        <v>44585.917696759258</v>
      </c>
      <c r="T1974">
        <v>0</v>
      </c>
      <c r="AC1974" s="2">
        <f t="shared" si="270"/>
        <v>1</v>
      </c>
      <c r="AD1974" s="2">
        <f t="shared" si="271"/>
        <v>7</v>
      </c>
      <c r="AE1974" s="2">
        <f t="shared" si="272"/>
        <v>6</v>
      </c>
      <c r="AF1974" s="2">
        <f t="shared" si="273"/>
        <v>8</v>
      </c>
      <c r="AG1974" s="2">
        <f t="shared" si="274"/>
        <v>1</v>
      </c>
      <c r="AH1974" s="4">
        <f t="shared" si="275"/>
        <v>44675.917696759258</v>
      </c>
      <c r="AI1974" s="2" t="str">
        <f t="shared" si="276"/>
        <v/>
      </c>
      <c r="AJ1974" s="2" t="str">
        <f t="shared" si="277"/>
        <v/>
      </c>
      <c r="AK1974" s="2" t="str">
        <f t="shared" si="278"/>
        <v/>
      </c>
    </row>
    <row r="1975" spans="1:37" x14ac:dyDescent="0.25">
      <c r="A1975">
        <v>324</v>
      </c>
      <c r="B1975" t="s">
        <v>2148</v>
      </c>
      <c r="C1975" t="s">
        <v>2138</v>
      </c>
      <c r="D1975" t="s">
        <v>2139</v>
      </c>
      <c r="E1975" t="s">
        <v>96</v>
      </c>
      <c r="F1975" t="s">
        <v>2140</v>
      </c>
      <c r="G1975" t="s">
        <v>98</v>
      </c>
      <c r="H1975" s="1">
        <v>44580.917696759258</v>
      </c>
      <c r="I1975" s="1">
        <v>44581.917696759258</v>
      </c>
      <c r="J1975" t="s">
        <v>32</v>
      </c>
      <c r="K1975" s="1">
        <v>44585.917696759258</v>
      </c>
      <c r="L1975" t="s">
        <v>57</v>
      </c>
      <c r="N1975" s="4">
        <v>44591.917696759258</v>
      </c>
      <c r="O1975" t="s">
        <v>57</v>
      </c>
      <c r="P1975" s="4">
        <v>44586.917696759258</v>
      </c>
      <c r="Q1975" s="4">
        <v>44590.917696759258</v>
      </c>
      <c r="R1975" s="4">
        <v>44587.917696759258</v>
      </c>
      <c r="S1975" s="4">
        <v>44592.917696759258</v>
      </c>
      <c r="T1975">
        <v>1</v>
      </c>
      <c r="U1975" s="4">
        <v>44593.917696759258</v>
      </c>
      <c r="V1975" s="4">
        <v>44594.917696759258</v>
      </c>
      <c r="W1975" s="4">
        <v>44595.917696759258</v>
      </c>
      <c r="Z1975" s="4">
        <v>44618.917696759258</v>
      </c>
      <c r="AC1975" s="2">
        <f t="shared" si="270"/>
        <v>1</v>
      </c>
      <c r="AD1975" s="2">
        <f t="shared" si="271"/>
        <v>5</v>
      </c>
      <c r="AE1975" s="2">
        <f t="shared" si="272"/>
        <v>4</v>
      </c>
      <c r="AF1975" s="2">
        <f t="shared" si="273"/>
        <v>7</v>
      </c>
      <c r="AG1975" s="2">
        <f t="shared" si="274"/>
        <v>2</v>
      </c>
      <c r="AH1975" s="4">
        <f t="shared" si="275"/>
        <v>44677.917696759258</v>
      </c>
      <c r="AI1975" s="2">
        <f t="shared" si="276"/>
        <v>1</v>
      </c>
      <c r="AJ1975" s="2">
        <f t="shared" si="277"/>
        <v>31</v>
      </c>
      <c r="AK1975" s="2">
        <f t="shared" si="278"/>
        <v>8</v>
      </c>
    </row>
    <row r="1976" spans="1:37" x14ac:dyDescent="0.25">
      <c r="A1976">
        <v>323</v>
      </c>
      <c r="B1976" t="s">
        <v>2149</v>
      </c>
      <c r="C1976" t="s">
        <v>2138</v>
      </c>
      <c r="D1976" t="s">
        <v>2139</v>
      </c>
      <c r="E1976" t="s">
        <v>96</v>
      </c>
      <c r="F1976" t="s">
        <v>2140</v>
      </c>
      <c r="G1976" t="s">
        <v>98</v>
      </c>
      <c r="H1976" s="1">
        <v>44576.917696759258</v>
      </c>
      <c r="I1976" s="1">
        <v>44578.917696759258</v>
      </c>
      <c r="J1976" t="s">
        <v>32</v>
      </c>
      <c r="K1976" s="1">
        <v>44594.917696759258</v>
      </c>
      <c r="L1976" t="s">
        <v>164</v>
      </c>
      <c r="N1976" s="4">
        <v>44597.917696759258</v>
      </c>
      <c r="O1976" t="s">
        <v>164</v>
      </c>
      <c r="R1976" s="4">
        <v>44595.917696759258</v>
      </c>
      <c r="T1976">
        <v>0</v>
      </c>
      <c r="AC1976" s="2">
        <f t="shared" si="270"/>
        <v>2</v>
      </c>
      <c r="AD1976" s="2">
        <f t="shared" si="271"/>
        <v>18</v>
      </c>
      <c r="AE1976" s="2">
        <f t="shared" si="272"/>
        <v>16</v>
      </c>
      <c r="AF1976" s="2">
        <f t="shared" si="273"/>
        <v>19</v>
      </c>
      <c r="AG1976" s="2">
        <f t="shared" si="274"/>
        <v>1</v>
      </c>
      <c r="AH1976" s="4">
        <f t="shared" si="275"/>
        <v>44685.917696759258</v>
      </c>
      <c r="AI1976" s="2" t="str">
        <f t="shared" si="276"/>
        <v/>
      </c>
      <c r="AJ1976" s="2" t="str">
        <f t="shared" si="277"/>
        <v/>
      </c>
      <c r="AK1976" s="2" t="str">
        <f t="shared" si="278"/>
        <v/>
      </c>
    </row>
    <row r="1977" spans="1:37" x14ac:dyDescent="0.25">
      <c r="A1977">
        <v>297</v>
      </c>
      <c r="B1977" t="s">
        <v>2150</v>
      </c>
      <c r="C1977" t="s">
        <v>2138</v>
      </c>
      <c r="D1977" t="s">
        <v>2139</v>
      </c>
      <c r="E1977" t="s">
        <v>96</v>
      </c>
      <c r="F1977" t="s">
        <v>2140</v>
      </c>
      <c r="G1977" t="s">
        <v>98</v>
      </c>
      <c r="H1977" s="1">
        <v>45134.740011574075</v>
      </c>
      <c r="I1977" s="1">
        <v>45137.740011574075</v>
      </c>
      <c r="J1977" t="s">
        <v>32</v>
      </c>
      <c r="K1977" s="1">
        <v>45149.740011574075</v>
      </c>
      <c r="L1977" t="s">
        <v>39</v>
      </c>
      <c r="N1977" s="4">
        <v>45154.740011574075</v>
      </c>
      <c r="O1977" t="s">
        <v>39</v>
      </c>
      <c r="R1977" s="4">
        <v>45152.740011574075</v>
      </c>
      <c r="T1977">
        <v>0</v>
      </c>
      <c r="AC1977" s="2">
        <f t="shared" si="270"/>
        <v>3</v>
      </c>
      <c r="AD1977" s="2">
        <f t="shared" si="271"/>
        <v>15</v>
      </c>
      <c r="AE1977" s="2">
        <f t="shared" si="272"/>
        <v>12</v>
      </c>
      <c r="AF1977" s="2">
        <f t="shared" si="273"/>
        <v>18</v>
      </c>
      <c r="AG1977" s="2">
        <f t="shared" si="274"/>
        <v>3</v>
      </c>
      <c r="AH1977" s="4">
        <f t="shared" si="275"/>
        <v>45242.740011574075</v>
      </c>
      <c r="AI1977" s="2" t="str">
        <f t="shared" si="276"/>
        <v/>
      </c>
      <c r="AJ1977" s="2" t="str">
        <f t="shared" si="277"/>
        <v/>
      </c>
      <c r="AK1977" s="2" t="str">
        <f t="shared" si="278"/>
        <v/>
      </c>
    </row>
    <row r="1978" spans="1:37" x14ac:dyDescent="0.25">
      <c r="A1978">
        <v>279</v>
      </c>
      <c r="B1978" t="s">
        <v>2151</v>
      </c>
      <c r="C1978" t="s">
        <v>2138</v>
      </c>
      <c r="D1978" t="s">
        <v>2139</v>
      </c>
      <c r="E1978" t="s">
        <v>96</v>
      </c>
      <c r="F1978" t="s">
        <v>2140</v>
      </c>
      <c r="G1978" t="s">
        <v>98</v>
      </c>
      <c r="H1978" s="1">
        <v>44844.592418981483</v>
      </c>
      <c r="I1978" s="1">
        <v>44848.592418981483</v>
      </c>
      <c r="J1978" t="s">
        <v>32</v>
      </c>
      <c r="K1978" s="1">
        <v>44860.592418981483</v>
      </c>
      <c r="L1978" t="s">
        <v>33</v>
      </c>
      <c r="M1978" t="s">
        <v>108</v>
      </c>
      <c r="T1978">
        <v>0</v>
      </c>
      <c r="Y1978" t="s">
        <v>55</v>
      </c>
      <c r="AC1978" s="2">
        <f t="shared" si="270"/>
        <v>4</v>
      </c>
      <c r="AD1978" s="2">
        <f t="shared" si="271"/>
        <v>16</v>
      </c>
      <c r="AE1978" s="2">
        <f t="shared" si="272"/>
        <v>12</v>
      </c>
      <c r="AF1978" s="2" t="str">
        <f t="shared" si="273"/>
        <v/>
      </c>
      <c r="AG1978" s="2" t="str">
        <f t="shared" si="274"/>
        <v/>
      </c>
      <c r="AH1978" s="4" t="str">
        <f t="shared" si="275"/>
        <v/>
      </c>
      <c r="AI1978" s="2" t="str">
        <f t="shared" si="276"/>
        <v/>
      </c>
      <c r="AJ1978" s="2" t="str">
        <f t="shared" si="277"/>
        <v/>
      </c>
      <c r="AK1978" s="2" t="str">
        <f t="shared" si="278"/>
        <v/>
      </c>
    </row>
    <row r="1979" spans="1:37" x14ac:dyDescent="0.25">
      <c r="A1979">
        <v>278</v>
      </c>
      <c r="B1979" t="s">
        <v>2152</v>
      </c>
      <c r="C1979" t="s">
        <v>2138</v>
      </c>
      <c r="D1979" t="s">
        <v>2139</v>
      </c>
      <c r="E1979" t="s">
        <v>96</v>
      </c>
      <c r="F1979" t="s">
        <v>2140</v>
      </c>
      <c r="G1979" t="s">
        <v>98</v>
      </c>
      <c r="H1979" s="1">
        <v>44845.592418981483</v>
      </c>
      <c r="I1979" s="1">
        <v>44846.592418981483</v>
      </c>
      <c r="J1979" t="s">
        <v>32</v>
      </c>
      <c r="K1979" s="1">
        <v>44867.592418981483</v>
      </c>
      <c r="L1979" t="s">
        <v>33</v>
      </c>
      <c r="M1979" t="s">
        <v>67</v>
      </c>
      <c r="R1979" s="4">
        <v>44868.592418981483</v>
      </c>
      <c r="T1979">
        <v>0</v>
      </c>
      <c r="Y1979" t="s">
        <v>55</v>
      </c>
      <c r="AC1979" s="2">
        <f t="shared" si="270"/>
        <v>1</v>
      </c>
      <c r="AD1979" s="2">
        <f t="shared" si="271"/>
        <v>22</v>
      </c>
      <c r="AE1979" s="2">
        <f t="shared" si="272"/>
        <v>21</v>
      </c>
      <c r="AF1979" s="2">
        <f t="shared" si="273"/>
        <v>23</v>
      </c>
      <c r="AG1979" s="2">
        <f t="shared" si="274"/>
        <v>1</v>
      </c>
      <c r="AH1979" s="4">
        <f t="shared" si="275"/>
        <v>44958.592418981483</v>
      </c>
      <c r="AI1979" s="2" t="str">
        <f t="shared" si="276"/>
        <v/>
      </c>
      <c r="AJ1979" s="2" t="str">
        <f t="shared" si="277"/>
        <v/>
      </c>
      <c r="AK1979" s="2" t="str">
        <f t="shared" si="278"/>
        <v/>
      </c>
    </row>
    <row r="1980" spans="1:37" x14ac:dyDescent="0.25">
      <c r="A1980">
        <v>271</v>
      </c>
      <c r="B1980" t="s">
        <v>2153</v>
      </c>
      <c r="C1980" t="s">
        <v>2138</v>
      </c>
      <c r="D1980" t="s">
        <v>2139</v>
      </c>
      <c r="E1980" t="s">
        <v>96</v>
      </c>
      <c r="F1980" t="s">
        <v>2140</v>
      </c>
      <c r="G1980" t="s">
        <v>98</v>
      </c>
      <c r="H1980" s="1">
        <v>44846.592418981483</v>
      </c>
      <c r="I1980" s="1">
        <v>44849.592418981483</v>
      </c>
      <c r="J1980" t="s">
        <v>32</v>
      </c>
      <c r="K1980" s="1">
        <v>44861.592418981483</v>
      </c>
      <c r="L1980" t="s">
        <v>57</v>
      </c>
      <c r="N1980" s="4">
        <v>44865.592418981483</v>
      </c>
      <c r="O1980" t="s">
        <v>57</v>
      </c>
      <c r="P1980" s="4">
        <v>44863.592418981483</v>
      </c>
      <c r="Q1980" s="4">
        <v>44866.592418981483</v>
      </c>
      <c r="R1980" s="4">
        <v>44862.592418981483</v>
      </c>
      <c r="S1980" s="4">
        <v>44867.592418981483</v>
      </c>
      <c r="T1980">
        <v>1</v>
      </c>
      <c r="U1980" s="4">
        <v>44870.592418981483</v>
      </c>
      <c r="V1980" s="4">
        <v>44871.592418981483</v>
      </c>
      <c r="W1980" s="4">
        <v>44872.592418981483</v>
      </c>
      <c r="Z1980" s="4">
        <v>44889.592418981483</v>
      </c>
      <c r="AC1980" s="2">
        <f t="shared" si="270"/>
        <v>3</v>
      </c>
      <c r="AD1980" s="2">
        <f t="shared" si="271"/>
        <v>15</v>
      </c>
      <c r="AE1980" s="2">
        <f t="shared" si="272"/>
        <v>12</v>
      </c>
      <c r="AF1980" s="2">
        <f t="shared" si="273"/>
        <v>16</v>
      </c>
      <c r="AG1980" s="2">
        <f t="shared" si="274"/>
        <v>1</v>
      </c>
      <c r="AH1980" s="4">
        <f t="shared" si="275"/>
        <v>44952.592418981483</v>
      </c>
      <c r="AI1980" s="2">
        <f t="shared" si="276"/>
        <v>3</v>
      </c>
      <c r="AJ1980" s="2">
        <f t="shared" si="277"/>
        <v>27</v>
      </c>
      <c r="AK1980" s="2">
        <f t="shared" si="278"/>
        <v>10</v>
      </c>
    </row>
    <row r="1981" spans="1:37" x14ac:dyDescent="0.25">
      <c r="A1981">
        <v>249</v>
      </c>
      <c r="B1981" t="s">
        <v>2154</v>
      </c>
      <c r="C1981" t="s">
        <v>2138</v>
      </c>
      <c r="D1981" t="s">
        <v>2139</v>
      </c>
      <c r="E1981" t="s">
        <v>96</v>
      </c>
      <c r="F1981" t="s">
        <v>2140</v>
      </c>
      <c r="G1981" t="s">
        <v>98</v>
      </c>
      <c r="H1981" s="1">
        <v>44673.34851851852</v>
      </c>
      <c r="I1981" s="1">
        <v>44676.34851851852</v>
      </c>
      <c r="J1981" t="s">
        <v>32</v>
      </c>
      <c r="K1981" s="1">
        <v>44688.34851851852</v>
      </c>
      <c r="L1981" t="s">
        <v>39</v>
      </c>
      <c r="N1981" s="4">
        <v>44691.34851851852</v>
      </c>
      <c r="O1981" t="s">
        <v>39</v>
      </c>
      <c r="R1981" s="4">
        <v>44689.34851851852</v>
      </c>
      <c r="T1981">
        <v>0</v>
      </c>
      <c r="AC1981" s="2">
        <f t="shared" si="270"/>
        <v>3</v>
      </c>
      <c r="AD1981" s="2">
        <f t="shared" si="271"/>
        <v>15</v>
      </c>
      <c r="AE1981" s="2">
        <f t="shared" si="272"/>
        <v>12</v>
      </c>
      <c r="AF1981" s="2">
        <f t="shared" si="273"/>
        <v>16</v>
      </c>
      <c r="AG1981" s="2">
        <f t="shared" si="274"/>
        <v>1</v>
      </c>
      <c r="AH1981" s="4">
        <f t="shared" si="275"/>
        <v>44779.34851851852</v>
      </c>
      <c r="AI1981" s="2" t="str">
        <f t="shared" si="276"/>
        <v/>
      </c>
      <c r="AJ1981" s="2" t="str">
        <f t="shared" si="277"/>
        <v/>
      </c>
      <c r="AK1981" s="2" t="str">
        <f t="shared" si="278"/>
        <v/>
      </c>
    </row>
    <row r="1982" spans="1:37" x14ac:dyDescent="0.25">
      <c r="A1982">
        <v>247</v>
      </c>
      <c r="B1982" t="s">
        <v>2155</v>
      </c>
      <c r="C1982" t="s">
        <v>2138</v>
      </c>
      <c r="D1982" t="s">
        <v>2139</v>
      </c>
      <c r="E1982" t="s">
        <v>96</v>
      </c>
      <c r="F1982" t="s">
        <v>2140</v>
      </c>
      <c r="G1982" t="s">
        <v>98</v>
      </c>
      <c r="H1982" s="1">
        <v>44673.34851851852</v>
      </c>
      <c r="I1982" s="1">
        <v>44676.34851851852</v>
      </c>
      <c r="J1982" t="s">
        <v>32</v>
      </c>
      <c r="K1982" s="1">
        <v>44695.34851851852</v>
      </c>
      <c r="L1982" t="s">
        <v>57</v>
      </c>
      <c r="N1982" s="4">
        <v>44699.34851851852</v>
      </c>
      <c r="O1982" t="s">
        <v>57</v>
      </c>
      <c r="P1982" s="4">
        <v>44697.34851851852</v>
      </c>
      <c r="Q1982" s="4">
        <v>44700.34851851852</v>
      </c>
      <c r="R1982" s="4">
        <v>44698.34851851852</v>
      </c>
      <c r="S1982" s="4">
        <v>44706.34851851852</v>
      </c>
      <c r="T1982">
        <v>1</v>
      </c>
      <c r="U1982" s="4">
        <v>44707.34851851852</v>
      </c>
      <c r="V1982" s="4">
        <v>44709.34851851852</v>
      </c>
      <c r="W1982" s="4">
        <v>44711.34851851852</v>
      </c>
      <c r="Z1982" s="4">
        <v>44733.34851851852</v>
      </c>
      <c r="AC1982" s="2">
        <f t="shared" si="270"/>
        <v>3</v>
      </c>
      <c r="AD1982" s="2">
        <f t="shared" si="271"/>
        <v>22</v>
      </c>
      <c r="AE1982" s="2">
        <f t="shared" si="272"/>
        <v>19</v>
      </c>
      <c r="AF1982" s="2">
        <f t="shared" si="273"/>
        <v>25</v>
      </c>
      <c r="AG1982" s="2">
        <f t="shared" si="274"/>
        <v>3</v>
      </c>
      <c r="AH1982" s="4">
        <f t="shared" si="275"/>
        <v>44788.34851851852</v>
      </c>
      <c r="AI1982" s="2">
        <f t="shared" si="276"/>
        <v>1</v>
      </c>
      <c r="AJ1982" s="2">
        <f t="shared" si="277"/>
        <v>35</v>
      </c>
      <c r="AK1982" s="2">
        <f t="shared" si="278"/>
        <v>13</v>
      </c>
    </row>
    <row r="1983" spans="1:37" x14ac:dyDescent="0.25">
      <c r="A1983">
        <v>242</v>
      </c>
      <c r="B1983" t="s">
        <v>2156</v>
      </c>
      <c r="C1983" t="s">
        <v>2138</v>
      </c>
      <c r="D1983" t="s">
        <v>2139</v>
      </c>
      <c r="E1983" t="s">
        <v>96</v>
      </c>
      <c r="F1983" t="s">
        <v>2140</v>
      </c>
      <c r="G1983" t="s">
        <v>98</v>
      </c>
      <c r="H1983" s="1">
        <v>44677.34851851852</v>
      </c>
      <c r="I1983" s="1">
        <v>44680.34851851852</v>
      </c>
      <c r="J1983" t="s">
        <v>32</v>
      </c>
      <c r="K1983" s="1">
        <v>44696.34851851852</v>
      </c>
      <c r="L1983" t="s">
        <v>33</v>
      </c>
      <c r="M1983" t="s">
        <v>67</v>
      </c>
      <c r="T1983">
        <v>0</v>
      </c>
      <c r="Y1983" t="s">
        <v>55</v>
      </c>
      <c r="AC1983" s="2">
        <f t="shared" si="270"/>
        <v>3</v>
      </c>
      <c r="AD1983" s="2">
        <f t="shared" si="271"/>
        <v>19</v>
      </c>
      <c r="AE1983" s="2">
        <f t="shared" si="272"/>
        <v>16</v>
      </c>
      <c r="AF1983" s="2" t="str">
        <f t="shared" si="273"/>
        <v/>
      </c>
      <c r="AG1983" s="2" t="str">
        <f t="shared" si="274"/>
        <v/>
      </c>
      <c r="AH1983" s="4" t="str">
        <f t="shared" si="275"/>
        <v/>
      </c>
      <c r="AI1983" s="2" t="str">
        <f t="shared" si="276"/>
        <v/>
      </c>
      <c r="AJ1983" s="2" t="str">
        <f t="shared" si="277"/>
        <v/>
      </c>
      <c r="AK1983" s="2" t="str">
        <f t="shared" si="278"/>
        <v/>
      </c>
    </row>
    <row r="1984" spans="1:37" x14ac:dyDescent="0.25">
      <c r="A1984">
        <v>126</v>
      </c>
      <c r="B1984" t="s">
        <v>2157</v>
      </c>
      <c r="C1984" t="s">
        <v>2138</v>
      </c>
      <c r="D1984" t="s">
        <v>2139</v>
      </c>
      <c r="E1984" t="s">
        <v>96</v>
      </c>
      <c r="F1984" t="s">
        <v>2140</v>
      </c>
      <c r="G1984" t="s">
        <v>98</v>
      </c>
      <c r="H1984" s="1">
        <v>44825.472696759258</v>
      </c>
      <c r="I1984" s="1">
        <v>44827.472696759258</v>
      </c>
      <c r="J1984" t="s">
        <v>32</v>
      </c>
      <c r="K1984" s="1">
        <v>44848.472696759258</v>
      </c>
      <c r="L1984" t="s">
        <v>57</v>
      </c>
      <c r="N1984" s="4">
        <v>44850.472696759258</v>
      </c>
      <c r="O1984" t="s">
        <v>57</v>
      </c>
      <c r="P1984" s="4">
        <v>44849.472696759258</v>
      </c>
      <c r="Q1984" s="4">
        <v>44852.472696759258</v>
      </c>
      <c r="R1984" s="4">
        <v>44849.472696759258</v>
      </c>
      <c r="S1984" s="4">
        <v>44856.472696759258</v>
      </c>
      <c r="T1984">
        <v>1</v>
      </c>
      <c r="U1984" s="4">
        <v>44860.472696759258</v>
      </c>
      <c r="V1984" s="4">
        <v>44863.472696759258</v>
      </c>
      <c r="W1984" s="4">
        <v>44864.472696759258</v>
      </c>
      <c r="Z1984" s="4">
        <v>44879.472696759258</v>
      </c>
      <c r="AC1984" s="2">
        <f t="shared" si="270"/>
        <v>2</v>
      </c>
      <c r="AD1984" s="2">
        <f t="shared" si="271"/>
        <v>23</v>
      </c>
      <c r="AE1984" s="2">
        <f t="shared" si="272"/>
        <v>21</v>
      </c>
      <c r="AF1984" s="2">
        <f t="shared" si="273"/>
        <v>24</v>
      </c>
      <c r="AG1984" s="2">
        <f t="shared" si="274"/>
        <v>1</v>
      </c>
      <c r="AH1984" s="4">
        <f t="shared" si="275"/>
        <v>44939.472696759258</v>
      </c>
      <c r="AI1984" s="2">
        <f t="shared" si="276"/>
        <v>4</v>
      </c>
      <c r="AJ1984" s="2">
        <f t="shared" si="277"/>
        <v>30</v>
      </c>
      <c r="AK1984" s="2">
        <f t="shared" si="278"/>
        <v>15</v>
      </c>
    </row>
    <row r="1985" spans="1:37" x14ac:dyDescent="0.25">
      <c r="A1985">
        <v>123</v>
      </c>
      <c r="B1985" t="s">
        <v>2158</v>
      </c>
      <c r="C1985" t="s">
        <v>2138</v>
      </c>
      <c r="D1985" t="s">
        <v>2139</v>
      </c>
      <c r="E1985" t="s">
        <v>96</v>
      </c>
      <c r="F1985" t="s">
        <v>2140</v>
      </c>
      <c r="G1985" t="s">
        <v>98</v>
      </c>
      <c r="H1985" s="1">
        <v>44824.472696759258</v>
      </c>
      <c r="I1985" s="1">
        <v>44827.472696759258</v>
      </c>
      <c r="J1985" t="s">
        <v>44</v>
      </c>
      <c r="K1985" s="1"/>
      <c r="T1985">
        <v>0</v>
      </c>
      <c r="AC1985" s="2">
        <f t="shared" si="270"/>
        <v>3</v>
      </c>
      <c r="AD1985" s="2" t="str">
        <f t="shared" si="271"/>
        <v/>
      </c>
      <c r="AE1985" s="2" t="str">
        <f t="shared" si="272"/>
        <v/>
      </c>
      <c r="AF1985" s="2" t="str">
        <f t="shared" si="273"/>
        <v/>
      </c>
      <c r="AG1985" s="2" t="str">
        <f t="shared" si="274"/>
        <v/>
      </c>
      <c r="AH1985" s="4" t="str">
        <f t="shared" si="275"/>
        <v/>
      </c>
      <c r="AI1985" s="2" t="str">
        <f t="shared" si="276"/>
        <v/>
      </c>
      <c r="AJ1985" s="2" t="str">
        <f t="shared" si="277"/>
        <v/>
      </c>
      <c r="AK1985" s="2" t="str">
        <f t="shared" si="278"/>
        <v/>
      </c>
    </row>
    <row r="1986" spans="1:37" x14ac:dyDescent="0.25">
      <c r="A1986">
        <v>88</v>
      </c>
      <c r="B1986" t="s">
        <v>2159</v>
      </c>
      <c r="C1986" t="s">
        <v>2138</v>
      </c>
      <c r="D1986" t="s">
        <v>2139</v>
      </c>
      <c r="E1986" t="s">
        <v>96</v>
      </c>
      <c r="F1986" t="s">
        <v>2140</v>
      </c>
      <c r="G1986" t="s">
        <v>98</v>
      </c>
      <c r="H1986" s="1">
        <v>44725.092650462961</v>
      </c>
      <c r="I1986" s="1">
        <v>44728.092650462961</v>
      </c>
      <c r="J1986" t="s">
        <v>44</v>
      </c>
      <c r="K1986" s="1"/>
      <c r="T1986">
        <v>0</v>
      </c>
      <c r="AC1986" s="2">
        <f t="shared" si="270"/>
        <v>3</v>
      </c>
      <c r="AD1986" s="2" t="str">
        <f t="shared" si="271"/>
        <v/>
      </c>
      <c r="AE1986" s="2" t="str">
        <f t="shared" si="272"/>
        <v/>
      </c>
      <c r="AF1986" s="2" t="str">
        <f t="shared" si="273"/>
        <v/>
      </c>
      <c r="AG1986" s="2" t="str">
        <f t="shared" si="274"/>
        <v/>
      </c>
      <c r="AH1986" s="4" t="str">
        <f t="shared" si="275"/>
        <v/>
      </c>
      <c r="AI1986" s="2" t="str">
        <f t="shared" si="276"/>
        <v/>
      </c>
      <c r="AJ1986" s="2" t="str">
        <f t="shared" si="277"/>
        <v/>
      </c>
      <c r="AK1986" s="2" t="str">
        <f t="shared" si="278"/>
        <v/>
      </c>
    </row>
    <row r="1987" spans="1:37" x14ac:dyDescent="0.25">
      <c r="A1987">
        <v>86</v>
      </c>
      <c r="B1987" t="s">
        <v>2160</v>
      </c>
      <c r="C1987" t="s">
        <v>2138</v>
      </c>
      <c r="D1987" t="s">
        <v>2139</v>
      </c>
      <c r="E1987" t="s">
        <v>96</v>
      </c>
      <c r="F1987" t="s">
        <v>2140</v>
      </c>
      <c r="G1987" t="s">
        <v>98</v>
      </c>
      <c r="H1987" s="1">
        <v>44724.092650462961</v>
      </c>
      <c r="I1987" s="1">
        <v>44726.092650462961</v>
      </c>
      <c r="J1987" t="s">
        <v>32</v>
      </c>
      <c r="K1987" s="1">
        <v>44737.092650462961</v>
      </c>
      <c r="L1987" t="s">
        <v>57</v>
      </c>
      <c r="N1987" s="4">
        <v>44742.092650462961</v>
      </c>
      <c r="O1987" t="s">
        <v>57</v>
      </c>
      <c r="P1987" s="4">
        <v>44739.092650462961</v>
      </c>
      <c r="Q1987" s="4">
        <v>44741.092650462961</v>
      </c>
      <c r="R1987" s="4">
        <v>44741.092650462961</v>
      </c>
      <c r="S1987" s="4">
        <v>44751.092650462961</v>
      </c>
      <c r="T1987">
        <v>1</v>
      </c>
      <c r="U1987" s="4">
        <v>44752.092650462961</v>
      </c>
      <c r="V1987" s="4">
        <v>44753.092650462961</v>
      </c>
      <c r="W1987" s="4">
        <v>44755.092650462961</v>
      </c>
      <c r="Z1987" s="4">
        <v>44776.092650462961</v>
      </c>
      <c r="AC1987" s="2">
        <f t="shared" ref="AC1987:AC2050" si="279">IF(AND(I1987&lt;&gt;"",H1987&lt;&gt;""), I1987-H1987, "")</f>
        <v>2</v>
      </c>
      <c r="AD1987" s="2">
        <f t="shared" ref="AD1987:AD2050" si="280">IF(AND(K1987&lt;&gt;"",H1987&lt;&gt;""), K1987-H1987, "")</f>
        <v>13</v>
      </c>
      <c r="AE1987" s="2">
        <f t="shared" ref="AE1987:AE2050" si="281">IF(AND(K1987&lt;&gt;"",I1987&lt;&gt;""), K1987-I1987, "")</f>
        <v>11</v>
      </c>
      <c r="AF1987" s="2">
        <f t="shared" ref="AF1987:AF2050" si="282">IF(AND(R1987&lt;&gt;"",H1987&lt;&gt;""), R1987-H1987, "")</f>
        <v>17</v>
      </c>
      <c r="AG1987" s="2">
        <f t="shared" ref="AG1987:AG2050" si="283">IF(AND(R1987&lt;&gt;"",K1987&lt;&gt;""), R1987-K1987, "")</f>
        <v>4</v>
      </c>
      <c r="AH1987" s="4">
        <f t="shared" ref="AH1987:AH2050" si="284">IF(R1987&lt;&gt;"", R1987+90, "")</f>
        <v>44831.092650462961</v>
      </c>
      <c r="AI1987" s="2">
        <f t="shared" ref="AI1987:AI2050" si="285">IF(AND(U1987&lt;&gt;"",S1987&lt;&gt;""), U1987-S1987, "")</f>
        <v>1</v>
      </c>
      <c r="AJ1987" s="2">
        <f t="shared" ref="AJ1987:AJ2050" si="286">IF(AND(Z1987&lt;&gt;"",R1987&lt;&gt;""), Z1987-R1987, "")</f>
        <v>35</v>
      </c>
      <c r="AK1987" s="2">
        <f t="shared" ref="AK1987:AK2050" si="287">IF(AND(W1987&lt;&gt;"",R1987&lt;&gt;""), W1987-R1987, "")</f>
        <v>14</v>
      </c>
    </row>
    <row r="1988" spans="1:37" x14ac:dyDescent="0.25">
      <c r="A1988">
        <v>43</v>
      </c>
      <c r="B1988" t="s">
        <v>2161</v>
      </c>
      <c r="C1988" t="s">
        <v>2138</v>
      </c>
      <c r="D1988" t="s">
        <v>2139</v>
      </c>
      <c r="E1988" t="s">
        <v>96</v>
      </c>
      <c r="F1988" t="s">
        <v>2140</v>
      </c>
      <c r="G1988" t="s">
        <v>98</v>
      </c>
      <c r="H1988" s="1">
        <v>44625.885358796295</v>
      </c>
      <c r="I1988" s="1">
        <v>44626.885358796295</v>
      </c>
      <c r="J1988" t="s">
        <v>44</v>
      </c>
      <c r="K1988" s="1"/>
      <c r="T1988">
        <v>0</v>
      </c>
      <c r="AC1988" s="2">
        <f t="shared" si="279"/>
        <v>1</v>
      </c>
      <c r="AD1988" s="2" t="str">
        <f t="shared" si="280"/>
        <v/>
      </c>
      <c r="AE1988" s="2" t="str">
        <f t="shared" si="281"/>
        <v/>
      </c>
      <c r="AF1988" s="2" t="str">
        <f t="shared" si="282"/>
        <v/>
      </c>
      <c r="AG1988" s="2" t="str">
        <f t="shared" si="283"/>
        <v/>
      </c>
      <c r="AH1988" s="4" t="str">
        <f t="shared" si="284"/>
        <v/>
      </c>
      <c r="AI1988" s="2" t="str">
        <f t="shared" si="285"/>
        <v/>
      </c>
      <c r="AJ1988" s="2" t="str">
        <f t="shared" si="286"/>
        <v/>
      </c>
      <c r="AK1988" s="2" t="str">
        <f t="shared" si="287"/>
        <v/>
      </c>
    </row>
    <row r="1989" spans="1:37" x14ac:dyDescent="0.25">
      <c r="A1989">
        <v>41</v>
      </c>
      <c r="B1989" t="s">
        <v>2162</v>
      </c>
      <c r="C1989" t="s">
        <v>2138</v>
      </c>
      <c r="D1989" t="s">
        <v>2139</v>
      </c>
      <c r="E1989" t="s">
        <v>96</v>
      </c>
      <c r="F1989" t="s">
        <v>2140</v>
      </c>
      <c r="G1989" t="s">
        <v>98</v>
      </c>
      <c r="H1989" s="1">
        <v>44624.885358796295</v>
      </c>
      <c r="I1989" s="1">
        <v>44625.885358796295</v>
      </c>
      <c r="J1989" t="s">
        <v>32</v>
      </c>
      <c r="K1989" s="1">
        <v>44641.885358796295</v>
      </c>
      <c r="L1989" t="s">
        <v>33</v>
      </c>
      <c r="M1989" t="s">
        <v>108</v>
      </c>
      <c r="T1989">
        <v>0</v>
      </c>
      <c r="Y1989" t="s">
        <v>55</v>
      </c>
      <c r="AC1989" s="2">
        <f t="shared" si="279"/>
        <v>1</v>
      </c>
      <c r="AD1989" s="2">
        <f t="shared" si="280"/>
        <v>17</v>
      </c>
      <c r="AE1989" s="2">
        <f t="shared" si="281"/>
        <v>16</v>
      </c>
      <c r="AF1989" s="2" t="str">
        <f t="shared" si="282"/>
        <v/>
      </c>
      <c r="AG1989" s="2" t="str">
        <f t="shared" si="283"/>
        <v/>
      </c>
      <c r="AH1989" s="4" t="str">
        <f t="shared" si="284"/>
        <v/>
      </c>
      <c r="AI1989" s="2" t="str">
        <f t="shared" si="285"/>
        <v/>
      </c>
      <c r="AJ1989" s="2" t="str">
        <f t="shared" si="286"/>
        <v/>
      </c>
      <c r="AK1989" s="2" t="str">
        <f t="shared" si="287"/>
        <v/>
      </c>
    </row>
    <row r="1990" spans="1:37" x14ac:dyDescent="0.25">
      <c r="A1990">
        <v>2724</v>
      </c>
      <c r="B1990" t="s">
        <v>2163</v>
      </c>
      <c r="C1990" t="s">
        <v>2138</v>
      </c>
      <c r="D1990" t="s">
        <v>2164</v>
      </c>
      <c r="E1990" t="s">
        <v>388</v>
      </c>
      <c r="F1990" t="s">
        <v>2165</v>
      </c>
      <c r="G1990" t="s">
        <v>144</v>
      </c>
      <c r="H1990" s="1">
        <v>45065.24894675926</v>
      </c>
      <c r="I1990" s="1">
        <v>45066.24894675926</v>
      </c>
      <c r="J1990" t="s">
        <v>44</v>
      </c>
      <c r="K1990" s="1"/>
      <c r="T1990">
        <v>0</v>
      </c>
      <c r="AC1990" s="2">
        <f t="shared" si="279"/>
        <v>1</v>
      </c>
      <c r="AD1990" s="2" t="str">
        <f t="shared" si="280"/>
        <v/>
      </c>
      <c r="AE1990" s="2" t="str">
        <f t="shared" si="281"/>
        <v/>
      </c>
      <c r="AF1990" s="2" t="str">
        <f t="shared" si="282"/>
        <v/>
      </c>
      <c r="AG1990" s="2" t="str">
        <f t="shared" si="283"/>
        <v/>
      </c>
      <c r="AH1990" s="4" t="str">
        <f t="shared" si="284"/>
        <v/>
      </c>
      <c r="AI1990" s="2" t="str">
        <f t="shared" si="285"/>
        <v/>
      </c>
      <c r="AJ1990" s="2" t="str">
        <f t="shared" si="286"/>
        <v/>
      </c>
      <c r="AK1990" s="2" t="str">
        <f t="shared" si="287"/>
        <v/>
      </c>
    </row>
    <row r="1991" spans="1:37" x14ac:dyDescent="0.25">
      <c r="A1991">
        <v>2648</v>
      </c>
      <c r="B1991" t="s">
        <v>2166</v>
      </c>
      <c r="C1991" t="s">
        <v>2138</v>
      </c>
      <c r="D1991" t="s">
        <v>2164</v>
      </c>
      <c r="E1991" t="s">
        <v>388</v>
      </c>
      <c r="F1991" t="s">
        <v>2165</v>
      </c>
      <c r="G1991" t="s">
        <v>144</v>
      </c>
      <c r="H1991" s="1">
        <v>44589.587569444448</v>
      </c>
      <c r="I1991" s="1">
        <v>44590.587569444448</v>
      </c>
      <c r="J1991" t="s">
        <v>32</v>
      </c>
      <c r="K1991" s="1">
        <v>44605.587569444448</v>
      </c>
      <c r="L1991" t="s">
        <v>57</v>
      </c>
      <c r="N1991" s="4">
        <v>44610.587569444448</v>
      </c>
      <c r="O1991" t="s">
        <v>57</v>
      </c>
      <c r="P1991" s="4">
        <v>44607.587569444448</v>
      </c>
      <c r="Q1991" s="4">
        <v>44609.587569444448</v>
      </c>
      <c r="R1991" s="4">
        <v>44606.587569444448</v>
      </c>
      <c r="S1991" s="4">
        <v>44616.587569444448</v>
      </c>
      <c r="T1991">
        <v>1</v>
      </c>
      <c r="U1991" s="4">
        <v>44619.587569444448</v>
      </c>
      <c r="V1991" s="4">
        <v>44620.587569444448</v>
      </c>
      <c r="W1991" s="4">
        <v>44622.587569444448</v>
      </c>
      <c r="Z1991" s="4">
        <v>44640.587569444448</v>
      </c>
      <c r="AC1991" s="2">
        <f t="shared" si="279"/>
        <v>1</v>
      </c>
      <c r="AD1991" s="2">
        <f t="shared" si="280"/>
        <v>16</v>
      </c>
      <c r="AE1991" s="2">
        <f t="shared" si="281"/>
        <v>15</v>
      </c>
      <c r="AF1991" s="2">
        <f t="shared" si="282"/>
        <v>17</v>
      </c>
      <c r="AG1991" s="2">
        <f t="shared" si="283"/>
        <v>1</v>
      </c>
      <c r="AH1991" s="4">
        <f t="shared" si="284"/>
        <v>44696.587569444448</v>
      </c>
      <c r="AI1991" s="2">
        <f t="shared" si="285"/>
        <v>3</v>
      </c>
      <c r="AJ1991" s="2">
        <f t="shared" si="286"/>
        <v>34</v>
      </c>
      <c r="AK1991" s="2">
        <f t="shared" si="287"/>
        <v>16</v>
      </c>
    </row>
    <row r="1992" spans="1:37" x14ac:dyDescent="0.25">
      <c r="A1992">
        <v>2371</v>
      </c>
      <c r="B1992" t="s">
        <v>2167</v>
      </c>
      <c r="C1992" t="s">
        <v>2138</v>
      </c>
      <c r="D1992" t="s">
        <v>2164</v>
      </c>
      <c r="E1992" t="s">
        <v>388</v>
      </c>
      <c r="F1992" t="s">
        <v>2165</v>
      </c>
      <c r="G1992" t="s">
        <v>144</v>
      </c>
      <c r="H1992" s="1">
        <v>45029.917395833334</v>
      </c>
      <c r="I1992" s="1">
        <v>45031.917395833334</v>
      </c>
      <c r="J1992" t="s">
        <v>44</v>
      </c>
      <c r="K1992" s="1"/>
      <c r="T1992">
        <v>0</v>
      </c>
      <c r="AC1992" s="2">
        <f t="shared" si="279"/>
        <v>2</v>
      </c>
      <c r="AD1992" s="2" t="str">
        <f t="shared" si="280"/>
        <v/>
      </c>
      <c r="AE1992" s="2" t="str">
        <f t="shared" si="281"/>
        <v/>
      </c>
      <c r="AF1992" s="2" t="str">
        <f t="shared" si="282"/>
        <v/>
      </c>
      <c r="AG1992" s="2" t="str">
        <f t="shared" si="283"/>
        <v/>
      </c>
      <c r="AH1992" s="4" t="str">
        <f t="shared" si="284"/>
        <v/>
      </c>
      <c r="AI1992" s="2" t="str">
        <f t="shared" si="285"/>
        <v/>
      </c>
      <c r="AJ1992" s="2" t="str">
        <f t="shared" si="286"/>
        <v/>
      </c>
      <c r="AK1992" s="2" t="str">
        <f t="shared" si="287"/>
        <v/>
      </c>
    </row>
    <row r="1993" spans="1:37" x14ac:dyDescent="0.25">
      <c r="A1993">
        <v>2331</v>
      </c>
      <c r="B1993" t="s">
        <v>2168</v>
      </c>
      <c r="C1993" t="s">
        <v>2138</v>
      </c>
      <c r="D1993" t="s">
        <v>2164</v>
      </c>
      <c r="E1993" t="s">
        <v>388</v>
      </c>
      <c r="F1993" t="s">
        <v>2165</v>
      </c>
      <c r="G1993" t="s">
        <v>144</v>
      </c>
      <c r="H1993" s="1">
        <v>44692.386030092595</v>
      </c>
      <c r="I1993" s="1">
        <v>44694.386030092595</v>
      </c>
      <c r="J1993" t="s">
        <v>44</v>
      </c>
      <c r="K1993" s="1"/>
      <c r="T1993">
        <v>0</v>
      </c>
      <c r="AC1993" s="2">
        <f t="shared" si="279"/>
        <v>2</v>
      </c>
      <c r="AD1993" s="2" t="str">
        <f t="shared" si="280"/>
        <v/>
      </c>
      <c r="AE1993" s="2" t="str">
        <f t="shared" si="281"/>
        <v/>
      </c>
      <c r="AF1993" s="2" t="str">
        <f t="shared" si="282"/>
        <v/>
      </c>
      <c r="AG1993" s="2" t="str">
        <f t="shared" si="283"/>
        <v/>
      </c>
      <c r="AH1993" s="4" t="str">
        <f t="shared" si="284"/>
        <v/>
      </c>
      <c r="AI1993" s="2" t="str">
        <f t="shared" si="285"/>
        <v/>
      </c>
      <c r="AJ1993" s="2" t="str">
        <f t="shared" si="286"/>
        <v/>
      </c>
      <c r="AK1993" s="2" t="str">
        <f t="shared" si="287"/>
        <v/>
      </c>
    </row>
    <row r="1994" spans="1:37" x14ac:dyDescent="0.25">
      <c r="A1994">
        <v>2141</v>
      </c>
      <c r="B1994" t="s">
        <v>2169</v>
      </c>
      <c r="C1994" t="s">
        <v>2138</v>
      </c>
      <c r="D1994" t="s">
        <v>2164</v>
      </c>
      <c r="E1994" t="s">
        <v>388</v>
      </c>
      <c r="F1994" t="s">
        <v>2165</v>
      </c>
      <c r="G1994" t="s">
        <v>144</v>
      </c>
      <c r="H1994" s="1">
        <v>44749.830833333333</v>
      </c>
      <c r="I1994" s="1">
        <v>44752.830833333333</v>
      </c>
      <c r="J1994" t="s">
        <v>32</v>
      </c>
      <c r="K1994" s="1">
        <v>44760.830833333333</v>
      </c>
      <c r="L1994" t="s">
        <v>57</v>
      </c>
      <c r="N1994" s="4">
        <v>44765.830833333333</v>
      </c>
      <c r="O1994" t="s">
        <v>57</v>
      </c>
      <c r="P1994" s="4">
        <v>44762.830833333333</v>
      </c>
      <c r="Q1994" s="4">
        <v>44764.830833333333</v>
      </c>
      <c r="R1994" s="4">
        <v>44761.830833333333</v>
      </c>
      <c r="S1994" s="4">
        <v>44765.830833333333</v>
      </c>
      <c r="T1994">
        <v>1</v>
      </c>
      <c r="U1994" s="4">
        <v>44767.830833333333</v>
      </c>
      <c r="V1994" s="4">
        <v>44769.830833333333</v>
      </c>
      <c r="W1994" s="4">
        <v>44771.830833333333</v>
      </c>
      <c r="Z1994" s="4">
        <v>44787.830833333333</v>
      </c>
      <c r="AC1994" s="2">
        <f t="shared" si="279"/>
        <v>3</v>
      </c>
      <c r="AD1994" s="2">
        <f t="shared" si="280"/>
        <v>11</v>
      </c>
      <c r="AE1994" s="2">
        <f t="shared" si="281"/>
        <v>8</v>
      </c>
      <c r="AF1994" s="2">
        <f t="shared" si="282"/>
        <v>12</v>
      </c>
      <c r="AG1994" s="2">
        <f t="shared" si="283"/>
        <v>1</v>
      </c>
      <c r="AH1994" s="4">
        <f t="shared" si="284"/>
        <v>44851.830833333333</v>
      </c>
      <c r="AI1994" s="2">
        <f t="shared" si="285"/>
        <v>2</v>
      </c>
      <c r="AJ1994" s="2">
        <f t="shared" si="286"/>
        <v>26</v>
      </c>
      <c r="AK1994" s="2">
        <f t="shared" si="287"/>
        <v>10</v>
      </c>
    </row>
    <row r="1995" spans="1:37" x14ac:dyDescent="0.25">
      <c r="A1995">
        <v>2057</v>
      </c>
      <c r="B1995" t="s">
        <v>2170</v>
      </c>
      <c r="C1995" t="s">
        <v>2138</v>
      </c>
      <c r="D1995" t="s">
        <v>2164</v>
      </c>
      <c r="E1995" t="s">
        <v>388</v>
      </c>
      <c r="F1995" t="s">
        <v>2165</v>
      </c>
      <c r="G1995" t="s">
        <v>144</v>
      </c>
      <c r="H1995" s="1">
        <v>44576.831099537034</v>
      </c>
      <c r="I1995" s="1">
        <v>44578.831099537034</v>
      </c>
      <c r="J1995" t="s">
        <v>32</v>
      </c>
      <c r="K1995" s="1">
        <v>44587.831099537034</v>
      </c>
      <c r="L1995" t="s">
        <v>57</v>
      </c>
      <c r="N1995" s="4">
        <v>44591.831099537034</v>
      </c>
      <c r="O1995" t="s">
        <v>57</v>
      </c>
      <c r="P1995" s="4">
        <v>44589.831099537034</v>
      </c>
      <c r="Q1995" s="4">
        <v>44592.831099537034</v>
      </c>
      <c r="R1995" s="4">
        <v>44589.831099537034</v>
      </c>
      <c r="S1995" s="4">
        <v>44594.831099537034</v>
      </c>
      <c r="T1995">
        <v>1</v>
      </c>
      <c r="U1995" s="4">
        <v>44596.831099537034</v>
      </c>
      <c r="V1995" s="4">
        <v>44598.831099537034</v>
      </c>
      <c r="W1995" s="4">
        <v>44601.831099537034</v>
      </c>
      <c r="Z1995" s="4">
        <v>44613.831099537034</v>
      </c>
      <c r="AC1995" s="2">
        <f t="shared" si="279"/>
        <v>2</v>
      </c>
      <c r="AD1995" s="2">
        <f t="shared" si="280"/>
        <v>11</v>
      </c>
      <c r="AE1995" s="2">
        <f t="shared" si="281"/>
        <v>9</v>
      </c>
      <c r="AF1995" s="2">
        <f t="shared" si="282"/>
        <v>13</v>
      </c>
      <c r="AG1995" s="2">
        <f t="shared" si="283"/>
        <v>2</v>
      </c>
      <c r="AH1995" s="4">
        <f t="shared" si="284"/>
        <v>44679.831099537034</v>
      </c>
      <c r="AI1995" s="2">
        <f t="shared" si="285"/>
        <v>2</v>
      </c>
      <c r="AJ1995" s="2">
        <f t="shared" si="286"/>
        <v>24</v>
      </c>
      <c r="AK1995" s="2">
        <f t="shared" si="287"/>
        <v>12</v>
      </c>
    </row>
    <row r="1996" spans="1:37" x14ac:dyDescent="0.25">
      <c r="A1996">
        <v>1955</v>
      </c>
      <c r="B1996" t="s">
        <v>2171</v>
      </c>
      <c r="C1996" t="s">
        <v>2138</v>
      </c>
      <c r="D1996" t="s">
        <v>2164</v>
      </c>
      <c r="E1996" t="s">
        <v>388</v>
      </c>
      <c r="F1996" t="s">
        <v>2165</v>
      </c>
      <c r="G1996" t="s">
        <v>144</v>
      </c>
      <c r="H1996" s="1">
        <v>44820.042395833334</v>
      </c>
      <c r="I1996" s="1">
        <v>44822.042395833334</v>
      </c>
      <c r="J1996" t="s">
        <v>44</v>
      </c>
      <c r="K1996" s="1"/>
      <c r="T1996">
        <v>0</v>
      </c>
      <c r="AC1996" s="2">
        <f t="shared" si="279"/>
        <v>2</v>
      </c>
      <c r="AD1996" s="2" t="str">
        <f t="shared" si="280"/>
        <v/>
      </c>
      <c r="AE1996" s="2" t="str">
        <f t="shared" si="281"/>
        <v/>
      </c>
      <c r="AF1996" s="2" t="str">
        <f t="shared" si="282"/>
        <v/>
      </c>
      <c r="AG1996" s="2" t="str">
        <f t="shared" si="283"/>
        <v/>
      </c>
      <c r="AH1996" s="4" t="str">
        <f t="shared" si="284"/>
        <v/>
      </c>
      <c r="AI1996" s="2" t="str">
        <f t="shared" si="285"/>
        <v/>
      </c>
      <c r="AJ1996" s="2" t="str">
        <f t="shared" si="286"/>
        <v/>
      </c>
      <c r="AK1996" s="2" t="str">
        <f t="shared" si="287"/>
        <v/>
      </c>
    </row>
    <row r="1997" spans="1:37" x14ac:dyDescent="0.25">
      <c r="A1997">
        <v>1920</v>
      </c>
      <c r="B1997" t="s">
        <v>2172</v>
      </c>
      <c r="C1997" t="s">
        <v>2138</v>
      </c>
      <c r="D1997" t="s">
        <v>2164</v>
      </c>
      <c r="E1997" t="s">
        <v>388</v>
      </c>
      <c r="F1997" t="s">
        <v>2165</v>
      </c>
      <c r="G1997" t="s">
        <v>144</v>
      </c>
      <c r="H1997" s="1">
        <v>44682.892118055555</v>
      </c>
      <c r="I1997" s="1">
        <v>44686.892118055555</v>
      </c>
      <c r="J1997" t="s">
        <v>44</v>
      </c>
      <c r="K1997" s="1"/>
      <c r="T1997">
        <v>0</v>
      </c>
      <c r="AC1997" s="2">
        <f t="shared" si="279"/>
        <v>4</v>
      </c>
      <c r="AD1997" s="2" t="str">
        <f t="shared" si="280"/>
        <v/>
      </c>
      <c r="AE1997" s="2" t="str">
        <f t="shared" si="281"/>
        <v/>
      </c>
      <c r="AF1997" s="2" t="str">
        <f t="shared" si="282"/>
        <v/>
      </c>
      <c r="AG1997" s="2" t="str">
        <f t="shared" si="283"/>
        <v/>
      </c>
      <c r="AH1997" s="4" t="str">
        <f t="shared" si="284"/>
        <v/>
      </c>
      <c r="AI1997" s="2" t="str">
        <f t="shared" si="285"/>
        <v/>
      </c>
      <c r="AJ1997" s="2" t="str">
        <f t="shared" si="286"/>
        <v/>
      </c>
      <c r="AK1997" s="2" t="str">
        <f t="shared" si="287"/>
        <v/>
      </c>
    </row>
    <row r="1998" spans="1:37" x14ac:dyDescent="0.25">
      <c r="A1998">
        <v>1750</v>
      </c>
      <c r="B1998" t="s">
        <v>2173</v>
      </c>
      <c r="C1998" t="s">
        <v>2138</v>
      </c>
      <c r="D1998" t="s">
        <v>2164</v>
      </c>
      <c r="E1998" t="s">
        <v>388</v>
      </c>
      <c r="F1998" t="s">
        <v>2165</v>
      </c>
      <c r="G1998" t="s">
        <v>144</v>
      </c>
      <c r="H1998" s="1">
        <v>44947.798078703701</v>
      </c>
      <c r="I1998" s="1">
        <v>44949.798078703701</v>
      </c>
      <c r="J1998" t="s">
        <v>32</v>
      </c>
      <c r="K1998" s="1">
        <v>44964.798078703701</v>
      </c>
      <c r="L1998" t="s">
        <v>57</v>
      </c>
      <c r="N1998" s="4">
        <v>44967.798078703701</v>
      </c>
      <c r="O1998" t="s">
        <v>57</v>
      </c>
      <c r="P1998" s="4">
        <v>44965.798078703701</v>
      </c>
      <c r="Q1998" s="4">
        <v>44969.798078703701</v>
      </c>
      <c r="R1998" s="4">
        <v>44966.798078703701</v>
      </c>
      <c r="S1998" s="4">
        <v>44976.798078703701</v>
      </c>
      <c r="T1998">
        <v>1</v>
      </c>
      <c r="U1998" s="4">
        <v>44978.798078703701</v>
      </c>
      <c r="V1998" s="4">
        <v>44980.798078703701</v>
      </c>
      <c r="W1998" s="4">
        <v>44981.798078703701</v>
      </c>
      <c r="Z1998" s="4">
        <v>45001.798078703701</v>
      </c>
      <c r="AC1998" s="2">
        <f t="shared" si="279"/>
        <v>2</v>
      </c>
      <c r="AD1998" s="2">
        <f t="shared" si="280"/>
        <v>17</v>
      </c>
      <c r="AE1998" s="2">
        <f t="shared" si="281"/>
        <v>15</v>
      </c>
      <c r="AF1998" s="2">
        <f t="shared" si="282"/>
        <v>19</v>
      </c>
      <c r="AG1998" s="2">
        <f t="shared" si="283"/>
        <v>2</v>
      </c>
      <c r="AH1998" s="4">
        <f t="shared" si="284"/>
        <v>45056.798078703701</v>
      </c>
      <c r="AI1998" s="2">
        <f t="shared" si="285"/>
        <v>2</v>
      </c>
      <c r="AJ1998" s="2">
        <f t="shared" si="286"/>
        <v>35</v>
      </c>
      <c r="AK1998" s="2">
        <f t="shared" si="287"/>
        <v>15</v>
      </c>
    </row>
    <row r="1999" spans="1:37" x14ac:dyDescent="0.25">
      <c r="A1999">
        <v>1749</v>
      </c>
      <c r="B1999" t="s">
        <v>2174</v>
      </c>
      <c r="C1999" t="s">
        <v>2138</v>
      </c>
      <c r="D1999" t="s">
        <v>2164</v>
      </c>
      <c r="E1999" t="s">
        <v>388</v>
      </c>
      <c r="F1999" t="s">
        <v>2165</v>
      </c>
      <c r="G1999" t="s">
        <v>144</v>
      </c>
      <c r="H1999" s="1">
        <v>44950.798078703701</v>
      </c>
      <c r="I1999" s="1">
        <v>44952.798078703701</v>
      </c>
      <c r="J1999" t="s">
        <v>44</v>
      </c>
      <c r="K1999" s="1"/>
      <c r="T1999">
        <v>0</v>
      </c>
      <c r="AC1999" s="2">
        <f t="shared" si="279"/>
        <v>2</v>
      </c>
      <c r="AD1999" s="2" t="str">
        <f t="shared" si="280"/>
        <v/>
      </c>
      <c r="AE1999" s="2" t="str">
        <f t="shared" si="281"/>
        <v/>
      </c>
      <c r="AF1999" s="2" t="str">
        <f t="shared" si="282"/>
        <v/>
      </c>
      <c r="AG1999" s="2" t="str">
        <f t="shared" si="283"/>
        <v/>
      </c>
      <c r="AH1999" s="4" t="str">
        <f t="shared" si="284"/>
        <v/>
      </c>
      <c r="AI1999" s="2" t="str">
        <f t="shared" si="285"/>
        <v/>
      </c>
      <c r="AJ1999" s="2" t="str">
        <f t="shared" si="286"/>
        <v/>
      </c>
      <c r="AK1999" s="2" t="str">
        <f t="shared" si="287"/>
        <v/>
      </c>
    </row>
    <row r="2000" spans="1:37" x14ac:dyDescent="0.25">
      <c r="A2000">
        <v>1742</v>
      </c>
      <c r="B2000" t="s">
        <v>2175</v>
      </c>
      <c r="C2000" t="s">
        <v>2138</v>
      </c>
      <c r="D2000" t="s">
        <v>2164</v>
      </c>
      <c r="E2000" t="s">
        <v>388</v>
      </c>
      <c r="F2000" t="s">
        <v>2165</v>
      </c>
      <c r="G2000" t="s">
        <v>144</v>
      </c>
      <c r="H2000" s="1">
        <v>44948.798078703701</v>
      </c>
      <c r="I2000" s="1">
        <v>44949.798078703701</v>
      </c>
      <c r="J2000" t="s">
        <v>44</v>
      </c>
      <c r="K2000" s="1"/>
      <c r="T2000">
        <v>0</v>
      </c>
      <c r="AC2000" s="2">
        <f t="shared" si="279"/>
        <v>1</v>
      </c>
      <c r="AD2000" s="2" t="str">
        <f t="shared" si="280"/>
        <v/>
      </c>
      <c r="AE2000" s="2" t="str">
        <f t="shared" si="281"/>
        <v/>
      </c>
      <c r="AF2000" s="2" t="str">
        <f t="shared" si="282"/>
        <v/>
      </c>
      <c r="AG2000" s="2" t="str">
        <f t="shared" si="283"/>
        <v/>
      </c>
      <c r="AH2000" s="4" t="str">
        <f t="shared" si="284"/>
        <v/>
      </c>
      <c r="AI2000" s="2" t="str">
        <f t="shared" si="285"/>
        <v/>
      </c>
      <c r="AJ2000" s="2" t="str">
        <f t="shared" si="286"/>
        <v/>
      </c>
      <c r="AK2000" s="2" t="str">
        <f t="shared" si="287"/>
        <v/>
      </c>
    </row>
    <row r="2001" spans="1:37" x14ac:dyDescent="0.25">
      <c r="A2001">
        <v>1650</v>
      </c>
      <c r="B2001" t="s">
        <v>2176</v>
      </c>
      <c r="C2001" t="s">
        <v>2138</v>
      </c>
      <c r="D2001" t="s">
        <v>2164</v>
      </c>
      <c r="E2001" t="s">
        <v>388</v>
      </c>
      <c r="F2001" t="s">
        <v>2165</v>
      </c>
      <c r="G2001" t="s">
        <v>144</v>
      </c>
      <c r="H2001" s="1">
        <v>44915.661261574074</v>
      </c>
      <c r="I2001" s="1">
        <v>44918.661261574074</v>
      </c>
      <c r="J2001" t="s">
        <v>32</v>
      </c>
      <c r="K2001" s="1">
        <v>44930.661261574074</v>
      </c>
      <c r="L2001" t="s">
        <v>57</v>
      </c>
      <c r="N2001" s="4">
        <v>44935.661261574074</v>
      </c>
      <c r="O2001" t="s">
        <v>57</v>
      </c>
      <c r="P2001" s="4">
        <v>44932.661261574074</v>
      </c>
      <c r="Q2001" s="4">
        <v>44935.661261574074</v>
      </c>
      <c r="R2001" s="4">
        <v>44932.661261574074</v>
      </c>
      <c r="S2001" s="4">
        <v>44940.661261574074</v>
      </c>
      <c r="T2001">
        <v>1</v>
      </c>
      <c r="U2001" s="4">
        <v>44943.661261574074</v>
      </c>
      <c r="V2001" s="4">
        <v>44945.661261574074</v>
      </c>
      <c r="W2001" s="4">
        <v>44946.661261574074</v>
      </c>
      <c r="Z2001" s="4">
        <v>44962.661261574074</v>
      </c>
      <c r="AC2001" s="2">
        <f t="shared" si="279"/>
        <v>3</v>
      </c>
      <c r="AD2001" s="2">
        <f t="shared" si="280"/>
        <v>15</v>
      </c>
      <c r="AE2001" s="2">
        <f t="shared" si="281"/>
        <v>12</v>
      </c>
      <c r="AF2001" s="2">
        <f t="shared" si="282"/>
        <v>17</v>
      </c>
      <c r="AG2001" s="2">
        <f t="shared" si="283"/>
        <v>2</v>
      </c>
      <c r="AH2001" s="4">
        <f t="shared" si="284"/>
        <v>45022.661261574074</v>
      </c>
      <c r="AI2001" s="2">
        <f t="shared" si="285"/>
        <v>3</v>
      </c>
      <c r="AJ2001" s="2">
        <f t="shared" si="286"/>
        <v>30</v>
      </c>
      <c r="AK2001" s="2">
        <f t="shared" si="287"/>
        <v>14</v>
      </c>
    </row>
    <row r="2002" spans="1:37" x14ac:dyDescent="0.25">
      <c r="A2002">
        <v>1533</v>
      </c>
      <c r="B2002" t="s">
        <v>2177</v>
      </c>
      <c r="C2002" t="s">
        <v>2138</v>
      </c>
      <c r="D2002" t="s">
        <v>2164</v>
      </c>
      <c r="E2002" t="s">
        <v>388</v>
      </c>
      <c r="F2002" t="s">
        <v>2165</v>
      </c>
      <c r="G2002" t="s">
        <v>144</v>
      </c>
      <c r="H2002" s="1">
        <v>45055.546423611115</v>
      </c>
      <c r="I2002" s="1">
        <v>45059.546423611115</v>
      </c>
      <c r="J2002" t="s">
        <v>32</v>
      </c>
      <c r="K2002" s="1">
        <v>45076.546423611115</v>
      </c>
      <c r="L2002" t="s">
        <v>57</v>
      </c>
      <c r="N2002" s="4">
        <v>45083.546423611115</v>
      </c>
      <c r="O2002" t="s">
        <v>57</v>
      </c>
      <c r="P2002" s="4">
        <v>45077.546423611115</v>
      </c>
      <c r="Q2002" s="4">
        <v>45079.546423611115</v>
      </c>
      <c r="R2002" s="4">
        <v>45079.546423611115</v>
      </c>
      <c r="S2002" s="4">
        <v>45089.546423611115</v>
      </c>
      <c r="T2002">
        <v>1</v>
      </c>
      <c r="U2002" s="4">
        <v>45092.546423611115</v>
      </c>
      <c r="V2002" s="4">
        <v>45095.546423611115</v>
      </c>
      <c r="W2002" s="4">
        <v>45098.546423611115</v>
      </c>
      <c r="Z2002" s="4">
        <v>45114.546423611115</v>
      </c>
      <c r="AC2002" s="2">
        <f t="shared" si="279"/>
        <v>4</v>
      </c>
      <c r="AD2002" s="2">
        <f t="shared" si="280"/>
        <v>21</v>
      </c>
      <c r="AE2002" s="2">
        <f t="shared" si="281"/>
        <v>17</v>
      </c>
      <c r="AF2002" s="2">
        <f t="shared" si="282"/>
        <v>24</v>
      </c>
      <c r="AG2002" s="2">
        <f t="shared" si="283"/>
        <v>3</v>
      </c>
      <c r="AH2002" s="4">
        <f t="shared" si="284"/>
        <v>45169.546423611115</v>
      </c>
      <c r="AI2002" s="2">
        <f t="shared" si="285"/>
        <v>3</v>
      </c>
      <c r="AJ2002" s="2">
        <f t="shared" si="286"/>
        <v>35</v>
      </c>
      <c r="AK2002" s="2">
        <f t="shared" si="287"/>
        <v>19</v>
      </c>
    </row>
    <row r="2003" spans="1:37" x14ac:dyDescent="0.25">
      <c r="A2003">
        <v>1503</v>
      </c>
      <c r="B2003" t="s">
        <v>2178</v>
      </c>
      <c r="C2003" t="s">
        <v>2138</v>
      </c>
      <c r="D2003" t="s">
        <v>2164</v>
      </c>
      <c r="E2003" t="s">
        <v>388</v>
      </c>
      <c r="F2003" t="s">
        <v>2165</v>
      </c>
      <c r="G2003" t="s">
        <v>144</v>
      </c>
      <c r="H2003" s="1">
        <v>44757.346215277779</v>
      </c>
      <c r="I2003" s="1">
        <v>44761.346215277779</v>
      </c>
      <c r="J2003" t="s">
        <v>44</v>
      </c>
      <c r="K2003" s="1"/>
      <c r="T2003">
        <v>0</v>
      </c>
      <c r="AC2003" s="2">
        <f t="shared" si="279"/>
        <v>4</v>
      </c>
      <c r="AD2003" s="2" t="str">
        <f t="shared" si="280"/>
        <v/>
      </c>
      <c r="AE2003" s="2" t="str">
        <f t="shared" si="281"/>
        <v/>
      </c>
      <c r="AF2003" s="2" t="str">
        <f t="shared" si="282"/>
        <v/>
      </c>
      <c r="AG2003" s="2" t="str">
        <f t="shared" si="283"/>
        <v/>
      </c>
      <c r="AH2003" s="4" t="str">
        <f t="shared" si="284"/>
        <v/>
      </c>
      <c r="AI2003" s="2" t="str">
        <f t="shared" si="285"/>
        <v/>
      </c>
      <c r="AJ2003" s="2" t="str">
        <f t="shared" si="286"/>
        <v/>
      </c>
      <c r="AK2003" s="2" t="str">
        <f t="shared" si="287"/>
        <v/>
      </c>
    </row>
    <row r="2004" spans="1:37" x14ac:dyDescent="0.25">
      <c r="A2004">
        <v>1497</v>
      </c>
      <c r="B2004" t="s">
        <v>2179</v>
      </c>
      <c r="C2004" t="s">
        <v>2138</v>
      </c>
      <c r="D2004" t="s">
        <v>2164</v>
      </c>
      <c r="E2004" t="s">
        <v>388</v>
      </c>
      <c r="F2004" t="s">
        <v>2165</v>
      </c>
      <c r="G2004" t="s">
        <v>144</v>
      </c>
      <c r="H2004" s="1">
        <v>44696.569456018522</v>
      </c>
      <c r="I2004" s="1">
        <v>44699.569456018522</v>
      </c>
      <c r="J2004" t="s">
        <v>32</v>
      </c>
      <c r="K2004" s="1">
        <v>44703.569456018522</v>
      </c>
      <c r="L2004" t="s">
        <v>57</v>
      </c>
      <c r="N2004" s="4">
        <v>44708.569456018522</v>
      </c>
      <c r="O2004" t="s">
        <v>57</v>
      </c>
      <c r="P2004" s="4">
        <v>44705.569456018522</v>
      </c>
      <c r="Q2004" s="4">
        <v>44709.569456018522</v>
      </c>
      <c r="R2004" s="4">
        <v>44707.569456018522</v>
      </c>
      <c r="S2004" s="4">
        <v>44711.569456018522</v>
      </c>
      <c r="T2004">
        <v>1</v>
      </c>
      <c r="U2004" s="4">
        <v>44713.569456018522</v>
      </c>
      <c r="V2004" s="4">
        <v>44714.569456018522</v>
      </c>
      <c r="W2004" s="4">
        <v>44715.569456018522</v>
      </c>
      <c r="Z2004" s="4">
        <v>44737.569456018522</v>
      </c>
      <c r="AC2004" s="2">
        <f t="shared" si="279"/>
        <v>3</v>
      </c>
      <c r="AD2004" s="2">
        <f t="shared" si="280"/>
        <v>7</v>
      </c>
      <c r="AE2004" s="2">
        <f t="shared" si="281"/>
        <v>4</v>
      </c>
      <c r="AF2004" s="2">
        <f t="shared" si="282"/>
        <v>11</v>
      </c>
      <c r="AG2004" s="2">
        <f t="shared" si="283"/>
        <v>4</v>
      </c>
      <c r="AH2004" s="4">
        <f t="shared" si="284"/>
        <v>44797.569456018522</v>
      </c>
      <c r="AI2004" s="2">
        <f t="shared" si="285"/>
        <v>2</v>
      </c>
      <c r="AJ2004" s="2">
        <f t="shared" si="286"/>
        <v>30</v>
      </c>
      <c r="AK2004" s="2">
        <f t="shared" si="287"/>
        <v>8</v>
      </c>
    </row>
    <row r="2005" spans="1:37" x14ac:dyDescent="0.25">
      <c r="A2005">
        <v>1368</v>
      </c>
      <c r="B2005" t="s">
        <v>2180</v>
      </c>
      <c r="C2005" t="s">
        <v>2138</v>
      </c>
      <c r="D2005" t="s">
        <v>2164</v>
      </c>
      <c r="E2005" t="s">
        <v>388</v>
      </c>
      <c r="F2005" t="s">
        <v>2165</v>
      </c>
      <c r="G2005" t="s">
        <v>144</v>
      </c>
      <c r="H2005" s="1">
        <v>44853.163807870369</v>
      </c>
      <c r="I2005" s="1">
        <v>44854.163807870369</v>
      </c>
      <c r="J2005" t="s">
        <v>44</v>
      </c>
      <c r="K2005" s="1"/>
      <c r="T2005">
        <v>0</v>
      </c>
      <c r="AC2005" s="2">
        <f t="shared" si="279"/>
        <v>1</v>
      </c>
      <c r="AD2005" s="2" t="str">
        <f t="shared" si="280"/>
        <v/>
      </c>
      <c r="AE2005" s="2" t="str">
        <f t="shared" si="281"/>
        <v/>
      </c>
      <c r="AF2005" s="2" t="str">
        <f t="shared" si="282"/>
        <v/>
      </c>
      <c r="AG2005" s="2" t="str">
        <f t="shared" si="283"/>
        <v/>
      </c>
      <c r="AH2005" s="4" t="str">
        <f t="shared" si="284"/>
        <v/>
      </c>
      <c r="AI2005" s="2" t="str">
        <f t="shared" si="285"/>
        <v/>
      </c>
      <c r="AJ2005" s="2" t="str">
        <f t="shared" si="286"/>
        <v/>
      </c>
      <c r="AK2005" s="2" t="str">
        <f t="shared" si="287"/>
        <v/>
      </c>
    </row>
    <row r="2006" spans="1:37" x14ac:dyDescent="0.25">
      <c r="A2006">
        <v>1213</v>
      </c>
      <c r="B2006" t="s">
        <v>2181</v>
      </c>
      <c r="C2006" t="s">
        <v>2138</v>
      </c>
      <c r="D2006" t="s">
        <v>2164</v>
      </c>
      <c r="E2006" t="s">
        <v>388</v>
      </c>
      <c r="F2006" t="s">
        <v>2165</v>
      </c>
      <c r="G2006" t="s">
        <v>144</v>
      </c>
      <c r="H2006" s="1">
        <v>45130.004317129627</v>
      </c>
      <c r="I2006" s="1">
        <v>45132.004317129627</v>
      </c>
      <c r="J2006" t="s">
        <v>44</v>
      </c>
      <c r="K2006" s="1"/>
      <c r="T2006">
        <v>0</v>
      </c>
      <c r="AC2006" s="2">
        <f t="shared" si="279"/>
        <v>2</v>
      </c>
      <c r="AD2006" s="2" t="str">
        <f t="shared" si="280"/>
        <v/>
      </c>
      <c r="AE2006" s="2" t="str">
        <f t="shared" si="281"/>
        <v/>
      </c>
      <c r="AF2006" s="2" t="str">
        <f t="shared" si="282"/>
        <v/>
      </c>
      <c r="AG2006" s="2" t="str">
        <f t="shared" si="283"/>
        <v/>
      </c>
      <c r="AH2006" s="4" t="str">
        <f t="shared" si="284"/>
        <v/>
      </c>
      <c r="AI2006" s="2" t="str">
        <f t="shared" si="285"/>
        <v/>
      </c>
      <c r="AJ2006" s="2" t="str">
        <f t="shared" si="286"/>
        <v/>
      </c>
      <c r="AK2006" s="2" t="str">
        <f t="shared" si="287"/>
        <v/>
      </c>
    </row>
    <row r="2007" spans="1:37" x14ac:dyDescent="0.25">
      <c r="A2007">
        <v>1131</v>
      </c>
      <c r="B2007" t="s">
        <v>2182</v>
      </c>
      <c r="C2007" t="s">
        <v>2138</v>
      </c>
      <c r="D2007" t="s">
        <v>2164</v>
      </c>
      <c r="E2007" t="s">
        <v>388</v>
      </c>
      <c r="F2007" t="s">
        <v>2165</v>
      </c>
      <c r="G2007" t="s">
        <v>144</v>
      </c>
      <c r="H2007" s="1">
        <v>44636.796018518522</v>
      </c>
      <c r="I2007" s="1">
        <v>44637.796018518522</v>
      </c>
      <c r="J2007" t="s">
        <v>44</v>
      </c>
      <c r="K2007" s="1"/>
      <c r="T2007">
        <v>0</v>
      </c>
      <c r="AC2007" s="2">
        <f t="shared" si="279"/>
        <v>1</v>
      </c>
      <c r="AD2007" s="2" t="str">
        <f t="shared" si="280"/>
        <v/>
      </c>
      <c r="AE2007" s="2" t="str">
        <f t="shared" si="281"/>
        <v/>
      </c>
      <c r="AF2007" s="2" t="str">
        <f t="shared" si="282"/>
        <v/>
      </c>
      <c r="AG2007" s="2" t="str">
        <f t="shared" si="283"/>
        <v/>
      </c>
      <c r="AH2007" s="4" t="str">
        <f t="shared" si="284"/>
        <v/>
      </c>
      <c r="AI2007" s="2" t="str">
        <f t="shared" si="285"/>
        <v/>
      </c>
      <c r="AJ2007" s="2" t="str">
        <f t="shared" si="286"/>
        <v/>
      </c>
      <c r="AK2007" s="2" t="str">
        <f t="shared" si="287"/>
        <v/>
      </c>
    </row>
    <row r="2008" spans="1:37" x14ac:dyDescent="0.25">
      <c r="A2008">
        <v>1085</v>
      </c>
      <c r="B2008" t="s">
        <v>2183</v>
      </c>
      <c r="C2008" t="s">
        <v>2138</v>
      </c>
      <c r="D2008" t="s">
        <v>2164</v>
      </c>
      <c r="E2008" t="s">
        <v>388</v>
      </c>
      <c r="F2008" t="s">
        <v>2165</v>
      </c>
      <c r="G2008" t="s">
        <v>144</v>
      </c>
      <c r="H2008" s="1">
        <v>44894.976215277777</v>
      </c>
      <c r="I2008" s="1">
        <v>44898.976215277777</v>
      </c>
      <c r="J2008" t="s">
        <v>44</v>
      </c>
      <c r="K2008" s="1"/>
      <c r="T2008">
        <v>0</v>
      </c>
      <c r="AC2008" s="2">
        <f t="shared" si="279"/>
        <v>4</v>
      </c>
      <c r="AD2008" s="2" t="str">
        <f t="shared" si="280"/>
        <v/>
      </c>
      <c r="AE2008" s="2" t="str">
        <f t="shared" si="281"/>
        <v/>
      </c>
      <c r="AF2008" s="2" t="str">
        <f t="shared" si="282"/>
        <v/>
      </c>
      <c r="AG2008" s="2" t="str">
        <f t="shared" si="283"/>
        <v/>
      </c>
      <c r="AH2008" s="4" t="str">
        <f t="shared" si="284"/>
        <v/>
      </c>
      <c r="AI2008" s="2" t="str">
        <f t="shared" si="285"/>
        <v/>
      </c>
      <c r="AJ2008" s="2" t="str">
        <f t="shared" si="286"/>
        <v/>
      </c>
      <c r="AK2008" s="2" t="str">
        <f t="shared" si="287"/>
        <v/>
      </c>
    </row>
    <row r="2009" spans="1:37" x14ac:dyDescent="0.25">
      <c r="A2009">
        <v>1047</v>
      </c>
      <c r="B2009" t="s">
        <v>2184</v>
      </c>
      <c r="C2009" t="s">
        <v>2138</v>
      </c>
      <c r="D2009" t="s">
        <v>2164</v>
      </c>
      <c r="E2009" t="s">
        <v>388</v>
      </c>
      <c r="F2009" t="s">
        <v>2165</v>
      </c>
      <c r="G2009" t="s">
        <v>144</v>
      </c>
      <c r="H2009" s="1">
        <v>44885.960578703707</v>
      </c>
      <c r="I2009" s="1">
        <v>44888.960578703707</v>
      </c>
      <c r="J2009" t="s">
        <v>44</v>
      </c>
      <c r="K2009" s="1"/>
      <c r="T2009">
        <v>0</v>
      </c>
      <c r="AC2009" s="2">
        <f t="shared" si="279"/>
        <v>3</v>
      </c>
      <c r="AD2009" s="2" t="str">
        <f t="shared" si="280"/>
        <v/>
      </c>
      <c r="AE2009" s="2" t="str">
        <f t="shared" si="281"/>
        <v/>
      </c>
      <c r="AF2009" s="2" t="str">
        <f t="shared" si="282"/>
        <v/>
      </c>
      <c r="AG2009" s="2" t="str">
        <f t="shared" si="283"/>
        <v/>
      </c>
      <c r="AH2009" s="4" t="str">
        <f t="shared" si="284"/>
        <v/>
      </c>
      <c r="AI2009" s="2" t="str">
        <f t="shared" si="285"/>
        <v/>
      </c>
      <c r="AJ2009" s="2" t="str">
        <f t="shared" si="286"/>
        <v/>
      </c>
      <c r="AK2009" s="2" t="str">
        <f t="shared" si="287"/>
        <v/>
      </c>
    </row>
    <row r="2010" spans="1:37" x14ac:dyDescent="0.25">
      <c r="A2010">
        <v>1030</v>
      </c>
      <c r="B2010" t="s">
        <v>2185</v>
      </c>
      <c r="C2010" t="s">
        <v>2138</v>
      </c>
      <c r="D2010" t="s">
        <v>2164</v>
      </c>
      <c r="E2010" t="s">
        <v>388</v>
      </c>
      <c r="F2010" t="s">
        <v>2165</v>
      </c>
      <c r="G2010" t="s">
        <v>144</v>
      </c>
      <c r="H2010" s="1">
        <v>44951.791134259256</v>
      </c>
      <c r="I2010" s="1">
        <v>44952.791134259256</v>
      </c>
      <c r="J2010" t="s">
        <v>32</v>
      </c>
      <c r="K2010" s="1">
        <v>44960.791134259256</v>
      </c>
      <c r="L2010" t="s">
        <v>57</v>
      </c>
      <c r="N2010" s="4">
        <v>44967.791134259256</v>
      </c>
      <c r="O2010" t="s">
        <v>57</v>
      </c>
      <c r="P2010" s="4">
        <v>44961.791134259256</v>
      </c>
      <c r="Q2010" s="4">
        <v>44962.791134259256</v>
      </c>
      <c r="R2010" s="4">
        <v>44964.791134259256</v>
      </c>
      <c r="S2010" s="4">
        <v>44968.791134259256</v>
      </c>
      <c r="T2010">
        <v>1</v>
      </c>
      <c r="U2010" s="4">
        <v>44971.791134259256</v>
      </c>
      <c r="V2010" s="4">
        <v>44972.791134259256</v>
      </c>
      <c r="W2010" s="4">
        <v>44974.791134259256</v>
      </c>
      <c r="Z2010" s="4">
        <v>44993.791134259256</v>
      </c>
      <c r="AC2010" s="2">
        <f t="shared" si="279"/>
        <v>1</v>
      </c>
      <c r="AD2010" s="2">
        <f t="shared" si="280"/>
        <v>9</v>
      </c>
      <c r="AE2010" s="2">
        <f t="shared" si="281"/>
        <v>8</v>
      </c>
      <c r="AF2010" s="2">
        <f t="shared" si="282"/>
        <v>13</v>
      </c>
      <c r="AG2010" s="2">
        <f t="shared" si="283"/>
        <v>4</v>
      </c>
      <c r="AH2010" s="4">
        <f t="shared" si="284"/>
        <v>45054.791134259256</v>
      </c>
      <c r="AI2010" s="2">
        <f t="shared" si="285"/>
        <v>3</v>
      </c>
      <c r="AJ2010" s="2">
        <f t="shared" si="286"/>
        <v>29</v>
      </c>
      <c r="AK2010" s="2">
        <f t="shared" si="287"/>
        <v>10</v>
      </c>
    </row>
    <row r="2011" spans="1:37" x14ac:dyDescent="0.25">
      <c r="A2011">
        <v>938</v>
      </c>
      <c r="B2011" t="s">
        <v>2186</v>
      </c>
      <c r="C2011" t="s">
        <v>2138</v>
      </c>
      <c r="D2011" t="s">
        <v>2164</v>
      </c>
      <c r="E2011" t="s">
        <v>388</v>
      </c>
      <c r="F2011" t="s">
        <v>2165</v>
      </c>
      <c r="G2011" t="s">
        <v>144</v>
      </c>
      <c r="H2011" s="1">
        <v>45001.704907407409</v>
      </c>
      <c r="I2011" s="1">
        <v>45003.704907407409</v>
      </c>
      <c r="J2011" t="s">
        <v>32</v>
      </c>
      <c r="K2011" s="1">
        <v>45007.704907407409</v>
      </c>
      <c r="L2011" t="s">
        <v>33</v>
      </c>
      <c r="M2011" t="s">
        <v>92</v>
      </c>
      <c r="R2011" s="4">
        <v>45010.704907407409</v>
      </c>
      <c r="T2011">
        <v>0</v>
      </c>
      <c r="Y2011" t="s">
        <v>35</v>
      </c>
      <c r="AC2011" s="2">
        <f t="shared" si="279"/>
        <v>2</v>
      </c>
      <c r="AD2011" s="2">
        <f t="shared" si="280"/>
        <v>6</v>
      </c>
      <c r="AE2011" s="2">
        <f t="shared" si="281"/>
        <v>4</v>
      </c>
      <c r="AF2011" s="2">
        <f t="shared" si="282"/>
        <v>9</v>
      </c>
      <c r="AG2011" s="2">
        <f t="shared" si="283"/>
        <v>3</v>
      </c>
      <c r="AH2011" s="4">
        <f t="shared" si="284"/>
        <v>45100.704907407409</v>
      </c>
      <c r="AI2011" s="2" t="str">
        <f t="shared" si="285"/>
        <v/>
      </c>
      <c r="AJ2011" s="2" t="str">
        <f t="shared" si="286"/>
        <v/>
      </c>
      <c r="AK2011" s="2" t="str">
        <f t="shared" si="287"/>
        <v/>
      </c>
    </row>
    <row r="2012" spans="1:37" x14ac:dyDescent="0.25">
      <c r="A2012">
        <v>931</v>
      </c>
      <c r="B2012" t="s">
        <v>2187</v>
      </c>
      <c r="C2012" t="s">
        <v>2138</v>
      </c>
      <c r="D2012" t="s">
        <v>2164</v>
      </c>
      <c r="E2012" t="s">
        <v>388</v>
      </c>
      <c r="F2012" t="s">
        <v>2165</v>
      </c>
      <c r="G2012" t="s">
        <v>144</v>
      </c>
      <c r="H2012" s="1">
        <v>44997.704907407409</v>
      </c>
      <c r="I2012" s="1">
        <v>45000.704907407409</v>
      </c>
      <c r="J2012" t="s">
        <v>32</v>
      </c>
      <c r="K2012" s="1">
        <v>45014.704907407409</v>
      </c>
      <c r="L2012" t="s">
        <v>39</v>
      </c>
      <c r="N2012" s="4">
        <v>45020.704907407409</v>
      </c>
      <c r="O2012" t="s">
        <v>39</v>
      </c>
      <c r="R2012" s="4">
        <v>45016.704907407409</v>
      </c>
      <c r="T2012">
        <v>0</v>
      </c>
      <c r="AC2012" s="2">
        <f t="shared" si="279"/>
        <v>3</v>
      </c>
      <c r="AD2012" s="2">
        <f t="shared" si="280"/>
        <v>17</v>
      </c>
      <c r="AE2012" s="2">
        <f t="shared" si="281"/>
        <v>14</v>
      </c>
      <c r="AF2012" s="2">
        <f t="shared" si="282"/>
        <v>19</v>
      </c>
      <c r="AG2012" s="2">
        <f t="shared" si="283"/>
        <v>2</v>
      </c>
      <c r="AH2012" s="4">
        <f t="shared" si="284"/>
        <v>45106.704907407409</v>
      </c>
      <c r="AI2012" s="2" t="str">
        <f t="shared" si="285"/>
        <v/>
      </c>
      <c r="AJ2012" s="2" t="str">
        <f t="shared" si="286"/>
        <v/>
      </c>
      <c r="AK2012" s="2" t="str">
        <f t="shared" si="287"/>
        <v/>
      </c>
    </row>
    <row r="2013" spans="1:37" x14ac:dyDescent="0.25">
      <c r="A2013">
        <v>849</v>
      </c>
      <c r="B2013" t="s">
        <v>2188</v>
      </c>
      <c r="C2013" t="s">
        <v>2138</v>
      </c>
      <c r="D2013" t="s">
        <v>2164</v>
      </c>
      <c r="E2013" t="s">
        <v>388</v>
      </c>
      <c r="F2013" t="s">
        <v>2165</v>
      </c>
      <c r="G2013" t="s">
        <v>144</v>
      </c>
      <c r="H2013" s="1">
        <v>44779.836053240739</v>
      </c>
      <c r="I2013" s="1">
        <v>44780.836053240739</v>
      </c>
      <c r="J2013" t="s">
        <v>32</v>
      </c>
      <c r="K2013" s="1">
        <v>44794.836053240739</v>
      </c>
      <c r="L2013" t="s">
        <v>33</v>
      </c>
      <c r="M2013" t="s">
        <v>34</v>
      </c>
      <c r="T2013">
        <v>0</v>
      </c>
      <c r="Y2013" t="s">
        <v>55</v>
      </c>
      <c r="AC2013" s="2">
        <f t="shared" si="279"/>
        <v>1</v>
      </c>
      <c r="AD2013" s="2">
        <f t="shared" si="280"/>
        <v>15</v>
      </c>
      <c r="AE2013" s="2">
        <f t="shared" si="281"/>
        <v>14</v>
      </c>
      <c r="AF2013" s="2" t="str">
        <f t="shared" si="282"/>
        <v/>
      </c>
      <c r="AG2013" s="2" t="str">
        <f t="shared" si="283"/>
        <v/>
      </c>
      <c r="AH2013" s="4" t="str">
        <f t="shared" si="284"/>
        <v/>
      </c>
      <c r="AI2013" s="2" t="str">
        <f t="shared" si="285"/>
        <v/>
      </c>
      <c r="AJ2013" s="2" t="str">
        <f t="shared" si="286"/>
        <v/>
      </c>
      <c r="AK2013" s="2" t="str">
        <f t="shared" si="287"/>
        <v/>
      </c>
    </row>
    <row r="2014" spans="1:37" x14ac:dyDescent="0.25">
      <c r="A2014">
        <v>843</v>
      </c>
      <c r="B2014" t="s">
        <v>2189</v>
      </c>
      <c r="C2014" t="s">
        <v>2138</v>
      </c>
      <c r="D2014" t="s">
        <v>2164</v>
      </c>
      <c r="E2014" t="s">
        <v>388</v>
      </c>
      <c r="F2014" t="s">
        <v>2165</v>
      </c>
      <c r="G2014" t="s">
        <v>144</v>
      </c>
      <c r="H2014" s="1">
        <v>44776.836053240739</v>
      </c>
      <c r="I2014" s="1">
        <v>44777.836053240739</v>
      </c>
      <c r="J2014" t="s">
        <v>32</v>
      </c>
      <c r="K2014" s="1">
        <v>44785.836053240739</v>
      </c>
      <c r="L2014" t="s">
        <v>33</v>
      </c>
      <c r="M2014" t="s">
        <v>34</v>
      </c>
      <c r="R2014" s="4">
        <v>44788.836053240739</v>
      </c>
      <c r="T2014">
        <v>0</v>
      </c>
      <c r="Y2014" t="s">
        <v>35</v>
      </c>
      <c r="AC2014" s="2">
        <f t="shared" si="279"/>
        <v>1</v>
      </c>
      <c r="AD2014" s="2">
        <f t="shared" si="280"/>
        <v>9</v>
      </c>
      <c r="AE2014" s="2">
        <f t="shared" si="281"/>
        <v>8</v>
      </c>
      <c r="AF2014" s="2">
        <f t="shared" si="282"/>
        <v>12</v>
      </c>
      <c r="AG2014" s="2">
        <f t="shared" si="283"/>
        <v>3</v>
      </c>
      <c r="AH2014" s="4">
        <f t="shared" si="284"/>
        <v>44878.836053240739</v>
      </c>
      <c r="AI2014" s="2" t="str">
        <f t="shared" si="285"/>
        <v/>
      </c>
      <c r="AJ2014" s="2" t="str">
        <f t="shared" si="286"/>
        <v/>
      </c>
      <c r="AK2014" s="2" t="str">
        <f t="shared" si="287"/>
        <v/>
      </c>
    </row>
    <row r="2015" spans="1:37" x14ac:dyDescent="0.25">
      <c r="A2015">
        <v>820</v>
      </c>
      <c r="B2015" t="s">
        <v>2190</v>
      </c>
      <c r="C2015" t="s">
        <v>2138</v>
      </c>
      <c r="D2015" t="s">
        <v>2164</v>
      </c>
      <c r="E2015" t="s">
        <v>388</v>
      </c>
      <c r="F2015" t="s">
        <v>2165</v>
      </c>
      <c r="G2015" t="s">
        <v>144</v>
      </c>
      <c r="H2015" s="1">
        <v>44672.895150462966</v>
      </c>
      <c r="I2015" s="1">
        <v>44675.895150462966</v>
      </c>
      <c r="J2015" t="s">
        <v>32</v>
      </c>
      <c r="K2015" s="1">
        <v>44689.895150462966</v>
      </c>
      <c r="L2015" t="s">
        <v>33</v>
      </c>
      <c r="M2015" t="s">
        <v>51</v>
      </c>
      <c r="T2015">
        <v>0</v>
      </c>
      <c r="Y2015" t="s">
        <v>35</v>
      </c>
      <c r="AC2015" s="2">
        <f t="shared" si="279"/>
        <v>3</v>
      </c>
      <c r="AD2015" s="2">
        <f t="shared" si="280"/>
        <v>17</v>
      </c>
      <c r="AE2015" s="2">
        <f t="shared" si="281"/>
        <v>14</v>
      </c>
      <c r="AF2015" s="2" t="str">
        <f t="shared" si="282"/>
        <v/>
      </c>
      <c r="AG2015" s="2" t="str">
        <f t="shared" si="283"/>
        <v/>
      </c>
      <c r="AH2015" s="4" t="str">
        <f t="shared" si="284"/>
        <v/>
      </c>
      <c r="AI2015" s="2" t="str">
        <f t="shared" si="285"/>
        <v/>
      </c>
      <c r="AJ2015" s="2" t="str">
        <f t="shared" si="286"/>
        <v/>
      </c>
      <c r="AK2015" s="2" t="str">
        <f t="shared" si="287"/>
        <v/>
      </c>
    </row>
    <row r="2016" spans="1:37" x14ac:dyDescent="0.25">
      <c r="A2016">
        <v>816</v>
      </c>
      <c r="B2016" t="s">
        <v>2191</v>
      </c>
      <c r="C2016" t="s">
        <v>2138</v>
      </c>
      <c r="D2016" t="s">
        <v>2164</v>
      </c>
      <c r="E2016" t="s">
        <v>388</v>
      </c>
      <c r="F2016" t="s">
        <v>2165</v>
      </c>
      <c r="G2016" t="s">
        <v>144</v>
      </c>
      <c r="H2016" s="1">
        <v>44666.895150462966</v>
      </c>
      <c r="I2016" s="1">
        <v>44670.895150462966</v>
      </c>
      <c r="J2016" t="s">
        <v>32</v>
      </c>
      <c r="K2016" s="1">
        <v>44684.895150462966</v>
      </c>
      <c r="L2016" t="s">
        <v>33</v>
      </c>
      <c r="M2016" t="s">
        <v>92</v>
      </c>
      <c r="R2016" s="4">
        <v>44685.895150462966</v>
      </c>
      <c r="T2016">
        <v>0</v>
      </c>
      <c r="Y2016" t="s">
        <v>55</v>
      </c>
      <c r="AC2016" s="2">
        <f t="shared" si="279"/>
        <v>4</v>
      </c>
      <c r="AD2016" s="2">
        <f t="shared" si="280"/>
        <v>18</v>
      </c>
      <c r="AE2016" s="2">
        <f t="shared" si="281"/>
        <v>14</v>
      </c>
      <c r="AF2016" s="2">
        <f t="shared" si="282"/>
        <v>19</v>
      </c>
      <c r="AG2016" s="2">
        <f t="shared" si="283"/>
        <v>1</v>
      </c>
      <c r="AH2016" s="4">
        <f t="shared" si="284"/>
        <v>44775.895150462966</v>
      </c>
      <c r="AI2016" s="2" t="str">
        <f t="shared" si="285"/>
        <v/>
      </c>
      <c r="AJ2016" s="2" t="str">
        <f t="shared" si="286"/>
        <v/>
      </c>
      <c r="AK2016" s="2" t="str">
        <f t="shared" si="287"/>
        <v/>
      </c>
    </row>
    <row r="2017" spans="1:37" x14ac:dyDescent="0.25">
      <c r="A2017">
        <v>787</v>
      </c>
      <c r="B2017" t="s">
        <v>2192</v>
      </c>
      <c r="C2017" t="s">
        <v>2138</v>
      </c>
      <c r="D2017" t="s">
        <v>2164</v>
      </c>
      <c r="E2017" t="s">
        <v>388</v>
      </c>
      <c r="F2017" t="s">
        <v>2165</v>
      </c>
      <c r="G2017" t="s">
        <v>144</v>
      </c>
      <c r="H2017" s="1">
        <v>44931.996932870374</v>
      </c>
      <c r="I2017" s="1">
        <v>44935.996932870374</v>
      </c>
      <c r="J2017" t="s">
        <v>32</v>
      </c>
      <c r="K2017" s="1">
        <v>44956.996932870374</v>
      </c>
      <c r="L2017" t="s">
        <v>33</v>
      </c>
      <c r="M2017" t="s">
        <v>67</v>
      </c>
      <c r="R2017" s="4">
        <v>44957.996932870374</v>
      </c>
      <c r="T2017">
        <v>0</v>
      </c>
      <c r="Y2017" t="s">
        <v>55</v>
      </c>
      <c r="AC2017" s="2">
        <f t="shared" si="279"/>
        <v>4</v>
      </c>
      <c r="AD2017" s="2">
        <f t="shared" si="280"/>
        <v>25</v>
      </c>
      <c r="AE2017" s="2">
        <f t="shared" si="281"/>
        <v>21</v>
      </c>
      <c r="AF2017" s="2">
        <f t="shared" si="282"/>
        <v>26</v>
      </c>
      <c r="AG2017" s="2">
        <f t="shared" si="283"/>
        <v>1</v>
      </c>
      <c r="AH2017" s="4">
        <f t="shared" si="284"/>
        <v>45047.996932870374</v>
      </c>
      <c r="AI2017" s="2" t="str">
        <f t="shared" si="285"/>
        <v/>
      </c>
      <c r="AJ2017" s="2" t="str">
        <f t="shared" si="286"/>
        <v/>
      </c>
      <c r="AK2017" s="2" t="str">
        <f t="shared" si="287"/>
        <v/>
      </c>
    </row>
    <row r="2018" spans="1:37" x14ac:dyDescent="0.25">
      <c r="A2018">
        <v>739</v>
      </c>
      <c r="B2018" t="s">
        <v>2193</v>
      </c>
      <c r="C2018" t="s">
        <v>2138</v>
      </c>
      <c r="D2018" t="s">
        <v>2164</v>
      </c>
      <c r="E2018" t="s">
        <v>388</v>
      </c>
      <c r="F2018" t="s">
        <v>2165</v>
      </c>
      <c r="G2018" t="s">
        <v>144</v>
      </c>
      <c r="H2018" s="1">
        <v>45043.644548611112</v>
      </c>
      <c r="I2018" s="1">
        <v>45044.644548611112</v>
      </c>
      <c r="J2018" t="s">
        <v>32</v>
      </c>
      <c r="K2018" s="1">
        <v>45057.644548611112</v>
      </c>
      <c r="L2018" t="s">
        <v>33</v>
      </c>
      <c r="M2018" t="s">
        <v>34</v>
      </c>
      <c r="R2018" s="4">
        <v>45060.644548611112</v>
      </c>
      <c r="T2018">
        <v>0</v>
      </c>
      <c r="Y2018" t="s">
        <v>55</v>
      </c>
      <c r="AC2018" s="2">
        <f t="shared" si="279"/>
        <v>1</v>
      </c>
      <c r="AD2018" s="2">
        <f t="shared" si="280"/>
        <v>14</v>
      </c>
      <c r="AE2018" s="2">
        <f t="shared" si="281"/>
        <v>13</v>
      </c>
      <c r="AF2018" s="2">
        <f t="shared" si="282"/>
        <v>17</v>
      </c>
      <c r="AG2018" s="2">
        <f t="shared" si="283"/>
        <v>3</v>
      </c>
      <c r="AH2018" s="4">
        <f t="shared" si="284"/>
        <v>45150.644548611112</v>
      </c>
      <c r="AI2018" s="2" t="str">
        <f t="shared" si="285"/>
        <v/>
      </c>
      <c r="AJ2018" s="2" t="str">
        <f t="shared" si="286"/>
        <v/>
      </c>
      <c r="AK2018" s="2" t="str">
        <f t="shared" si="287"/>
        <v/>
      </c>
    </row>
    <row r="2019" spans="1:37" x14ac:dyDescent="0.25">
      <c r="A2019">
        <v>734</v>
      </c>
      <c r="B2019" t="s">
        <v>2194</v>
      </c>
      <c r="C2019" t="s">
        <v>2138</v>
      </c>
      <c r="D2019" t="s">
        <v>2164</v>
      </c>
      <c r="E2019" t="s">
        <v>388</v>
      </c>
      <c r="F2019" t="s">
        <v>2165</v>
      </c>
      <c r="G2019" t="s">
        <v>144</v>
      </c>
      <c r="H2019" s="1">
        <v>45041.644548611112</v>
      </c>
      <c r="I2019" s="1">
        <v>45043.644548611112</v>
      </c>
      <c r="J2019" t="s">
        <v>32</v>
      </c>
      <c r="K2019" s="1">
        <v>45050.644548611112</v>
      </c>
      <c r="L2019" t="s">
        <v>39</v>
      </c>
      <c r="N2019" s="4">
        <v>45057.644548611112</v>
      </c>
      <c r="O2019" t="s">
        <v>39</v>
      </c>
      <c r="R2019" s="4">
        <v>45053.644548611112</v>
      </c>
      <c r="T2019">
        <v>0</v>
      </c>
      <c r="AC2019" s="2">
        <f t="shared" si="279"/>
        <v>2</v>
      </c>
      <c r="AD2019" s="2">
        <f t="shared" si="280"/>
        <v>9</v>
      </c>
      <c r="AE2019" s="2">
        <f t="shared" si="281"/>
        <v>7</v>
      </c>
      <c r="AF2019" s="2">
        <f t="shared" si="282"/>
        <v>12</v>
      </c>
      <c r="AG2019" s="2">
        <f t="shared" si="283"/>
        <v>3</v>
      </c>
      <c r="AH2019" s="4">
        <f t="shared" si="284"/>
        <v>45143.644548611112</v>
      </c>
      <c r="AI2019" s="2" t="str">
        <f t="shared" si="285"/>
        <v/>
      </c>
      <c r="AJ2019" s="2" t="str">
        <f t="shared" si="286"/>
        <v/>
      </c>
      <c r="AK2019" s="2" t="str">
        <f t="shared" si="287"/>
        <v/>
      </c>
    </row>
    <row r="2020" spans="1:37" x14ac:dyDescent="0.25">
      <c r="A2020">
        <v>688</v>
      </c>
      <c r="B2020" t="s">
        <v>2195</v>
      </c>
      <c r="C2020" t="s">
        <v>2138</v>
      </c>
      <c r="D2020" t="s">
        <v>2164</v>
      </c>
      <c r="E2020" t="s">
        <v>388</v>
      </c>
      <c r="F2020" t="s">
        <v>2165</v>
      </c>
      <c r="G2020" t="s">
        <v>144</v>
      </c>
      <c r="H2020" s="1">
        <v>45102.115520833337</v>
      </c>
      <c r="I2020" s="1">
        <v>45104.115520833337</v>
      </c>
      <c r="J2020" t="s">
        <v>32</v>
      </c>
      <c r="K2020" s="1">
        <v>45119.115520833337</v>
      </c>
      <c r="L2020" t="s">
        <v>39</v>
      </c>
      <c r="N2020" s="4">
        <v>45121.115520833337</v>
      </c>
      <c r="O2020" t="s">
        <v>39</v>
      </c>
      <c r="R2020" s="4">
        <v>45120.115520833337</v>
      </c>
      <c r="T2020">
        <v>0</v>
      </c>
      <c r="AC2020" s="2">
        <f t="shared" si="279"/>
        <v>2</v>
      </c>
      <c r="AD2020" s="2">
        <f t="shared" si="280"/>
        <v>17</v>
      </c>
      <c r="AE2020" s="2">
        <f t="shared" si="281"/>
        <v>15</v>
      </c>
      <c r="AF2020" s="2">
        <f t="shared" si="282"/>
        <v>18</v>
      </c>
      <c r="AG2020" s="2">
        <f t="shared" si="283"/>
        <v>1</v>
      </c>
      <c r="AH2020" s="4">
        <f t="shared" si="284"/>
        <v>45210.115520833337</v>
      </c>
      <c r="AI2020" s="2" t="str">
        <f t="shared" si="285"/>
        <v/>
      </c>
      <c r="AJ2020" s="2" t="str">
        <f t="shared" si="286"/>
        <v/>
      </c>
      <c r="AK2020" s="2" t="str">
        <f t="shared" si="287"/>
        <v/>
      </c>
    </row>
    <row r="2021" spans="1:37" x14ac:dyDescent="0.25">
      <c r="A2021">
        <v>682</v>
      </c>
      <c r="B2021" t="s">
        <v>2196</v>
      </c>
      <c r="C2021" t="s">
        <v>2138</v>
      </c>
      <c r="D2021" t="s">
        <v>2164</v>
      </c>
      <c r="E2021" t="s">
        <v>388</v>
      </c>
      <c r="F2021" t="s">
        <v>2165</v>
      </c>
      <c r="G2021" t="s">
        <v>144</v>
      </c>
      <c r="H2021" s="1">
        <v>45103.115520833337</v>
      </c>
      <c r="I2021" s="1">
        <v>45105.115520833337</v>
      </c>
      <c r="J2021" t="s">
        <v>32</v>
      </c>
      <c r="K2021" s="1">
        <v>45108.115520833337</v>
      </c>
      <c r="L2021" t="s">
        <v>33</v>
      </c>
      <c r="M2021" t="s">
        <v>51</v>
      </c>
      <c r="T2021">
        <v>0</v>
      </c>
      <c r="Y2021" t="s">
        <v>55</v>
      </c>
      <c r="AC2021" s="2">
        <f t="shared" si="279"/>
        <v>2</v>
      </c>
      <c r="AD2021" s="2">
        <f t="shared" si="280"/>
        <v>5</v>
      </c>
      <c r="AE2021" s="2">
        <f t="shared" si="281"/>
        <v>3</v>
      </c>
      <c r="AF2021" s="2" t="str">
        <f t="shared" si="282"/>
        <v/>
      </c>
      <c r="AG2021" s="2" t="str">
        <f t="shared" si="283"/>
        <v/>
      </c>
      <c r="AH2021" s="4" t="str">
        <f t="shared" si="284"/>
        <v/>
      </c>
      <c r="AI2021" s="2" t="str">
        <f t="shared" si="285"/>
        <v/>
      </c>
      <c r="AJ2021" s="2" t="str">
        <f t="shared" si="286"/>
        <v/>
      </c>
      <c r="AK2021" s="2" t="str">
        <f t="shared" si="287"/>
        <v/>
      </c>
    </row>
    <row r="2022" spans="1:37" x14ac:dyDescent="0.25">
      <c r="A2022">
        <v>567</v>
      </c>
      <c r="B2022" t="s">
        <v>2197</v>
      </c>
      <c r="C2022" t="s">
        <v>2138</v>
      </c>
      <c r="D2022" t="s">
        <v>2164</v>
      </c>
      <c r="E2022" t="s">
        <v>388</v>
      </c>
      <c r="F2022" t="s">
        <v>2165</v>
      </c>
      <c r="G2022" t="s">
        <v>144</v>
      </c>
      <c r="H2022" s="1">
        <v>44870.965416666666</v>
      </c>
      <c r="I2022" s="1">
        <v>44872.965416666666</v>
      </c>
      <c r="J2022" t="s">
        <v>32</v>
      </c>
      <c r="K2022" s="1">
        <v>44876.965416666666</v>
      </c>
      <c r="L2022" t="s">
        <v>33</v>
      </c>
      <c r="M2022" t="s">
        <v>108</v>
      </c>
      <c r="T2022">
        <v>0</v>
      </c>
      <c r="Y2022" t="s">
        <v>35</v>
      </c>
      <c r="AC2022" s="2">
        <f t="shared" si="279"/>
        <v>2</v>
      </c>
      <c r="AD2022" s="2">
        <f t="shared" si="280"/>
        <v>6</v>
      </c>
      <c r="AE2022" s="2">
        <f t="shared" si="281"/>
        <v>4</v>
      </c>
      <c r="AF2022" s="2" t="str">
        <f t="shared" si="282"/>
        <v/>
      </c>
      <c r="AG2022" s="2" t="str">
        <f t="shared" si="283"/>
        <v/>
      </c>
      <c r="AH2022" s="4" t="str">
        <f t="shared" si="284"/>
        <v/>
      </c>
      <c r="AI2022" s="2" t="str">
        <f t="shared" si="285"/>
        <v/>
      </c>
      <c r="AJ2022" s="2" t="str">
        <f t="shared" si="286"/>
        <v/>
      </c>
      <c r="AK2022" s="2" t="str">
        <f t="shared" si="287"/>
        <v/>
      </c>
    </row>
    <row r="2023" spans="1:37" x14ac:dyDescent="0.25">
      <c r="A2023">
        <v>369</v>
      </c>
      <c r="B2023" t="s">
        <v>2198</v>
      </c>
      <c r="C2023" t="s">
        <v>2138</v>
      </c>
      <c r="D2023" t="s">
        <v>2164</v>
      </c>
      <c r="E2023" t="s">
        <v>388</v>
      </c>
      <c r="F2023" t="s">
        <v>2165</v>
      </c>
      <c r="G2023" t="s">
        <v>144</v>
      </c>
      <c r="H2023" s="1">
        <v>44685.751585648148</v>
      </c>
      <c r="I2023" s="1">
        <v>44687.751585648148</v>
      </c>
      <c r="J2023" t="s">
        <v>32</v>
      </c>
      <c r="K2023" s="1">
        <v>44706.751585648148</v>
      </c>
      <c r="L2023" t="s">
        <v>33</v>
      </c>
      <c r="M2023" t="s">
        <v>34</v>
      </c>
      <c r="T2023">
        <v>0</v>
      </c>
      <c r="Y2023" t="s">
        <v>55</v>
      </c>
      <c r="AC2023" s="2">
        <f t="shared" si="279"/>
        <v>2</v>
      </c>
      <c r="AD2023" s="2">
        <f t="shared" si="280"/>
        <v>21</v>
      </c>
      <c r="AE2023" s="2">
        <f t="shared" si="281"/>
        <v>19</v>
      </c>
      <c r="AF2023" s="2" t="str">
        <f t="shared" si="282"/>
        <v/>
      </c>
      <c r="AG2023" s="2" t="str">
        <f t="shared" si="283"/>
        <v/>
      </c>
      <c r="AH2023" s="4" t="str">
        <f t="shared" si="284"/>
        <v/>
      </c>
      <c r="AI2023" s="2" t="str">
        <f t="shared" si="285"/>
        <v/>
      </c>
      <c r="AJ2023" s="2" t="str">
        <f t="shared" si="286"/>
        <v/>
      </c>
      <c r="AK2023" s="2" t="str">
        <f t="shared" si="287"/>
        <v/>
      </c>
    </row>
    <row r="2024" spans="1:37" x14ac:dyDescent="0.25">
      <c r="A2024">
        <v>366</v>
      </c>
      <c r="B2024" t="s">
        <v>2199</v>
      </c>
      <c r="C2024" t="s">
        <v>2138</v>
      </c>
      <c r="D2024" t="s">
        <v>2164</v>
      </c>
      <c r="E2024" t="s">
        <v>388</v>
      </c>
      <c r="F2024" t="s">
        <v>2165</v>
      </c>
      <c r="G2024" t="s">
        <v>144</v>
      </c>
      <c r="H2024" s="1">
        <v>44685.751585648148</v>
      </c>
      <c r="I2024" s="1">
        <v>44688.751585648148</v>
      </c>
      <c r="J2024" t="s">
        <v>32</v>
      </c>
      <c r="K2024" s="1">
        <v>44696.751585648148</v>
      </c>
      <c r="L2024" t="s">
        <v>39</v>
      </c>
      <c r="N2024" s="4">
        <v>44700.751585648148</v>
      </c>
      <c r="O2024" t="s">
        <v>39</v>
      </c>
      <c r="R2024" s="4">
        <v>44699.751585648148</v>
      </c>
      <c r="T2024">
        <v>0</v>
      </c>
      <c r="AC2024" s="2">
        <f t="shared" si="279"/>
        <v>3</v>
      </c>
      <c r="AD2024" s="2">
        <f t="shared" si="280"/>
        <v>11</v>
      </c>
      <c r="AE2024" s="2">
        <f t="shared" si="281"/>
        <v>8</v>
      </c>
      <c r="AF2024" s="2">
        <f t="shared" si="282"/>
        <v>14</v>
      </c>
      <c r="AG2024" s="2">
        <f t="shared" si="283"/>
        <v>3</v>
      </c>
      <c r="AH2024" s="4">
        <f t="shared" si="284"/>
        <v>44789.751585648148</v>
      </c>
      <c r="AI2024" s="2" t="str">
        <f t="shared" si="285"/>
        <v/>
      </c>
      <c r="AJ2024" s="2" t="str">
        <f t="shared" si="286"/>
        <v/>
      </c>
      <c r="AK2024" s="2" t="str">
        <f t="shared" si="287"/>
        <v/>
      </c>
    </row>
    <row r="2025" spans="1:37" x14ac:dyDescent="0.25">
      <c r="A2025">
        <v>363</v>
      </c>
      <c r="B2025" t="s">
        <v>2200</v>
      </c>
      <c r="C2025" t="s">
        <v>2138</v>
      </c>
      <c r="D2025" t="s">
        <v>2164</v>
      </c>
      <c r="E2025" t="s">
        <v>388</v>
      </c>
      <c r="F2025" t="s">
        <v>2165</v>
      </c>
      <c r="G2025" t="s">
        <v>144</v>
      </c>
      <c r="H2025" s="1">
        <v>44682.751585648148</v>
      </c>
      <c r="I2025" s="1">
        <v>44684.751585648148</v>
      </c>
      <c r="J2025" t="s">
        <v>32</v>
      </c>
      <c r="K2025" s="1">
        <v>44694.751585648148</v>
      </c>
      <c r="L2025" t="s">
        <v>39</v>
      </c>
      <c r="N2025" s="4">
        <v>44699.751585648148</v>
      </c>
      <c r="O2025" t="s">
        <v>39</v>
      </c>
      <c r="R2025" s="4">
        <v>44696.751585648148</v>
      </c>
      <c r="T2025">
        <v>0</v>
      </c>
      <c r="AC2025" s="2">
        <f t="shared" si="279"/>
        <v>2</v>
      </c>
      <c r="AD2025" s="2">
        <f t="shared" si="280"/>
        <v>12</v>
      </c>
      <c r="AE2025" s="2">
        <f t="shared" si="281"/>
        <v>10</v>
      </c>
      <c r="AF2025" s="2">
        <f t="shared" si="282"/>
        <v>14</v>
      </c>
      <c r="AG2025" s="2">
        <f t="shared" si="283"/>
        <v>2</v>
      </c>
      <c r="AH2025" s="4">
        <f t="shared" si="284"/>
        <v>44786.751585648148</v>
      </c>
      <c r="AI2025" s="2" t="str">
        <f t="shared" si="285"/>
        <v/>
      </c>
      <c r="AJ2025" s="2" t="str">
        <f t="shared" si="286"/>
        <v/>
      </c>
      <c r="AK2025" s="2" t="str">
        <f t="shared" si="287"/>
        <v/>
      </c>
    </row>
    <row r="2026" spans="1:37" x14ac:dyDescent="0.25">
      <c r="A2026">
        <v>357</v>
      </c>
      <c r="B2026" t="s">
        <v>2201</v>
      </c>
      <c r="C2026" t="s">
        <v>2138</v>
      </c>
      <c r="D2026" t="s">
        <v>2164</v>
      </c>
      <c r="E2026" t="s">
        <v>388</v>
      </c>
      <c r="F2026" t="s">
        <v>2165</v>
      </c>
      <c r="G2026" t="s">
        <v>144</v>
      </c>
      <c r="H2026" s="1">
        <v>44839.176585648151</v>
      </c>
      <c r="I2026" s="1">
        <v>44842.176585648151</v>
      </c>
      <c r="J2026" t="s">
        <v>32</v>
      </c>
      <c r="K2026" s="1">
        <v>44854.176585648151</v>
      </c>
      <c r="L2026" t="s">
        <v>57</v>
      </c>
      <c r="N2026" s="4">
        <v>44858.176585648151</v>
      </c>
      <c r="O2026" t="s">
        <v>57</v>
      </c>
      <c r="P2026" s="4">
        <v>44855.176585648151</v>
      </c>
      <c r="Q2026" s="4">
        <v>44858.176585648151</v>
      </c>
      <c r="R2026" s="4">
        <v>44856.176585648151</v>
      </c>
      <c r="S2026" s="4">
        <v>44861.176585648151</v>
      </c>
      <c r="T2026">
        <v>1</v>
      </c>
      <c r="U2026" s="4">
        <v>44864.176585648151</v>
      </c>
      <c r="V2026" s="4">
        <v>44865.176585648151</v>
      </c>
      <c r="W2026" s="4">
        <v>44867.176585648151</v>
      </c>
      <c r="Z2026" s="4">
        <v>44878.176585648151</v>
      </c>
      <c r="AC2026" s="2">
        <f t="shared" si="279"/>
        <v>3</v>
      </c>
      <c r="AD2026" s="2">
        <f t="shared" si="280"/>
        <v>15</v>
      </c>
      <c r="AE2026" s="2">
        <f t="shared" si="281"/>
        <v>12</v>
      </c>
      <c r="AF2026" s="2">
        <f t="shared" si="282"/>
        <v>17</v>
      </c>
      <c r="AG2026" s="2">
        <f t="shared" si="283"/>
        <v>2</v>
      </c>
      <c r="AH2026" s="4">
        <f t="shared" si="284"/>
        <v>44946.176585648151</v>
      </c>
      <c r="AI2026" s="2">
        <f t="shared" si="285"/>
        <v>3</v>
      </c>
      <c r="AJ2026" s="2">
        <f t="shared" si="286"/>
        <v>22</v>
      </c>
      <c r="AK2026" s="2">
        <f t="shared" si="287"/>
        <v>11</v>
      </c>
    </row>
    <row r="2027" spans="1:37" x14ac:dyDescent="0.25">
      <c r="A2027">
        <v>329</v>
      </c>
      <c r="B2027" t="s">
        <v>2202</v>
      </c>
      <c r="C2027" t="s">
        <v>2138</v>
      </c>
      <c r="D2027" t="s">
        <v>2164</v>
      </c>
      <c r="E2027" t="s">
        <v>1167</v>
      </c>
      <c r="F2027" t="s">
        <v>2203</v>
      </c>
      <c r="G2027" t="s">
        <v>144</v>
      </c>
      <c r="H2027" s="1">
        <v>44577.917696759258</v>
      </c>
      <c r="I2027" s="1">
        <v>44579.917696759258</v>
      </c>
      <c r="J2027" t="s">
        <v>32</v>
      </c>
      <c r="K2027" s="1">
        <v>44598.917696759258</v>
      </c>
      <c r="L2027" t="s">
        <v>57</v>
      </c>
      <c r="N2027" s="4">
        <v>44600.917696759258</v>
      </c>
      <c r="O2027" t="s">
        <v>57</v>
      </c>
      <c r="P2027" s="4">
        <v>44600.917696759258</v>
      </c>
      <c r="Q2027" s="4">
        <v>44604.917696759258</v>
      </c>
      <c r="R2027" s="4">
        <v>44599.917696759258</v>
      </c>
      <c r="S2027" s="4">
        <v>44606.917696759258</v>
      </c>
      <c r="T2027">
        <v>1</v>
      </c>
      <c r="U2027" s="4">
        <v>44609.917696759258</v>
      </c>
      <c r="V2027" s="4">
        <v>44612.917696759258</v>
      </c>
      <c r="W2027" s="4">
        <v>44615.917696759258</v>
      </c>
      <c r="Z2027" s="4">
        <v>44625.917696759258</v>
      </c>
      <c r="AC2027" s="2">
        <f t="shared" si="279"/>
        <v>2</v>
      </c>
      <c r="AD2027" s="2">
        <f t="shared" si="280"/>
        <v>21</v>
      </c>
      <c r="AE2027" s="2">
        <f t="shared" si="281"/>
        <v>19</v>
      </c>
      <c r="AF2027" s="2">
        <f t="shared" si="282"/>
        <v>22</v>
      </c>
      <c r="AG2027" s="2">
        <f t="shared" si="283"/>
        <v>1</v>
      </c>
      <c r="AH2027" s="4">
        <f t="shared" si="284"/>
        <v>44689.917696759258</v>
      </c>
      <c r="AI2027" s="2">
        <f t="shared" si="285"/>
        <v>3</v>
      </c>
      <c r="AJ2027" s="2">
        <f t="shared" si="286"/>
        <v>26</v>
      </c>
      <c r="AK2027" s="2">
        <f t="shared" si="287"/>
        <v>16</v>
      </c>
    </row>
    <row r="2028" spans="1:37" x14ac:dyDescent="0.25">
      <c r="A2028">
        <v>293</v>
      </c>
      <c r="B2028" t="s">
        <v>2204</v>
      </c>
      <c r="C2028" t="s">
        <v>2138</v>
      </c>
      <c r="D2028" t="s">
        <v>2164</v>
      </c>
      <c r="E2028" t="s">
        <v>1167</v>
      </c>
      <c r="F2028" t="s">
        <v>2203</v>
      </c>
      <c r="G2028" t="s">
        <v>144</v>
      </c>
      <c r="H2028" s="1">
        <v>45134.740011574075</v>
      </c>
      <c r="I2028" s="1">
        <v>45137.740011574075</v>
      </c>
      <c r="J2028" t="s">
        <v>32</v>
      </c>
      <c r="K2028" s="1">
        <v>45143.740011574075</v>
      </c>
      <c r="L2028" t="s">
        <v>33</v>
      </c>
      <c r="M2028" t="s">
        <v>92</v>
      </c>
      <c r="T2028">
        <v>0</v>
      </c>
      <c r="Y2028" t="s">
        <v>55</v>
      </c>
      <c r="AC2028" s="2">
        <f t="shared" si="279"/>
        <v>3</v>
      </c>
      <c r="AD2028" s="2">
        <f t="shared" si="280"/>
        <v>9</v>
      </c>
      <c r="AE2028" s="2">
        <f t="shared" si="281"/>
        <v>6</v>
      </c>
      <c r="AF2028" s="2" t="str">
        <f t="shared" si="282"/>
        <v/>
      </c>
      <c r="AG2028" s="2" t="str">
        <f t="shared" si="283"/>
        <v/>
      </c>
      <c r="AH2028" s="4" t="str">
        <f t="shared" si="284"/>
        <v/>
      </c>
      <c r="AI2028" s="2" t="str">
        <f t="shared" si="285"/>
        <v/>
      </c>
      <c r="AJ2028" s="2" t="str">
        <f t="shared" si="286"/>
        <v/>
      </c>
      <c r="AK2028" s="2" t="str">
        <f t="shared" si="287"/>
        <v/>
      </c>
    </row>
    <row r="2029" spans="1:37" x14ac:dyDescent="0.25">
      <c r="A2029">
        <v>274</v>
      </c>
      <c r="B2029" t="s">
        <v>2205</v>
      </c>
      <c r="C2029" t="s">
        <v>2138</v>
      </c>
      <c r="D2029" t="s">
        <v>2164</v>
      </c>
      <c r="E2029" t="s">
        <v>1167</v>
      </c>
      <c r="F2029" t="s">
        <v>2203</v>
      </c>
      <c r="G2029" t="s">
        <v>144</v>
      </c>
      <c r="H2029" s="1">
        <v>44846.592418981483</v>
      </c>
      <c r="I2029" s="1">
        <v>44850.592418981483</v>
      </c>
      <c r="J2029" t="s">
        <v>32</v>
      </c>
      <c r="K2029" s="1">
        <v>44858.592418981483</v>
      </c>
      <c r="L2029" t="s">
        <v>33</v>
      </c>
      <c r="M2029" t="s">
        <v>67</v>
      </c>
      <c r="R2029" s="4">
        <v>44860.592418981483</v>
      </c>
      <c r="T2029">
        <v>0</v>
      </c>
      <c r="Y2029" t="s">
        <v>35</v>
      </c>
      <c r="AC2029" s="2">
        <f t="shared" si="279"/>
        <v>4</v>
      </c>
      <c r="AD2029" s="2">
        <f t="shared" si="280"/>
        <v>12</v>
      </c>
      <c r="AE2029" s="2">
        <f t="shared" si="281"/>
        <v>8</v>
      </c>
      <c r="AF2029" s="2">
        <f t="shared" si="282"/>
        <v>14</v>
      </c>
      <c r="AG2029" s="2">
        <f t="shared" si="283"/>
        <v>2</v>
      </c>
      <c r="AH2029" s="4">
        <f t="shared" si="284"/>
        <v>44950.592418981483</v>
      </c>
      <c r="AI2029" s="2" t="str">
        <f t="shared" si="285"/>
        <v/>
      </c>
      <c r="AJ2029" s="2" t="str">
        <f t="shared" si="286"/>
        <v/>
      </c>
      <c r="AK2029" s="2" t="str">
        <f t="shared" si="287"/>
        <v/>
      </c>
    </row>
    <row r="2030" spans="1:37" x14ac:dyDescent="0.25">
      <c r="A2030">
        <v>199</v>
      </c>
      <c r="B2030" t="s">
        <v>2206</v>
      </c>
      <c r="C2030" t="s">
        <v>2138</v>
      </c>
      <c r="D2030" t="s">
        <v>2164</v>
      </c>
      <c r="E2030" t="s">
        <v>1167</v>
      </c>
      <c r="F2030" t="s">
        <v>2203</v>
      </c>
      <c r="G2030" t="s">
        <v>144</v>
      </c>
      <c r="H2030" s="1">
        <v>44723.769965277781</v>
      </c>
      <c r="I2030" s="1">
        <v>44725.769965277781</v>
      </c>
      <c r="J2030" t="s">
        <v>32</v>
      </c>
      <c r="K2030" s="1">
        <v>44737.769965277781</v>
      </c>
      <c r="L2030" t="s">
        <v>57</v>
      </c>
      <c r="N2030" s="4">
        <v>44742.769965277781</v>
      </c>
      <c r="O2030" t="s">
        <v>57</v>
      </c>
      <c r="P2030" s="4">
        <v>44738.769965277781</v>
      </c>
      <c r="Q2030" s="4">
        <v>44742.769965277781</v>
      </c>
      <c r="R2030" s="4">
        <v>44739.769965277781</v>
      </c>
      <c r="S2030" s="4">
        <v>44743.769965277781</v>
      </c>
      <c r="T2030">
        <v>1</v>
      </c>
      <c r="U2030" s="4">
        <v>44746.769965277781</v>
      </c>
      <c r="V2030" s="4">
        <v>44749.769965277781</v>
      </c>
      <c r="W2030" s="4">
        <v>44751.769965277781</v>
      </c>
      <c r="Z2030" s="4">
        <v>44773.769965277781</v>
      </c>
      <c r="AC2030" s="2">
        <f t="shared" si="279"/>
        <v>2</v>
      </c>
      <c r="AD2030" s="2">
        <f t="shared" si="280"/>
        <v>14</v>
      </c>
      <c r="AE2030" s="2">
        <f t="shared" si="281"/>
        <v>12</v>
      </c>
      <c r="AF2030" s="2">
        <f t="shared" si="282"/>
        <v>16</v>
      </c>
      <c r="AG2030" s="2">
        <f t="shared" si="283"/>
        <v>2</v>
      </c>
      <c r="AH2030" s="4">
        <f t="shared" si="284"/>
        <v>44829.769965277781</v>
      </c>
      <c r="AI2030" s="2">
        <f t="shared" si="285"/>
        <v>3</v>
      </c>
      <c r="AJ2030" s="2">
        <f t="shared" si="286"/>
        <v>34</v>
      </c>
      <c r="AK2030" s="2">
        <f t="shared" si="287"/>
        <v>12</v>
      </c>
    </row>
    <row r="2031" spans="1:37" x14ac:dyDescent="0.25">
      <c r="A2031">
        <v>194</v>
      </c>
      <c r="B2031" t="s">
        <v>2207</v>
      </c>
      <c r="C2031" t="s">
        <v>2138</v>
      </c>
      <c r="D2031" t="s">
        <v>2164</v>
      </c>
      <c r="E2031" t="s">
        <v>1167</v>
      </c>
      <c r="F2031" t="s">
        <v>2203</v>
      </c>
      <c r="G2031" t="s">
        <v>144</v>
      </c>
      <c r="H2031" s="1">
        <v>44722.769965277781</v>
      </c>
      <c r="I2031" s="1">
        <v>44725.769965277781</v>
      </c>
      <c r="J2031" t="s">
        <v>32</v>
      </c>
      <c r="K2031" s="1">
        <v>44733.769965277781</v>
      </c>
      <c r="L2031" t="s">
        <v>39</v>
      </c>
      <c r="N2031" s="4">
        <v>44741.769965277781</v>
      </c>
      <c r="O2031" t="s">
        <v>39</v>
      </c>
      <c r="R2031" s="4">
        <v>44737.769965277781</v>
      </c>
      <c r="T2031">
        <v>0</v>
      </c>
      <c r="AC2031" s="2">
        <f t="shared" si="279"/>
        <v>3</v>
      </c>
      <c r="AD2031" s="2">
        <f t="shared" si="280"/>
        <v>11</v>
      </c>
      <c r="AE2031" s="2">
        <f t="shared" si="281"/>
        <v>8</v>
      </c>
      <c r="AF2031" s="2">
        <f t="shared" si="282"/>
        <v>15</v>
      </c>
      <c r="AG2031" s="2">
        <f t="shared" si="283"/>
        <v>4</v>
      </c>
      <c r="AH2031" s="4">
        <f t="shared" si="284"/>
        <v>44827.769965277781</v>
      </c>
      <c r="AI2031" s="2" t="str">
        <f t="shared" si="285"/>
        <v/>
      </c>
      <c r="AJ2031" s="2" t="str">
        <f t="shared" si="286"/>
        <v/>
      </c>
      <c r="AK2031" s="2" t="str">
        <f t="shared" si="287"/>
        <v/>
      </c>
    </row>
    <row r="2032" spans="1:37" x14ac:dyDescent="0.25">
      <c r="A2032">
        <v>169</v>
      </c>
      <c r="B2032" t="s">
        <v>2208</v>
      </c>
      <c r="C2032" t="s">
        <v>2138</v>
      </c>
      <c r="D2032" t="s">
        <v>2164</v>
      </c>
      <c r="E2032" t="s">
        <v>1167</v>
      </c>
      <c r="F2032" t="s">
        <v>2203</v>
      </c>
      <c r="G2032" t="s">
        <v>144</v>
      </c>
      <c r="H2032" s="1">
        <v>44906.64775462963</v>
      </c>
      <c r="I2032" s="1">
        <v>44907.64775462963</v>
      </c>
      <c r="J2032" t="s">
        <v>32</v>
      </c>
      <c r="K2032" s="1">
        <v>44918.64775462963</v>
      </c>
      <c r="L2032" t="s">
        <v>33</v>
      </c>
      <c r="M2032" t="s">
        <v>67</v>
      </c>
      <c r="T2032">
        <v>0</v>
      </c>
      <c r="Y2032" t="s">
        <v>55</v>
      </c>
      <c r="AC2032" s="2">
        <f t="shared" si="279"/>
        <v>1</v>
      </c>
      <c r="AD2032" s="2">
        <f t="shared" si="280"/>
        <v>12</v>
      </c>
      <c r="AE2032" s="2">
        <f t="shared" si="281"/>
        <v>11</v>
      </c>
      <c r="AF2032" s="2" t="str">
        <f t="shared" si="282"/>
        <v/>
      </c>
      <c r="AG2032" s="2" t="str">
        <f t="shared" si="283"/>
        <v/>
      </c>
      <c r="AH2032" s="4" t="str">
        <f t="shared" si="284"/>
        <v/>
      </c>
      <c r="AI2032" s="2" t="str">
        <f t="shared" si="285"/>
        <v/>
      </c>
      <c r="AJ2032" s="2" t="str">
        <f t="shared" si="286"/>
        <v/>
      </c>
      <c r="AK2032" s="2" t="str">
        <f t="shared" si="287"/>
        <v/>
      </c>
    </row>
    <row r="2033" spans="1:37" x14ac:dyDescent="0.25">
      <c r="A2033">
        <v>167</v>
      </c>
      <c r="B2033" t="s">
        <v>2209</v>
      </c>
      <c r="C2033" t="s">
        <v>2138</v>
      </c>
      <c r="D2033" t="s">
        <v>2164</v>
      </c>
      <c r="E2033" t="s">
        <v>1167</v>
      </c>
      <c r="F2033" t="s">
        <v>2203</v>
      </c>
      <c r="G2033" t="s">
        <v>144</v>
      </c>
      <c r="H2033" s="1">
        <v>44906.64775462963</v>
      </c>
      <c r="I2033" s="1">
        <v>44907.64775462963</v>
      </c>
      <c r="J2033" t="s">
        <v>32</v>
      </c>
      <c r="K2033" s="1">
        <v>44922.64775462963</v>
      </c>
      <c r="L2033" t="s">
        <v>57</v>
      </c>
      <c r="N2033" s="4">
        <v>44928.64775462963</v>
      </c>
      <c r="O2033" t="s">
        <v>57</v>
      </c>
      <c r="P2033" s="4">
        <v>44923.64775462963</v>
      </c>
      <c r="Q2033" s="4">
        <v>44927.64775462963</v>
      </c>
      <c r="R2033" s="4">
        <v>44924.64775462963</v>
      </c>
      <c r="S2033" s="4">
        <v>44929.64775462963</v>
      </c>
      <c r="T2033">
        <v>1</v>
      </c>
      <c r="U2033" s="4">
        <v>44932.64775462963</v>
      </c>
      <c r="V2033" s="4">
        <v>44934.64775462963</v>
      </c>
      <c r="W2033" s="4">
        <v>44935.64775462963</v>
      </c>
      <c r="Z2033" s="4">
        <v>44946.64775462963</v>
      </c>
      <c r="AC2033" s="2">
        <f t="shared" si="279"/>
        <v>1</v>
      </c>
      <c r="AD2033" s="2">
        <f t="shared" si="280"/>
        <v>16</v>
      </c>
      <c r="AE2033" s="2">
        <f t="shared" si="281"/>
        <v>15</v>
      </c>
      <c r="AF2033" s="2">
        <f t="shared" si="282"/>
        <v>18</v>
      </c>
      <c r="AG2033" s="2">
        <f t="shared" si="283"/>
        <v>2</v>
      </c>
      <c r="AH2033" s="4">
        <f t="shared" si="284"/>
        <v>45014.64775462963</v>
      </c>
      <c r="AI2033" s="2">
        <f t="shared" si="285"/>
        <v>3</v>
      </c>
      <c r="AJ2033" s="2">
        <f t="shared" si="286"/>
        <v>22</v>
      </c>
      <c r="AK2033" s="2">
        <f t="shared" si="287"/>
        <v>11</v>
      </c>
    </row>
    <row r="2034" spans="1:37" x14ac:dyDescent="0.25">
      <c r="A2034">
        <v>166</v>
      </c>
      <c r="B2034" t="s">
        <v>2210</v>
      </c>
      <c r="C2034" t="s">
        <v>2138</v>
      </c>
      <c r="D2034" t="s">
        <v>2164</v>
      </c>
      <c r="E2034" t="s">
        <v>1167</v>
      </c>
      <c r="F2034" t="s">
        <v>2203</v>
      </c>
      <c r="G2034" t="s">
        <v>144</v>
      </c>
      <c r="H2034" s="1">
        <v>44906.64775462963</v>
      </c>
      <c r="I2034" s="1">
        <v>44909.64775462963</v>
      </c>
      <c r="J2034" t="s">
        <v>32</v>
      </c>
      <c r="K2034" s="1">
        <v>44914.64775462963</v>
      </c>
      <c r="L2034" t="s">
        <v>39</v>
      </c>
      <c r="N2034" s="4">
        <v>44922.64775462963</v>
      </c>
      <c r="O2034" t="s">
        <v>39</v>
      </c>
      <c r="R2034" s="4">
        <v>44918.64775462963</v>
      </c>
      <c r="T2034">
        <v>0</v>
      </c>
      <c r="AC2034" s="2">
        <f t="shared" si="279"/>
        <v>3</v>
      </c>
      <c r="AD2034" s="2">
        <f t="shared" si="280"/>
        <v>8</v>
      </c>
      <c r="AE2034" s="2">
        <f t="shared" si="281"/>
        <v>5</v>
      </c>
      <c r="AF2034" s="2">
        <f t="shared" si="282"/>
        <v>12</v>
      </c>
      <c r="AG2034" s="2">
        <f t="shared" si="283"/>
        <v>4</v>
      </c>
      <c r="AH2034" s="4">
        <f t="shared" si="284"/>
        <v>45008.64775462963</v>
      </c>
      <c r="AI2034" s="2" t="str">
        <f t="shared" si="285"/>
        <v/>
      </c>
      <c r="AJ2034" s="2" t="str">
        <f t="shared" si="286"/>
        <v/>
      </c>
      <c r="AK2034" s="2" t="str">
        <f t="shared" si="287"/>
        <v/>
      </c>
    </row>
    <row r="2035" spans="1:37" x14ac:dyDescent="0.25">
      <c r="A2035">
        <v>163</v>
      </c>
      <c r="B2035" t="s">
        <v>2211</v>
      </c>
      <c r="C2035" t="s">
        <v>2138</v>
      </c>
      <c r="D2035" t="s">
        <v>2164</v>
      </c>
      <c r="E2035" t="s">
        <v>1167</v>
      </c>
      <c r="F2035" t="s">
        <v>2203</v>
      </c>
      <c r="G2035" t="s">
        <v>144</v>
      </c>
      <c r="H2035" s="1">
        <v>44905.64775462963</v>
      </c>
      <c r="I2035" s="1">
        <v>44909.64775462963</v>
      </c>
      <c r="J2035" t="s">
        <v>44</v>
      </c>
      <c r="K2035" s="1"/>
      <c r="T2035">
        <v>0</v>
      </c>
      <c r="AC2035" s="2">
        <f t="shared" si="279"/>
        <v>4</v>
      </c>
      <c r="AD2035" s="2" t="str">
        <f t="shared" si="280"/>
        <v/>
      </c>
      <c r="AE2035" s="2" t="str">
        <f t="shared" si="281"/>
        <v/>
      </c>
      <c r="AF2035" s="2" t="str">
        <f t="shared" si="282"/>
        <v/>
      </c>
      <c r="AG2035" s="2" t="str">
        <f t="shared" si="283"/>
        <v/>
      </c>
      <c r="AH2035" s="4" t="str">
        <f t="shared" si="284"/>
        <v/>
      </c>
      <c r="AI2035" s="2" t="str">
        <f t="shared" si="285"/>
        <v/>
      </c>
      <c r="AJ2035" s="2" t="str">
        <f t="shared" si="286"/>
        <v/>
      </c>
      <c r="AK2035" s="2" t="str">
        <f t="shared" si="287"/>
        <v/>
      </c>
    </row>
    <row r="2036" spans="1:37" x14ac:dyDescent="0.25">
      <c r="A2036">
        <v>125</v>
      </c>
      <c r="B2036" t="s">
        <v>2212</v>
      </c>
      <c r="C2036" t="s">
        <v>2138</v>
      </c>
      <c r="D2036" t="s">
        <v>2164</v>
      </c>
      <c r="E2036" t="s">
        <v>1167</v>
      </c>
      <c r="F2036" t="s">
        <v>2203</v>
      </c>
      <c r="G2036" t="s">
        <v>144</v>
      </c>
      <c r="H2036" s="1">
        <v>44827.472696759258</v>
      </c>
      <c r="I2036" s="1">
        <v>44830.472696759258</v>
      </c>
      <c r="J2036" t="s">
        <v>44</v>
      </c>
      <c r="K2036" s="1"/>
      <c r="T2036">
        <v>0</v>
      </c>
      <c r="AC2036" s="2">
        <f t="shared" si="279"/>
        <v>3</v>
      </c>
      <c r="AD2036" s="2" t="str">
        <f t="shared" si="280"/>
        <v/>
      </c>
      <c r="AE2036" s="2" t="str">
        <f t="shared" si="281"/>
        <v/>
      </c>
      <c r="AF2036" s="2" t="str">
        <f t="shared" si="282"/>
        <v/>
      </c>
      <c r="AG2036" s="2" t="str">
        <f t="shared" si="283"/>
        <v/>
      </c>
      <c r="AH2036" s="4" t="str">
        <f t="shared" si="284"/>
        <v/>
      </c>
      <c r="AI2036" s="2" t="str">
        <f t="shared" si="285"/>
        <v/>
      </c>
      <c r="AJ2036" s="2" t="str">
        <f t="shared" si="286"/>
        <v/>
      </c>
      <c r="AK2036" s="2" t="str">
        <f t="shared" si="287"/>
        <v/>
      </c>
    </row>
    <row r="2037" spans="1:37" x14ac:dyDescent="0.25">
      <c r="A2037">
        <v>85</v>
      </c>
      <c r="B2037" t="s">
        <v>2213</v>
      </c>
      <c r="C2037" t="s">
        <v>2138</v>
      </c>
      <c r="D2037" t="s">
        <v>2164</v>
      </c>
      <c r="E2037" t="s">
        <v>1167</v>
      </c>
      <c r="F2037" t="s">
        <v>2203</v>
      </c>
      <c r="G2037" t="s">
        <v>144</v>
      </c>
      <c r="H2037" s="1">
        <v>44724.092650462961</v>
      </c>
      <c r="I2037" s="1">
        <v>44728.092650462961</v>
      </c>
      <c r="J2037" t="s">
        <v>32</v>
      </c>
      <c r="K2037" s="1">
        <v>44742.092650462961</v>
      </c>
      <c r="L2037" t="s">
        <v>39</v>
      </c>
      <c r="N2037" s="4">
        <v>44747.092650462961</v>
      </c>
      <c r="O2037" t="s">
        <v>39</v>
      </c>
      <c r="R2037" s="4">
        <v>44745.092650462961</v>
      </c>
      <c r="T2037">
        <v>0</v>
      </c>
      <c r="AC2037" s="2">
        <f t="shared" si="279"/>
        <v>4</v>
      </c>
      <c r="AD2037" s="2">
        <f t="shared" si="280"/>
        <v>18</v>
      </c>
      <c r="AE2037" s="2">
        <f t="shared" si="281"/>
        <v>14</v>
      </c>
      <c r="AF2037" s="2">
        <f t="shared" si="282"/>
        <v>21</v>
      </c>
      <c r="AG2037" s="2">
        <f t="shared" si="283"/>
        <v>3</v>
      </c>
      <c r="AH2037" s="4">
        <f t="shared" si="284"/>
        <v>44835.092650462961</v>
      </c>
      <c r="AI2037" s="2" t="str">
        <f t="shared" si="285"/>
        <v/>
      </c>
      <c r="AJ2037" s="2" t="str">
        <f t="shared" si="286"/>
        <v/>
      </c>
      <c r="AK2037" s="2" t="str">
        <f t="shared" si="287"/>
        <v/>
      </c>
    </row>
    <row r="2038" spans="1:37" x14ac:dyDescent="0.25">
      <c r="A2038">
        <v>84</v>
      </c>
      <c r="B2038" t="s">
        <v>2214</v>
      </c>
      <c r="C2038" t="s">
        <v>2138</v>
      </c>
      <c r="D2038" t="s">
        <v>2164</v>
      </c>
      <c r="E2038" t="s">
        <v>1167</v>
      </c>
      <c r="F2038" t="s">
        <v>2203</v>
      </c>
      <c r="G2038" t="s">
        <v>144</v>
      </c>
      <c r="H2038" s="1">
        <v>44724.092650462961</v>
      </c>
      <c r="I2038" s="1">
        <v>44728.092650462961</v>
      </c>
      <c r="J2038" t="s">
        <v>44</v>
      </c>
      <c r="K2038" s="1"/>
      <c r="T2038">
        <v>0</v>
      </c>
      <c r="AC2038" s="2">
        <f t="shared" si="279"/>
        <v>4</v>
      </c>
      <c r="AD2038" s="2" t="str">
        <f t="shared" si="280"/>
        <v/>
      </c>
      <c r="AE2038" s="2" t="str">
        <f t="shared" si="281"/>
        <v/>
      </c>
      <c r="AF2038" s="2" t="str">
        <f t="shared" si="282"/>
        <v/>
      </c>
      <c r="AG2038" s="2" t="str">
        <f t="shared" si="283"/>
        <v/>
      </c>
      <c r="AH2038" s="4" t="str">
        <f t="shared" si="284"/>
        <v/>
      </c>
      <c r="AI2038" s="2" t="str">
        <f t="shared" si="285"/>
        <v/>
      </c>
      <c r="AJ2038" s="2" t="str">
        <f t="shared" si="286"/>
        <v/>
      </c>
      <c r="AK2038" s="2" t="str">
        <f t="shared" si="287"/>
        <v/>
      </c>
    </row>
    <row r="2039" spans="1:37" x14ac:dyDescent="0.25">
      <c r="A2039">
        <v>49</v>
      </c>
      <c r="B2039" t="s">
        <v>2215</v>
      </c>
      <c r="C2039" t="s">
        <v>2138</v>
      </c>
      <c r="D2039" t="s">
        <v>2164</v>
      </c>
      <c r="E2039" t="s">
        <v>1167</v>
      </c>
      <c r="F2039" t="s">
        <v>2203</v>
      </c>
      <c r="G2039" t="s">
        <v>144</v>
      </c>
      <c r="H2039" s="1">
        <v>44624.885358796295</v>
      </c>
      <c r="I2039" s="1">
        <v>44627.885358796295</v>
      </c>
      <c r="J2039" t="s">
        <v>32</v>
      </c>
      <c r="K2039" s="1">
        <v>44646.885358796295</v>
      </c>
      <c r="L2039" t="s">
        <v>33</v>
      </c>
      <c r="M2039" t="s">
        <v>34</v>
      </c>
      <c r="T2039">
        <v>0</v>
      </c>
      <c r="Y2039" t="s">
        <v>55</v>
      </c>
      <c r="AC2039" s="2">
        <f t="shared" si="279"/>
        <v>3</v>
      </c>
      <c r="AD2039" s="2">
        <f t="shared" si="280"/>
        <v>22</v>
      </c>
      <c r="AE2039" s="2">
        <f t="shared" si="281"/>
        <v>19</v>
      </c>
      <c r="AF2039" s="2" t="str">
        <f t="shared" si="282"/>
        <v/>
      </c>
      <c r="AG2039" s="2" t="str">
        <f t="shared" si="283"/>
        <v/>
      </c>
      <c r="AH2039" s="4" t="str">
        <f t="shared" si="284"/>
        <v/>
      </c>
      <c r="AI2039" s="2" t="str">
        <f t="shared" si="285"/>
        <v/>
      </c>
      <c r="AJ2039" s="2" t="str">
        <f t="shared" si="286"/>
        <v/>
      </c>
      <c r="AK2039" s="2" t="str">
        <f t="shared" si="287"/>
        <v/>
      </c>
    </row>
    <row r="2040" spans="1:37" x14ac:dyDescent="0.25">
      <c r="A2040">
        <v>48</v>
      </c>
      <c r="B2040" t="s">
        <v>2216</v>
      </c>
      <c r="C2040" t="s">
        <v>2138</v>
      </c>
      <c r="D2040" t="s">
        <v>2164</v>
      </c>
      <c r="E2040" t="s">
        <v>1167</v>
      </c>
      <c r="F2040" t="s">
        <v>2203</v>
      </c>
      <c r="G2040" t="s">
        <v>144</v>
      </c>
      <c r="H2040" s="1">
        <v>44620.885358796295</v>
      </c>
      <c r="I2040" s="1">
        <v>44624.885358796295</v>
      </c>
      <c r="J2040" t="s">
        <v>32</v>
      </c>
      <c r="K2040" s="1">
        <v>44633.885358796295</v>
      </c>
      <c r="L2040" t="s">
        <v>33</v>
      </c>
      <c r="M2040" t="s">
        <v>34</v>
      </c>
      <c r="R2040" s="4">
        <v>44635.885358796295</v>
      </c>
      <c r="T2040">
        <v>0</v>
      </c>
      <c r="Y2040" t="s">
        <v>35</v>
      </c>
      <c r="AC2040" s="2">
        <f t="shared" si="279"/>
        <v>4</v>
      </c>
      <c r="AD2040" s="2">
        <f t="shared" si="280"/>
        <v>13</v>
      </c>
      <c r="AE2040" s="2">
        <f t="shared" si="281"/>
        <v>9</v>
      </c>
      <c r="AF2040" s="2">
        <f t="shared" si="282"/>
        <v>15</v>
      </c>
      <c r="AG2040" s="2">
        <f t="shared" si="283"/>
        <v>2</v>
      </c>
      <c r="AH2040" s="4">
        <f t="shared" si="284"/>
        <v>44725.885358796295</v>
      </c>
      <c r="AI2040" s="2" t="str">
        <f t="shared" si="285"/>
        <v/>
      </c>
      <c r="AJ2040" s="2" t="str">
        <f t="shared" si="286"/>
        <v/>
      </c>
      <c r="AK2040" s="2" t="str">
        <f t="shared" si="287"/>
        <v/>
      </c>
    </row>
    <row r="2041" spans="1:37" x14ac:dyDescent="0.25">
      <c r="A2041">
        <v>42</v>
      </c>
      <c r="B2041" t="s">
        <v>2217</v>
      </c>
      <c r="C2041" t="s">
        <v>2138</v>
      </c>
      <c r="D2041" t="s">
        <v>2164</v>
      </c>
      <c r="E2041" t="s">
        <v>1167</v>
      </c>
      <c r="F2041" t="s">
        <v>2203</v>
      </c>
      <c r="G2041" t="s">
        <v>144</v>
      </c>
      <c r="H2041" s="1">
        <v>44623.885358796295</v>
      </c>
      <c r="I2041" s="1">
        <v>44624.885358796295</v>
      </c>
      <c r="J2041" t="s">
        <v>32</v>
      </c>
      <c r="K2041" s="1">
        <v>44633.885358796295</v>
      </c>
      <c r="L2041" t="s">
        <v>33</v>
      </c>
      <c r="M2041" t="s">
        <v>92</v>
      </c>
      <c r="R2041" s="4">
        <v>44635.885358796295</v>
      </c>
      <c r="T2041">
        <v>0</v>
      </c>
      <c r="Y2041" t="s">
        <v>35</v>
      </c>
      <c r="AC2041" s="2">
        <f t="shared" si="279"/>
        <v>1</v>
      </c>
      <c r="AD2041" s="2">
        <f t="shared" si="280"/>
        <v>10</v>
      </c>
      <c r="AE2041" s="2">
        <f t="shared" si="281"/>
        <v>9</v>
      </c>
      <c r="AF2041" s="2">
        <f t="shared" si="282"/>
        <v>12</v>
      </c>
      <c r="AG2041" s="2">
        <f t="shared" si="283"/>
        <v>2</v>
      </c>
      <c r="AH2041" s="4">
        <f t="shared" si="284"/>
        <v>44725.885358796295</v>
      </c>
      <c r="AI2041" s="2" t="str">
        <f t="shared" si="285"/>
        <v/>
      </c>
      <c r="AJ2041" s="2" t="str">
        <f t="shared" si="286"/>
        <v/>
      </c>
      <c r="AK2041" s="2" t="str">
        <f t="shared" si="287"/>
        <v/>
      </c>
    </row>
    <row r="2042" spans="1:37" x14ac:dyDescent="0.25">
      <c r="A2042">
        <v>2948</v>
      </c>
      <c r="B2042" t="s">
        <v>2218</v>
      </c>
      <c r="C2042" t="s">
        <v>2138</v>
      </c>
      <c r="D2042" t="s">
        <v>2219</v>
      </c>
      <c r="E2042" t="s">
        <v>267</v>
      </c>
      <c r="F2042" t="s">
        <v>2220</v>
      </c>
      <c r="G2042" t="s">
        <v>269</v>
      </c>
      <c r="H2042" s="1">
        <v>44725.484722222223</v>
      </c>
      <c r="I2042" s="1">
        <v>44727.484722222223</v>
      </c>
      <c r="J2042" t="s">
        <v>44</v>
      </c>
      <c r="K2042" s="1"/>
      <c r="T2042">
        <v>0</v>
      </c>
      <c r="AC2042" s="2">
        <f t="shared" si="279"/>
        <v>2</v>
      </c>
      <c r="AD2042" s="2" t="str">
        <f t="shared" si="280"/>
        <v/>
      </c>
      <c r="AE2042" s="2" t="str">
        <f t="shared" si="281"/>
        <v/>
      </c>
      <c r="AF2042" s="2" t="str">
        <f t="shared" si="282"/>
        <v/>
      </c>
      <c r="AG2042" s="2" t="str">
        <f t="shared" si="283"/>
        <v/>
      </c>
      <c r="AH2042" s="4" t="str">
        <f t="shared" si="284"/>
        <v/>
      </c>
      <c r="AI2042" s="2" t="str">
        <f t="shared" si="285"/>
        <v/>
      </c>
      <c r="AJ2042" s="2" t="str">
        <f t="shared" si="286"/>
        <v/>
      </c>
      <c r="AK2042" s="2" t="str">
        <f t="shared" si="287"/>
        <v/>
      </c>
    </row>
    <row r="2043" spans="1:37" x14ac:dyDescent="0.25">
      <c r="A2043">
        <v>2941</v>
      </c>
      <c r="B2043" t="s">
        <v>2221</v>
      </c>
      <c r="C2043" t="s">
        <v>2138</v>
      </c>
      <c r="D2043" t="s">
        <v>2219</v>
      </c>
      <c r="E2043" t="s">
        <v>267</v>
      </c>
      <c r="F2043" t="s">
        <v>2220</v>
      </c>
      <c r="G2043" t="s">
        <v>269</v>
      </c>
      <c r="H2043" s="1">
        <v>44722.484722222223</v>
      </c>
      <c r="I2043" s="1">
        <v>44725.484722222223</v>
      </c>
      <c r="J2043" t="s">
        <v>44</v>
      </c>
      <c r="K2043" s="1"/>
      <c r="T2043">
        <v>0</v>
      </c>
      <c r="AC2043" s="2">
        <f t="shared" si="279"/>
        <v>3</v>
      </c>
      <c r="AD2043" s="2" t="str">
        <f t="shared" si="280"/>
        <v/>
      </c>
      <c r="AE2043" s="2" t="str">
        <f t="shared" si="281"/>
        <v/>
      </c>
      <c r="AF2043" s="2" t="str">
        <f t="shared" si="282"/>
        <v/>
      </c>
      <c r="AG2043" s="2" t="str">
        <f t="shared" si="283"/>
        <v/>
      </c>
      <c r="AH2043" s="4" t="str">
        <f t="shared" si="284"/>
        <v/>
      </c>
      <c r="AI2043" s="2" t="str">
        <f t="shared" si="285"/>
        <v/>
      </c>
      <c r="AJ2043" s="2" t="str">
        <f t="shared" si="286"/>
        <v/>
      </c>
      <c r="AK2043" s="2" t="str">
        <f t="shared" si="287"/>
        <v/>
      </c>
    </row>
    <row r="2044" spans="1:37" x14ac:dyDescent="0.25">
      <c r="A2044">
        <v>2336</v>
      </c>
      <c r="B2044" t="s">
        <v>2222</v>
      </c>
      <c r="C2044" t="s">
        <v>2138</v>
      </c>
      <c r="D2044" t="s">
        <v>2219</v>
      </c>
      <c r="E2044" t="s">
        <v>267</v>
      </c>
      <c r="F2044" t="s">
        <v>2220</v>
      </c>
      <c r="G2044" t="s">
        <v>269</v>
      </c>
      <c r="H2044" s="1">
        <v>44692.386030092595</v>
      </c>
      <c r="I2044" s="1">
        <v>44696.386030092595</v>
      </c>
      <c r="J2044" t="s">
        <v>44</v>
      </c>
      <c r="K2044" s="1"/>
      <c r="T2044">
        <v>0</v>
      </c>
      <c r="AC2044" s="2">
        <f t="shared" si="279"/>
        <v>4</v>
      </c>
      <c r="AD2044" s="2" t="str">
        <f t="shared" si="280"/>
        <v/>
      </c>
      <c r="AE2044" s="2" t="str">
        <f t="shared" si="281"/>
        <v/>
      </c>
      <c r="AF2044" s="2" t="str">
        <f t="shared" si="282"/>
        <v/>
      </c>
      <c r="AG2044" s="2" t="str">
        <f t="shared" si="283"/>
        <v/>
      </c>
      <c r="AH2044" s="4" t="str">
        <f t="shared" si="284"/>
        <v/>
      </c>
      <c r="AI2044" s="2" t="str">
        <f t="shared" si="285"/>
        <v/>
      </c>
      <c r="AJ2044" s="2" t="str">
        <f t="shared" si="286"/>
        <v/>
      </c>
      <c r="AK2044" s="2" t="str">
        <f t="shared" si="287"/>
        <v/>
      </c>
    </row>
    <row r="2045" spans="1:37" x14ac:dyDescent="0.25">
      <c r="A2045">
        <v>2335</v>
      </c>
      <c r="B2045" t="s">
        <v>2223</v>
      </c>
      <c r="C2045" t="s">
        <v>2138</v>
      </c>
      <c r="D2045" t="s">
        <v>2219</v>
      </c>
      <c r="E2045" t="s">
        <v>267</v>
      </c>
      <c r="F2045" t="s">
        <v>2220</v>
      </c>
      <c r="G2045" t="s">
        <v>269</v>
      </c>
      <c r="H2045" s="1">
        <v>44691.386030092595</v>
      </c>
      <c r="I2045" s="1">
        <v>44694.386030092595</v>
      </c>
      <c r="J2045" t="s">
        <v>44</v>
      </c>
      <c r="K2045" s="1"/>
      <c r="T2045">
        <v>0</v>
      </c>
      <c r="AC2045" s="2">
        <f t="shared" si="279"/>
        <v>3</v>
      </c>
      <c r="AD2045" s="2" t="str">
        <f t="shared" si="280"/>
        <v/>
      </c>
      <c r="AE2045" s="2" t="str">
        <f t="shared" si="281"/>
        <v/>
      </c>
      <c r="AF2045" s="2" t="str">
        <f t="shared" si="282"/>
        <v/>
      </c>
      <c r="AG2045" s="2" t="str">
        <f t="shared" si="283"/>
        <v/>
      </c>
      <c r="AH2045" s="4" t="str">
        <f t="shared" si="284"/>
        <v/>
      </c>
      <c r="AI2045" s="2" t="str">
        <f t="shared" si="285"/>
        <v/>
      </c>
      <c r="AJ2045" s="2" t="str">
        <f t="shared" si="286"/>
        <v/>
      </c>
      <c r="AK2045" s="2" t="str">
        <f t="shared" si="287"/>
        <v/>
      </c>
    </row>
    <row r="2046" spans="1:37" x14ac:dyDescent="0.25">
      <c r="A2046">
        <v>2058</v>
      </c>
      <c r="B2046" t="s">
        <v>2224</v>
      </c>
      <c r="C2046" t="s">
        <v>2138</v>
      </c>
      <c r="D2046" t="s">
        <v>2219</v>
      </c>
      <c r="E2046" t="s">
        <v>267</v>
      </c>
      <c r="F2046" t="s">
        <v>2220</v>
      </c>
      <c r="G2046" t="s">
        <v>269</v>
      </c>
      <c r="H2046" s="1">
        <v>44577.831099537034</v>
      </c>
      <c r="I2046" s="1">
        <v>44578.831099537034</v>
      </c>
      <c r="J2046" t="s">
        <v>44</v>
      </c>
      <c r="K2046" s="1"/>
      <c r="T2046">
        <v>0</v>
      </c>
      <c r="AC2046" s="2">
        <f t="shared" si="279"/>
        <v>1</v>
      </c>
      <c r="AD2046" s="2" t="str">
        <f t="shared" si="280"/>
        <v/>
      </c>
      <c r="AE2046" s="2" t="str">
        <f t="shared" si="281"/>
        <v/>
      </c>
      <c r="AF2046" s="2" t="str">
        <f t="shared" si="282"/>
        <v/>
      </c>
      <c r="AG2046" s="2" t="str">
        <f t="shared" si="283"/>
        <v/>
      </c>
      <c r="AH2046" s="4" t="str">
        <f t="shared" si="284"/>
        <v/>
      </c>
      <c r="AI2046" s="2" t="str">
        <f t="shared" si="285"/>
        <v/>
      </c>
      <c r="AJ2046" s="2" t="str">
        <f t="shared" si="286"/>
        <v/>
      </c>
      <c r="AK2046" s="2" t="str">
        <f t="shared" si="287"/>
        <v/>
      </c>
    </row>
    <row r="2047" spans="1:37" x14ac:dyDescent="0.25">
      <c r="A2047">
        <v>2056</v>
      </c>
      <c r="B2047" t="s">
        <v>2225</v>
      </c>
      <c r="C2047" t="s">
        <v>2138</v>
      </c>
      <c r="D2047" t="s">
        <v>2219</v>
      </c>
      <c r="E2047" t="s">
        <v>267</v>
      </c>
      <c r="F2047" t="s">
        <v>2220</v>
      </c>
      <c r="G2047" t="s">
        <v>269</v>
      </c>
      <c r="H2047" s="1">
        <v>44573.831099537034</v>
      </c>
      <c r="I2047" s="1">
        <v>44575.831099537034</v>
      </c>
      <c r="J2047" t="s">
        <v>44</v>
      </c>
      <c r="K2047" s="1"/>
      <c r="T2047">
        <v>0</v>
      </c>
      <c r="AC2047" s="2">
        <f t="shared" si="279"/>
        <v>2</v>
      </c>
      <c r="AD2047" s="2" t="str">
        <f t="shared" si="280"/>
        <v/>
      </c>
      <c r="AE2047" s="2" t="str">
        <f t="shared" si="281"/>
        <v/>
      </c>
      <c r="AF2047" s="2" t="str">
        <f t="shared" si="282"/>
        <v/>
      </c>
      <c r="AG2047" s="2" t="str">
        <f t="shared" si="283"/>
        <v/>
      </c>
      <c r="AH2047" s="4" t="str">
        <f t="shared" si="284"/>
        <v/>
      </c>
      <c r="AI2047" s="2" t="str">
        <f t="shared" si="285"/>
        <v/>
      </c>
      <c r="AJ2047" s="2" t="str">
        <f t="shared" si="286"/>
        <v/>
      </c>
      <c r="AK2047" s="2" t="str">
        <f t="shared" si="287"/>
        <v/>
      </c>
    </row>
    <row r="2048" spans="1:37" x14ac:dyDescent="0.25">
      <c r="A2048">
        <v>2054</v>
      </c>
      <c r="B2048" t="s">
        <v>2226</v>
      </c>
      <c r="C2048" t="s">
        <v>2138</v>
      </c>
      <c r="D2048" t="s">
        <v>2219</v>
      </c>
      <c r="E2048" t="s">
        <v>267</v>
      </c>
      <c r="F2048" t="s">
        <v>2220</v>
      </c>
      <c r="G2048" t="s">
        <v>269</v>
      </c>
      <c r="H2048" s="1">
        <v>44576.831099537034</v>
      </c>
      <c r="I2048" s="1">
        <v>44577.831099537034</v>
      </c>
      <c r="J2048" t="s">
        <v>32</v>
      </c>
      <c r="K2048" s="1">
        <v>44596.831099537034</v>
      </c>
      <c r="L2048" t="s">
        <v>57</v>
      </c>
      <c r="N2048" s="4">
        <v>44601.831099537034</v>
      </c>
      <c r="O2048" t="s">
        <v>57</v>
      </c>
      <c r="P2048" s="4">
        <v>44597.831099537034</v>
      </c>
      <c r="Q2048" s="4">
        <v>44600.831099537034</v>
      </c>
      <c r="R2048" s="4">
        <v>44600.831099537034</v>
      </c>
      <c r="S2048" s="4">
        <v>44602.831099537034</v>
      </c>
      <c r="T2048">
        <v>1</v>
      </c>
      <c r="U2048" s="4">
        <v>44606.831099537034</v>
      </c>
      <c r="V2048" s="4">
        <v>44607.831099537034</v>
      </c>
      <c r="W2048" s="4">
        <v>44610.831099537034</v>
      </c>
      <c r="Z2048" s="4">
        <v>44618.831099537034</v>
      </c>
      <c r="AC2048" s="2">
        <f t="shared" si="279"/>
        <v>1</v>
      </c>
      <c r="AD2048" s="2">
        <f t="shared" si="280"/>
        <v>20</v>
      </c>
      <c r="AE2048" s="2">
        <f t="shared" si="281"/>
        <v>19</v>
      </c>
      <c r="AF2048" s="2">
        <f t="shared" si="282"/>
        <v>24</v>
      </c>
      <c r="AG2048" s="2">
        <f t="shared" si="283"/>
        <v>4</v>
      </c>
      <c r="AH2048" s="4">
        <f t="shared" si="284"/>
        <v>44690.831099537034</v>
      </c>
      <c r="AI2048" s="2">
        <f t="shared" si="285"/>
        <v>4</v>
      </c>
      <c r="AJ2048" s="2">
        <f t="shared" si="286"/>
        <v>18</v>
      </c>
      <c r="AK2048" s="2">
        <f t="shared" si="287"/>
        <v>10</v>
      </c>
    </row>
    <row r="2049" spans="1:37" x14ac:dyDescent="0.25">
      <c r="A2049">
        <v>1911</v>
      </c>
      <c r="B2049" t="s">
        <v>2227</v>
      </c>
      <c r="C2049" t="s">
        <v>2138</v>
      </c>
      <c r="D2049" t="s">
        <v>2219</v>
      </c>
      <c r="E2049" t="s">
        <v>267</v>
      </c>
      <c r="F2049" t="s">
        <v>2220</v>
      </c>
      <c r="G2049" t="s">
        <v>269</v>
      </c>
      <c r="H2049" s="1">
        <v>44685.892118055555</v>
      </c>
      <c r="I2049" s="1">
        <v>44687.892118055555</v>
      </c>
      <c r="J2049" t="s">
        <v>44</v>
      </c>
      <c r="K2049" s="1"/>
      <c r="T2049">
        <v>0</v>
      </c>
      <c r="AC2049" s="2">
        <f t="shared" si="279"/>
        <v>2</v>
      </c>
      <c r="AD2049" s="2" t="str">
        <f t="shared" si="280"/>
        <v/>
      </c>
      <c r="AE2049" s="2" t="str">
        <f t="shared" si="281"/>
        <v/>
      </c>
      <c r="AF2049" s="2" t="str">
        <f t="shared" si="282"/>
        <v/>
      </c>
      <c r="AG2049" s="2" t="str">
        <f t="shared" si="283"/>
        <v/>
      </c>
      <c r="AH2049" s="4" t="str">
        <f t="shared" si="284"/>
        <v/>
      </c>
      <c r="AI2049" s="2" t="str">
        <f t="shared" si="285"/>
        <v/>
      </c>
      <c r="AJ2049" s="2" t="str">
        <f t="shared" si="286"/>
        <v/>
      </c>
      <c r="AK2049" s="2" t="str">
        <f t="shared" si="287"/>
        <v/>
      </c>
    </row>
    <row r="2050" spans="1:37" x14ac:dyDescent="0.25">
      <c r="A2050">
        <v>1745</v>
      </c>
      <c r="B2050" t="s">
        <v>2228</v>
      </c>
      <c r="C2050" t="s">
        <v>2138</v>
      </c>
      <c r="D2050" t="s">
        <v>2219</v>
      </c>
      <c r="E2050" t="s">
        <v>267</v>
      </c>
      <c r="F2050" t="s">
        <v>2220</v>
      </c>
      <c r="G2050" t="s">
        <v>269</v>
      </c>
      <c r="H2050" s="1">
        <v>44946.798078703701</v>
      </c>
      <c r="I2050" s="1">
        <v>44950.798078703701</v>
      </c>
      <c r="J2050" t="s">
        <v>44</v>
      </c>
      <c r="K2050" s="1"/>
      <c r="T2050">
        <v>0</v>
      </c>
      <c r="AC2050" s="2">
        <f t="shared" si="279"/>
        <v>4</v>
      </c>
      <c r="AD2050" s="2" t="str">
        <f t="shared" si="280"/>
        <v/>
      </c>
      <c r="AE2050" s="2" t="str">
        <f t="shared" si="281"/>
        <v/>
      </c>
      <c r="AF2050" s="2" t="str">
        <f t="shared" si="282"/>
        <v/>
      </c>
      <c r="AG2050" s="2" t="str">
        <f t="shared" si="283"/>
        <v/>
      </c>
      <c r="AH2050" s="4" t="str">
        <f t="shared" si="284"/>
        <v/>
      </c>
      <c r="AI2050" s="2" t="str">
        <f t="shared" si="285"/>
        <v/>
      </c>
      <c r="AJ2050" s="2" t="str">
        <f t="shared" si="286"/>
        <v/>
      </c>
      <c r="AK2050" s="2" t="str">
        <f t="shared" si="287"/>
        <v/>
      </c>
    </row>
    <row r="2051" spans="1:37" x14ac:dyDescent="0.25">
      <c r="A2051">
        <v>1597</v>
      </c>
      <c r="B2051" t="s">
        <v>2229</v>
      </c>
      <c r="C2051" t="s">
        <v>2138</v>
      </c>
      <c r="D2051" t="s">
        <v>2219</v>
      </c>
      <c r="E2051" t="s">
        <v>267</v>
      </c>
      <c r="F2051" t="s">
        <v>2220</v>
      </c>
      <c r="G2051" t="s">
        <v>269</v>
      </c>
      <c r="H2051" s="1">
        <v>44991.164201388892</v>
      </c>
      <c r="I2051" s="1">
        <v>44994.164201388892</v>
      </c>
      <c r="J2051" t="s">
        <v>44</v>
      </c>
      <c r="K2051" s="1"/>
      <c r="T2051">
        <v>0</v>
      </c>
      <c r="AC2051" s="2">
        <f t="shared" ref="AC2051:AC2114" si="288">IF(AND(I2051&lt;&gt;"",H2051&lt;&gt;""), I2051-H2051, "")</f>
        <v>3</v>
      </c>
      <c r="AD2051" s="2" t="str">
        <f t="shared" ref="AD2051:AD2114" si="289">IF(AND(K2051&lt;&gt;"",H2051&lt;&gt;""), K2051-H2051, "")</f>
        <v/>
      </c>
      <c r="AE2051" s="2" t="str">
        <f t="shared" ref="AE2051:AE2114" si="290">IF(AND(K2051&lt;&gt;"",I2051&lt;&gt;""), K2051-I2051, "")</f>
        <v/>
      </c>
      <c r="AF2051" s="2" t="str">
        <f t="shared" ref="AF2051:AF2114" si="291">IF(AND(R2051&lt;&gt;"",H2051&lt;&gt;""), R2051-H2051, "")</f>
        <v/>
      </c>
      <c r="AG2051" s="2" t="str">
        <f t="shared" ref="AG2051:AG2114" si="292">IF(AND(R2051&lt;&gt;"",K2051&lt;&gt;""), R2051-K2051, "")</f>
        <v/>
      </c>
      <c r="AH2051" s="4" t="str">
        <f t="shared" ref="AH2051:AH2114" si="293">IF(R2051&lt;&gt;"", R2051+90, "")</f>
        <v/>
      </c>
      <c r="AI2051" s="2" t="str">
        <f t="shared" ref="AI2051:AI2114" si="294">IF(AND(U2051&lt;&gt;"",S2051&lt;&gt;""), U2051-S2051, "")</f>
        <v/>
      </c>
      <c r="AJ2051" s="2" t="str">
        <f t="shared" ref="AJ2051:AJ2114" si="295">IF(AND(Z2051&lt;&gt;"",R2051&lt;&gt;""), Z2051-R2051, "")</f>
        <v/>
      </c>
      <c r="AK2051" s="2" t="str">
        <f t="shared" ref="AK2051:AK2114" si="296">IF(AND(W2051&lt;&gt;"",R2051&lt;&gt;""), W2051-R2051, "")</f>
        <v/>
      </c>
    </row>
    <row r="2052" spans="1:37" x14ac:dyDescent="0.25">
      <c r="A2052">
        <v>1579</v>
      </c>
      <c r="B2052" t="s">
        <v>2230</v>
      </c>
      <c r="C2052" t="s">
        <v>2138</v>
      </c>
      <c r="D2052" t="s">
        <v>2219</v>
      </c>
      <c r="E2052" t="s">
        <v>267</v>
      </c>
      <c r="F2052" t="s">
        <v>2220</v>
      </c>
      <c r="G2052" t="s">
        <v>269</v>
      </c>
      <c r="H2052" s="1">
        <v>44809.733078703706</v>
      </c>
      <c r="I2052" s="1">
        <v>44812.733078703706</v>
      </c>
      <c r="J2052" t="s">
        <v>32</v>
      </c>
      <c r="K2052" s="1">
        <v>44820.733078703706</v>
      </c>
      <c r="L2052" t="s">
        <v>57</v>
      </c>
      <c r="N2052" s="4">
        <v>44823.733078703706</v>
      </c>
      <c r="O2052" t="s">
        <v>57</v>
      </c>
      <c r="P2052" s="4">
        <v>44822.733078703706</v>
      </c>
      <c r="Q2052" s="4">
        <v>44826.733078703706</v>
      </c>
      <c r="R2052" s="4">
        <v>44822.733078703706</v>
      </c>
      <c r="S2052" s="4">
        <v>44830.733078703706</v>
      </c>
      <c r="T2052">
        <v>1</v>
      </c>
      <c r="U2052" s="4">
        <v>44833.733078703706</v>
      </c>
      <c r="V2052" s="4">
        <v>44836.733078703706</v>
      </c>
      <c r="W2052" s="4">
        <v>44838.733078703706</v>
      </c>
      <c r="Z2052" s="4">
        <v>44854.733078703706</v>
      </c>
      <c r="AC2052" s="2">
        <f t="shared" si="288"/>
        <v>3</v>
      </c>
      <c r="AD2052" s="2">
        <f t="shared" si="289"/>
        <v>11</v>
      </c>
      <c r="AE2052" s="2">
        <f t="shared" si="290"/>
        <v>8</v>
      </c>
      <c r="AF2052" s="2">
        <f t="shared" si="291"/>
        <v>13</v>
      </c>
      <c r="AG2052" s="2">
        <f t="shared" si="292"/>
        <v>2</v>
      </c>
      <c r="AH2052" s="4">
        <f t="shared" si="293"/>
        <v>44912.733078703706</v>
      </c>
      <c r="AI2052" s="2">
        <f t="shared" si="294"/>
        <v>3</v>
      </c>
      <c r="AJ2052" s="2">
        <f t="shared" si="295"/>
        <v>32</v>
      </c>
      <c r="AK2052" s="2">
        <f t="shared" si="296"/>
        <v>16</v>
      </c>
    </row>
    <row r="2053" spans="1:37" x14ac:dyDescent="0.25">
      <c r="A2053">
        <v>1576</v>
      </c>
      <c r="B2053" t="s">
        <v>2231</v>
      </c>
      <c r="C2053" t="s">
        <v>2138</v>
      </c>
      <c r="D2053" t="s">
        <v>2219</v>
      </c>
      <c r="E2053" t="s">
        <v>267</v>
      </c>
      <c r="F2053" t="s">
        <v>2220</v>
      </c>
      <c r="G2053" t="s">
        <v>269</v>
      </c>
      <c r="H2053" s="1">
        <v>44805.733078703706</v>
      </c>
      <c r="I2053" s="1">
        <v>44807.733078703706</v>
      </c>
      <c r="J2053" t="s">
        <v>32</v>
      </c>
      <c r="K2053" s="1">
        <v>44828.733078703706</v>
      </c>
      <c r="L2053" t="s">
        <v>57</v>
      </c>
      <c r="N2053" s="4">
        <v>44833.733078703706</v>
      </c>
      <c r="O2053" t="s">
        <v>57</v>
      </c>
      <c r="P2053" s="4">
        <v>44830.733078703706</v>
      </c>
      <c r="Q2053" s="4">
        <v>44832.733078703706</v>
      </c>
      <c r="R2053" s="4">
        <v>44831.733078703706</v>
      </c>
      <c r="S2053" s="4">
        <v>44834.733078703706</v>
      </c>
      <c r="T2053">
        <v>1</v>
      </c>
      <c r="U2053" s="4">
        <v>44836.733078703706</v>
      </c>
      <c r="V2053" s="4">
        <v>44837.733078703706</v>
      </c>
      <c r="W2053" s="4">
        <v>44840.733078703706</v>
      </c>
      <c r="Z2053" s="4">
        <v>44858.733078703706</v>
      </c>
      <c r="AC2053" s="2">
        <f t="shared" si="288"/>
        <v>2</v>
      </c>
      <c r="AD2053" s="2">
        <f t="shared" si="289"/>
        <v>23</v>
      </c>
      <c r="AE2053" s="2">
        <f t="shared" si="290"/>
        <v>21</v>
      </c>
      <c r="AF2053" s="2">
        <f t="shared" si="291"/>
        <v>26</v>
      </c>
      <c r="AG2053" s="2">
        <f t="shared" si="292"/>
        <v>3</v>
      </c>
      <c r="AH2053" s="4">
        <f t="shared" si="293"/>
        <v>44921.733078703706</v>
      </c>
      <c r="AI2053" s="2">
        <f t="shared" si="294"/>
        <v>2</v>
      </c>
      <c r="AJ2053" s="2">
        <f t="shared" si="295"/>
        <v>27</v>
      </c>
      <c r="AK2053" s="2">
        <f t="shared" si="296"/>
        <v>9</v>
      </c>
    </row>
    <row r="2054" spans="1:37" x14ac:dyDescent="0.25">
      <c r="A2054">
        <v>1504</v>
      </c>
      <c r="B2054" t="s">
        <v>2232</v>
      </c>
      <c r="C2054" t="s">
        <v>2138</v>
      </c>
      <c r="D2054" t="s">
        <v>2219</v>
      </c>
      <c r="E2054" t="s">
        <v>267</v>
      </c>
      <c r="F2054" t="s">
        <v>2220</v>
      </c>
      <c r="G2054" t="s">
        <v>269</v>
      </c>
      <c r="H2054" s="1">
        <v>44752.346215277779</v>
      </c>
      <c r="I2054" s="1">
        <v>44756.346215277779</v>
      </c>
      <c r="J2054" t="s">
        <v>32</v>
      </c>
      <c r="K2054" s="1">
        <v>44766.346215277779</v>
      </c>
      <c r="L2054" t="s">
        <v>57</v>
      </c>
      <c r="N2054" s="4">
        <v>44773.346215277779</v>
      </c>
      <c r="O2054" t="s">
        <v>57</v>
      </c>
      <c r="P2054" s="4">
        <v>44768.346215277779</v>
      </c>
      <c r="Q2054" s="4">
        <v>44770.346215277779</v>
      </c>
      <c r="R2054" s="4">
        <v>44770.346215277779</v>
      </c>
      <c r="S2054" s="4">
        <v>44772.346215277779</v>
      </c>
      <c r="T2054">
        <v>1</v>
      </c>
      <c r="U2054" s="4">
        <v>44776.346215277779</v>
      </c>
      <c r="V2054" s="4">
        <v>44778.346215277779</v>
      </c>
      <c r="W2054" s="4">
        <v>44780.346215277779</v>
      </c>
      <c r="Z2054" s="4">
        <v>44797.346215277779</v>
      </c>
      <c r="AC2054" s="2">
        <f t="shared" si="288"/>
        <v>4</v>
      </c>
      <c r="AD2054" s="2">
        <f t="shared" si="289"/>
        <v>14</v>
      </c>
      <c r="AE2054" s="2">
        <f t="shared" si="290"/>
        <v>10</v>
      </c>
      <c r="AF2054" s="2">
        <f t="shared" si="291"/>
        <v>18</v>
      </c>
      <c r="AG2054" s="2">
        <f t="shared" si="292"/>
        <v>4</v>
      </c>
      <c r="AH2054" s="4">
        <f t="shared" si="293"/>
        <v>44860.346215277779</v>
      </c>
      <c r="AI2054" s="2">
        <f t="shared" si="294"/>
        <v>4</v>
      </c>
      <c r="AJ2054" s="2">
        <f t="shared" si="295"/>
        <v>27</v>
      </c>
      <c r="AK2054" s="2">
        <f t="shared" si="296"/>
        <v>10</v>
      </c>
    </row>
    <row r="2055" spans="1:37" x14ac:dyDescent="0.25">
      <c r="A2055">
        <v>1494</v>
      </c>
      <c r="B2055" t="s">
        <v>2233</v>
      </c>
      <c r="C2055" t="s">
        <v>2138</v>
      </c>
      <c r="D2055" t="s">
        <v>2219</v>
      </c>
      <c r="E2055" t="s">
        <v>267</v>
      </c>
      <c r="F2055" t="s">
        <v>2220</v>
      </c>
      <c r="G2055" t="s">
        <v>269</v>
      </c>
      <c r="H2055" s="1">
        <v>44693.569456018522</v>
      </c>
      <c r="I2055" s="1">
        <v>44696.569456018522</v>
      </c>
      <c r="J2055" t="s">
        <v>32</v>
      </c>
      <c r="K2055" s="1">
        <v>44710.569456018522</v>
      </c>
      <c r="L2055" t="s">
        <v>57</v>
      </c>
      <c r="N2055" s="4">
        <v>44716.569456018522</v>
      </c>
      <c r="O2055" t="s">
        <v>57</v>
      </c>
      <c r="P2055" s="4">
        <v>44712.569456018522</v>
      </c>
      <c r="Q2055" s="4">
        <v>44715.569456018522</v>
      </c>
      <c r="R2055" s="4">
        <v>44713.569456018522</v>
      </c>
      <c r="S2055" s="4">
        <v>44716.569456018522</v>
      </c>
      <c r="T2055">
        <v>1</v>
      </c>
      <c r="U2055" s="4">
        <v>44717.569456018522</v>
      </c>
      <c r="V2055" s="4">
        <v>44719.569456018522</v>
      </c>
      <c r="W2055" s="4">
        <v>44720.569456018522</v>
      </c>
      <c r="Z2055" s="4">
        <v>44732.569456018522</v>
      </c>
      <c r="AC2055" s="2">
        <f t="shared" si="288"/>
        <v>3</v>
      </c>
      <c r="AD2055" s="2">
        <f t="shared" si="289"/>
        <v>17</v>
      </c>
      <c r="AE2055" s="2">
        <f t="shared" si="290"/>
        <v>14</v>
      </c>
      <c r="AF2055" s="2">
        <f t="shared" si="291"/>
        <v>20</v>
      </c>
      <c r="AG2055" s="2">
        <f t="shared" si="292"/>
        <v>3</v>
      </c>
      <c r="AH2055" s="4">
        <f t="shared" si="293"/>
        <v>44803.569456018522</v>
      </c>
      <c r="AI2055" s="2">
        <f t="shared" si="294"/>
        <v>1</v>
      </c>
      <c r="AJ2055" s="2">
        <f t="shared" si="295"/>
        <v>19</v>
      </c>
      <c r="AK2055" s="2">
        <f t="shared" si="296"/>
        <v>7</v>
      </c>
    </row>
    <row r="2056" spans="1:37" x14ac:dyDescent="0.25">
      <c r="A2056">
        <v>1315</v>
      </c>
      <c r="B2056" t="s">
        <v>2234</v>
      </c>
      <c r="C2056" t="s">
        <v>2138</v>
      </c>
      <c r="D2056" t="s">
        <v>2219</v>
      </c>
      <c r="E2056" t="s">
        <v>267</v>
      </c>
      <c r="F2056" t="s">
        <v>2220</v>
      </c>
      <c r="G2056" t="s">
        <v>269</v>
      </c>
      <c r="H2056" s="1">
        <v>45148.233067129629</v>
      </c>
      <c r="I2056" s="1">
        <v>45151.233067129629</v>
      </c>
      <c r="J2056" t="s">
        <v>44</v>
      </c>
      <c r="K2056" s="1"/>
      <c r="T2056">
        <v>0</v>
      </c>
      <c r="AC2056" s="2">
        <f t="shared" si="288"/>
        <v>3</v>
      </c>
      <c r="AD2056" s="2" t="str">
        <f t="shared" si="289"/>
        <v/>
      </c>
      <c r="AE2056" s="2" t="str">
        <f t="shared" si="290"/>
        <v/>
      </c>
      <c r="AF2056" s="2" t="str">
        <f t="shared" si="291"/>
        <v/>
      </c>
      <c r="AG2056" s="2" t="str">
        <f t="shared" si="292"/>
        <v/>
      </c>
      <c r="AH2056" s="4" t="str">
        <f t="shared" si="293"/>
        <v/>
      </c>
      <c r="AI2056" s="2" t="str">
        <f t="shared" si="294"/>
        <v/>
      </c>
      <c r="AJ2056" s="2" t="str">
        <f t="shared" si="295"/>
        <v/>
      </c>
      <c r="AK2056" s="2" t="str">
        <f t="shared" si="296"/>
        <v/>
      </c>
    </row>
    <row r="2057" spans="1:37" x14ac:dyDescent="0.25">
      <c r="A2057">
        <v>1023</v>
      </c>
      <c r="B2057" t="s">
        <v>2235</v>
      </c>
      <c r="C2057" t="s">
        <v>2138</v>
      </c>
      <c r="D2057" t="s">
        <v>2219</v>
      </c>
      <c r="E2057" t="s">
        <v>267</v>
      </c>
      <c r="F2057" t="s">
        <v>2220</v>
      </c>
      <c r="G2057" t="s">
        <v>269</v>
      </c>
      <c r="H2057" s="1">
        <v>44951.791134259256</v>
      </c>
      <c r="I2057" s="1">
        <v>44953.791134259256</v>
      </c>
      <c r="J2057" t="s">
        <v>44</v>
      </c>
      <c r="K2057" s="1"/>
      <c r="T2057">
        <v>0</v>
      </c>
      <c r="AC2057" s="2">
        <f t="shared" si="288"/>
        <v>2</v>
      </c>
      <c r="AD2057" s="2" t="str">
        <f t="shared" si="289"/>
        <v/>
      </c>
      <c r="AE2057" s="2" t="str">
        <f t="shared" si="290"/>
        <v/>
      </c>
      <c r="AF2057" s="2" t="str">
        <f t="shared" si="291"/>
        <v/>
      </c>
      <c r="AG2057" s="2" t="str">
        <f t="shared" si="292"/>
        <v/>
      </c>
      <c r="AH2057" s="4" t="str">
        <f t="shared" si="293"/>
        <v/>
      </c>
      <c r="AI2057" s="2" t="str">
        <f t="shared" si="294"/>
        <v/>
      </c>
      <c r="AJ2057" s="2" t="str">
        <f t="shared" si="295"/>
        <v/>
      </c>
      <c r="AK2057" s="2" t="str">
        <f t="shared" si="296"/>
        <v/>
      </c>
    </row>
    <row r="2058" spans="1:37" x14ac:dyDescent="0.25">
      <c r="A2058">
        <v>841</v>
      </c>
      <c r="B2058" t="s">
        <v>2236</v>
      </c>
      <c r="C2058" t="s">
        <v>2138</v>
      </c>
      <c r="D2058" t="s">
        <v>2219</v>
      </c>
      <c r="E2058" t="s">
        <v>267</v>
      </c>
      <c r="F2058" t="s">
        <v>2220</v>
      </c>
      <c r="G2058" t="s">
        <v>269</v>
      </c>
      <c r="H2058" s="1">
        <v>44777.836053240739</v>
      </c>
      <c r="I2058" s="1">
        <v>44780.836053240739</v>
      </c>
      <c r="J2058" t="s">
        <v>32</v>
      </c>
      <c r="K2058" s="1">
        <v>44799.836053240739</v>
      </c>
      <c r="L2058" t="s">
        <v>39</v>
      </c>
      <c r="N2058" s="4">
        <v>44804.836053240739</v>
      </c>
      <c r="O2058" t="s">
        <v>39</v>
      </c>
      <c r="R2058" s="4">
        <v>44802.836053240739</v>
      </c>
      <c r="T2058">
        <v>0</v>
      </c>
      <c r="AC2058" s="2">
        <f t="shared" si="288"/>
        <v>3</v>
      </c>
      <c r="AD2058" s="2">
        <f t="shared" si="289"/>
        <v>22</v>
      </c>
      <c r="AE2058" s="2">
        <f t="shared" si="290"/>
        <v>19</v>
      </c>
      <c r="AF2058" s="2">
        <f t="shared" si="291"/>
        <v>25</v>
      </c>
      <c r="AG2058" s="2">
        <f t="shared" si="292"/>
        <v>3</v>
      </c>
      <c r="AH2058" s="4">
        <f t="shared" si="293"/>
        <v>44892.836053240739</v>
      </c>
      <c r="AI2058" s="2" t="str">
        <f t="shared" si="294"/>
        <v/>
      </c>
      <c r="AJ2058" s="2" t="str">
        <f t="shared" si="295"/>
        <v/>
      </c>
      <c r="AK2058" s="2" t="str">
        <f t="shared" si="296"/>
        <v/>
      </c>
    </row>
    <row r="2059" spans="1:37" x14ac:dyDescent="0.25">
      <c r="A2059">
        <v>789</v>
      </c>
      <c r="B2059" t="s">
        <v>2237</v>
      </c>
      <c r="C2059" t="s">
        <v>2138</v>
      </c>
      <c r="D2059" t="s">
        <v>2219</v>
      </c>
      <c r="E2059" t="s">
        <v>267</v>
      </c>
      <c r="F2059" t="s">
        <v>2220</v>
      </c>
      <c r="G2059" t="s">
        <v>269</v>
      </c>
      <c r="H2059" s="1">
        <v>44932.996932870374</v>
      </c>
      <c r="I2059" s="1">
        <v>44935.996932870374</v>
      </c>
      <c r="J2059" t="s">
        <v>32</v>
      </c>
      <c r="K2059" s="1">
        <v>44951.996932870374</v>
      </c>
      <c r="L2059" t="s">
        <v>39</v>
      </c>
      <c r="N2059" s="4">
        <v>44955.996932870374</v>
      </c>
      <c r="O2059" t="s">
        <v>39</v>
      </c>
      <c r="R2059" s="4">
        <v>44952.996932870374</v>
      </c>
      <c r="T2059">
        <v>0</v>
      </c>
      <c r="AC2059" s="2">
        <f t="shared" si="288"/>
        <v>3</v>
      </c>
      <c r="AD2059" s="2">
        <f t="shared" si="289"/>
        <v>19</v>
      </c>
      <c r="AE2059" s="2">
        <f t="shared" si="290"/>
        <v>16</v>
      </c>
      <c r="AF2059" s="2">
        <f t="shared" si="291"/>
        <v>20</v>
      </c>
      <c r="AG2059" s="2">
        <f t="shared" si="292"/>
        <v>1</v>
      </c>
      <c r="AH2059" s="4">
        <f t="shared" si="293"/>
        <v>45042.996932870374</v>
      </c>
      <c r="AI2059" s="2" t="str">
        <f t="shared" si="294"/>
        <v/>
      </c>
      <c r="AJ2059" s="2" t="str">
        <f t="shared" si="295"/>
        <v/>
      </c>
      <c r="AK2059" s="2" t="str">
        <f t="shared" si="296"/>
        <v/>
      </c>
    </row>
    <row r="2060" spans="1:37" x14ac:dyDescent="0.25">
      <c r="A2060">
        <v>738</v>
      </c>
      <c r="B2060" t="s">
        <v>2238</v>
      </c>
      <c r="C2060" t="s">
        <v>2138</v>
      </c>
      <c r="D2060" t="s">
        <v>2219</v>
      </c>
      <c r="E2060" t="s">
        <v>267</v>
      </c>
      <c r="F2060" t="s">
        <v>2220</v>
      </c>
      <c r="G2060" t="s">
        <v>269</v>
      </c>
      <c r="H2060" s="1">
        <v>45039.644548611112</v>
      </c>
      <c r="I2060" s="1">
        <v>45043.644548611112</v>
      </c>
      <c r="J2060" t="s">
        <v>32</v>
      </c>
      <c r="K2060" s="1">
        <v>45053.644548611112</v>
      </c>
      <c r="L2060" t="s">
        <v>33</v>
      </c>
      <c r="M2060" t="s">
        <v>108</v>
      </c>
      <c r="R2060" s="4">
        <v>45056.644548611112</v>
      </c>
      <c r="T2060">
        <v>0</v>
      </c>
      <c r="Y2060" t="s">
        <v>55</v>
      </c>
      <c r="AC2060" s="2">
        <f t="shared" si="288"/>
        <v>4</v>
      </c>
      <c r="AD2060" s="2">
        <f t="shared" si="289"/>
        <v>14</v>
      </c>
      <c r="AE2060" s="2">
        <f t="shared" si="290"/>
        <v>10</v>
      </c>
      <c r="AF2060" s="2">
        <f t="shared" si="291"/>
        <v>17</v>
      </c>
      <c r="AG2060" s="2">
        <f t="shared" si="292"/>
        <v>3</v>
      </c>
      <c r="AH2060" s="4">
        <f t="shared" si="293"/>
        <v>45146.644548611112</v>
      </c>
      <c r="AI2060" s="2" t="str">
        <f t="shared" si="294"/>
        <v/>
      </c>
      <c r="AJ2060" s="2" t="str">
        <f t="shared" si="295"/>
        <v/>
      </c>
      <c r="AK2060" s="2" t="str">
        <f t="shared" si="296"/>
        <v/>
      </c>
    </row>
    <row r="2061" spans="1:37" x14ac:dyDescent="0.25">
      <c r="A2061">
        <v>737</v>
      </c>
      <c r="B2061" t="s">
        <v>2239</v>
      </c>
      <c r="C2061" t="s">
        <v>2138</v>
      </c>
      <c r="D2061" t="s">
        <v>2219</v>
      </c>
      <c r="E2061" t="s">
        <v>267</v>
      </c>
      <c r="F2061" t="s">
        <v>2220</v>
      </c>
      <c r="G2061" t="s">
        <v>269</v>
      </c>
      <c r="H2061" s="1">
        <v>45037.644548611112</v>
      </c>
      <c r="I2061" s="1">
        <v>45041.644548611112</v>
      </c>
      <c r="J2061" t="s">
        <v>32</v>
      </c>
      <c r="K2061" s="1">
        <v>45051.644548611112</v>
      </c>
      <c r="L2061" t="s">
        <v>164</v>
      </c>
      <c r="N2061" s="4">
        <v>45059.644548611112</v>
      </c>
      <c r="O2061" t="s">
        <v>164</v>
      </c>
      <c r="R2061" s="4">
        <v>45055.644548611112</v>
      </c>
      <c r="T2061">
        <v>0</v>
      </c>
      <c r="AC2061" s="2">
        <f t="shared" si="288"/>
        <v>4</v>
      </c>
      <c r="AD2061" s="2">
        <f t="shared" si="289"/>
        <v>14</v>
      </c>
      <c r="AE2061" s="2">
        <f t="shared" si="290"/>
        <v>10</v>
      </c>
      <c r="AF2061" s="2">
        <f t="shared" si="291"/>
        <v>18</v>
      </c>
      <c r="AG2061" s="2">
        <f t="shared" si="292"/>
        <v>4</v>
      </c>
      <c r="AH2061" s="4">
        <f t="shared" si="293"/>
        <v>45145.644548611112</v>
      </c>
      <c r="AI2061" s="2" t="str">
        <f t="shared" si="294"/>
        <v/>
      </c>
      <c r="AJ2061" s="2" t="str">
        <f t="shared" si="295"/>
        <v/>
      </c>
      <c r="AK2061" s="2" t="str">
        <f t="shared" si="296"/>
        <v/>
      </c>
    </row>
    <row r="2062" spans="1:37" x14ac:dyDescent="0.25">
      <c r="A2062">
        <v>735</v>
      </c>
      <c r="B2062" t="s">
        <v>2240</v>
      </c>
      <c r="C2062" t="s">
        <v>2138</v>
      </c>
      <c r="D2062" t="s">
        <v>2219</v>
      </c>
      <c r="E2062" t="s">
        <v>267</v>
      </c>
      <c r="F2062" t="s">
        <v>2220</v>
      </c>
      <c r="G2062" t="s">
        <v>269</v>
      </c>
      <c r="H2062" s="1">
        <v>45043.644548611112</v>
      </c>
      <c r="I2062" s="1">
        <v>45046.644548611112</v>
      </c>
      <c r="J2062" t="s">
        <v>32</v>
      </c>
      <c r="K2062" s="1">
        <v>45059.644548611112</v>
      </c>
      <c r="L2062" t="s">
        <v>57</v>
      </c>
      <c r="N2062" s="4">
        <v>45066.644548611112</v>
      </c>
      <c r="O2062" t="s">
        <v>57</v>
      </c>
      <c r="P2062" s="4">
        <v>45060.644548611112</v>
      </c>
      <c r="Q2062" s="4">
        <v>45061.644548611112</v>
      </c>
      <c r="R2062" s="4">
        <v>45063.644548611112</v>
      </c>
      <c r="S2062" s="4">
        <v>45070.644548611112</v>
      </c>
      <c r="T2062">
        <v>1</v>
      </c>
      <c r="U2062" s="4">
        <v>45072.644548611112</v>
      </c>
      <c r="V2062" s="4">
        <v>45074.644548611112</v>
      </c>
      <c r="W2062" s="4">
        <v>45075.644548611112</v>
      </c>
      <c r="Z2062" s="4">
        <v>45084.644548611112</v>
      </c>
      <c r="AC2062" s="2">
        <f t="shared" si="288"/>
        <v>3</v>
      </c>
      <c r="AD2062" s="2">
        <f t="shared" si="289"/>
        <v>16</v>
      </c>
      <c r="AE2062" s="2">
        <f t="shared" si="290"/>
        <v>13</v>
      </c>
      <c r="AF2062" s="2">
        <f t="shared" si="291"/>
        <v>20</v>
      </c>
      <c r="AG2062" s="2">
        <f t="shared" si="292"/>
        <v>4</v>
      </c>
      <c r="AH2062" s="4">
        <f t="shared" si="293"/>
        <v>45153.644548611112</v>
      </c>
      <c r="AI2062" s="2">
        <f t="shared" si="294"/>
        <v>2</v>
      </c>
      <c r="AJ2062" s="2">
        <f t="shared" si="295"/>
        <v>21</v>
      </c>
      <c r="AK2062" s="2">
        <f t="shared" si="296"/>
        <v>12</v>
      </c>
    </row>
    <row r="2063" spans="1:37" x14ac:dyDescent="0.25">
      <c r="A2063">
        <v>689</v>
      </c>
      <c r="B2063" t="s">
        <v>2241</v>
      </c>
      <c r="C2063" t="s">
        <v>2138</v>
      </c>
      <c r="D2063" t="s">
        <v>2219</v>
      </c>
      <c r="E2063" t="s">
        <v>267</v>
      </c>
      <c r="F2063" t="s">
        <v>2220</v>
      </c>
      <c r="G2063" t="s">
        <v>269</v>
      </c>
      <c r="H2063" s="1">
        <v>45103.115520833337</v>
      </c>
      <c r="I2063" s="1">
        <v>45105.115520833337</v>
      </c>
      <c r="J2063" t="s">
        <v>32</v>
      </c>
      <c r="K2063" s="1">
        <v>45113.115520833337</v>
      </c>
      <c r="L2063" t="s">
        <v>33</v>
      </c>
      <c r="M2063" t="s">
        <v>92</v>
      </c>
      <c r="T2063">
        <v>0</v>
      </c>
      <c r="Y2063" t="s">
        <v>55</v>
      </c>
      <c r="AC2063" s="2">
        <f t="shared" si="288"/>
        <v>2</v>
      </c>
      <c r="AD2063" s="2">
        <f t="shared" si="289"/>
        <v>10</v>
      </c>
      <c r="AE2063" s="2">
        <f t="shared" si="290"/>
        <v>8</v>
      </c>
      <c r="AF2063" s="2" t="str">
        <f t="shared" si="291"/>
        <v/>
      </c>
      <c r="AG2063" s="2" t="str">
        <f t="shared" si="292"/>
        <v/>
      </c>
      <c r="AH2063" s="4" t="str">
        <f t="shared" si="293"/>
        <v/>
      </c>
      <c r="AI2063" s="2" t="str">
        <f t="shared" si="294"/>
        <v/>
      </c>
      <c r="AJ2063" s="2" t="str">
        <f t="shared" si="295"/>
        <v/>
      </c>
      <c r="AK2063" s="2" t="str">
        <f t="shared" si="296"/>
        <v/>
      </c>
    </row>
    <row r="2064" spans="1:37" x14ac:dyDescent="0.25">
      <c r="A2064">
        <v>687</v>
      </c>
      <c r="B2064" t="s">
        <v>2242</v>
      </c>
      <c r="C2064" t="s">
        <v>2138</v>
      </c>
      <c r="D2064" t="s">
        <v>2219</v>
      </c>
      <c r="E2064" t="s">
        <v>267</v>
      </c>
      <c r="F2064" t="s">
        <v>2220</v>
      </c>
      <c r="G2064" t="s">
        <v>269</v>
      </c>
      <c r="H2064" s="1">
        <v>45099.115520833337</v>
      </c>
      <c r="I2064" s="1">
        <v>45100.115520833337</v>
      </c>
      <c r="J2064" t="s">
        <v>32</v>
      </c>
      <c r="K2064" s="1">
        <v>45122.115520833337</v>
      </c>
      <c r="L2064" t="s">
        <v>57</v>
      </c>
      <c r="N2064" s="4">
        <v>45128.115520833337</v>
      </c>
      <c r="O2064" t="s">
        <v>57</v>
      </c>
      <c r="P2064" s="4">
        <v>45123.115520833337</v>
      </c>
      <c r="Q2064" s="4">
        <v>45127.115520833337</v>
      </c>
      <c r="R2064" s="4">
        <v>45126.115520833337</v>
      </c>
      <c r="S2064" s="4">
        <v>45133.115520833337</v>
      </c>
      <c r="T2064">
        <v>1</v>
      </c>
      <c r="U2064" s="4">
        <v>45136.115520833337</v>
      </c>
      <c r="V2064" s="4">
        <v>45138.115520833337</v>
      </c>
      <c r="W2064" s="4">
        <v>45141.115520833337</v>
      </c>
      <c r="Z2064" s="4">
        <v>45155.115520833337</v>
      </c>
      <c r="AC2064" s="2">
        <f t="shared" si="288"/>
        <v>1</v>
      </c>
      <c r="AD2064" s="2">
        <f t="shared" si="289"/>
        <v>23</v>
      </c>
      <c r="AE2064" s="2">
        <f t="shared" si="290"/>
        <v>22</v>
      </c>
      <c r="AF2064" s="2">
        <f t="shared" si="291"/>
        <v>27</v>
      </c>
      <c r="AG2064" s="2">
        <f t="shared" si="292"/>
        <v>4</v>
      </c>
      <c r="AH2064" s="4">
        <f t="shared" si="293"/>
        <v>45216.115520833337</v>
      </c>
      <c r="AI2064" s="2">
        <f t="shared" si="294"/>
        <v>3</v>
      </c>
      <c r="AJ2064" s="2">
        <f t="shared" si="295"/>
        <v>29</v>
      </c>
      <c r="AK2064" s="2">
        <f t="shared" si="296"/>
        <v>15</v>
      </c>
    </row>
    <row r="2065" spans="1:37" x14ac:dyDescent="0.25">
      <c r="A2065">
        <v>685</v>
      </c>
      <c r="B2065" t="s">
        <v>2243</v>
      </c>
      <c r="C2065" t="s">
        <v>2138</v>
      </c>
      <c r="D2065" t="s">
        <v>2219</v>
      </c>
      <c r="E2065" t="s">
        <v>267</v>
      </c>
      <c r="F2065" t="s">
        <v>2220</v>
      </c>
      <c r="G2065" t="s">
        <v>269</v>
      </c>
      <c r="H2065" s="1">
        <v>45101.115520833337</v>
      </c>
      <c r="I2065" s="1">
        <v>45103.115520833337</v>
      </c>
      <c r="J2065" t="s">
        <v>32</v>
      </c>
      <c r="K2065" s="1">
        <v>45122.115520833337</v>
      </c>
      <c r="L2065" t="s">
        <v>33</v>
      </c>
      <c r="M2065" t="s">
        <v>51</v>
      </c>
      <c r="R2065" s="4">
        <v>45125.115520833337</v>
      </c>
      <c r="T2065">
        <v>0</v>
      </c>
      <c r="Y2065" t="s">
        <v>55</v>
      </c>
      <c r="AC2065" s="2">
        <f t="shared" si="288"/>
        <v>2</v>
      </c>
      <c r="AD2065" s="2">
        <f t="shared" si="289"/>
        <v>21</v>
      </c>
      <c r="AE2065" s="2">
        <f t="shared" si="290"/>
        <v>19</v>
      </c>
      <c r="AF2065" s="2">
        <f t="shared" si="291"/>
        <v>24</v>
      </c>
      <c r="AG2065" s="2">
        <f t="shared" si="292"/>
        <v>3</v>
      </c>
      <c r="AH2065" s="4">
        <f t="shared" si="293"/>
        <v>45215.115520833337</v>
      </c>
      <c r="AI2065" s="2" t="str">
        <f t="shared" si="294"/>
        <v/>
      </c>
      <c r="AJ2065" s="2" t="str">
        <f t="shared" si="295"/>
        <v/>
      </c>
      <c r="AK2065" s="2" t="str">
        <f t="shared" si="296"/>
        <v/>
      </c>
    </row>
    <row r="2066" spans="1:37" x14ac:dyDescent="0.25">
      <c r="A2066">
        <v>570</v>
      </c>
      <c r="B2066" t="s">
        <v>2244</v>
      </c>
      <c r="C2066" t="s">
        <v>2138</v>
      </c>
      <c r="D2066" t="s">
        <v>2219</v>
      </c>
      <c r="E2066" t="s">
        <v>267</v>
      </c>
      <c r="F2066" t="s">
        <v>2220</v>
      </c>
      <c r="G2066" t="s">
        <v>269</v>
      </c>
      <c r="H2066" s="1">
        <v>44868.965416666666</v>
      </c>
      <c r="I2066" s="1">
        <v>44870.965416666666</v>
      </c>
      <c r="J2066" t="s">
        <v>32</v>
      </c>
      <c r="K2066" s="1">
        <v>44888.965416666666</v>
      </c>
      <c r="L2066" t="s">
        <v>33</v>
      </c>
      <c r="M2066" t="s">
        <v>67</v>
      </c>
      <c r="R2066" s="4">
        <v>44892.965416666666</v>
      </c>
      <c r="T2066">
        <v>0</v>
      </c>
      <c r="Y2066" t="s">
        <v>35</v>
      </c>
      <c r="AC2066" s="2">
        <f t="shared" si="288"/>
        <v>2</v>
      </c>
      <c r="AD2066" s="2">
        <f t="shared" si="289"/>
        <v>20</v>
      </c>
      <c r="AE2066" s="2">
        <f t="shared" si="290"/>
        <v>18</v>
      </c>
      <c r="AF2066" s="2">
        <f t="shared" si="291"/>
        <v>24</v>
      </c>
      <c r="AG2066" s="2">
        <f t="shared" si="292"/>
        <v>4</v>
      </c>
      <c r="AH2066" s="4">
        <f t="shared" si="293"/>
        <v>44982.965416666666</v>
      </c>
      <c r="AI2066" s="2" t="str">
        <f t="shared" si="294"/>
        <v/>
      </c>
      <c r="AJ2066" s="2" t="str">
        <f t="shared" si="295"/>
        <v/>
      </c>
      <c r="AK2066" s="2" t="str">
        <f t="shared" si="296"/>
        <v/>
      </c>
    </row>
    <row r="2067" spans="1:37" x14ac:dyDescent="0.25">
      <c r="A2067">
        <v>566</v>
      </c>
      <c r="B2067" t="s">
        <v>2245</v>
      </c>
      <c r="C2067" t="s">
        <v>2138</v>
      </c>
      <c r="D2067" t="s">
        <v>2219</v>
      </c>
      <c r="E2067" t="s">
        <v>267</v>
      </c>
      <c r="F2067" t="s">
        <v>2220</v>
      </c>
      <c r="G2067" t="s">
        <v>269</v>
      </c>
      <c r="H2067" s="1">
        <v>44867.965416666666</v>
      </c>
      <c r="I2067" s="1">
        <v>44868.965416666666</v>
      </c>
      <c r="J2067" t="s">
        <v>32</v>
      </c>
      <c r="K2067" s="1">
        <v>44889.965416666666</v>
      </c>
      <c r="L2067" t="s">
        <v>39</v>
      </c>
      <c r="N2067" s="4">
        <v>44893.965416666666</v>
      </c>
      <c r="O2067" t="s">
        <v>39</v>
      </c>
      <c r="R2067" s="4">
        <v>44890.965416666666</v>
      </c>
      <c r="T2067">
        <v>0</v>
      </c>
      <c r="AC2067" s="2">
        <f t="shared" si="288"/>
        <v>1</v>
      </c>
      <c r="AD2067" s="2">
        <f t="shared" si="289"/>
        <v>22</v>
      </c>
      <c r="AE2067" s="2">
        <f t="shared" si="290"/>
        <v>21</v>
      </c>
      <c r="AF2067" s="2">
        <f t="shared" si="291"/>
        <v>23</v>
      </c>
      <c r="AG2067" s="2">
        <f t="shared" si="292"/>
        <v>1</v>
      </c>
      <c r="AH2067" s="4">
        <f t="shared" si="293"/>
        <v>44980.965416666666</v>
      </c>
      <c r="AI2067" s="2" t="str">
        <f t="shared" si="294"/>
        <v/>
      </c>
      <c r="AJ2067" s="2" t="str">
        <f t="shared" si="295"/>
        <v/>
      </c>
      <c r="AK2067" s="2" t="str">
        <f t="shared" si="296"/>
        <v/>
      </c>
    </row>
    <row r="2068" spans="1:37" x14ac:dyDescent="0.25">
      <c r="A2068">
        <v>563</v>
      </c>
      <c r="B2068" t="s">
        <v>2246</v>
      </c>
      <c r="C2068" t="s">
        <v>2138</v>
      </c>
      <c r="D2068" t="s">
        <v>2219</v>
      </c>
      <c r="E2068" t="s">
        <v>267</v>
      </c>
      <c r="F2068" t="s">
        <v>2220</v>
      </c>
      <c r="G2068" t="s">
        <v>269</v>
      </c>
      <c r="H2068" s="1">
        <v>44867.965416666666</v>
      </c>
      <c r="I2068" s="1">
        <v>44868.965416666666</v>
      </c>
      <c r="J2068" t="s">
        <v>32</v>
      </c>
      <c r="K2068" s="1">
        <v>44881.965416666666</v>
      </c>
      <c r="L2068" t="s">
        <v>33</v>
      </c>
      <c r="M2068" t="s">
        <v>92</v>
      </c>
      <c r="T2068">
        <v>0</v>
      </c>
      <c r="Y2068" t="s">
        <v>35</v>
      </c>
      <c r="AC2068" s="2">
        <f t="shared" si="288"/>
        <v>1</v>
      </c>
      <c r="AD2068" s="2">
        <f t="shared" si="289"/>
        <v>14</v>
      </c>
      <c r="AE2068" s="2">
        <f t="shared" si="290"/>
        <v>13</v>
      </c>
      <c r="AF2068" s="2" t="str">
        <f t="shared" si="291"/>
        <v/>
      </c>
      <c r="AG2068" s="2" t="str">
        <f t="shared" si="292"/>
        <v/>
      </c>
      <c r="AH2068" s="4" t="str">
        <f t="shared" si="293"/>
        <v/>
      </c>
      <c r="AI2068" s="2" t="str">
        <f t="shared" si="294"/>
        <v/>
      </c>
      <c r="AJ2068" s="2" t="str">
        <f t="shared" si="295"/>
        <v/>
      </c>
      <c r="AK2068" s="2" t="str">
        <f t="shared" si="296"/>
        <v/>
      </c>
    </row>
    <row r="2069" spans="1:37" x14ac:dyDescent="0.25">
      <c r="A2069">
        <v>437</v>
      </c>
      <c r="B2069" t="s">
        <v>2247</v>
      </c>
      <c r="C2069" t="s">
        <v>2138</v>
      </c>
      <c r="D2069" t="s">
        <v>2219</v>
      </c>
      <c r="E2069" t="s">
        <v>267</v>
      </c>
      <c r="F2069" t="s">
        <v>2220</v>
      </c>
      <c r="G2069" t="s">
        <v>269</v>
      </c>
      <c r="H2069" s="1">
        <v>44734.315601851849</v>
      </c>
      <c r="I2069" s="1">
        <v>44736.315601851849</v>
      </c>
      <c r="J2069" t="s">
        <v>32</v>
      </c>
      <c r="K2069" s="1">
        <v>44744.315601851849</v>
      </c>
      <c r="L2069" t="s">
        <v>164</v>
      </c>
      <c r="N2069" s="4">
        <v>44750.315601851849</v>
      </c>
      <c r="O2069" t="s">
        <v>164</v>
      </c>
      <c r="R2069" s="4">
        <v>44748.315601851849</v>
      </c>
      <c r="T2069">
        <v>0</v>
      </c>
      <c r="AC2069" s="2">
        <f t="shared" si="288"/>
        <v>2</v>
      </c>
      <c r="AD2069" s="2">
        <f t="shared" si="289"/>
        <v>10</v>
      </c>
      <c r="AE2069" s="2">
        <f t="shared" si="290"/>
        <v>8</v>
      </c>
      <c r="AF2069" s="2">
        <f t="shared" si="291"/>
        <v>14</v>
      </c>
      <c r="AG2069" s="2">
        <f t="shared" si="292"/>
        <v>4</v>
      </c>
      <c r="AH2069" s="4">
        <f t="shared" si="293"/>
        <v>44838.315601851849</v>
      </c>
      <c r="AI2069" s="2" t="str">
        <f t="shared" si="294"/>
        <v/>
      </c>
      <c r="AJ2069" s="2" t="str">
        <f t="shared" si="295"/>
        <v/>
      </c>
      <c r="AK2069" s="2" t="str">
        <f t="shared" si="296"/>
        <v/>
      </c>
    </row>
    <row r="2070" spans="1:37" x14ac:dyDescent="0.25">
      <c r="A2070">
        <v>434</v>
      </c>
      <c r="B2070" t="s">
        <v>2248</v>
      </c>
      <c r="C2070" t="s">
        <v>2138</v>
      </c>
      <c r="D2070" t="s">
        <v>2219</v>
      </c>
      <c r="E2070" t="s">
        <v>267</v>
      </c>
      <c r="F2070" t="s">
        <v>2220</v>
      </c>
      <c r="G2070" t="s">
        <v>269</v>
      </c>
      <c r="H2070" s="1">
        <v>44735.315601851849</v>
      </c>
      <c r="I2070" s="1">
        <v>44738.315601851849</v>
      </c>
      <c r="J2070" t="s">
        <v>32</v>
      </c>
      <c r="K2070" s="1">
        <v>44752.315601851849</v>
      </c>
      <c r="L2070" t="s">
        <v>33</v>
      </c>
      <c r="M2070" t="s">
        <v>51</v>
      </c>
      <c r="R2070" s="4">
        <v>44756.315601851849</v>
      </c>
      <c r="T2070">
        <v>0</v>
      </c>
      <c r="Y2070" t="s">
        <v>35</v>
      </c>
      <c r="AC2070" s="2">
        <f t="shared" si="288"/>
        <v>3</v>
      </c>
      <c r="AD2070" s="2">
        <f t="shared" si="289"/>
        <v>17</v>
      </c>
      <c r="AE2070" s="2">
        <f t="shared" si="290"/>
        <v>14</v>
      </c>
      <c r="AF2070" s="2">
        <f t="shared" si="291"/>
        <v>21</v>
      </c>
      <c r="AG2070" s="2">
        <f t="shared" si="292"/>
        <v>4</v>
      </c>
      <c r="AH2070" s="4">
        <f t="shared" si="293"/>
        <v>44846.315601851849</v>
      </c>
      <c r="AI2070" s="2" t="str">
        <f t="shared" si="294"/>
        <v/>
      </c>
      <c r="AJ2070" s="2" t="str">
        <f t="shared" si="295"/>
        <v/>
      </c>
      <c r="AK2070" s="2" t="str">
        <f t="shared" si="296"/>
        <v/>
      </c>
    </row>
    <row r="2071" spans="1:37" x14ac:dyDescent="0.25">
      <c r="A2071">
        <v>353</v>
      </c>
      <c r="B2071" t="s">
        <v>2249</v>
      </c>
      <c r="C2071" t="s">
        <v>2138</v>
      </c>
      <c r="D2071" t="s">
        <v>2219</v>
      </c>
      <c r="E2071" t="s">
        <v>267</v>
      </c>
      <c r="F2071" t="s">
        <v>2220</v>
      </c>
      <c r="G2071" t="s">
        <v>269</v>
      </c>
      <c r="H2071" s="1">
        <v>44836.176585648151</v>
      </c>
      <c r="I2071" s="1">
        <v>44839.176585648151</v>
      </c>
      <c r="J2071" t="s">
        <v>32</v>
      </c>
      <c r="K2071" s="1">
        <v>44858.176585648151</v>
      </c>
      <c r="L2071" t="s">
        <v>33</v>
      </c>
      <c r="M2071" t="s">
        <v>34</v>
      </c>
      <c r="T2071">
        <v>0</v>
      </c>
      <c r="Y2071" t="s">
        <v>55</v>
      </c>
      <c r="AC2071" s="2">
        <f t="shared" si="288"/>
        <v>3</v>
      </c>
      <c r="AD2071" s="2">
        <f t="shared" si="289"/>
        <v>22</v>
      </c>
      <c r="AE2071" s="2">
        <f t="shared" si="290"/>
        <v>19</v>
      </c>
      <c r="AF2071" s="2" t="str">
        <f t="shared" si="291"/>
        <v/>
      </c>
      <c r="AG2071" s="2" t="str">
        <f t="shared" si="292"/>
        <v/>
      </c>
      <c r="AH2071" s="4" t="str">
        <f t="shared" si="293"/>
        <v/>
      </c>
      <c r="AI2071" s="2" t="str">
        <f t="shared" si="294"/>
        <v/>
      </c>
      <c r="AJ2071" s="2" t="str">
        <f t="shared" si="295"/>
        <v/>
      </c>
      <c r="AK2071" s="2" t="str">
        <f t="shared" si="296"/>
        <v/>
      </c>
    </row>
    <row r="2072" spans="1:37" x14ac:dyDescent="0.25">
      <c r="A2072">
        <v>352</v>
      </c>
      <c r="B2072" t="s">
        <v>2250</v>
      </c>
      <c r="C2072" t="s">
        <v>2138</v>
      </c>
      <c r="D2072" t="s">
        <v>2219</v>
      </c>
      <c r="E2072" t="s">
        <v>267</v>
      </c>
      <c r="F2072" t="s">
        <v>2220</v>
      </c>
      <c r="G2072" t="s">
        <v>269</v>
      </c>
      <c r="H2072" s="1">
        <v>44842.176585648151</v>
      </c>
      <c r="I2072" s="1">
        <v>44843.176585648151</v>
      </c>
      <c r="J2072" t="s">
        <v>32</v>
      </c>
      <c r="K2072" s="1">
        <v>44849.176585648151</v>
      </c>
      <c r="L2072" t="s">
        <v>39</v>
      </c>
      <c r="N2072" s="4">
        <v>44856.176585648151</v>
      </c>
      <c r="O2072" t="s">
        <v>39</v>
      </c>
      <c r="R2072" s="4">
        <v>44852.176585648151</v>
      </c>
      <c r="T2072">
        <v>0</v>
      </c>
      <c r="AC2072" s="2">
        <f t="shared" si="288"/>
        <v>1</v>
      </c>
      <c r="AD2072" s="2">
        <f t="shared" si="289"/>
        <v>7</v>
      </c>
      <c r="AE2072" s="2">
        <f t="shared" si="290"/>
        <v>6</v>
      </c>
      <c r="AF2072" s="2">
        <f t="shared" si="291"/>
        <v>10</v>
      </c>
      <c r="AG2072" s="2">
        <f t="shared" si="292"/>
        <v>3</v>
      </c>
      <c r="AH2072" s="4">
        <f t="shared" si="293"/>
        <v>44942.176585648151</v>
      </c>
      <c r="AI2072" s="2" t="str">
        <f t="shared" si="294"/>
        <v/>
      </c>
      <c r="AJ2072" s="2" t="str">
        <f t="shared" si="295"/>
        <v/>
      </c>
      <c r="AK2072" s="2" t="str">
        <f t="shared" si="296"/>
        <v/>
      </c>
    </row>
    <row r="2073" spans="1:37" x14ac:dyDescent="0.25">
      <c r="A2073">
        <v>327</v>
      </c>
      <c r="B2073" t="s">
        <v>2251</v>
      </c>
      <c r="C2073" t="s">
        <v>2138</v>
      </c>
      <c r="D2073" t="s">
        <v>2219</v>
      </c>
      <c r="E2073" t="s">
        <v>267</v>
      </c>
      <c r="F2073" t="s">
        <v>2220</v>
      </c>
      <c r="G2073" t="s">
        <v>269</v>
      </c>
      <c r="H2073" s="1">
        <v>44578.917696759258</v>
      </c>
      <c r="I2073" s="1">
        <v>44580.917696759258</v>
      </c>
      <c r="J2073" t="s">
        <v>32</v>
      </c>
      <c r="K2073" s="1">
        <v>44587.917696759258</v>
      </c>
      <c r="L2073" t="s">
        <v>39</v>
      </c>
      <c r="N2073" s="4">
        <v>44590.917696759258</v>
      </c>
      <c r="O2073" t="s">
        <v>39</v>
      </c>
      <c r="R2073" s="4">
        <v>44588.917696759258</v>
      </c>
      <c r="T2073">
        <v>0</v>
      </c>
      <c r="AC2073" s="2">
        <f t="shared" si="288"/>
        <v>2</v>
      </c>
      <c r="AD2073" s="2">
        <f t="shared" si="289"/>
        <v>9</v>
      </c>
      <c r="AE2073" s="2">
        <f t="shared" si="290"/>
        <v>7</v>
      </c>
      <c r="AF2073" s="2">
        <f t="shared" si="291"/>
        <v>10</v>
      </c>
      <c r="AG2073" s="2">
        <f t="shared" si="292"/>
        <v>1</v>
      </c>
      <c r="AH2073" s="4">
        <f t="shared" si="293"/>
        <v>44678.917696759258</v>
      </c>
      <c r="AI2073" s="2" t="str">
        <f t="shared" si="294"/>
        <v/>
      </c>
      <c r="AJ2073" s="2" t="str">
        <f t="shared" si="295"/>
        <v/>
      </c>
      <c r="AK2073" s="2" t="str">
        <f t="shared" si="296"/>
        <v/>
      </c>
    </row>
    <row r="2074" spans="1:37" x14ac:dyDescent="0.25">
      <c r="A2074">
        <v>298</v>
      </c>
      <c r="B2074" t="s">
        <v>2252</v>
      </c>
      <c r="C2074" t="s">
        <v>2138</v>
      </c>
      <c r="D2074" t="s">
        <v>2219</v>
      </c>
      <c r="E2074" t="s">
        <v>267</v>
      </c>
      <c r="F2074" t="s">
        <v>2220</v>
      </c>
      <c r="G2074" t="s">
        <v>269</v>
      </c>
      <c r="H2074" s="1">
        <v>45132.740011574075</v>
      </c>
      <c r="I2074" s="1">
        <v>45133.740011574075</v>
      </c>
      <c r="J2074" t="s">
        <v>32</v>
      </c>
      <c r="K2074" s="1">
        <v>45152.740011574075</v>
      </c>
      <c r="L2074" t="s">
        <v>57</v>
      </c>
      <c r="N2074" s="4">
        <v>45157.740011574075</v>
      </c>
      <c r="O2074" t="s">
        <v>57</v>
      </c>
      <c r="P2074" s="4">
        <v>45154.740011574075</v>
      </c>
      <c r="Q2074" s="4">
        <v>45158.740011574075</v>
      </c>
      <c r="R2074" s="4">
        <v>45156.740011574075</v>
      </c>
      <c r="S2074" s="4">
        <v>45159.740011574075</v>
      </c>
      <c r="T2074">
        <v>1</v>
      </c>
      <c r="U2074" s="4">
        <v>45161.740011574075</v>
      </c>
      <c r="V2074" s="4">
        <v>45163.740011574075</v>
      </c>
      <c r="W2074" s="4">
        <v>45164.740011574075</v>
      </c>
      <c r="Z2074" s="4">
        <v>45183.740011574075</v>
      </c>
      <c r="AC2074" s="2">
        <f t="shared" si="288"/>
        <v>1</v>
      </c>
      <c r="AD2074" s="2">
        <f t="shared" si="289"/>
        <v>20</v>
      </c>
      <c r="AE2074" s="2">
        <f t="shared" si="290"/>
        <v>19</v>
      </c>
      <c r="AF2074" s="2">
        <f t="shared" si="291"/>
        <v>24</v>
      </c>
      <c r="AG2074" s="2">
        <f t="shared" si="292"/>
        <v>4</v>
      </c>
      <c r="AH2074" s="4">
        <f t="shared" si="293"/>
        <v>45246.740011574075</v>
      </c>
      <c r="AI2074" s="2">
        <f t="shared" si="294"/>
        <v>2</v>
      </c>
      <c r="AJ2074" s="2">
        <f t="shared" si="295"/>
        <v>27</v>
      </c>
      <c r="AK2074" s="2">
        <f t="shared" si="296"/>
        <v>8</v>
      </c>
    </row>
    <row r="2075" spans="1:37" x14ac:dyDescent="0.25">
      <c r="A2075">
        <v>280</v>
      </c>
      <c r="B2075" t="s">
        <v>2253</v>
      </c>
      <c r="C2075" t="s">
        <v>2138</v>
      </c>
      <c r="D2075" t="s">
        <v>2219</v>
      </c>
      <c r="E2075" t="s">
        <v>267</v>
      </c>
      <c r="F2075" t="s">
        <v>2220</v>
      </c>
      <c r="G2075" t="s">
        <v>269</v>
      </c>
      <c r="H2075" s="1">
        <v>44846.592418981483</v>
      </c>
      <c r="I2075" s="1">
        <v>44850.592418981483</v>
      </c>
      <c r="J2075" t="s">
        <v>32</v>
      </c>
      <c r="K2075" s="1">
        <v>44856.592418981483</v>
      </c>
      <c r="L2075" t="s">
        <v>57</v>
      </c>
      <c r="N2075" s="4">
        <v>44858.592418981483</v>
      </c>
      <c r="O2075" t="s">
        <v>57</v>
      </c>
      <c r="P2075" s="4">
        <v>44857.592418981483</v>
      </c>
      <c r="Q2075" s="4">
        <v>44861.592418981483</v>
      </c>
      <c r="R2075" s="4">
        <v>44857.592418981483</v>
      </c>
      <c r="S2075" s="4">
        <v>44866.592418981483</v>
      </c>
      <c r="T2075">
        <v>1</v>
      </c>
      <c r="U2075" s="4">
        <v>44869.592418981483</v>
      </c>
      <c r="V2075" s="4">
        <v>44872.592418981483</v>
      </c>
      <c r="W2075" s="4">
        <v>44873.592418981483</v>
      </c>
      <c r="Z2075" s="4">
        <v>44884.592418981483</v>
      </c>
      <c r="AC2075" s="2">
        <f t="shared" si="288"/>
        <v>4</v>
      </c>
      <c r="AD2075" s="2">
        <f t="shared" si="289"/>
        <v>10</v>
      </c>
      <c r="AE2075" s="2">
        <f t="shared" si="290"/>
        <v>6</v>
      </c>
      <c r="AF2075" s="2">
        <f t="shared" si="291"/>
        <v>11</v>
      </c>
      <c r="AG2075" s="2">
        <f t="shared" si="292"/>
        <v>1</v>
      </c>
      <c r="AH2075" s="4">
        <f t="shared" si="293"/>
        <v>44947.592418981483</v>
      </c>
      <c r="AI2075" s="2">
        <f t="shared" si="294"/>
        <v>3</v>
      </c>
      <c r="AJ2075" s="2">
        <f t="shared" si="295"/>
        <v>27</v>
      </c>
      <c r="AK2075" s="2">
        <f t="shared" si="296"/>
        <v>16</v>
      </c>
    </row>
    <row r="2076" spans="1:37" x14ac:dyDescent="0.25">
      <c r="A2076">
        <v>272</v>
      </c>
      <c r="B2076" t="s">
        <v>2254</v>
      </c>
      <c r="C2076" t="s">
        <v>2138</v>
      </c>
      <c r="D2076" t="s">
        <v>2219</v>
      </c>
      <c r="E2076" t="s">
        <v>267</v>
      </c>
      <c r="F2076" t="s">
        <v>2220</v>
      </c>
      <c r="G2076" t="s">
        <v>269</v>
      </c>
      <c r="H2076" s="1">
        <v>44848.592418981483</v>
      </c>
      <c r="I2076" s="1">
        <v>44849.592418981483</v>
      </c>
      <c r="J2076" t="s">
        <v>32</v>
      </c>
      <c r="K2076" s="1">
        <v>44862.592418981483</v>
      </c>
      <c r="L2076" t="s">
        <v>39</v>
      </c>
      <c r="N2076" s="4">
        <v>44869.592418981483</v>
      </c>
      <c r="O2076" t="s">
        <v>39</v>
      </c>
      <c r="R2076" s="4">
        <v>44865.592418981483</v>
      </c>
      <c r="T2076">
        <v>0</v>
      </c>
      <c r="AC2076" s="2">
        <f t="shared" si="288"/>
        <v>1</v>
      </c>
      <c r="AD2076" s="2">
        <f t="shared" si="289"/>
        <v>14</v>
      </c>
      <c r="AE2076" s="2">
        <f t="shared" si="290"/>
        <v>13</v>
      </c>
      <c r="AF2076" s="2">
        <f t="shared" si="291"/>
        <v>17</v>
      </c>
      <c r="AG2076" s="2">
        <f t="shared" si="292"/>
        <v>3</v>
      </c>
      <c r="AH2076" s="4">
        <f t="shared" si="293"/>
        <v>44955.592418981483</v>
      </c>
      <c r="AI2076" s="2" t="str">
        <f t="shared" si="294"/>
        <v/>
      </c>
      <c r="AJ2076" s="2" t="str">
        <f t="shared" si="295"/>
        <v/>
      </c>
      <c r="AK2076" s="2" t="str">
        <f t="shared" si="296"/>
        <v/>
      </c>
    </row>
    <row r="2077" spans="1:37" x14ac:dyDescent="0.25">
      <c r="A2077">
        <v>244</v>
      </c>
      <c r="B2077" t="s">
        <v>2255</v>
      </c>
      <c r="C2077" t="s">
        <v>2138</v>
      </c>
      <c r="D2077" t="s">
        <v>2219</v>
      </c>
      <c r="E2077" t="s">
        <v>267</v>
      </c>
      <c r="F2077" t="s">
        <v>2220</v>
      </c>
      <c r="G2077" t="s">
        <v>269</v>
      </c>
      <c r="H2077" s="1">
        <v>44676.34851851852</v>
      </c>
      <c r="I2077" s="1">
        <v>44677.34851851852</v>
      </c>
      <c r="J2077" t="s">
        <v>32</v>
      </c>
      <c r="K2077" s="1">
        <v>44693.34851851852</v>
      </c>
      <c r="L2077" t="s">
        <v>33</v>
      </c>
      <c r="M2077" t="s">
        <v>51</v>
      </c>
      <c r="T2077">
        <v>0</v>
      </c>
      <c r="Y2077" t="s">
        <v>35</v>
      </c>
      <c r="AC2077" s="2">
        <f t="shared" si="288"/>
        <v>1</v>
      </c>
      <c r="AD2077" s="2">
        <f t="shared" si="289"/>
        <v>17</v>
      </c>
      <c r="AE2077" s="2">
        <f t="shared" si="290"/>
        <v>16</v>
      </c>
      <c r="AF2077" s="2" t="str">
        <f t="shared" si="291"/>
        <v/>
      </c>
      <c r="AG2077" s="2" t="str">
        <f t="shared" si="292"/>
        <v/>
      </c>
      <c r="AH2077" s="4" t="str">
        <f t="shared" si="293"/>
        <v/>
      </c>
      <c r="AI2077" s="2" t="str">
        <f t="shared" si="294"/>
        <v/>
      </c>
      <c r="AJ2077" s="2" t="str">
        <f t="shared" si="295"/>
        <v/>
      </c>
      <c r="AK2077" s="2" t="str">
        <f t="shared" si="296"/>
        <v/>
      </c>
    </row>
    <row r="2078" spans="1:37" x14ac:dyDescent="0.25">
      <c r="A2078">
        <v>241</v>
      </c>
      <c r="B2078" t="s">
        <v>2256</v>
      </c>
      <c r="C2078" t="s">
        <v>2138</v>
      </c>
      <c r="D2078" t="s">
        <v>2219</v>
      </c>
      <c r="E2078" t="s">
        <v>267</v>
      </c>
      <c r="F2078" t="s">
        <v>2220</v>
      </c>
      <c r="G2078" t="s">
        <v>269</v>
      </c>
      <c r="H2078" s="1">
        <v>44676.34851851852</v>
      </c>
      <c r="I2078" s="1">
        <v>44678.34851851852</v>
      </c>
      <c r="J2078" t="s">
        <v>32</v>
      </c>
      <c r="K2078" s="1">
        <v>44684.34851851852</v>
      </c>
      <c r="L2078" t="s">
        <v>33</v>
      </c>
      <c r="M2078" t="s">
        <v>67</v>
      </c>
      <c r="T2078">
        <v>0</v>
      </c>
      <c r="Y2078" t="s">
        <v>35</v>
      </c>
      <c r="AC2078" s="2">
        <f t="shared" si="288"/>
        <v>2</v>
      </c>
      <c r="AD2078" s="2">
        <f t="shared" si="289"/>
        <v>8</v>
      </c>
      <c r="AE2078" s="2">
        <f t="shared" si="290"/>
        <v>6</v>
      </c>
      <c r="AF2078" s="2" t="str">
        <f t="shared" si="291"/>
        <v/>
      </c>
      <c r="AG2078" s="2" t="str">
        <f t="shared" si="292"/>
        <v/>
      </c>
      <c r="AH2078" s="4" t="str">
        <f t="shared" si="293"/>
        <v/>
      </c>
      <c r="AI2078" s="2" t="str">
        <f t="shared" si="294"/>
        <v/>
      </c>
      <c r="AJ2078" s="2" t="str">
        <f t="shared" si="295"/>
        <v/>
      </c>
      <c r="AK2078" s="2" t="str">
        <f t="shared" si="296"/>
        <v/>
      </c>
    </row>
    <row r="2079" spans="1:37" x14ac:dyDescent="0.25">
      <c r="A2079">
        <v>197</v>
      </c>
      <c r="B2079" t="s">
        <v>2257</v>
      </c>
      <c r="C2079" t="s">
        <v>2138</v>
      </c>
      <c r="D2079" t="s">
        <v>2219</v>
      </c>
      <c r="E2079" t="s">
        <v>267</v>
      </c>
      <c r="F2079" t="s">
        <v>2220</v>
      </c>
      <c r="G2079" t="s">
        <v>269</v>
      </c>
      <c r="H2079" s="1">
        <v>44727.769965277781</v>
      </c>
      <c r="I2079" s="1">
        <v>44730.769965277781</v>
      </c>
      <c r="J2079" t="s">
        <v>32</v>
      </c>
      <c r="K2079" s="1">
        <v>44733.769965277781</v>
      </c>
      <c r="L2079" t="s">
        <v>57</v>
      </c>
      <c r="N2079" s="4">
        <v>44739.769965277781</v>
      </c>
      <c r="O2079" t="s">
        <v>57</v>
      </c>
      <c r="P2079" s="4">
        <v>44735.769965277781</v>
      </c>
      <c r="Q2079" s="4">
        <v>44739.769965277781</v>
      </c>
      <c r="R2079" s="4">
        <v>44737.769965277781</v>
      </c>
      <c r="S2079" s="4">
        <v>44738.769965277781</v>
      </c>
      <c r="T2079">
        <v>1</v>
      </c>
      <c r="U2079" s="4">
        <v>44739.769965277781</v>
      </c>
      <c r="V2079" s="4">
        <v>44740.769965277781</v>
      </c>
      <c r="W2079" s="4">
        <v>44742.769965277781</v>
      </c>
      <c r="Z2079" s="4">
        <v>44755.769965277781</v>
      </c>
      <c r="AC2079" s="2">
        <f t="shared" si="288"/>
        <v>3</v>
      </c>
      <c r="AD2079" s="2">
        <f t="shared" si="289"/>
        <v>6</v>
      </c>
      <c r="AE2079" s="2">
        <f t="shared" si="290"/>
        <v>3</v>
      </c>
      <c r="AF2079" s="2">
        <f t="shared" si="291"/>
        <v>10</v>
      </c>
      <c r="AG2079" s="2">
        <f t="shared" si="292"/>
        <v>4</v>
      </c>
      <c r="AH2079" s="4">
        <f t="shared" si="293"/>
        <v>44827.769965277781</v>
      </c>
      <c r="AI2079" s="2">
        <f t="shared" si="294"/>
        <v>1</v>
      </c>
      <c r="AJ2079" s="2">
        <f t="shared" si="295"/>
        <v>18</v>
      </c>
      <c r="AK2079" s="2">
        <f t="shared" si="296"/>
        <v>5</v>
      </c>
    </row>
    <row r="2080" spans="1:37" x14ac:dyDescent="0.25">
      <c r="A2080">
        <v>192</v>
      </c>
      <c r="B2080" t="s">
        <v>2258</v>
      </c>
      <c r="C2080" t="s">
        <v>2138</v>
      </c>
      <c r="D2080" t="s">
        <v>2219</v>
      </c>
      <c r="E2080" t="s">
        <v>267</v>
      </c>
      <c r="F2080" t="s">
        <v>2220</v>
      </c>
      <c r="G2080" t="s">
        <v>269</v>
      </c>
      <c r="H2080" s="1">
        <v>44727.769965277781</v>
      </c>
      <c r="I2080" s="1">
        <v>44730.769965277781</v>
      </c>
      <c r="J2080" t="s">
        <v>32</v>
      </c>
      <c r="K2080" s="1">
        <v>44739.769965277781</v>
      </c>
      <c r="L2080" t="s">
        <v>57</v>
      </c>
      <c r="N2080" s="4">
        <v>44744.769965277781</v>
      </c>
      <c r="O2080" t="s">
        <v>57</v>
      </c>
      <c r="P2080" s="4">
        <v>44740.769965277781</v>
      </c>
      <c r="Q2080" s="4">
        <v>44743.769965277781</v>
      </c>
      <c r="R2080" s="4">
        <v>44742.769965277781</v>
      </c>
      <c r="S2080" s="4">
        <v>44751.769965277781</v>
      </c>
      <c r="T2080">
        <v>1</v>
      </c>
      <c r="U2080" s="4">
        <v>44753.769965277781</v>
      </c>
      <c r="V2080" s="4">
        <v>44755.769965277781</v>
      </c>
      <c r="W2080" s="4">
        <v>44758.769965277781</v>
      </c>
      <c r="Z2080" s="4">
        <v>44773.769965277781</v>
      </c>
      <c r="AC2080" s="2">
        <f t="shared" si="288"/>
        <v>3</v>
      </c>
      <c r="AD2080" s="2">
        <f t="shared" si="289"/>
        <v>12</v>
      </c>
      <c r="AE2080" s="2">
        <f t="shared" si="290"/>
        <v>9</v>
      </c>
      <c r="AF2080" s="2">
        <f t="shared" si="291"/>
        <v>15</v>
      </c>
      <c r="AG2080" s="2">
        <f t="shared" si="292"/>
        <v>3</v>
      </c>
      <c r="AH2080" s="4">
        <f t="shared" si="293"/>
        <v>44832.769965277781</v>
      </c>
      <c r="AI2080" s="2">
        <f t="shared" si="294"/>
        <v>2</v>
      </c>
      <c r="AJ2080" s="2">
        <f t="shared" si="295"/>
        <v>31</v>
      </c>
      <c r="AK2080" s="2">
        <f t="shared" si="296"/>
        <v>16</v>
      </c>
    </row>
    <row r="2081" spans="1:37" x14ac:dyDescent="0.25">
      <c r="A2081">
        <v>168</v>
      </c>
      <c r="B2081" t="s">
        <v>2259</v>
      </c>
      <c r="C2081" t="s">
        <v>2138</v>
      </c>
      <c r="D2081" t="s">
        <v>2219</v>
      </c>
      <c r="E2081" t="s">
        <v>267</v>
      </c>
      <c r="F2081" t="s">
        <v>2220</v>
      </c>
      <c r="G2081" t="s">
        <v>269</v>
      </c>
      <c r="H2081" s="1">
        <v>44907.64775462963</v>
      </c>
      <c r="I2081" s="1">
        <v>44909.64775462963</v>
      </c>
      <c r="J2081" t="s">
        <v>32</v>
      </c>
      <c r="K2081" s="1">
        <v>44921.64775462963</v>
      </c>
      <c r="L2081" t="s">
        <v>33</v>
      </c>
      <c r="M2081" t="s">
        <v>92</v>
      </c>
      <c r="R2081" s="4">
        <v>44922.64775462963</v>
      </c>
      <c r="T2081">
        <v>0</v>
      </c>
      <c r="Y2081" t="s">
        <v>55</v>
      </c>
      <c r="AC2081" s="2">
        <f t="shared" si="288"/>
        <v>2</v>
      </c>
      <c r="AD2081" s="2">
        <f t="shared" si="289"/>
        <v>14</v>
      </c>
      <c r="AE2081" s="2">
        <f t="shared" si="290"/>
        <v>12</v>
      </c>
      <c r="AF2081" s="2">
        <f t="shared" si="291"/>
        <v>15</v>
      </c>
      <c r="AG2081" s="2">
        <f t="shared" si="292"/>
        <v>1</v>
      </c>
      <c r="AH2081" s="4">
        <f t="shared" si="293"/>
        <v>45012.64775462963</v>
      </c>
      <c r="AI2081" s="2" t="str">
        <f t="shared" si="294"/>
        <v/>
      </c>
      <c r="AJ2081" s="2" t="str">
        <f t="shared" si="295"/>
        <v/>
      </c>
      <c r="AK2081" s="2" t="str">
        <f t="shared" si="296"/>
        <v/>
      </c>
    </row>
    <row r="2082" spans="1:37" x14ac:dyDescent="0.25">
      <c r="A2082">
        <v>124</v>
      </c>
      <c r="B2082" t="s">
        <v>2260</v>
      </c>
      <c r="C2082" t="s">
        <v>2138</v>
      </c>
      <c r="D2082" t="s">
        <v>2219</v>
      </c>
      <c r="E2082" t="s">
        <v>267</v>
      </c>
      <c r="F2082" t="s">
        <v>2220</v>
      </c>
      <c r="G2082" t="s">
        <v>269</v>
      </c>
      <c r="H2082" s="1">
        <v>44829.472696759258</v>
      </c>
      <c r="I2082" s="1">
        <v>44831.472696759258</v>
      </c>
      <c r="J2082" t="s">
        <v>32</v>
      </c>
      <c r="K2082" s="1">
        <v>44838.472696759258</v>
      </c>
      <c r="L2082" t="s">
        <v>57</v>
      </c>
      <c r="N2082" s="4">
        <v>44844.472696759258</v>
      </c>
      <c r="O2082" t="s">
        <v>57</v>
      </c>
      <c r="P2082" s="4">
        <v>44840.472696759258</v>
      </c>
      <c r="Q2082" s="4">
        <v>44843.472696759258</v>
      </c>
      <c r="R2082" s="4">
        <v>44841.472696759258</v>
      </c>
      <c r="S2082" s="4">
        <v>44846.472696759258</v>
      </c>
      <c r="T2082">
        <v>1</v>
      </c>
      <c r="U2082" s="4">
        <v>44849.472696759258</v>
      </c>
      <c r="V2082" s="4">
        <v>44851.472696759258</v>
      </c>
      <c r="W2082" s="4">
        <v>44853.472696759258</v>
      </c>
      <c r="Z2082" s="4">
        <v>44874.472696759258</v>
      </c>
      <c r="AC2082" s="2">
        <f t="shared" si="288"/>
        <v>2</v>
      </c>
      <c r="AD2082" s="2">
        <f t="shared" si="289"/>
        <v>9</v>
      </c>
      <c r="AE2082" s="2">
        <f t="shared" si="290"/>
        <v>7</v>
      </c>
      <c r="AF2082" s="2">
        <f t="shared" si="291"/>
        <v>12</v>
      </c>
      <c r="AG2082" s="2">
        <f t="shared" si="292"/>
        <v>3</v>
      </c>
      <c r="AH2082" s="4">
        <f t="shared" si="293"/>
        <v>44931.472696759258</v>
      </c>
      <c r="AI2082" s="2">
        <f t="shared" si="294"/>
        <v>3</v>
      </c>
      <c r="AJ2082" s="2">
        <f t="shared" si="295"/>
        <v>33</v>
      </c>
      <c r="AK2082" s="2">
        <f t="shared" si="296"/>
        <v>12</v>
      </c>
    </row>
    <row r="2083" spans="1:37" x14ac:dyDescent="0.25">
      <c r="A2083">
        <v>50</v>
      </c>
      <c r="B2083" t="s">
        <v>2261</v>
      </c>
      <c r="C2083" t="s">
        <v>2138</v>
      </c>
      <c r="D2083" t="s">
        <v>2219</v>
      </c>
      <c r="E2083" t="s">
        <v>267</v>
      </c>
      <c r="F2083" t="s">
        <v>2220</v>
      </c>
      <c r="G2083" t="s">
        <v>269</v>
      </c>
      <c r="H2083" s="1">
        <v>44625.885358796295</v>
      </c>
      <c r="I2083" s="1">
        <v>44627.885358796295</v>
      </c>
      <c r="J2083" t="s">
        <v>44</v>
      </c>
      <c r="K2083" s="1"/>
      <c r="T2083">
        <v>0</v>
      </c>
      <c r="AC2083" s="2">
        <f t="shared" si="288"/>
        <v>2</v>
      </c>
      <c r="AD2083" s="2" t="str">
        <f t="shared" si="289"/>
        <v/>
      </c>
      <c r="AE2083" s="2" t="str">
        <f t="shared" si="290"/>
        <v/>
      </c>
      <c r="AF2083" s="2" t="str">
        <f t="shared" si="291"/>
        <v/>
      </c>
      <c r="AG2083" s="2" t="str">
        <f t="shared" si="292"/>
        <v/>
      </c>
      <c r="AH2083" s="4" t="str">
        <f t="shared" si="293"/>
        <v/>
      </c>
      <c r="AI2083" s="2" t="str">
        <f t="shared" si="294"/>
        <v/>
      </c>
      <c r="AJ2083" s="2" t="str">
        <f t="shared" si="295"/>
        <v/>
      </c>
      <c r="AK2083" s="2" t="str">
        <f t="shared" si="296"/>
        <v/>
      </c>
    </row>
    <row r="2084" spans="1:37" x14ac:dyDescent="0.25">
      <c r="A2084">
        <v>44</v>
      </c>
      <c r="B2084" t="s">
        <v>2262</v>
      </c>
      <c r="C2084" t="s">
        <v>2138</v>
      </c>
      <c r="D2084" t="s">
        <v>2219</v>
      </c>
      <c r="E2084" t="s">
        <v>267</v>
      </c>
      <c r="F2084" t="s">
        <v>2220</v>
      </c>
      <c r="G2084" t="s">
        <v>269</v>
      </c>
      <c r="H2084" s="1">
        <v>44624.885358796295</v>
      </c>
      <c r="I2084" s="1">
        <v>44625.885358796295</v>
      </c>
      <c r="J2084" t="s">
        <v>32</v>
      </c>
      <c r="K2084" s="1">
        <v>44637.885358796295</v>
      </c>
      <c r="L2084" t="s">
        <v>33</v>
      </c>
      <c r="M2084" t="s">
        <v>108</v>
      </c>
      <c r="T2084">
        <v>0</v>
      </c>
      <c r="Y2084" t="s">
        <v>55</v>
      </c>
      <c r="AC2084" s="2">
        <f t="shared" si="288"/>
        <v>1</v>
      </c>
      <c r="AD2084" s="2">
        <f t="shared" si="289"/>
        <v>13</v>
      </c>
      <c r="AE2084" s="2">
        <f t="shared" si="290"/>
        <v>12</v>
      </c>
      <c r="AF2084" s="2" t="str">
        <f t="shared" si="291"/>
        <v/>
      </c>
      <c r="AG2084" s="2" t="str">
        <f t="shared" si="292"/>
        <v/>
      </c>
      <c r="AH2084" s="4" t="str">
        <f t="shared" si="293"/>
        <v/>
      </c>
      <c r="AI2084" s="2" t="str">
        <f t="shared" si="294"/>
        <v/>
      </c>
      <c r="AJ2084" s="2" t="str">
        <f t="shared" si="295"/>
        <v/>
      </c>
      <c r="AK2084" s="2" t="str">
        <f t="shared" si="296"/>
        <v/>
      </c>
    </row>
    <row r="2085" spans="1:37" x14ac:dyDescent="0.25">
      <c r="A2085">
        <v>355</v>
      </c>
      <c r="B2085" t="s">
        <v>2263</v>
      </c>
      <c r="C2085" t="s">
        <v>2138</v>
      </c>
      <c r="D2085" t="s">
        <v>2264</v>
      </c>
      <c r="E2085" t="s">
        <v>29</v>
      </c>
      <c r="F2085" t="s">
        <v>2265</v>
      </c>
      <c r="G2085" t="s">
        <v>31</v>
      </c>
      <c r="H2085" s="1">
        <v>44835.176585648151</v>
      </c>
      <c r="I2085" s="1">
        <v>44838.176585648151</v>
      </c>
      <c r="J2085" t="s">
        <v>32</v>
      </c>
      <c r="K2085" s="1">
        <v>44850.176585648151</v>
      </c>
      <c r="L2085" t="s">
        <v>33</v>
      </c>
      <c r="M2085" t="s">
        <v>34</v>
      </c>
      <c r="T2085">
        <v>0</v>
      </c>
      <c r="Y2085" t="s">
        <v>55</v>
      </c>
      <c r="AC2085" s="2">
        <f t="shared" si="288"/>
        <v>3</v>
      </c>
      <c r="AD2085" s="2">
        <f t="shared" si="289"/>
        <v>15</v>
      </c>
      <c r="AE2085" s="2">
        <f t="shared" si="290"/>
        <v>12</v>
      </c>
      <c r="AF2085" s="2" t="str">
        <f t="shared" si="291"/>
        <v/>
      </c>
      <c r="AG2085" s="2" t="str">
        <f t="shared" si="292"/>
        <v/>
      </c>
      <c r="AH2085" s="4" t="str">
        <f t="shared" si="293"/>
        <v/>
      </c>
      <c r="AI2085" s="2" t="str">
        <f t="shared" si="294"/>
        <v/>
      </c>
      <c r="AJ2085" s="2" t="str">
        <f t="shared" si="295"/>
        <v/>
      </c>
      <c r="AK2085" s="2" t="str">
        <f t="shared" si="296"/>
        <v/>
      </c>
    </row>
    <row r="2086" spans="1:37" x14ac:dyDescent="0.25">
      <c r="A2086">
        <v>330</v>
      </c>
      <c r="B2086" t="s">
        <v>2266</v>
      </c>
      <c r="C2086" t="s">
        <v>2138</v>
      </c>
      <c r="D2086" t="s">
        <v>2264</v>
      </c>
      <c r="E2086" t="s">
        <v>29</v>
      </c>
      <c r="F2086" t="s">
        <v>2265</v>
      </c>
      <c r="G2086" t="s">
        <v>31</v>
      </c>
      <c r="H2086" s="1">
        <v>44573.917696759258</v>
      </c>
      <c r="I2086" s="1">
        <v>44576.917696759258</v>
      </c>
      <c r="J2086" t="s">
        <v>32</v>
      </c>
      <c r="K2086" s="1">
        <v>44590.917696759258</v>
      </c>
      <c r="L2086" t="s">
        <v>33</v>
      </c>
      <c r="M2086" t="s">
        <v>67</v>
      </c>
      <c r="R2086" s="4">
        <v>44593.917696759258</v>
      </c>
      <c r="T2086">
        <v>0</v>
      </c>
      <c r="Y2086" t="s">
        <v>35</v>
      </c>
      <c r="AC2086" s="2">
        <f t="shared" si="288"/>
        <v>3</v>
      </c>
      <c r="AD2086" s="2">
        <f t="shared" si="289"/>
        <v>17</v>
      </c>
      <c r="AE2086" s="2">
        <f t="shared" si="290"/>
        <v>14</v>
      </c>
      <c r="AF2086" s="2">
        <f t="shared" si="291"/>
        <v>20</v>
      </c>
      <c r="AG2086" s="2">
        <f t="shared" si="292"/>
        <v>3</v>
      </c>
      <c r="AH2086" s="4">
        <f t="shared" si="293"/>
        <v>44683.917696759258</v>
      </c>
      <c r="AI2086" s="2" t="str">
        <f t="shared" si="294"/>
        <v/>
      </c>
      <c r="AJ2086" s="2" t="str">
        <f t="shared" si="295"/>
        <v/>
      </c>
      <c r="AK2086" s="2" t="str">
        <f t="shared" si="296"/>
        <v/>
      </c>
    </row>
    <row r="2087" spans="1:37" x14ac:dyDescent="0.25">
      <c r="A2087">
        <v>296</v>
      </c>
      <c r="B2087" t="s">
        <v>2267</v>
      </c>
      <c r="C2087" t="s">
        <v>2138</v>
      </c>
      <c r="D2087" t="s">
        <v>2264</v>
      </c>
      <c r="E2087" t="s">
        <v>29</v>
      </c>
      <c r="F2087" t="s">
        <v>2265</v>
      </c>
      <c r="G2087" t="s">
        <v>31</v>
      </c>
      <c r="H2087" s="1">
        <v>45130.740011574075</v>
      </c>
      <c r="I2087" s="1">
        <v>45133.740011574075</v>
      </c>
      <c r="J2087" t="s">
        <v>32</v>
      </c>
      <c r="K2087" s="1">
        <v>45150.740011574075</v>
      </c>
      <c r="L2087" t="s">
        <v>33</v>
      </c>
      <c r="M2087" t="s">
        <v>92</v>
      </c>
      <c r="T2087">
        <v>0</v>
      </c>
      <c r="Y2087" t="s">
        <v>35</v>
      </c>
      <c r="AC2087" s="2">
        <f t="shared" si="288"/>
        <v>3</v>
      </c>
      <c r="AD2087" s="2">
        <f t="shared" si="289"/>
        <v>20</v>
      </c>
      <c r="AE2087" s="2">
        <f t="shared" si="290"/>
        <v>17</v>
      </c>
      <c r="AF2087" s="2" t="str">
        <f t="shared" si="291"/>
        <v/>
      </c>
      <c r="AG2087" s="2" t="str">
        <f t="shared" si="292"/>
        <v/>
      </c>
      <c r="AH2087" s="4" t="str">
        <f t="shared" si="293"/>
        <v/>
      </c>
      <c r="AI2087" s="2" t="str">
        <f t="shared" si="294"/>
        <v/>
      </c>
      <c r="AJ2087" s="2" t="str">
        <f t="shared" si="295"/>
        <v/>
      </c>
      <c r="AK2087" s="2" t="str">
        <f t="shared" si="296"/>
        <v/>
      </c>
    </row>
    <row r="2088" spans="1:37" x14ac:dyDescent="0.25">
      <c r="A2088">
        <v>277</v>
      </c>
      <c r="B2088" t="s">
        <v>2268</v>
      </c>
      <c r="C2088" t="s">
        <v>2138</v>
      </c>
      <c r="D2088" t="s">
        <v>2264</v>
      </c>
      <c r="E2088" t="s">
        <v>29</v>
      </c>
      <c r="F2088" t="s">
        <v>2265</v>
      </c>
      <c r="G2088" t="s">
        <v>31</v>
      </c>
      <c r="H2088" s="1">
        <v>44845.592418981483</v>
      </c>
      <c r="I2088" s="1">
        <v>44847.592418981483</v>
      </c>
      <c r="J2088" t="s">
        <v>32</v>
      </c>
      <c r="K2088" s="1">
        <v>44866.592418981483</v>
      </c>
      <c r="L2088" t="s">
        <v>33</v>
      </c>
      <c r="M2088" t="s">
        <v>92</v>
      </c>
      <c r="R2088" s="4">
        <v>44870.592418981483</v>
      </c>
      <c r="T2088">
        <v>0</v>
      </c>
      <c r="Y2088" t="s">
        <v>35</v>
      </c>
      <c r="AC2088" s="2">
        <f t="shared" si="288"/>
        <v>2</v>
      </c>
      <c r="AD2088" s="2">
        <f t="shared" si="289"/>
        <v>21</v>
      </c>
      <c r="AE2088" s="2">
        <f t="shared" si="290"/>
        <v>19</v>
      </c>
      <c r="AF2088" s="2">
        <f t="shared" si="291"/>
        <v>25</v>
      </c>
      <c r="AG2088" s="2">
        <f t="shared" si="292"/>
        <v>4</v>
      </c>
      <c r="AH2088" s="4">
        <f t="shared" si="293"/>
        <v>44960.592418981483</v>
      </c>
      <c r="AI2088" s="2" t="str">
        <f t="shared" si="294"/>
        <v/>
      </c>
      <c r="AJ2088" s="2" t="str">
        <f t="shared" si="295"/>
        <v/>
      </c>
      <c r="AK2088" s="2" t="str">
        <f t="shared" si="296"/>
        <v/>
      </c>
    </row>
    <row r="2089" spans="1:37" x14ac:dyDescent="0.25">
      <c r="A2089">
        <v>273</v>
      </c>
      <c r="B2089" t="s">
        <v>2269</v>
      </c>
      <c r="C2089" t="s">
        <v>2138</v>
      </c>
      <c r="D2089" t="s">
        <v>2264</v>
      </c>
      <c r="E2089" t="s">
        <v>29</v>
      </c>
      <c r="F2089" t="s">
        <v>2265</v>
      </c>
      <c r="G2089" t="s">
        <v>31</v>
      </c>
      <c r="H2089" s="1">
        <v>44848.592418981483</v>
      </c>
      <c r="I2089" s="1">
        <v>44850.592418981483</v>
      </c>
      <c r="J2089" t="s">
        <v>32</v>
      </c>
      <c r="K2089" s="1">
        <v>44866.592418981483</v>
      </c>
      <c r="L2089" t="s">
        <v>164</v>
      </c>
      <c r="N2089" s="4">
        <v>44870.592418981483</v>
      </c>
      <c r="O2089" t="s">
        <v>164</v>
      </c>
      <c r="R2089" s="4">
        <v>44867.592418981483</v>
      </c>
      <c r="T2089">
        <v>0</v>
      </c>
      <c r="AC2089" s="2">
        <f t="shared" si="288"/>
        <v>2</v>
      </c>
      <c r="AD2089" s="2">
        <f t="shared" si="289"/>
        <v>18</v>
      </c>
      <c r="AE2089" s="2">
        <f t="shared" si="290"/>
        <v>16</v>
      </c>
      <c r="AF2089" s="2">
        <f t="shared" si="291"/>
        <v>19</v>
      </c>
      <c r="AG2089" s="2">
        <f t="shared" si="292"/>
        <v>1</v>
      </c>
      <c r="AH2089" s="4">
        <f t="shared" si="293"/>
        <v>44957.592418981483</v>
      </c>
      <c r="AI2089" s="2" t="str">
        <f t="shared" si="294"/>
        <v/>
      </c>
      <c r="AJ2089" s="2" t="str">
        <f t="shared" si="295"/>
        <v/>
      </c>
      <c r="AK2089" s="2" t="str">
        <f t="shared" si="296"/>
        <v/>
      </c>
    </row>
    <row r="2090" spans="1:37" x14ac:dyDescent="0.25">
      <c r="A2090">
        <v>196</v>
      </c>
      <c r="B2090" t="s">
        <v>2270</v>
      </c>
      <c r="C2090" t="s">
        <v>2138</v>
      </c>
      <c r="D2090" t="s">
        <v>2264</v>
      </c>
      <c r="E2090" t="s">
        <v>29</v>
      </c>
      <c r="F2090" t="s">
        <v>2265</v>
      </c>
      <c r="G2090" t="s">
        <v>31</v>
      </c>
      <c r="H2090" s="1">
        <v>44722.769965277781</v>
      </c>
      <c r="I2090" s="1">
        <v>44726.769965277781</v>
      </c>
      <c r="J2090" t="s">
        <v>32</v>
      </c>
      <c r="K2090" s="1">
        <v>44743.769965277781</v>
      </c>
      <c r="L2090" t="s">
        <v>39</v>
      </c>
      <c r="N2090" s="4">
        <v>44749.769965277781</v>
      </c>
      <c r="O2090" t="s">
        <v>39</v>
      </c>
      <c r="R2090" s="4">
        <v>44746.769965277781</v>
      </c>
      <c r="T2090">
        <v>0</v>
      </c>
      <c r="AC2090" s="2">
        <f t="shared" si="288"/>
        <v>4</v>
      </c>
      <c r="AD2090" s="2">
        <f t="shared" si="289"/>
        <v>21</v>
      </c>
      <c r="AE2090" s="2">
        <f t="shared" si="290"/>
        <v>17</v>
      </c>
      <c r="AF2090" s="2">
        <f t="shared" si="291"/>
        <v>24</v>
      </c>
      <c r="AG2090" s="2">
        <f t="shared" si="292"/>
        <v>3</v>
      </c>
      <c r="AH2090" s="4">
        <f t="shared" si="293"/>
        <v>44836.769965277781</v>
      </c>
      <c r="AI2090" s="2" t="str">
        <f t="shared" si="294"/>
        <v/>
      </c>
      <c r="AJ2090" s="2" t="str">
        <f t="shared" si="295"/>
        <v/>
      </c>
      <c r="AK2090" s="2" t="str">
        <f t="shared" si="296"/>
        <v/>
      </c>
    </row>
    <row r="2091" spans="1:37" x14ac:dyDescent="0.25">
      <c r="A2091">
        <v>170</v>
      </c>
      <c r="B2091" t="s">
        <v>2271</v>
      </c>
      <c r="C2091" t="s">
        <v>2138</v>
      </c>
      <c r="D2091" t="s">
        <v>2264</v>
      </c>
      <c r="E2091" t="s">
        <v>29</v>
      </c>
      <c r="F2091" t="s">
        <v>2265</v>
      </c>
      <c r="G2091" t="s">
        <v>31</v>
      </c>
      <c r="H2091" s="1">
        <v>44901.64775462963</v>
      </c>
      <c r="I2091" s="1">
        <v>44905.64775462963</v>
      </c>
      <c r="J2091" t="s">
        <v>32</v>
      </c>
      <c r="K2091" s="1">
        <v>44915.64775462963</v>
      </c>
      <c r="L2091" t="s">
        <v>39</v>
      </c>
      <c r="N2091" s="4">
        <v>44919.64775462963</v>
      </c>
      <c r="O2091" t="s">
        <v>39</v>
      </c>
      <c r="R2091" s="4">
        <v>44917.64775462963</v>
      </c>
      <c r="T2091">
        <v>0</v>
      </c>
      <c r="AC2091" s="2">
        <f t="shared" si="288"/>
        <v>4</v>
      </c>
      <c r="AD2091" s="2">
        <f t="shared" si="289"/>
        <v>14</v>
      </c>
      <c r="AE2091" s="2">
        <f t="shared" si="290"/>
        <v>10</v>
      </c>
      <c r="AF2091" s="2">
        <f t="shared" si="291"/>
        <v>16</v>
      </c>
      <c r="AG2091" s="2">
        <f t="shared" si="292"/>
        <v>2</v>
      </c>
      <c r="AH2091" s="4">
        <f t="shared" si="293"/>
        <v>45007.64775462963</v>
      </c>
      <c r="AI2091" s="2" t="str">
        <f t="shared" si="294"/>
        <v/>
      </c>
      <c r="AJ2091" s="2" t="str">
        <f t="shared" si="295"/>
        <v/>
      </c>
      <c r="AK2091" s="2" t="str">
        <f t="shared" si="296"/>
        <v/>
      </c>
    </row>
    <row r="2092" spans="1:37" x14ac:dyDescent="0.25">
      <c r="A2092">
        <v>165</v>
      </c>
      <c r="B2092" t="s">
        <v>2272</v>
      </c>
      <c r="C2092" t="s">
        <v>2138</v>
      </c>
      <c r="D2092" t="s">
        <v>2264</v>
      </c>
      <c r="E2092" t="s">
        <v>29</v>
      </c>
      <c r="F2092" t="s">
        <v>2265</v>
      </c>
      <c r="G2092" t="s">
        <v>31</v>
      </c>
      <c r="H2092" s="1">
        <v>44902.64775462963</v>
      </c>
      <c r="I2092" s="1">
        <v>44906.64775462963</v>
      </c>
      <c r="J2092" t="s">
        <v>32</v>
      </c>
      <c r="K2092" s="1">
        <v>44922.64775462963</v>
      </c>
      <c r="L2092" t="s">
        <v>33</v>
      </c>
      <c r="M2092" t="s">
        <v>67</v>
      </c>
      <c r="T2092">
        <v>0</v>
      </c>
      <c r="Y2092" t="s">
        <v>35</v>
      </c>
      <c r="AC2092" s="2">
        <f t="shared" si="288"/>
        <v>4</v>
      </c>
      <c r="AD2092" s="2">
        <f t="shared" si="289"/>
        <v>20</v>
      </c>
      <c r="AE2092" s="2">
        <f t="shared" si="290"/>
        <v>16</v>
      </c>
      <c r="AF2092" s="2" t="str">
        <f t="shared" si="291"/>
        <v/>
      </c>
      <c r="AG2092" s="2" t="str">
        <f t="shared" si="292"/>
        <v/>
      </c>
      <c r="AH2092" s="4" t="str">
        <f t="shared" si="293"/>
        <v/>
      </c>
      <c r="AI2092" s="2" t="str">
        <f t="shared" si="294"/>
        <v/>
      </c>
      <c r="AJ2092" s="2" t="str">
        <f t="shared" si="295"/>
        <v/>
      </c>
      <c r="AK2092" s="2" t="str">
        <f t="shared" si="296"/>
        <v/>
      </c>
    </row>
    <row r="2093" spans="1:37" x14ac:dyDescent="0.25">
      <c r="A2093">
        <v>130</v>
      </c>
      <c r="B2093" t="s">
        <v>2273</v>
      </c>
      <c r="C2093" t="s">
        <v>2138</v>
      </c>
      <c r="D2093" t="s">
        <v>2264</v>
      </c>
      <c r="E2093" t="s">
        <v>29</v>
      </c>
      <c r="F2093" t="s">
        <v>2265</v>
      </c>
      <c r="G2093" t="s">
        <v>31</v>
      </c>
      <c r="H2093" s="1">
        <v>44828.472696759258</v>
      </c>
      <c r="I2093" s="1">
        <v>44832.472696759258</v>
      </c>
      <c r="J2093" t="s">
        <v>32</v>
      </c>
      <c r="K2093" s="1">
        <v>44837.472696759258</v>
      </c>
      <c r="L2093" t="s">
        <v>33</v>
      </c>
      <c r="M2093" t="s">
        <v>108</v>
      </c>
      <c r="T2093">
        <v>0</v>
      </c>
      <c r="Y2093" t="s">
        <v>55</v>
      </c>
      <c r="AC2093" s="2">
        <f t="shared" si="288"/>
        <v>4</v>
      </c>
      <c r="AD2093" s="2">
        <f t="shared" si="289"/>
        <v>9</v>
      </c>
      <c r="AE2093" s="2">
        <f t="shared" si="290"/>
        <v>5</v>
      </c>
      <c r="AF2093" s="2" t="str">
        <f t="shared" si="291"/>
        <v/>
      </c>
      <c r="AG2093" s="2" t="str">
        <f t="shared" si="292"/>
        <v/>
      </c>
      <c r="AH2093" s="4" t="str">
        <f t="shared" si="293"/>
        <v/>
      </c>
      <c r="AI2093" s="2" t="str">
        <f t="shared" si="294"/>
        <v/>
      </c>
      <c r="AJ2093" s="2" t="str">
        <f t="shared" si="295"/>
        <v/>
      </c>
      <c r="AK2093" s="2" t="str">
        <f t="shared" si="296"/>
        <v/>
      </c>
    </row>
    <row r="2094" spans="1:37" x14ac:dyDescent="0.25">
      <c r="A2094">
        <v>129</v>
      </c>
      <c r="B2094" t="s">
        <v>2274</v>
      </c>
      <c r="C2094" t="s">
        <v>2138</v>
      </c>
      <c r="D2094" t="s">
        <v>2264</v>
      </c>
      <c r="E2094" t="s">
        <v>29</v>
      </c>
      <c r="F2094" t="s">
        <v>2265</v>
      </c>
      <c r="G2094" t="s">
        <v>31</v>
      </c>
      <c r="H2094" s="1">
        <v>44829.472696759258</v>
      </c>
      <c r="I2094" s="1">
        <v>44830.472696759258</v>
      </c>
      <c r="J2094" t="s">
        <v>32</v>
      </c>
      <c r="K2094" s="1">
        <v>44843.472696759258</v>
      </c>
      <c r="L2094" t="s">
        <v>57</v>
      </c>
      <c r="N2094" s="4">
        <v>44848.472696759258</v>
      </c>
      <c r="O2094" t="s">
        <v>57</v>
      </c>
      <c r="P2094" s="4">
        <v>44844.472696759258</v>
      </c>
      <c r="Q2094" s="4">
        <v>44846.472696759258</v>
      </c>
      <c r="R2094" s="4">
        <v>44847.472696759258</v>
      </c>
      <c r="S2094" s="4">
        <v>44854.472696759258</v>
      </c>
      <c r="T2094">
        <v>1</v>
      </c>
      <c r="U2094" s="4">
        <v>44857.472696759258</v>
      </c>
      <c r="V2094" s="4">
        <v>44860.472696759258</v>
      </c>
      <c r="W2094" s="4">
        <v>44863.472696759258</v>
      </c>
      <c r="Z2094" s="4">
        <v>44873.472696759258</v>
      </c>
      <c r="AC2094" s="2">
        <f t="shared" si="288"/>
        <v>1</v>
      </c>
      <c r="AD2094" s="2">
        <f t="shared" si="289"/>
        <v>14</v>
      </c>
      <c r="AE2094" s="2">
        <f t="shared" si="290"/>
        <v>13</v>
      </c>
      <c r="AF2094" s="2">
        <f t="shared" si="291"/>
        <v>18</v>
      </c>
      <c r="AG2094" s="2">
        <f t="shared" si="292"/>
        <v>4</v>
      </c>
      <c r="AH2094" s="4">
        <f t="shared" si="293"/>
        <v>44937.472696759258</v>
      </c>
      <c r="AI2094" s="2">
        <f t="shared" si="294"/>
        <v>3</v>
      </c>
      <c r="AJ2094" s="2">
        <f t="shared" si="295"/>
        <v>26</v>
      </c>
      <c r="AK2094" s="2">
        <f t="shared" si="296"/>
        <v>16</v>
      </c>
    </row>
    <row r="2095" spans="1:37" x14ac:dyDescent="0.25">
      <c r="A2095">
        <v>128</v>
      </c>
      <c r="B2095" t="s">
        <v>2275</v>
      </c>
      <c r="C2095" t="s">
        <v>2138</v>
      </c>
      <c r="D2095" t="s">
        <v>2264</v>
      </c>
      <c r="E2095" t="s">
        <v>29</v>
      </c>
      <c r="F2095" t="s">
        <v>2265</v>
      </c>
      <c r="G2095" t="s">
        <v>31</v>
      </c>
      <c r="H2095" s="1">
        <v>44827.472696759258</v>
      </c>
      <c r="I2095" s="1">
        <v>44829.472696759258</v>
      </c>
      <c r="J2095" t="s">
        <v>32</v>
      </c>
      <c r="K2095" s="1">
        <v>44850.472696759258</v>
      </c>
      <c r="L2095" t="s">
        <v>164</v>
      </c>
      <c r="N2095" s="4">
        <v>44856.472696759258</v>
      </c>
      <c r="O2095" t="s">
        <v>164</v>
      </c>
      <c r="R2095" s="4">
        <v>44852.472696759258</v>
      </c>
      <c r="T2095">
        <v>0</v>
      </c>
      <c r="AC2095" s="2">
        <f t="shared" si="288"/>
        <v>2</v>
      </c>
      <c r="AD2095" s="2">
        <f t="shared" si="289"/>
        <v>23</v>
      </c>
      <c r="AE2095" s="2">
        <f t="shared" si="290"/>
        <v>21</v>
      </c>
      <c r="AF2095" s="2">
        <f t="shared" si="291"/>
        <v>25</v>
      </c>
      <c r="AG2095" s="2">
        <f t="shared" si="292"/>
        <v>2</v>
      </c>
      <c r="AH2095" s="4">
        <f t="shared" si="293"/>
        <v>44942.472696759258</v>
      </c>
      <c r="AI2095" s="2" t="str">
        <f t="shared" si="294"/>
        <v/>
      </c>
      <c r="AJ2095" s="2" t="str">
        <f t="shared" si="295"/>
        <v/>
      </c>
      <c r="AK2095" s="2" t="str">
        <f t="shared" si="296"/>
        <v/>
      </c>
    </row>
    <row r="2096" spans="1:37" x14ac:dyDescent="0.25">
      <c r="A2096">
        <v>127</v>
      </c>
      <c r="B2096" t="s">
        <v>2276</v>
      </c>
      <c r="C2096" t="s">
        <v>2138</v>
      </c>
      <c r="D2096" t="s">
        <v>2264</v>
      </c>
      <c r="E2096" t="s">
        <v>29</v>
      </c>
      <c r="F2096" t="s">
        <v>2265</v>
      </c>
      <c r="G2096" t="s">
        <v>31</v>
      </c>
      <c r="H2096" s="1">
        <v>44826.472696759258</v>
      </c>
      <c r="I2096" s="1">
        <v>44827.472696759258</v>
      </c>
      <c r="J2096" t="s">
        <v>32</v>
      </c>
      <c r="K2096" s="1">
        <v>44842.472696759258</v>
      </c>
      <c r="L2096" t="s">
        <v>33</v>
      </c>
      <c r="M2096" t="s">
        <v>34</v>
      </c>
      <c r="R2096" s="4">
        <v>44844.472696759258</v>
      </c>
      <c r="T2096">
        <v>0</v>
      </c>
      <c r="Y2096" t="s">
        <v>35</v>
      </c>
      <c r="AC2096" s="2">
        <f t="shared" si="288"/>
        <v>1</v>
      </c>
      <c r="AD2096" s="2">
        <f t="shared" si="289"/>
        <v>16</v>
      </c>
      <c r="AE2096" s="2">
        <f t="shared" si="290"/>
        <v>15</v>
      </c>
      <c r="AF2096" s="2">
        <f t="shared" si="291"/>
        <v>18</v>
      </c>
      <c r="AG2096" s="2">
        <f t="shared" si="292"/>
        <v>2</v>
      </c>
      <c r="AH2096" s="4">
        <f t="shared" si="293"/>
        <v>44934.472696759258</v>
      </c>
      <c r="AI2096" s="2" t="str">
        <f t="shared" si="294"/>
        <v/>
      </c>
      <c r="AJ2096" s="2" t="str">
        <f t="shared" si="295"/>
        <v/>
      </c>
      <c r="AK2096" s="2" t="str">
        <f t="shared" si="296"/>
        <v/>
      </c>
    </row>
    <row r="2097" spans="1:37" x14ac:dyDescent="0.25">
      <c r="A2097">
        <v>122</v>
      </c>
      <c r="B2097" t="s">
        <v>2277</v>
      </c>
      <c r="C2097" t="s">
        <v>2138</v>
      </c>
      <c r="D2097" t="s">
        <v>2264</v>
      </c>
      <c r="E2097" t="s">
        <v>29</v>
      </c>
      <c r="F2097" t="s">
        <v>2265</v>
      </c>
      <c r="G2097" t="s">
        <v>31</v>
      </c>
      <c r="H2097" s="1">
        <v>44828.472696759258</v>
      </c>
      <c r="I2097" s="1">
        <v>44830.472696759258</v>
      </c>
      <c r="J2097" t="s">
        <v>32</v>
      </c>
      <c r="K2097" s="1">
        <v>44836.472696759258</v>
      </c>
      <c r="L2097" t="s">
        <v>57</v>
      </c>
      <c r="N2097" s="4">
        <v>44843.472696759258</v>
      </c>
      <c r="O2097" t="s">
        <v>57</v>
      </c>
      <c r="P2097" s="4">
        <v>44838.472696759258</v>
      </c>
      <c r="Q2097" s="4">
        <v>44842.472696759258</v>
      </c>
      <c r="R2097" s="4">
        <v>44839.472696759258</v>
      </c>
      <c r="S2097" s="4">
        <v>44846.472696759258</v>
      </c>
      <c r="T2097">
        <v>1</v>
      </c>
      <c r="U2097" s="4">
        <v>44849.472696759258</v>
      </c>
      <c r="V2097" s="4">
        <v>44852.472696759258</v>
      </c>
      <c r="W2097" s="4">
        <v>44853.472696759258</v>
      </c>
      <c r="Z2097" s="4">
        <v>44873.472696759258</v>
      </c>
      <c r="AC2097" s="2">
        <f t="shared" si="288"/>
        <v>2</v>
      </c>
      <c r="AD2097" s="2">
        <f t="shared" si="289"/>
        <v>8</v>
      </c>
      <c r="AE2097" s="2">
        <f t="shared" si="290"/>
        <v>6</v>
      </c>
      <c r="AF2097" s="2">
        <f t="shared" si="291"/>
        <v>11</v>
      </c>
      <c r="AG2097" s="2">
        <f t="shared" si="292"/>
        <v>3</v>
      </c>
      <c r="AH2097" s="4">
        <f t="shared" si="293"/>
        <v>44929.472696759258</v>
      </c>
      <c r="AI2097" s="2">
        <f t="shared" si="294"/>
        <v>3</v>
      </c>
      <c r="AJ2097" s="2">
        <f t="shared" si="295"/>
        <v>34</v>
      </c>
      <c r="AK2097" s="2">
        <f t="shared" si="296"/>
        <v>14</v>
      </c>
    </row>
    <row r="2098" spans="1:37" x14ac:dyDescent="0.25">
      <c r="A2098">
        <v>90</v>
      </c>
      <c r="B2098" t="s">
        <v>2278</v>
      </c>
      <c r="C2098" t="s">
        <v>2138</v>
      </c>
      <c r="D2098" t="s">
        <v>2264</v>
      </c>
      <c r="E2098" t="s">
        <v>29</v>
      </c>
      <c r="F2098" t="s">
        <v>2265</v>
      </c>
      <c r="G2098" t="s">
        <v>31</v>
      </c>
      <c r="H2098" s="1">
        <v>44725.092650462961</v>
      </c>
      <c r="I2098" s="1">
        <v>44728.092650462961</v>
      </c>
      <c r="J2098" t="s">
        <v>44</v>
      </c>
      <c r="K2098" s="1"/>
      <c r="T2098">
        <v>0</v>
      </c>
      <c r="AC2098" s="2">
        <f t="shared" si="288"/>
        <v>3</v>
      </c>
      <c r="AD2098" s="2" t="str">
        <f t="shared" si="289"/>
        <v/>
      </c>
      <c r="AE2098" s="2" t="str">
        <f t="shared" si="290"/>
        <v/>
      </c>
      <c r="AF2098" s="2" t="str">
        <f t="shared" si="291"/>
        <v/>
      </c>
      <c r="AG2098" s="2" t="str">
        <f t="shared" si="292"/>
        <v/>
      </c>
      <c r="AH2098" s="4" t="str">
        <f t="shared" si="293"/>
        <v/>
      </c>
      <c r="AI2098" s="2" t="str">
        <f t="shared" si="294"/>
        <v/>
      </c>
      <c r="AJ2098" s="2" t="str">
        <f t="shared" si="295"/>
        <v/>
      </c>
      <c r="AK2098" s="2" t="str">
        <f t="shared" si="296"/>
        <v/>
      </c>
    </row>
    <row r="2099" spans="1:37" x14ac:dyDescent="0.25">
      <c r="A2099">
        <v>87</v>
      </c>
      <c r="B2099" t="s">
        <v>2279</v>
      </c>
      <c r="C2099" t="s">
        <v>2138</v>
      </c>
      <c r="D2099" t="s">
        <v>2264</v>
      </c>
      <c r="E2099" t="s">
        <v>29</v>
      </c>
      <c r="F2099" t="s">
        <v>2265</v>
      </c>
      <c r="G2099" t="s">
        <v>31</v>
      </c>
      <c r="H2099" s="1">
        <v>44726.092650462961</v>
      </c>
      <c r="I2099" s="1">
        <v>44727.092650462961</v>
      </c>
      <c r="J2099" t="s">
        <v>32</v>
      </c>
      <c r="K2099" s="1">
        <v>44744.092650462961</v>
      </c>
      <c r="L2099" t="s">
        <v>57</v>
      </c>
      <c r="N2099" s="4">
        <v>44747.092650462961</v>
      </c>
      <c r="O2099" t="s">
        <v>57</v>
      </c>
      <c r="P2099" s="4">
        <v>44746.092650462961</v>
      </c>
      <c r="Q2099" s="4">
        <v>44747.092650462961</v>
      </c>
      <c r="R2099" s="4">
        <v>44746.092650462961</v>
      </c>
      <c r="S2099" s="4">
        <v>44755.092650462961</v>
      </c>
      <c r="T2099">
        <v>1</v>
      </c>
      <c r="U2099" s="4">
        <v>44756.092650462961</v>
      </c>
      <c r="V2099" s="4">
        <v>44759.092650462961</v>
      </c>
      <c r="W2099" s="4">
        <v>44762.092650462961</v>
      </c>
      <c r="Z2099" s="4">
        <v>44769.092650462961</v>
      </c>
      <c r="AC2099" s="2">
        <f t="shared" si="288"/>
        <v>1</v>
      </c>
      <c r="AD2099" s="2">
        <f t="shared" si="289"/>
        <v>18</v>
      </c>
      <c r="AE2099" s="2">
        <f t="shared" si="290"/>
        <v>17</v>
      </c>
      <c r="AF2099" s="2">
        <f t="shared" si="291"/>
        <v>20</v>
      </c>
      <c r="AG2099" s="2">
        <f t="shared" si="292"/>
        <v>2</v>
      </c>
      <c r="AH2099" s="4">
        <f t="shared" si="293"/>
        <v>44836.092650462961</v>
      </c>
      <c r="AI2099" s="2">
        <f t="shared" si="294"/>
        <v>1</v>
      </c>
      <c r="AJ2099" s="2">
        <f t="shared" si="295"/>
        <v>23</v>
      </c>
      <c r="AK2099" s="2">
        <f t="shared" si="296"/>
        <v>16</v>
      </c>
    </row>
    <row r="2100" spans="1:37" x14ac:dyDescent="0.25">
      <c r="A2100">
        <v>81</v>
      </c>
      <c r="B2100" t="s">
        <v>2280</v>
      </c>
      <c r="C2100" t="s">
        <v>2138</v>
      </c>
      <c r="D2100" t="s">
        <v>2264</v>
      </c>
      <c r="E2100" t="s">
        <v>29</v>
      </c>
      <c r="F2100" t="s">
        <v>2265</v>
      </c>
      <c r="G2100" t="s">
        <v>31</v>
      </c>
      <c r="H2100" s="1">
        <v>44727.092650462961</v>
      </c>
      <c r="I2100" s="1">
        <v>44728.092650462961</v>
      </c>
      <c r="J2100" t="s">
        <v>44</v>
      </c>
      <c r="K2100" s="1"/>
      <c r="T2100">
        <v>0</v>
      </c>
      <c r="AC2100" s="2">
        <f t="shared" si="288"/>
        <v>1</v>
      </c>
      <c r="AD2100" s="2" t="str">
        <f t="shared" si="289"/>
        <v/>
      </c>
      <c r="AE2100" s="2" t="str">
        <f t="shared" si="290"/>
        <v/>
      </c>
      <c r="AF2100" s="2" t="str">
        <f t="shared" si="291"/>
        <v/>
      </c>
      <c r="AG2100" s="2" t="str">
        <f t="shared" si="292"/>
        <v/>
      </c>
      <c r="AH2100" s="4" t="str">
        <f t="shared" si="293"/>
        <v/>
      </c>
      <c r="AI2100" s="2" t="str">
        <f t="shared" si="294"/>
        <v/>
      </c>
      <c r="AJ2100" s="2" t="str">
        <f t="shared" si="295"/>
        <v/>
      </c>
      <c r="AK2100" s="2" t="str">
        <f t="shared" si="296"/>
        <v/>
      </c>
    </row>
    <row r="2101" spans="1:37" x14ac:dyDescent="0.25">
      <c r="A2101">
        <v>47</v>
      </c>
      <c r="B2101" t="s">
        <v>2281</v>
      </c>
      <c r="C2101" t="s">
        <v>2138</v>
      </c>
      <c r="D2101" t="s">
        <v>2264</v>
      </c>
      <c r="E2101" t="s">
        <v>29</v>
      </c>
      <c r="F2101" t="s">
        <v>2265</v>
      </c>
      <c r="G2101" t="s">
        <v>31</v>
      </c>
      <c r="H2101" s="1">
        <v>44621.885358796295</v>
      </c>
      <c r="I2101" s="1">
        <v>44625.885358796295</v>
      </c>
      <c r="J2101" t="s">
        <v>44</v>
      </c>
      <c r="K2101" s="1"/>
      <c r="T2101">
        <v>0</v>
      </c>
      <c r="AC2101" s="2">
        <f t="shared" si="288"/>
        <v>4</v>
      </c>
      <c r="AD2101" s="2" t="str">
        <f t="shared" si="289"/>
        <v/>
      </c>
      <c r="AE2101" s="2" t="str">
        <f t="shared" si="290"/>
        <v/>
      </c>
      <c r="AF2101" s="2" t="str">
        <f t="shared" si="291"/>
        <v/>
      </c>
      <c r="AG2101" s="2" t="str">
        <f t="shared" si="292"/>
        <v/>
      </c>
      <c r="AH2101" s="4" t="str">
        <f t="shared" si="293"/>
        <v/>
      </c>
      <c r="AI2101" s="2" t="str">
        <f t="shared" si="294"/>
        <v/>
      </c>
      <c r="AJ2101" s="2" t="str">
        <f t="shared" si="295"/>
        <v/>
      </c>
      <c r="AK2101" s="2" t="str">
        <f t="shared" si="296"/>
        <v/>
      </c>
    </row>
    <row r="2102" spans="1:37" x14ac:dyDescent="0.25">
      <c r="A2102">
        <v>508</v>
      </c>
      <c r="B2102" t="s">
        <v>2282</v>
      </c>
      <c r="C2102" t="s">
        <v>2283</v>
      </c>
      <c r="D2102" t="s">
        <v>2284</v>
      </c>
      <c r="E2102" t="s">
        <v>96</v>
      </c>
      <c r="F2102" t="s">
        <v>2285</v>
      </c>
      <c r="G2102" t="s">
        <v>98</v>
      </c>
      <c r="H2102" s="1">
        <v>44744.103750000002</v>
      </c>
      <c r="I2102" s="1">
        <v>44745.103750000002</v>
      </c>
      <c r="J2102" t="s">
        <v>32</v>
      </c>
      <c r="K2102" s="1">
        <v>44754.103750000002</v>
      </c>
      <c r="L2102" t="s">
        <v>164</v>
      </c>
      <c r="N2102" s="4">
        <v>44759.103750000002</v>
      </c>
      <c r="O2102" t="s">
        <v>164</v>
      </c>
      <c r="R2102" s="4">
        <v>44755.103750000002</v>
      </c>
      <c r="T2102">
        <v>0</v>
      </c>
      <c r="AC2102" s="2">
        <f t="shared" si="288"/>
        <v>1</v>
      </c>
      <c r="AD2102" s="2">
        <f t="shared" si="289"/>
        <v>10</v>
      </c>
      <c r="AE2102" s="2">
        <f t="shared" si="290"/>
        <v>9</v>
      </c>
      <c r="AF2102" s="2">
        <f t="shared" si="291"/>
        <v>11</v>
      </c>
      <c r="AG2102" s="2">
        <f t="shared" si="292"/>
        <v>1</v>
      </c>
      <c r="AH2102" s="4">
        <f t="shared" si="293"/>
        <v>44845.103750000002</v>
      </c>
      <c r="AI2102" s="2" t="str">
        <f t="shared" si="294"/>
        <v/>
      </c>
      <c r="AJ2102" s="2" t="str">
        <f t="shared" si="295"/>
        <v/>
      </c>
      <c r="AK2102" s="2" t="str">
        <f t="shared" si="296"/>
        <v/>
      </c>
    </row>
    <row r="2103" spans="1:37" x14ac:dyDescent="0.25">
      <c r="A2103">
        <v>506</v>
      </c>
      <c r="B2103" t="s">
        <v>2286</v>
      </c>
      <c r="C2103" t="s">
        <v>2283</v>
      </c>
      <c r="D2103" t="s">
        <v>2284</v>
      </c>
      <c r="E2103" t="s">
        <v>96</v>
      </c>
      <c r="F2103" t="s">
        <v>2285</v>
      </c>
      <c r="G2103" t="s">
        <v>98</v>
      </c>
      <c r="H2103" s="1">
        <v>44742.103750000002</v>
      </c>
      <c r="I2103" s="1">
        <v>44745.103750000002</v>
      </c>
      <c r="J2103" t="s">
        <v>32</v>
      </c>
      <c r="K2103" s="1">
        <v>44762.103750000002</v>
      </c>
      <c r="L2103" t="s">
        <v>33</v>
      </c>
      <c r="M2103" t="s">
        <v>108</v>
      </c>
      <c r="R2103" s="4">
        <v>44766.103750000002</v>
      </c>
      <c r="T2103">
        <v>0</v>
      </c>
      <c r="Y2103" t="s">
        <v>35</v>
      </c>
      <c r="AC2103" s="2">
        <f t="shared" si="288"/>
        <v>3</v>
      </c>
      <c r="AD2103" s="2">
        <f t="shared" si="289"/>
        <v>20</v>
      </c>
      <c r="AE2103" s="2">
        <f t="shared" si="290"/>
        <v>17</v>
      </c>
      <c r="AF2103" s="2">
        <f t="shared" si="291"/>
        <v>24</v>
      </c>
      <c r="AG2103" s="2">
        <f t="shared" si="292"/>
        <v>4</v>
      </c>
      <c r="AH2103" s="4">
        <f t="shared" si="293"/>
        <v>44856.103750000002</v>
      </c>
      <c r="AI2103" s="2" t="str">
        <f t="shared" si="294"/>
        <v/>
      </c>
      <c r="AJ2103" s="2" t="str">
        <f t="shared" si="295"/>
        <v/>
      </c>
      <c r="AK2103" s="2" t="str">
        <f t="shared" si="296"/>
        <v/>
      </c>
    </row>
    <row r="2104" spans="1:37" x14ac:dyDescent="0.25">
      <c r="A2104">
        <v>503</v>
      </c>
      <c r="B2104" t="s">
        <v>2287</v>
      </c>
      <c r="C2104" t="s">
        <v>2283</v>
      </c>
      <c r="D2104" t="s">
        <v>2284</v>
      </c>
      <c r="E2104" t="s">
        <v>96</v>
      </c>
      <c r="F2104" t="s">
        <v>2285</v>
      </c>
      <c r="G2104" t="s">
        <v>98</v>
      </c>
      <c r="H2104" s="1">
        <v>44745.103750000002</v>
      </c>
      <c r="I2104" s="1">
        <v>44748.103750000002</v>
      </c>
      <c r="J2104" t="s">
        <v>32</v>
      </c>
      <c r="K2104" s="1">
        <v>44756.103750000002</v>
      </c>
      <c r="L2104" t="s">
        <v>39</v>
      </c>
      <c r="N2104" s="4">
        <v>44762.103750000002</v>
      </c>
      <c r="O2104" t="s">
        <v>39</v>
      </c>
      <c r="R2104" s="4">
        <v>44759.103750000002</v>
      </c>
      <c r="T2104">
        <v>0</v>
      </c>
      <c r="AC2104" s="2">
        <f t="shared" si="288"/>
        <v>3</v>
      </c>
      <c r="AD2104" s="2">
        <f t="shared" si="289"/>
        <v>11</v>
      </c>
      <c r="AE2104" s="2">
        <f t="shared" si="290"/>
        <v>8</v>
      </c>
      <c r="AF2104" s="2">
        <f t="shared" si="291"/>
        <v>14</v>
      </c>
      <c r="AG2104" s="2">
        <f t="shared" si="292"/>
        <v>3</v>
      </c>
      <c r="AH2104" s="4">
        <f t="shared" si="293"/>
        <v>44849.103750000002</v>
      </c>
      <c r="AI2104" s="2" t="str">
        <f t="shared" si="294"/>
        <v/>
      </c>
      <c r="AJ2104" s="2" t="str">
        <f t="shared" si="295"/>
        <v/>
      </c>
      <c r="AK2104" s="2" t="str">
        <f t="shared" si="296"/>
        <v/>
      </c>
    </row>
    <row r="2105" spans="1:37" x14ac:dyDescent="0.25">
      <c r="A2105">
        <v>502</v>
      </c>
      <c r="B2105" t="s">
        <v>2288</v>
      </c>
      <c r="C2105" t="s">
        <v>2283</v>
      </c>
      <c r="D2105" t="s">
        <v>2284</v>
      </c>
      <c r="E2105" t="s">
        <v>96</v>
      </c>
      <c r="F2105" t="s">
        <v>2285</v>
      </c>
      <c r="G2105" t="s">
        <v>98</v>
      </c>
      <c r="H2105" s="1">
        <v>44742.103750000002</v>
      </c>
      <c r="I2105" s="1">
        <v>44744.103750000002</v>
      </c>
      <c r="J2105" t="s">
        <v>32</v>
      </c>
      <c r="K2105" s="1">
        <v>44763.103750000002</v>
      </c>
      <c r="L2105" t="s">
        <v>57</v>
      </c>
      <c r="N2105" s="4">
        <v>44767.103750000002</v>
      </c>
      <c r="O2105" t="s">
        <v>57</v>
      </c>
      <c r="P2105" s="4">
        <v>44765.103750000002</v>
      </c>
      <c r="Q2105" s="4">
        <v>44769.103750000002</v>
      </c>
      <c r="R2105" s="4">
        <v>44764.103750000002</v>
      </c>
      <c r="S2105" s="4">
        <v>44768.103750000002</v>
      </c>
      <c r="T2105">
        <v>1</v>
      </c>
      <c r="U2105" s="4">
        <v>44772.103750000002</v>
      </c>
      <c r="V2105" s="4">
        <v>44773.103750000002</v>
      </c>
      <c r="W2105" s="4">
        <v>44776.103750000002</v>
      </c>
      <c r="Z2105" s="4">
        <v>44796.103750000002</v>
      </c>
      <c r="AC2105" s="2">
        <f t="shared" si="288"/>
        <v>2</v>
      </c>
      <c r="AD2105" s="2">
        <f t="shared" si="289"/>
        <v>21</v>
      </c>
      <c r="AE2105" s="2">
        <f t="shared" si="290"/>
        <v>19</v>
      </c>
      <c r="AF2105" s="2">
        <f t="shared" si="291"/>
        <v>22</v>
      </c>
      <c r="AG2105" s="2">
        <f t="shared" si="292"/>
        <v>1</v>
      </c>
      <c r="AH2105" s="4">
        <f t="shared" si="293"/>
        <v>44854.103750000002</v>
      </c>
      <c r="AI2105" s="2">
        <f t="shared" si="294"/>
        <v>4</v>
      </c>
      <c r="AJ2105" s="2">
        <f t="shared" si="295"/>
        <v>32</v>
      </c>
      <c r="AK2105" s="2">
        <f t="shared" si="296"/>
        <v>12</v>
      </c>
    </row>
    <row r="2106" spans="1:37" x14ac:dyDescent="0.25">
      <c r="A2106">
        <v>416</v>
      </c>
      <c r="B2106" t="s">
        <v>2289</v>
      </c>
      <c r="C2106" t="s">
        <v>2283</v>
      </c>
      <c r="D2106" t="s">
        <v>2284</v>
      </c>
      <c r="E2106" t="s">
        <v>96</v>
      </c>
      <c r="F2106" t="s">
        <v>2285</v>
      </c>
      <c r="G2106" t="s">
        <v>98</v>
      </c>
      <c r="H2106" s="1">
        <v>45094.637766203705</v>
      </c>
      <c r="I2106" s="1">
        <v>45098.637766203705</v>
      </c>
      <c r="J2106" t="s">
        <v>32</v>
      </c>
      <c r="K2106" s="1">
        <v>45101.637766203705</v>
      </c>
      <c r="L2106" t="s">
        <v>33</v>
      </c>
      <c r="M2106" t="s">
        <v>34</v>
      </c>
      <c r="R2106" s="4">
        <v>45102.637766203705</v>
      </c>
      <c r="T2106">
        <v>0</v>
      </c>
      <c r="Y2106" t="s">
        <v>35</v>
      </c>
      <c r="AC2106" s="2">
        <f t="shared" si="288"/>
        <v>4</v>
      </c>
      <c r="AD2106" s="2">
        <f t="shared" si="289"/>
        <v>7</v>
      </c>
      <c r="AE2106" s="2">
        <f t="shared" si="290"/>
        <v>3</v>
      </c>
      <c r="AF2106" s="2">
        <f t="shared" si="291"/>
        <v>8</v>
      </c>
      <c r="AG2106" s="2">
        <f t="shared" si="292"/>
        <v>1</v>
      </c>
      <c r="AH2106" s="4">
        <f t="shared" si="293"/>
        <v>45192.637766203705</v>
      </c>
      <c r="AI2106" s="2" t="str">
        <f t="shared" si="294"/>
        <v/>
      </c>
      <c r="AJ2106" s="2" t="str">
        <f t="shared" si="295"/>
        <v/>
      </c>
      <c r="AK2106" s="2" t="str">
        <f t="shared" si="296"/>
        <v/>
      </c>
    </row>
    <row r="2107" spans="1:37" x14ac:dyDescent="0.25">
      <c r="A2107">
        <v>413</v>
      </c>
      <c r="B2107" t="s">
        <v>2290</v>
      </c>
      <c r="C2107" t="s">
        <v>2283</v>
      </c>
      <c r="D2107" t="s">
        <v>2284</v>
      </c>
      <c r="E2107" t="s">
        <v>96</v>
      </c>
      <c r="F2107" t="s">
        <v>2285</v>
      </c>
      <c r="G2107" t="s">
        <v>98</v>
      </c>
      <c r="H2107" s="1">
        <v>45095.637766203705</v>
      </c>
      <c r="I2107" s="1">
        <v>45098.637766203705</v>
      </c>
      <c r="J2107" t="s">
        <v>32</v>
      </c>
      <c r="K2107" s="1">
        <v>45102.637766203705</v>
      </c>
      <c r="L2107" t="s">
        <v>33</v>
      </c>
      <c r="M2107" t="s">
        <v>34</v>
      </c>
      <c r="T2107">
        <v>0</v>
      </c>
      <c r="Y2107" t="s">
        <v>55</v>
      </c>
      <c r="AC2107" s="2">
        <f t="shared" si="288"/>
        <v>3</v>
      </c>
      <c r="AD2107" s="2">
        <f t="shared" si="289"/>
        <v>7</v>
      </c>
      <c r="AE2107" s="2">
        <f t="shared" si="290"/>
        <v>4</v>
      </c>
      <c r="AF2107" s="2" t="str">
        <f t="shared" si="291"/>
        <v/>
      </c>
      <c r="AG2107" s="2" t="str">
        <f t="shared" si="292"/>
        <v/>
      </c>
      <c r="AH2107" s="4" t="str">
        <f t="shared" si="293"/>
        <v/>
      </c>
      <c r="AI2107" s="2" t="str">
        <f t="shared" si="294"/>
        <v/>
      </c>
      <c r="AJ2107" s="2" t="str">
        <f t="shared" si="295"/>
        <v/>
      </c>
      <c r="AK2107" s="2" t="str">
        <f t="shared" si="296"/>
        <v/>
      </c>
    </row>
    <row r="2108" spans="1:37" x14ac:dyDescent="0.25">
      <c r="A2108">
        <v>412</v>
      </c>
      <c r="B2108" t="s">
        <v>2291</v>
      </c>
      <c r="C2108" t="s">
        <v>2283</v>
      </c>
      <c r="D2108" t="s">
        <v>2284</v>
      </c>
      <c r="E2108" t="s">
        <v>96</v>
      </c>
      <c r="F2108" t="s">
        <v>2285</v>
      </c>
      <c r="G2108" t="s">
        <v>98</v>
      </c>
      <c r="H2108" s="1">
        <v>45095.637766203705</v>
      </c>
      <c r="I2108" s="1">
        <v>45096.637766203705</v>
      </c>
      <c r="J2108" t="s">
        <v>32</v>
      </c>
      <c r="K2108" s="1">
        <v>45113.637766203705</v>
      </c>
      <c r="L2108" t="s">
        <v>33</v>
      </c>
      <c r="M2108" t="s">
        <v>108</v>
      </c>
      <c r="T2108">
        <v>0</v>
      </c>
      <c r="Y2108" t="s">
        <v>35</v>
      </c>
      <c r="AC2108" s="2">
        <f t="shared" si="288"/>
        <v>1</v>
      </c>
      <c r="AD2108" s="2">
        <f t="shared" si="289"/>
        <v>18</v>
      </c>
      <c r="AE2108" s="2">
        <f t="shared" si="290"/>
        <v>17</v>
      </c>
      <c r="AF2108" s="2" t="str">
        <f t="shared" si="291"/>
        <v/>
      </c>
      <c r="AG2108" s="2" t="str">
        <f t="shared" si="292"/>
        <v/>
      </c>
      <c r="AH2108" s="4" t="str">
        <f t="shared" si="293"/>
        <v/>
      </c>
      <c r="AI2108" s="2" t="str">
        <f t="shared" si="294"/>
        <v/>
      </c>
      <c r="AJ2108" s="2" t="str">
        <f t="shared" si="295"/>
        <v/>
      </c>
      <c r="AK2108" s="2" t="str">
        <f t="shared" si="296"/>
        <v/>
      </c>
    </row>
    <row r="2109" spans="1:37" x14ac:dyDescent="0.25">
      <c r="A2109">
        <v>265</v>
      </c>
      <c r="B2109" t="s">
        <v>2292</v>
      </c>
      <c r="C2109" t="s">
        <v>2283</v>
      </c>
      <c r="D2109" t="s">
        <v>2284</v>
      </c>
      <c r="E2109" t="s">
        <v>96</v>
      </c>
      <c r="F2109" t="s">
        <v>2285</v>
      </c>
      <c r="G2109" t="s">
        <v>98</v>
      </c>
      <c r="H2109" s="1">
        <v>44767.282581018517</v>
      </c>
      <c r="I2109" s="1">
        <v>44768.282581018517</v>
      </c>
      <c r="J2109" t="s">
        <v>32</v>
      </c>
      <c r="K2109" s="1">
        <v>44777.282581018517</v>
      </c>
      <c r="L2109" t="s">
        <v>39</v>
      </c>
      <c r="N2109" s="4">
        <v>44779.282581018517</v>
      </c>
      <c r="O2109" t="s">
        <v>39</v>
      </c>
      <c r="R2109" s="4">
        <v>44778.282581018517</v>
      </c>
      <c r="T2109">
        <v>0</v>
      </c>
      <c r="AC2109" s="2">
        <f t="shared" si="288"/>
        <v>1</v>
      </c>
      <c r="AD2109" s="2">
        <f t="shared" si="289"/>
        <v>10</v>
      </c>
      <c r="AE2109" s="2">
        <f t="shared" si="290"/>
        <v>9</v>
      </c>
      <c r="AF2109" s="2">
        <f t="shared" si="291"/>
        <v>11</v>
      </c>
      <c r="AG2109" s="2">
        <f t="shared" si="292"/>
        <v>1</v>
      </c>
      <c r="AH2109" s="4">
        <f t="shared" si="293"/>
        <v>44868.282581018517</v>
      </c>
      <c r="AI2109" s="2" t="str">
        <f t="shared" si="294"/>
        <v/>
      </c>
      <c r="AJ2109" s="2" t="str">
        <f t="shared" si="295"/>
        <v/>
      </c>
      <c r="AK2109" s="2" t="str">
        <f t="shared" si="296"/>
        <v/>
      </c>
    </row>
    <row r="2110" spans="1:37" x14ac:dyDescent="0.25">
      <c r="A2110">
        <v>264</v>
      </c>
      <c r="B2110" t="s">
        <v>2293</v>
      </c>
      <c r="C2110" t="s">
        <v>2283</v>
      </c>
      <c r="D2110" t="s">
        <v>2284</v>
      </c>
      <c r="E2110" t="s">
        <v>96</v>
      </c>
      <c r="F2110" t="s">
        <v>2285</v>
      </c>
      <c r="G2110" t="s">
        <v>98</v>
      </c>
      <c r="H2110" s="1">
        <v>44763.282581018517</v>
      </c>
      <c r="I2110" s="1">
        <v>44767.282581018517</v>
      </c>
      <c r="J2110" t="s">
        <v>32</v>
      </c>
      <c r="K2110" s="1">
        <v>44784.282581018517</v>
      </c>
      <c r="L2110" t="s">
        <v>39</v>
      </c>
      <c r="N2110" s="4">
        <v>44789.282581018517</v>
      </c>
      <c r="O2110" t="s">
        <v>39</v>
      </c>
      <c r="R2110" s="4">
        <v>44785.282581018517</v>
      </c>
      <c r="T2110">
        <v>0</v>
      </c>
      <c r="AC2110" s="2">
        <f t="shared" si="288"/>
        <v>4</v>
      </c>
      <c r="AD2110" s="2">
        <f t="shared" si="289"/>
        <v>21</v>
      </c>
      <c r="AE2110" s="2">
        <f t="shared" si="290"/>
        <v>17</v>
      </c>
      <c r="AF2110" s="2">
        <f t="shared" si="291"/>
        <v>22</v>
      </c>
      <c r="AG2110" s="2">
        <f t="shared" si="292"/>
        <v>1</v>
      </c>
      <c r="AH2110" s="4">
        <f t="shared" si="293"/>
        <v>44875.282581018517</v>
      </c>
      <c r="AI2110" s="2" t="str">
        <f t="shared" si="294"/>
        <v/>
      </c>
      <c r="AJ2110" s="2" t="str">
        <f t="shared" si="295"/>
        <v/>
      </c>
      <c r="AK2110" s="2" t="str">
        <f t="shared" si="296"/>
        <v/>
      </c>
    </row>
    <row r="2111" spans="1:37" x14ac:dyDescent="0.25">
      <c r="A2111">
        <v>258</v>
      </c>
      <c r="B2111" t="s">
        <v>2294</v>
      </c>
      <c r="C2111" t="s">
        <v>2283</v>
      </c>
      <c r="D2111" t="s">
        <v>2284</v>
      </c>
      <c r="E2111" t="s">
        <v>96</v>
      </c>
      <c r="F2111" t="s">
        <v>2285</v>
      </c>
      <c r="G2111" t="s">
        <v>98</v>
      </c>
      <c r="H2111" s="1">
        <v>44705.632962962962</v>
      </c>
      <c r="I2111" s="1">
        <v>44709.632962962962</v>
      </c>
      <c r="J2111" t="s">
        <v>44</v>
      </c>
      <c r="K2111" s="1"/>
      <c r="T2111">
        <v>0</v>
      </c>
      <c r="AC2111" s="2">
        <f t="shared" si="288"/>
        <v>4</v>
      </c>
      <c r="AD2111" s="2" t="str">
        <f t="shared" si="289"/>
        <v/>
      </c>
      <c r="AE2111" s="2" t="str">
        <f t="shared" si="290"/>
        <v/>
      </c>
      <c r="AF2111" s="2" t="str">
        <f t="shared" si="291"/>
        <v/>
      </c>
      <c r="AG2111" s="2" t="str">
        <f t="shared" si="292"/>
        <v/>
      </c>
      <c r="AH2111" s="4" t="str">
        <f t="shared" si="293"/>
        <v/>
      </c>
      <c r="AI2111" s="2" t="str">
        <f t="shared" si="294"/>
        <v/>
      </c>
      <c r="AJ2111" s="2" t="str">
        <f t="shared" si="295"/>
        <v/>
      </c>
      <c r="AK2111" s="2" t="str">
        <f t="shared" si="296"/>
        <v/>
      </c>
    </row>
    <row r="2112" spans="1:37" x14ac:dyDescent="0.25">
      <c r="A2112">
        <v>236</v>
      </c>
      <c r="B2112" t="s">
        <v>2295</v>
      </c>
      <c r="C2112" t="s">
        <v>2283</v>
      </c>
      <c r="D2112" t="s">
        <v>2284</v>
      </c>
      <c r="E2112" t="s">
        <v>96</v>
      </c>
      <c r="F2112" t="s">
        <v>2285</v>
      </c>
      <c r="G2112" t="s">
        <v>98</v>
      </c>
      <c r="H2112" s="1">
        <v>44599.810960648145</v>
      </c>
      <c r="I2112" s="1">
        <v>44600.810960648145</v>
      </c>
      <c r="J2112" t="s">
        <v>32</v>
      </c>
      <c r="K2112" s="1">
        <v>44614.810960648145</v>
      </c>
      <c r="L2112" t="s">
        <v>57</v>
      </c>
      <c r="N2112" s="4">
        <v>44618.810960648145</v>
      </c>
      <c r="O2112" t="s">
        <v>57</v>
      </c>
      <c r="P2112" s="4">
        <v>44615.810960648145</v>
      </c>
      <c r="Q2112" s="4">
        <v>44616.810960648145</v>
      </c>
      <c r="R2112" s="4">
        <v>44617.810960648145</v>
      </c>
      <c r="S2112" s="4">
        <v>44618.810960648145</v>
      </c>
      <c r="T2112">
        <v>1</v>
      </c>
      <c r="U2112" s="4">
        <v>44619.810960648145</v>
      </c>
      <c r="V2112" s="4">
        <v>44622.810960648145</v>
      </c>
      <c r="W2112" s="4">
        <v>44625.810960648145</v>
      </c>
      <c r="Z2112" s="4">
        <v>44645.810960648145</v>
      </c>
      <c r="AC2112" s="2">
        <f t="shared" si="288"/>
        <v>1</v>
      </c>
      <c r="AD2112" s="2">
        <f t="shared" si="289"/>
        <v>15</v>
      </c>
      <c r="AE2112" s="2">
        <f t="shared" si="290"/>
        <v>14</v>
      </c>
      <c r="AF2112" s="2">
        <f t="shared" si="291"/>
        <v>18</v>
      </c>
      <c r="AG2112" s="2">
        <f t="shared" si="292"/>
        <v>3</v>
      </c>
      <c r="AH2112" s="4">
        <f t="shared" si="293"/>
        <v>44707.810960648145</v>
      </c>
      <c r="AI2112" s="2">
        <f t="shared" si="294"/>
        <v>1</v>
      </c>
      <c r="AJ2112" s="2">
        <f t="shared" si="295"/>
        <v>28</v>
      </c>
      <c r="AK2112" s="2">
        <f t="shared" si="296"/>
        <v>8</v>
      </c>
    </row>
    <row r="2113" spans="1:37" x14ac:dyDescent="0.25">
      <c r="A2113">
        <v>235</v>
      </c>
      <c r="B2113" t="s">
        <v>2296</v>
      </c>
      <c r="C2113" t="s">
        <v>2283</v>
      </c>
      <c r="D2113" t="s">
        <v>2284</v>
      </c>
      <c r="E2113" t="s">
        <v>96</v>
      </c>
      <c r="F2113" t="s">
        <v>2285</v>
      </c>
      <c r="G2113" t="s">
        <v>98</v>
      </c>
      <c r="H2113" s="1">
        <v>44597.810960648145</v>
      </c>
      <c r="I2113" s="1">
        <v>44601.810960648145</v>
      </c>
      <c r="J2113" t="s">
        <v>32</v>
      </c>
      <c r="K2113" s="1">
        <v>44617.810960648145</v>
      </c>
      <c r="L2113" t="s">
        <v>164</v>
      </c>
      <c r="N2113" s="4">
        <v>44622.810960648145</v>
      </c>
      <c r="O2113" t="s">
        <v>164</v>
      </c>
      <c r="R2113" s="4">
        <v>44620.810960648145</v>
      </c>
      <c r="T2113">
        <v>0</v>
      </c>
      <c r="AC2113" s="2">
        <f t="shared" si="288"/>
        <v>4</v>
      </c>
      <c r="AD2113" s="2">
        <f t="shared" si="289"/>
        <v>20</v>
      </c>
      <c r="AE2113" s="2">
        <f t="shared" si="290"/>
        <v>16</v>
      </c>
      <c r="AF2113" s="2">
        <f t="shared" si="291"/>
        <v>23</v>
      </c>
      <c r="AG2113" s="2">
        <f t="shared" si="292"/>
        <v>3</v>
      </c>
      <c r="AH2113" s="4">
        <f t="shared" si="293"/>
        <v>44710.810960648145</v>
      </c>
      <c r="AI2113" s="2" t="str">
        <f t="shared" si="294"/>
        <v/>
      </c>
      <c r="AJ2113" s="2" t="str">
        <f t="shared" si="295"/>
        <v/>
      </c>
      <c r="AK2113" s="2" t="str">
        <f t="shared" si="296"/>
        <v/>
      </c>
    </row>
    <row r="2114" spans="1:37" x14ac:dyDescent="0.25">
      <c r="A2114">
        <v>233</v>
      </c>
      <c r="B2114" t="s">
        <v>2297</v>
      </c>
      <c r="C2114" t="s">
        <v>2283</v>
      </c>
      <c r="D2114" t="s">
        <v>2284</v>
      </c>
      <c r="E2114" t="s">
        <v>96</v>
      </c>
      <c r="F2114" t="s">
        <v>2285</v>
      </c>
      <c r="G2114" t="s">
        <v>98</v>
      </c>
      <c r="H2114" s="1">
        <v>44598.810960648145</v>
      </c>
      <c r="I2114" s="1">
        <v>44600.810960648145</v>
      </c>
      <c r="J2114" t="s">
        <v>32</v>
      </c>
      <c r="K2114" s="1">
        <v>44617.810960648145</v>
      </c>
      <c r="L2114" t="s">
        <v>164</v>
      </c>
      <c r="N2114" s="4">
        <v>44619.810960648145</v>
      </c>
      <c r="O2114" t="s">
        <v>164</v>
      </c>
      <c r="R2114" s="4">
        <v>44618.810960648145</v>
      </c>
      <c r="T2114">
        <v>0</v>
      </c>
      <c r="AC2114" s="2">
        <f t="shared" si="288"/>
        <v>2</v>
      </c>
      <c r="AD2114" s="2">
        <f t="shared" si="289"/>
        <v>19</v>
      </c>
      <c r="AE2114" s="2">
        <f t="shared" si="290"/>
        <v>17</v>
      </c>
      <c r="AF2114" s="2">
        <f t="shared" si="291"/>
        <v>20</v>
      </c>
      <c r="AG2114" s="2">
        <f t="shared" si="292"/>
        <v>1</v>
      </c>
      <c r="AH2114" s="4">
        <f t="shared" si="293"/>
        <v>44708.810960648145</v>
      </c>
      <c r="AI2114" s="2" t="str">
        <f t="shared" si="294"/>
        <v/>
      </c>
      <c r="AJ2114" s="2" t="str">
        <f t="shared" si="295"/>
        <v/>
      </c>
      <c r="AK2114" s="2" t="str">
        <f t="shared" si="296"/>
        <v/>
      </c>
    </row>
    <row r="2115" spans="1:37" x14ac:dyDescent="0.25">
      <c r="A2115">
        <v>160</v>
      </c>
      <c r="B2115" t="s">
        <v>2298</v>
      </c>
      <c r="C2115" t="s">
        <v>2283</v>
      </c>
      <c r="D2115" t="s">
        <v>2284</v>
      </c>
      <c r="E2115" t="s">
        <v>96</v>
      </c>
      <c r="F2115" t="s">
        <v>2285</v>
      </c>
      <c r="G2115" t="s">
        <v>98</v>
      </c>
      <c r="H2115" s="1">
        <v>44934.64434027778</v>
      </c>
      <c r="I2115" s="1">
        <v>44937.64434027778</v>
      </c>
      <c r="J2115" t="s">
        <v>32</v>
      </c>
      <c r="K2115" s="1">
        <v>44949.64434027778</v>
      </c>
      <c r="L2115" t="s">
        <v>33</v>
      </c>
      <c r="M2115" t="s">
        <v>34</v>
      </c>
      <c r="R2115" s="4">
        <v>44953.64434027778</v>
      </c>
      <c r="T2115">
        <v>0</v>
      </c>
      <c r="Y2115" t="s">
        <v>35</v>
      </c>
      <c r="AC2115" s="2">
        <f t="shared" ref="AC2115:AC2178" si="297">IF(AND(I2115&lt;&gt;"",H2115&lt;&gt;""), I2115-H2115, "")</f>
        <v>3</v>
      </c>
      <c r="AD2115" s="2">
        <f t="shared" ref="AD2115:AD2178" si="298">IF(AND(K2115&lt;&gt;"",H2115&lt;&gt;""), K2115-H2115, "")</f>
        <v>15</v>
      </c>
      <c r="AE2115" s="2">
        <f t="shared" ref="AE2115:AE2178" si="299">IF(AND(K2115&lt;&gt;"",I2115&lt;&gt;""), K2115-I2115, "")</f>
        <v>12</v>
      </c>
      <c r="AF2115" s="2">
        <f t="shared" ref="AF2115:AF2178" si="300">IF(AND(R2115&lt;&gt;"",H2115&lt;&gt;""), R2115-H2115, "")</f>
        <v>19</v>
      </c>
      <c r="AG2115" s="2">
        <f t="shared" ref="AG2115:AG2178" si="301">IF(AND(R2115&lt;&gt;"",K2115&lt;&gt;""), R2115-K2115, "")</f>
        <v>4</v>
      </c>
      <c r="AH2115" s="4">
        <f t="shared" ref="AH2115:AH2178" si="302">IF(R2115&lt;&gt;"", R2115+90, "")</f>
        <v>45043.64434027778</v>
      </c>
      <c r="AI2115" s="2" t="str">
        <f t="shared" ref="AI2115:AI2178" si="303">IF(AND(U2115&lt;&gt;"",S2115&lt;&gt;""), U2115-S2115, "")</f>
        <v/>
      </c>
      <c r="AJ2115" s="2" t="str">
        <f t="shared" ref="AJ2115:AJ2178" si="304">IF(AND(Z2115&lt;&gt;"",R2115&lt;&gt;""), Z2115-R2115, "")</f>
        <v/>
      </c>
      <c r="AK2115" s="2" t="str">
        <f t="shared" ref="AK2115:AK2178" si="305">IF(AND(W2115&lt;&gt;"",R2115&lt;&gt;""), W2115-R2115, "")</f>
        <v/>
      </c>
    </row>
    <row r="2116" spans="1:37" x14ac:dyDescent="0.25">
      <c r="A2116">
        <v>157</v>
      </c>
      <c r="B2116" t="s">
        <v>2299</v>
      </c>
      <c r="C2116" t="s">
        <v>2283</v>
      </c>
      <c r="D2116" t="s">
        <v>2284</v>
      </c>
      <c r="E2116" t="s">
        <v>96</v>
      </c>
      <c r="F2116" t="s">
        <v>2285</v>
      </c>
      <c r="G2116" t="s">
        <v>98</v>
      </c>
      <c r="H2116" s="1">
        <v>44929.64434027778</v>
      </c>
      <c r="I2116" s="1">
        <v>44932.64434027778</v>
      </c>
      <c r="J2116" t="s">
        <v>32</v>
      </c>
      <c r="K2116" s="1">
        <v>44943.64434027778</v>
      </c>
      <c r="L2116" t="s">
        <v>33</v>
      </c>
      <c r="M2116" t="s">
        <v>92</v>
      </c>
      <c r="R2116" s="4">
        <v>44946.64434027778</v>
      </c>
      <c r="T2116">
        <v>0</v>
      </c>
      <c r="Y2116" t="s">
        <v>55</v>
      </c>
      <c r="AC2116" s="2">
        <f t="shared" si="297"/>
        <v>3</v>
      </c>
      <c r="AD2116" s="2">
        <f t="shared" si="298"/>
        <v>14</v>
      </c>
      <c r="AE2116" s="2">
        <f t="shared" si="299"/>
        <v>11</v>
      </c>
      <c r="AF2116" s="2">
        <f t="shared" si="300"/>
        <v>17</v>
      </c>
      <c r="AG2116" s="2">
        <f t="shared" si="301"/>
        <v>3</v>
      </c>
      <c r="AH2116" s="4">
        <f t="shared" si="302"/>
        <v>45036.64434027778</v>
      </c>
      <c r="AI2116" s="2" t="str">
        <f t="shared" si="303"/>
        <v/>
      </c>
      <c r="AJ2116" s="2" t="str">
        <f t="shared" si="304"/>
        <v/>
      </c>
      <c r="AK2116" s="2" t="str">
        <f t="shared" si="305"/>
        <v/>
      </c>
    </row>
    <row r="2117" spans="1:37" x14ac:dyDescent="0.25">
      <c r="A2117">
        <v>144</v>
      </c>
      <c r="B2117" t="s">
        <v>2300</v>
      </c>
      <c r="C2117" t="s">
        <v>2283</v>
      </c>
      <c r="D2117" t="s">
        <v>2284</v>
      </c>
      <c r="E2117" t="s">
        <v>96</v>
      </c>
      <c r="F2117" t="s">
        <v>2285</v>
      </c>
      <c r="G2117" t="s">
        <v>98</v>
      </c>
      <c r="H2117" s="1">
        <v>44629.982245370367</v>
      </c>
      <c r="I2117" s="1">
        <v>44630.982245370367</v>
      </c>
      <c r="J2117" t="s">
        <v>32</v>
      </c>
      <c r="K2117" s="1">
        <v>44641.982245370367</v>
      </c>
      <c r="L2117" t="s">
        <v>57</v>
      </c>
      <c r="N2117" s="4">
        <v>44645.982245370367</v>
      </c>
      <c r="O2117" t="s">
        <v>57</v>
      </c>
      <c r="P2117" s="4">
        <v>44643.982245370367</v>
      </c>
      <c r="Q2117" s="4">
        <v>44646.982245370367</v>
      </c>
      <c r="R2117" s="4">
        <v>44642.982245370367</v>
      </c>
      <c r="S2117" s="4">
        <v>44649.982245370367</v>
      </c>
      <c r="T2117">
        <v>1</v>
      </c>
      <c r="U2117" s="4">
        <v>44652.982245370367</v>
      </c>
      <c r="V2117" s="4">
        <v>44653.982245370367</v>
      </c>
      <c r="W2117" s="4">
        <v>44654.982245370367</v>
      </c>
      <c r="Z2117" s="4">
        <v>44670.982245370367</v>
      </c>
      <c r="AC2117" s="2">
        <f t="shared" si="297"/>
        <v>1</v>
      </c>
      <c r="AD2117" s="2">
        <f t="shared" si="298"/>
        <v>12</v>
      </c>
      <c r="AE2117" s="2">
        <f t="shared" si="299"/>
        <v>11</v>
      </c>
      <c r="AF2117" s="2">
        <f t="shared" si="300"/>
        <v>13</v>
      </c>
      <c r="AG2117" s="2">
        <f t="shared" si="301"/>
        <v>1</v>
      </c>
      <c r="AH2117" s="4">
        <f t="shared" si="302"/>
        <v>44732.982245370367</v>
      </c>
      <c r="AI2117" s="2">
        <f t="shared" si="303"/>
        <v>3</v>
      </c>
      <c r="AJ2117" s="2">
        <f t="shared" si="304"/>
        <v>28</v>
      </c>
      <c r="AK2117" s="2">
        <f t="shared" si="305"/>
        <v>12</v>
      </c>
    </row>
    <row r="2118" spans="1:37" x14ac:dyDescent="0.25">
      <c r="A2118">
        <v>119</v>
      </c>
      <c r="B2118" t="s">
        <v>2301</v>
      </c>
      <c r="C2118" t="s">
        <v>2283</v>
      </c>
      <c r="D2118" t="s">
        <v>2284</v>
      </c>
      <c r="E2118" t="s">
        <v>96</v>
      </c>
      <c r="F2118" t="s">
        <v>2285</v>
      </c>
      <c r="G2118" t="s">
        <v>98</v>
      </c>
      <c r="H2118" s="1">
        <v>44739.19809027778</v>
      </c>
      <c r="I2118" s="1">
        <v>44741.19809027778</v>
      </c>
      <c r="J2118" t="s">
        <v>32</v>
      </c>
      <c r="K2118" s="1">
        <v>44762.19809027778</v>
      </c>
      <c r="L2118" t="s">
        <v>57</v>
      </c>
      <c r="N2118" s="4">
        <v>44766.19809027778</v>
      </c>
      <c r="O2118" t="s">
        <v>57</v>
      </c>
      <c r="P2118" s="4">
        <v>44764.19809027778</v>
      </c>
      <c r="Q2118" s="4">
        <v>44766.19809027778</v>
      </c>
      <c r="R2118" s="4">
        <v>44764.19809027778</v>
      </c>
      <c r="S2118" s="4">
        <v>44771.19809027778</v>
      </c>
      <c r="T2118">
        <v>1</v>
      </c>
      <c r="U2118" s="4">
        <v>44773.19809027778</v>
      </c>
      <c r="V2118" s="4">
        <v>44774.19809027778</v>
      </c>
      <c r="W2118" s="4">
        <v>44775.19809027778</v>
      </c>
      <c r="Z2118" s="4">
        <v>44786.19809027778</v>
      </c>
      <c r="AC2118" s="2">
        <f t="shared" si="297"/>
        <v>2</v>
      </c>
      <c r="AD2118" s="2">
        <f t="shared" si="298"/>
        <v>23</v>
      </c>
      <c r="AE2118" s="2">
        <f t="shared" si="299"/>
        <v>21</v>
      </c>
      <c r="AF2118" s="2">
        <f t="shared" si="300"/>
        <v>25</v>
      </c>
      <c r="AG2118" s="2">
        <f t="shared" si="301"/>
        <v>2</v>
      </c>
      <c r="AH2118" s="4">
        <f t="shared" si="302"/>
        <v>44854.19809027778</v>
      </c>
      <c r="AI2118" s="2">
        <f t="shared" si="303"/>
        <v>2</v>
      </c>
      <c r="AJ2118" s="2">
        <f t="shared" si="304"/>
        <v>22</v>
      </c>
      <c r="AK2118" s="2">
        <f t="shared" si="305"/>
        <v>11</v>
      </c>
    </row>
    <row r="2119" spans="1:37" x14ac:dyDescent="0.25">
      <c r="A2119">
        <v>113</v>
      </c>
      <c r="B2119" t="s">
        <v>2302</v>
      </c>
      <c r="C2119" t="s">
        <v>2283</v>
      </c>
      <c r="D2119" t="s">
        <v>2284</v>
      </c>
      <c r="E2119" t="s">
        <v>96</v>
      </c>
      <c r="F2119" t="s">
        <v>2285</v>
      </c>
      <c r="G2119" t="s">
        <v>98</v>
      </c>
      <c r="H2119" s="1">
        <v>44738.19809027778</v>
      </c>
      <c r="I2119" s="1">
        <v>44742.19809027778</v>
      </c>
      <c r="J2119" t="s">
        <v>32</v>
      </c>
      <c r="K2119" s="1">
        <v>44761.19809027778</v>
      </c>
      <c r="L2119" t="s">
        <v>39</v>
      </c>
      <c r="N2119" s="4">
        <v>44766.19809027778</v>
      </c>
      <c r="O2119" t="s">
        <v>39</v>
      </c>
      <c r="R2119" s="4">
        <v>44762.19809027778</v>
      </c>
      <c r="T2119">
        <v>0</v>
      </c>
      <c r="AC2119" s="2">
        <f t="shared" si="297"/>
        <v>4</v>
      </c>
      <c r="AD2119" s="2">
        <f t="shared" si="298"/>
        <v>23</v>
      </c>
      <c r="AE2119" s="2">
        <f t="shared" si="299"/>
        <v>19</v>
      </c>
      <c r="AF2119" s="2">
        <f t="shared" si="300"/>
        <v>24</v>
      </c>
      <c r="AG2119" s="2">
        <f t="shared" si="301"/>
        <v>1</v>
      </c>
      <c r="AH2119" s="4">
        <f t="shared" si="302"/>
        <v>44852.19809027778</v>
      </c>
      <c r="AI2119" s="2" t="str">
        <f t="shared" si="303"/>
        <v/>
      </c>
      <c r="AJ2119" s="2" t="str">
        <f t="shared" si="304"/>
        <v/>
      </c>
      <c r="AK2119" s="2" t="str">
        <f t="shared" si="305"/>
        <v/>
      </c>
    </row>
    <row r="2120" spans="1:37" x14ac:dyDescent="0.25">
      <c r="A2120">
        <v>53</v>
      </c>
      <c r="B2120" t="s">
        <v>2303</v>
      </c>
      <c r="C2120" t="s">
        <v>2283</v>
      </c>
      <c r="D2120" t="s">
        <v>2284</v>
      </c>
      <c r="E2120" t="s">
        <v>96</v>
      </c>
      <c r="F2120" t="s">
        <v>2285</v>
      </c>
      <c r="G2120" t="s">
        <v>98</v>
      </c>
      <c r="H2120" s="1">
        <v>44770.01295138889</v>
      </c>
      <c r="I2120" s="1">
        <v>44772.01295138889</v>
      </c>
      <c r="J2120" t="s">
        <v>32</v>
      </c>
      <c r="K2120" s="1">
        <v>44779.01295138889</v>
      </c>
      <c r="L2120" t="s">
        <v>33</v>
      </c>
      <c r="M2120" t="s">
        <v>67</v>
      </c>
      <c r="T2120">
        <v>0</v>
      </c>
      <c r="Y2120" t="s">
        <v>35</v>
      </c>
      <c r="AC2120" s="2">
        <f t="shared" si="297"/>
        <v>2</v>
      </c>
      <c r="AD2120" s="2">
        <f t="shared" si="298"/>
        <v>9</v>
      </c>
      <c r="AE2120" s="2">
        <f t="shared" si="299"/>
        <v>7</v>
      </c>
      <c r="AF2120" s="2" t="str">
        <f t="shared" si="300"/>
        <v/>
      </c>
      <c r="AG2120" s="2" t="str">
        <f t="shared" si="301"/>
        <v/>
      </c>
      <c r="AH2120" s="4" t="str">
        <f t="shared" si="302"/>
        <v/>
      </c>
      <c r="AI2120" s="2" t="str">
        <f t="shared" si="303"/>
        <v/>
      </c>
      <c r="AJ2120" s="2" t="str">
        <f t="shared" si="304"/>
        <v/>
      </c>
      <c r="AK2120" s="2" t="str">
        <f t="shared" si="305"/>
        <v/>
      </c>
    </row>
    <row r="2121" spans="1:37" x14ac:dyDescent="0.25">
      <c r="A2121">
        <v>3000</v>
      </c>
      <c r="B2121" t="s">
        <v>2304</v>
      </c>
      <c r="C2121" t="s">
        <v>2283</v>
      </c>
      <c r="D2121" t="s">
        <v>2305</v>
      </c>
      <c r="E2121" t="s">
        <v>388</v>
      </c>
      <c r="F2121" t="s">
        <v>2306</v>
      </c>
      <c r="G2121" t="s">
        <v>144</v>
      </c>
      <c r="H2121" s="1">
        <v>44989.039479166669</v>
      </c>
      <c r="I2121" s="1">
        <v>44992.039479166669</v>
      </c>
      <c r="J2121" t="s">
        <v>44</v>
      </c>
      <c r="K2121" s="1"/>
      <c r="T2121">
        <v>0</v>
      </c>
      <c r="AC2121" s="2">
        <f t="shared" si="297"/>
        <v>3</v>
      </c>
      <c r="AD2121" s="2" t="str">
        <f t="shared" si="298"/>
        <v/>
      </c>
      <c r="AE2121" s="2" t="str">
        <f t="shared" si="299"/>
        <v/>
      </c>
      <c r="AF2121" s="2" t="str">
        <f t="shared" si="300"/>
        <v/>
      </c>
      <c r="AG2121" s="2" t="str">
        <f t="shared" si="301"/>
        <v/>
      </c>
      <c r="AH2121" s="4" t="str">
        <f t="shared" si="302"/>
        <v/>
      </c>
      <c r="AI2121" s="2" t="str">
        <f t="shared" si="303"/>
        <v/>
      </c>
      <c r="AJ2121" s="2" t="str">
        <f t="shared" si="304"/>
        <v/>
      </c>
      <c r="AK2121" s="2" t="str">
        <f t="shared" si="305"/>
        <v/>
      </c>
    </row>
    <row r="2122" spans="1:37" x14ac:dyDescent="0.25">
      <c r="A2122">
        <v>2925</v>
      </c>
      <c r="B2122" t="s">
        <v>2307</v>
      </c>
      <c r="C2122" t="s">
        <v>2283</v>
      </c>
      <c r="D2122" t="s">
        <v>2305</v>
      </c>
      <c r="E2122" t="s">
        <v>388</v>
      </c>
      <c r="F2122" t="s">
        <v>2306</v>
      </c>
      <c r="G2122" t="s">
        <v>144</v>
      </c>
      <c r="H2122" s="1">
        <v>45173.386689814812</v>
      </c>
      <c r="I2122" s="1">
        <v>45177.386689814812</v>
      </c>
      <c r="J2122" t="s">
        <v>32</v>
      </c>
      <c r="K2122" s="1">
        <v>45188.386689814812</v>
      </c>
      <c r="L2122" t="s">
        <v>57</v>
      </c>
      <c r="N2122" s="4">
        <v>45192.386689814812</v>
      </c>
      <c r="O2122" t="s">
        <v>57</v>
      </c>
      <c r="P2122" s="4">
        <v>45190.386689814812</v>
      </c>
      <c r="Q2122" s="4">
        <v>45191.386689814812</v>
      </c>
      <c r="R2122" s="4">
        <v>45190.386689814812</v>
      </c>
      <c r="S2122" s="4">
        <v>45199.386689814812</v>
      </c>
      <c r="T2122">
        <v>1</v>
      </c>
      <c r="U2122" s="4">
        <v>45200.386689814812</v>
      </c>
      <c r="V2122" s="4">
        <v>45201.386689814812</v>
      </c>
      <c r="W2122" s="4">
        <v>45203.386689814812</v>
      </c>
      <c r="Z2122" s="4">
        <v>45214.386689814812</v>
      </c>
      <c r="AC2122" s="2">
        <f t="shared" si="297"/>
        <v>4</v>
      </c>
      <c r="AD2122" s="2">
        <f t="shared" si="298"/>
        <v>15</v>
      </c>
      <c r="AE2122" s="2">
        <f t="shared" si="299"/>
        <v>11</v>
      </c>
      <c r="AF2122" s="2">
        <f t="shared" si="300"/>
        <v>17</v>
      </c>
      <c r="AG2122" s="2">
        <f t="shared" si="301"/>
        <v>2</v>
      </c>
      <c r="AH2122" s="4">
        <f t="shared" si="302"/>
        <v>45280.386689814812</v>
      </c>
      <c r="AI2122" s="2">
        <f t="shared" si="303"/>
        <v>1</v>
      </c>
      <c r="AJ2122" s="2">
        <f t="shared" si="304"/>
        <v>24</v>
      </c>
      <c r="AK2122" s="2">
        <f t="shared" si="305"/>
        <v>13</v>
      </c>
    </row>
    <row r="2123" spans="1:37" x14ac:dyDescent="0.25">
      <c r="A2123">
        <v>2915</v>
      </c>
      <c r="B2123" t="s">
        <v>2308</v>
      </c>
      <c r="C2123" t="s">
        <v>2283</v>
      </c>
      <c r="D2123" t="s">
        <v>2305</v>
      </c>
      <c r="E2123" t="s">
        <v>388</v>
      </c>
      <c r="F2123" t="s">
        <v>2306</v>
      </c>
      <c r="G2123" t="s">
        <v>144</v>
      </c>
      <c r="H2123" s="1">
        <v>44598.794965277775</v>
      </c>
      <c r="I2123" s="1">
        <v>44600.794965277775</v>
      </c>
      <c r="J2123" t="s">
        <v>32</v>
      </c>
      <c r="K2123" s="1">
        <v>44614.794965277775</v>
      </c>
      <c r="L2123" t="s">
        <v>57</v>
      </c>
      <c r="N2123" s="4">
        <v>44622.794965277775</v>
      </c>
      <c r="O2123" t="s">
        <v>57</v>
      </c>
      <c r="P2123" s="4">
        <v>44616.794965277775</v>
      </c>
      <c r="Q2123" s="4">
        <v>44618.794965277775</v>
      </c>
      <c r="R2123" s="4">
        <v>44618.794965277775</v>
      </c>
      <c r="S2123" s="4">
        <v>44628.794965277775</v>
      </c>
      <c r="T2123">
        <v>1</v>
      </c>
      <c r="U2123" s="4">
        <v>44629.794965277775</v>
      </c>
      <c r="V2123" s="4">
        <v>44630.794965277775</v>
      </c>
      <c r="W2123" s="4">
        <v>44631.794965277775</v>
      </c>
      <c r="Z2123" s="4">
        <v>44642.794965277775</v>
      </c>
      <c r="AC2123" s="2">
        <f t="shared" si="297"/>
        <v>2</v>
      </c>
      <c r="AD2123" s="2">
        <f t="shared" si="298"/>
        <v>16</v>
      </c>
      <c r="AE2123" s="2">
        <f t="shared" si="299"/>
        <v>14</v>
      </c>
      <c r="AF2123" s="2">
        <f t="shared" si="300"/>
        <v>20</v>
      </c>
      <c r="AG2123" s="2">
        <f t="shared" si="301"/>
        <v>4</v>
      </c>
      <c r="AH2123" s="4">
        <f t="shared" si="302"/>
        <v>44708.794965277775</v>
      </c>
      <c r="AI2123" s="2">
        <f t="shared" si="303"/>
        <v>1</v>
      </c>
      <c r="AJ2123" s="2">
        <f t="shared" si="304"/>
        <v>24</v>
      </c>
      <c r="AK2123" s="2">
        <f t="shared" si="305"/>
        <v>13</v>
      </c>
    </row>
    <row r="2124" spans="1:37" x14ac:dyDescent="0.25">
      <c r="A2124">
        <v>2825</v>
      </c>
      <c r="B2124" t="s">
        <v>2309</v>
      </c>
      <c r="C2124" t="s">
        <v>2283</v>
      </c>
      <c r="D2124" t="s">
        <v>2305</v>
      </c>
      <c r="E2124" t="s">
        <v>388</v>
      </c>
      <c r="F2124" t="s">
        <v>2306</v>
      </c>
      <c r="G2124" t="s">
        <v>144</v>
      </c>
      <c r="H2124" s="1">
        <v>44567.055902777778</v>
      </c>
      <c r="I2124" s="1">
        <v>44570.055902777778</v>
      </c>
      <c r="J2124" t="s">
        <v>44</v>
      </c>
      <c r="K2124" s="1"/>
      <c r="T2124">
        <v>0</v>
      </c>
      <c r="AC2124" s="2">
        <f t="shared" si="297"/>
        <v>3</v>
      </c>
      <c r="AD2124" s="2" t="str">
        <f t="shared" si="298"/>
        <v/>
      </c>
      <c r="AE2124" s="2" t="str">
        <f t="shared" si="299"/>
        <v/>
      </c>
      <c r="AF2124" s="2" t="str">
        <f t="shared" si="300"/>
        <v/>
      </c>
      <c r="AG2124" s="2" t="str">
        <f t="shared" si="301"/>
        <v/>
      </c>
      <c r="AH2124" s="4" t="str">
        <f t="shared" si="302"/>
        <v/>
      </c>
      <c r="AI2124" s="2" t="str">
        <f t="shared" si="303"/>
        <v/>
      </c>
      <c r="AJ2124" s="2" t="str">
        <f t="shared" si="304"/>
        <v/>
      </c>
      <c r="AK2124" s="2" t="str">
        <f t="shared" si="305"/>
        <v/>
      </c>
    </row>
    <row r="2125" spans="1:37" x14ac:dyDescent="0.25">
      <c r="A2125">
        <v>2703</v>
      </c>
      <c r="B2125" t="s">
        <v>2310</v>
      </c>
      <c r="C2125" t="s">
        <v>2283</v>
      </c>
      <c r="D2125" t="s">
        <v>2305</v>
      </c>
      <c r="E2125" t="s">
        <v>388</v>
      </c>
      <c r="F2125" t="s">
        <v>2306</v>
      </c>
      <c r="G2125" t="s">
        <v>144</v>
      </c>
      <c r="H2125" s="1">
        <v>44829.495787037034</v>
      </c>
      <c r="I2125" s="1">
        <v>44832.495787037034</v>
      </c>
      <c r="J2125" t="s">
        <v>44</v>
      </c>
      <c r="K2125" s="1"/>
      <c r="T2125">
        <v>0</v>
      </c>
      <c r="AC2125" s="2">
        <f t="shared" si="297"/>
        <v>3</v>
      </c>
      <c r="AD2125" s="2" t="str">
        <f t="shared" si="298"/>
        <v/>
      </c>
      <c r="AE2125" s="2" t="str">
        <f t="shared" si="299"/>
        <v/>
      </c>
      <c r="AF2125" s="2" t="str">
        <f t="shared" si="300"/>
        <v/>
      </c>
      <c r="AG2125" s="2" t="str">
        <f t="shared" si="301"/>
        <v/>
      </c>
      <c r="AH2125" s="4" t="str">
        <f t="shared" si="302"/>
        <v/>
      </c>
      <c r="AI2125" s="2" t="str">
        <f t="shared" si="303"/>
        <v/>
      </c>
      <c r="AJ2125" s="2" t="str">
        <f t="shared" si="304"/>
        <v/>
      </c>
      <c r="AK2125" s="2" t="str">
        <f t="shared" si="305"/>
        <v/>
      </c>
    </row>
    <row r="2126" spans="1:37" x14ac:dyDescent="0.25">
      <c r="A2126">
        <v>2636</v>
      </c>
      <c r="B2126" t="s">
        <v>2311</v>
      </c>
      <c r="C2126" t="s">
        <v>2283</v>
      </c>
      <c r="D2126" t="s">
        <v>2305</v>
      </c>
      <c r="E2126" t="s">
        <v>388</v>
      </c>
      <c r="F2126" t="s">
        <v>2306</v>
      </c>
      <c r="G2126" t="s">
        <v>144</v>
      </c>
      <c r="H2126" s="1">
        <v>44584.196851851855</v>
      </c>
      <c r="I2126" s="1">
        <v>44585.196851851855</v>
      </c>
      <c r="J2126" t="s">
        <v>44</v>
      </c>
      <c r="K2126" s="1"/>
      <c r="T2126">
        <v>0</v>
      </c>
      <c r="AC2126" s="2">
        <f t="shared" si="297"/>
        <v>1</v>
      </c>
      <c r="AD2126" s="2" t="str">
        <f t="shared" si="298"/>
        <v/>
      </c>
      <c r="AE2126" s="2" t="str">
        <f t="shared" si="299"/>
        <v/>
      </c>
      <c r="AF2126" s="2" t="str">
        <f t="shared" si="300"/>
        <v/>
      </c>
      <c r="AG2126" s="2" t="str">
        <f t="shared" si="301"/>
        <v/>
      </c>
      <c r="AH2126" s="4" t="str">
        <f t="shared" si="302"/>
        <v/>
      </c>
      <c r="AI2126" s="2" t="str">
        <f t="shared" si="303"/>
        <v/>
      </c>
      <c r="AJ2126" s="2" t="str">
        <f t="shared" si="304"/>
        <v/>
      </c>
      <c r="AK2126" s="2" t="str">
        <f t="shared" si="305"/>
        <v/>
      </c>
    </row>
    <row r="2127" spans="1:37" x14ac:dyDescent="0.25">
      <c r="A2127">
        <v>2580</v>
      </c>
      <c r="B2127" t="s">
        <v>2312</v>
      </c>
      <c r="C2127" t="s">
        <v>2283</v>
      </c>
      <c r="D2127" t="s">
        <v>2305</v>
      </c>
      <c r="E2127" t="s">
        <v>388</v>
      </c>
      <c r="F2127" t="s">
        <v>2306</v>
      </c>
      <c r="G2127" t="s">
        <v>144</v>
      </c>
      <c r="H2127" s="1">
        <v>44641.718425925923</v>
      </c>
      <c r="I2127" s="1">
        <v>44644.718425925923</v>
      </c>
      <c r="J2127" t="s">
        <v>32</v>
      </c>
      <c r="K2127" s="1">
        <v>44648.718425925923</v>
      </c>
      <c r="L2127" t="s">
        <v>57</v>
      </c>
      <c r="N2127" s="4">
        <v>44655.718425925923</v>
      </c>
      <c r="O2127" t="s">
        <v>57</v>
      </c>
      <c r="P2127" s="4">
        <v>44649.718425925923</v>
      </c>
      <c r="Q2127" s="4">
        <v>44653.718425925923</v>
      </c>
      <c r="R2127" s="4">
        <v>44652.718425925923</v>
      </c>
      <c r="S2127" s="4">
        <v>44660.718425925923</v>
      </c>
      <c r="T2127">
        <v>1</v>
      </c>
      <c r="U2127" s="4">
        <v>44662.718425925923</v>
      </c>
      <c r="V2127" s="4">
        <v>44664.718425925923</v>
      </c>
      <c r="W2127" s="4">
        <v>44666.718425925923</v>
      </c>
      <c r="Z2127" s="4">
        <v>44677.718425925923</v>
      </c>
      <c r="AC2127" s="2">
        <f t="shared" si="297"/>
        <v>3</v>
      </c>
      <c r="AD2127" s="2">
        <f t="shared" si="298"/>
        <v>7</v>
      </c>
      <c r="AE2127" s="2">
        <f t="shared" si="299"/>
        <v>4</v>
      </c>
      <c r="AF2127" s="2">
        <f t="shared" si="300"/>
        <v>11</v>
      </c>
      <c r="AG2127" s="2">
        <f t="shared" si="301"/>
        <v>4</v>
      </c>
      <c r="AH2127" s="4">
        <f t="shared" si="302"/>
        <v>44742.718425925923</v>
      </c>
      <c r="AI2127" s="2">
        <f t="shared" si="303"/>
        <v>2</v>
      </c>
      <c r="AJ2127" s="2">
        <f t="shared" si="304"/>
        <v>25</v>
      </c>
      <c r="AK2127" s="2">
        <f t="shared" si="305"/>
        <v>14</v>
      </c>
    </row>
    <row r="2128" spans="1:37" x14ac:dyDescent="0.25">
      <c r="A2128">
        <v>2140</v>
      </c>
      <c r="B2128" t="s">
        <v>2313</v>
      </c>
      <c r="C2128" t="s">
        <v>2283</v>
      </c>
      <c r="D2128" t="s">
        <v>2305</v>
      </c>
      <c r="E2128" t="s">
        <v>388</v>
      </c>
      <c r="F2128" t="s">
        <v>2306</v>
      </c>
      <c r="G2128" t="s">
        <v>144</v>
      </c>
      <c r="H2128" s="1">
        <v>44774.516493055555</v>
      </c>
      <c r="I2128" s="1">
        <v>44776.516493055555</v>
      </c>
      <c r="J2128" t="s">
        <v>44</v>
      </c>
      <c r="K2128" s="1"/>
      <c r="T2128">
        <v>0</v>
      </c>
      <c r="AC2128" s="2">
        <f t="shared" si="297"/>
        <v>2</v>
      </c>
      <c r="AD2128" s="2" t="str">
        <f t="shared" si="298"/>
        <v/>
      </c>
      <c r="AE2128" s="2" t="str">
        <f t="shared" si="299"/>
        <v/>
      </c>
      <c r="AF2128" s="2" t="str">
        <f t="shared" si="300"/>
        <v/>
      </c>
      <c r="AG2128" s="2" t="str">
        <f t="shared" si="301"/>
        <v/>
      </c>
      <c r="AH2128" s="4" t="str">
        <f t="shared" si="302"/>
        <v/>
      </c>
      <c r="AI2128" s="2" t="str">
        <f t="shared" si="303"/>
        <v/>
      </c>
      <c r="AJ2128" s="2" t="str">
        <f t="shared" si="304"/>
        <v/>
      </c>
      <c r="AK2128" s="2" t="str">
        <f t="shared" si="305"/>
        <v/>
      </c>
    </row>
    <row r="2129" spans="1:37" x14ac:dyDescent="0.25">
      <c r="A2129">
        <v>2107</v>
      </c>
      <c r="B2129" t="s">
        <v>2314</v>
      </c>
      <c r="C2129" t="s">
        <v>2283</v>
      </c>
      <c r="D2129" t="s">
        <v>2305</v>
      </c>
      <c r="E2129" t="s">
        <v>388</v>
      </c>
      <c r="F2129" t="s">
        <v>2306</v>
      </c>
      <c r="G2129" t="s">
        <v>144</v>
      </c>
      <c r="H2129" s="1">
        <v>44684.022326388891</v>
      </c>
      <c r="I2129" s="1">
        <v>44688.022326388891</v>
      </c>
      <c r="J2129" t="s">
        <v>32</v>
      </c>
      <c r="K2129" s="1">
        <v>44702.022326388891</v>
      </c>
      <c r="L2129" t="s">
        <v>57</v>
      </c>
      <c r="N2129" s="4">
        <v>44709.022326388891</v>
      </c>
      <c r="O2129" t="s">
        <v>57</v>
      </c>
      <c r="P2129" s="4">
        <v>44703.022326388891</v>
      </c>
      <c r="Q2129" s="4">
        <v>44707.022326388891</v>
      </c>
      <c r="R2129" s="4">
        <v>44705.022326388891</v>
      </c>
      <c r="S2129" s="4">
        <v>44714.022326388891</v>
      </c>
      <c r="T2129">
        <v>1</v>
      </c>
      <c r="U2129" s="4">
        <v>44718.022326388891</v>
      </c>
      <c r="V2129" s="4">
        <v>44719.022326388891</v>
      </c>
      <c r="W2129" s="4">
        <v>44721.022326388891</v>
      </c>
      <c r="Z2129" s="4">
        <v>44737.022326388891</v>
      </c>
      <c r="AC2129" s="2">
        <f t="shared" si="297"/>
        <v>4</v>
      </c>
      <c r="AD2129" s="2">
        <f t="shared" si="298"/>
        <v>18</v>
      </c>
      <c r="AE2129" s="2">
        <f t="shared" si="299"/>
        <v>14</v>
      </c>
      <c r="AF2129" s="2">
        <f t="shared" si="300"/>
        <v>21</v>
      </c>
      <c r="AG2129" s="2">
        <f t="shared" si="301"/>
        <v>3</v>
      </c>
      <c r="AH2129" s="4">
        <f t="shared" si="302"/>
        <v>44795.022326388891</v>
      </c>
      <c r="AI2129" s="2">
        <f t="shared" si="303"/>
        <v>4</v>
      </c>
      <c r="AJ2129" s="2">
        <f t="shared" si="304"/>
        <v>32</v>
      </c>
      <c r="AK2129" s="2">
        <f t="shared" si="305"/>
        <v>16</v>
      </c>
    </row>
    <row r="2130" spans="1:37" x14ac:dyDescent="0.25">
      <c r="A2130">
        <v>2100</v>
      </c>
      <c r="B2130" t="s">
        <v>2315</v>
      </c>
      <c r="C2130" t="s">
        <v>2283</v>
      </c>
      <c r="D2130" t="s">
        <v>2305</v>
      </c>
      <c r="E2130" t="s">
        <v>388</v>
      </c>
      <c r="F2130" t="s">
        <v>2306</v>
      </c>
      <c r="G2130" t="s">
        <v>144</v>
      </c>
      <c r="H2130" s="1">
        <v>44860.987488425926</v>
      </c>
      <c r="I2130" s="1">
        <v>44861.987488425926</v>
      </c>
      <c r="J2130" t="s">
        <v>44</v>
      </c>
      <c r="K2130" s="1"/>
      <c r="T2130">
        <v>0</v>
      </c>
      <c r="AC2130" s="2">
        <f t="shared" si="297"/>
        <v>1</v>
      </c>
      <c r="AD2130" s="2" t="str">
        <f t="shared" si="298"/>
        <v/>
      </c>
      <c r="AE2130" s="2" t="str">
        <f t="shared" si="299"/>
        <v/>
      </c>
      <c r="AF2130" s="2" t="str">
        <f t="shared" si="300"/>
        <v/>
      </c>
      <c r="AG2130" s="2" t="str">
        <f t="shared" si="301"/>
        <v/>
      </c>
      <c r="AH2130" s="4" t="str">
        <f t="shared" si="302"/>
        <v/>
      </c>
      <c r="AI2130" s="2" t="str">
        <f t="shared" si="303"/>
        <v/>
      </c>
      <c r="AJ2130" s="2" t="str">
        <f t="shared" si="304"/>
        <v/>
      </c>
      <c r="AK2130" s="2" t="str">
        <f t="shared" si="305"/>
        <v/>
      </c>
    </row>
    <row r="2131" spans="1:37" x14ac:dyDescent="0.25">
      <c r="A2131">
        <v>1714</v>
      </c>
      <c r="B2131" t="s">
        <v>2316</v>
      </c>
      <c r="C2131" t="s">
        <v>2283</v>
      </c>
      <c r="D2131" t="s">
        <v>2305</v>
      </c>
      <c r="E2131" t="s">
        <v>388</v>
      </c>
      <c r="F2131" t="s">
        <v>2306</v>
      </c>
      <c r="G2131" t="s">
        <v>144</v>
      </c>
      <c r="H2131" s="1">
        <v>44563.077685185184</v>
      </c>
      <c r="I2131" s="1">
        <v>44566.077685185184</v>
      </c>
      <c r="J2131" t="s">
        <v>44</v>
      </c>
      <c r="K2131" s="1"/>
      <c r="T2131">
        <v>0</v>
      </c>
      <c r="AC2131" s="2">
        <f t="shared" si="297"/>
        <v>3</v>
      </c>
      <c r="AD2131" s="2" t="str">
        <f t="shared" si="298"/>
        <v/>
      </c>
      <c r="AE2131" s="2" t="str">
        <f t="shared" si="299"/>
        <v/>
      </c>
      <c r="AF2131" s="2" t="str">
        <f t="shared" si="300"/>
        <v/>
      </c>
      <c r="AG2131" s="2" t="str">
        <f t="shared" si="301"/>
        <v/>
      </c>
      <c r="AH2131" s="4" t="str">
        <f t="shared" si="302"/>
        <v/>
      </c>
      <c r="AI2131" s="2" t="str">
        <f t="shared" si="303"/>
        <v/>
      </c>
      <c r="AJ2131" s="2" t="str">
        <f t="shared" si="304"/>
        <v/>
      </c>
      <c r="AK2131" s="2" t="str">
        <f t="shared" si="305"/>
        <v/>
      </c>
    </row>
    <row r="2132" spans="1:37" x14ac:dyDescent="0.25">
      <c r="A2132">
        <v>1693</v>
      </c>
      <c r="B2132" t="s">
        <v>2317</v>
      </c>
      <c r="C2132" t="s">
        <v>2283</v>
      </c>
      <c r="D2132" t="s">
        <v>2305</v>
      </c>
      <c r="E2132" t="s">
        <v>388</v>
      </c>
      <c r="F2132" t="s">
        <v>2306</v>
      </c>
      <c r="G2132" t="s">
        <v>144</v>
      </c>
      <c r="H2132" s="1">
        <v>44980.764687499999</v>
      </c>
      <c r="I2132" s="1">
        <v>44984.764687499999</v>
      </c>
      <c r="J2132" t="s">
        <v>44</v>
      </c>
      <c r="K2132" s="1"/>
      <c r="T2132">
        <v>0</v>
      </c>
      <c r="AC2132" s="2">
        <f t="shared" si="297"/>
        <v>4</v>
      </c>
      <c r="AD2132" s="2" t="str">
        <f t="shared" si="298"/>
        <v/>
      </c>
      <c r="AE2132" s="2" t="str">
        <f t="shared" si="299"/>
        <v/>
      </c>
      <c r="AF2132" s="2" t="str">
        <f t="shared" si="300"/>
        <v/>
      </c>
      <c r="AG2132" s="2" t="str">
        <f t="shared" si="301"/>
        <v/>
      </c>
      <c r="AH2132" s="4" t="str">
        <f t="shared" si="302"/>
        <v/>
      </c>
      <c r="AI2132" s="2" t="str">
        <f t="shared" si="303"/>
        <v/>
      </c>
      <c r="AJ2132" s="2" t="str">
        <f t="shared" si="304"/>
        <v/>
      </c>
      <c r="AK2132" s="2" t="str">
        <f t="shared" si="305"/>
        <v/>
      </c>
    </row>
    <row r="2133" spans="1:37" x14ac:dyDescent="0.25">
      <c r="A2133">
        <v>1552</v>
      </c>
      <c r="B2133" t="s">
        <v>2318</v>
      </c>
      <c r="C2133" t="s">
        <v>2283</v>
      </c>
      <c r="D2133" t="s">
        <v>2305</v>
      </c>
      <c r="E2133" t="s">
        <v>388</v>
      </c>
      <c r="F2133" t="s">
        <v>2306</v>
      </c>
      <c r="G2133" t="s">
        <v>144</v>
      </c>
      <c r="H2133" s="1">
        <v>44902.597222222219</v>
      </c>
      <c r="I2133" s="1">
        <v>44903.597222222219</v>
      </c>
      <c r="J2133" t="s">
        <v>44</v>
      </c>
      <c r="K2133" s="1"/>
      <c r="T2133">
        <v>0</v>
      </c>
      <c r="AC2133" s="2">
        <f t="shared" si="297"/>
        <v>1</v>
      </c>
      <c r="AD2133" s="2" t="str">
        <f t="shared" si="298"/>
        <v/>
      </c>
      <c r="AE2133" s="2" t="str">
        <f t="shared" si="299"/>
        <v/>
      </c>
      <c r="AF2133" s="2" t="str">
        <f t="shared" si="300"/>
        <v/>
      </c>
      <c r="AG2133" s="2" t="str">
        <f t="shared" si="301"/>
        <v/>
      </c>
      <c r="AH2133" s="4" t="str">
        <f t="shared" si="302"/>
        <v/>
      </c>
      <c r="AI2133" s="2" t="str">
        <f t="shared" si="303"/>
        <v/>
      </c>
      <c r="AJ2133" s="2" t="str">
        <f t="shared" si="304"/>
        <v/>
      </c>
      <c r="AK2133" s="2" t="str">
        <f t="shared" si="305"/>
        <v/>
      </c>
    </row>
    <row r="2134" spans="1:37" x14ac:dyDescent="0.25">
      <c r="A2134">
        <v>1200</v>
      </c>
      <c r="B2134" t="s">
        <v>2319</v>
      </c>
      <c r="C2134" t="s">
        <v>2283</v>
      </c>
      <c r="D2134" t="s">
        <v>2305</v>
      </c>
      <c r="E2134" t="s">
        <v>388</v>
      </c>
      <c r="F2134" t="s">
        <v>2306</v>
      </c>
      <c r="G2134" t="s">
        <v>144</v>
      </c>
      <c r="H2134" s="1">
        <v>44766.966006944444</v>
      </c>
      <c r="I2134" s="1">
        <v>44770.966006944444</v>
      </c>
      <c r="J2134" t="s">
        <v>44</v>
      </c>
      <c r="K2134" s="1"/>
      <c r="T2134">
        <v>0</v>
      </c>
      <c r="AC2134" s="2">
        <f t="shared" si="297"/>
        <v>4</v>
      </c>
      <c r="AD2134" s="2" t="str">
        <f t="shared" si="298"/>
        <v/>
      </c>
      <c r="AE2134" s="2" t="str">
        <f t="shared" si="299"/>
        <v/>
      </c>
      <c r="AF2134" s="2" t="str">
        <f t="shared" si="300"/>
        <v/>
      </c>
      <c r="AG2134" s="2" t="str">
        <f t="shared" si="301"/>
        <v/>
      </c>
      <c r="AH2134" s="4" t="str">
        <f t="shared" si="302"/>
        <v/>
      </c>
      <c r="AI2134" s="2" t="str">
        <f t="shared" si="303"/>
        <v/>
      </c>
      <c r="AJ2134" s="2" t="str">
        <f t="shared" si="304"/>
        <v/>
      </c>
      <c r="AK2134" s="2" t="str">
        <f t="shared" si="305"/>
        <v/>
      </c>
    </row>
    <row r="2135" spans="1:37" x14ac:dyDescent="0.25">
      <c r="A2135">
        <v>1178</v>
      </c>
      <c r="B2135" t="s">
        <v>2320</v>
      </c>
      <c r="C2135" t="s">
        <v>2283</v>
      </c>
      <c r="D2135" t="s">
        <v>2305</v>
      </c>
      <c r="E2135" t="s">
        <v>388</v>
      </c>
      <c r="F2135" t="s">
        <v>2306</v>
      </c>
      <c r="G2135" t="s">
        <v>144</v>
      </c>
      <c r="H2135" s="1">
        <v>45063.041770833333</v>
      </c>
      <c r="I2135" s="1">
        <v>45065.041770833333</v>
      </c>
      <c r="J2135" t="s">
        <v>32</v>
      </c>
      <c r="K2135" s="1">
        <v>45079.041770833333</v>
      </c>
      <c r="L2135" t="s">
        <v>57</v>
      </c>
      <c r="N2135" s="4">
        <v>45086.041770833333</v>
      </c>
      <c r="O2135" t="s">
        <v>57</v>
      </c>
      <c r="P2135" s="4">
        <v>45080.041770833333</v>
      </c>
      <c r="Q2135" s="4">
        <v>45081.041770833333</v>
      </c>
      <c r="R2135" s="4">
        <v>45082.041770833333</v>
      </c>
      <c r="S2135" s="4">
        <v>45086.041770833333</v>
      </c>
      <c r="T2135">
        <v>1</v>
      </c>
      <c r="U2135" s="4">
        <v>45087.041770833333</v>
      </c>
      <c r="V2135" s="4">
        <v>45089.041770833333</v>
      </c>
      <c r="W2135" s="4">
        <v>45090.041770833333</v>
      </c>
      <c r="Z2135" s="4">
        <v>45099.041770833333</v>
      </c>
      <c r="AC2135" s="2">
        <f t="shared" si="297"/>
        <v>2</v>
      </c>
      <c r="AD2135" s="2">
        <f t="shared" si="298"/>
        <v>16</v>
      </c>
      <c r="AE2135" s="2">
        <f t="shared" si="299"/>
        <v>14</v>
      </c>
      <c r="AF2135" s="2">
        <f t="shared" si="300"/>
        <v>19</v>
      </c>
      <c r="AG2135" s="2">
        <f t="shared" si="301"/>
        <v>3</v>
      </c>
      <c r="AH2135" s="4">
        <f t="shared" si="302"/>
        <v>45172.041770833333</v>
      </c>
      <c r="AI2135" s="2">
        <f t="shared" si="303"/>
        <v>1</v>
      </c>
      <c r="AJ2135" s="2">
        <f t="shared" si="304"/>
        <v>17</v>
      </c>
      <c r="AK2135" s="2">
        <f t="shared" si="305"/>
        <v>8</v>
      </c>
    </row>
    <row r="2136" spans="1:37" x14ac:dyDescent="0.25">
      <c r="A2136">
        <v>1103</v>
      </c>
      <c r="B2136" t="s">
        <v>2321</v>
      </c>
      <c r="C2136" t="s">
        <v>2283</v>
      </c>
      <c r="D2136" t="s">
        <v>2305</v>
      </c>
      <c r="E2136" t="s">
        <v>388</v>
      </c>
      <c r="F2136" t="s">
        <v>2306</v>
      </c>
      <c r="G2136" t="s">
        <v>144</v>
      </c>
      <c r="H2136" s="1">
        <v>44676.953865740739</v>
      </c>
      <c r="I2136" s="1">
        <v>44678.953865740739</v>
      </c>
      <c r="J2136" t="s">
        <v>32</v>
      </c>
      <c r="K2136" s="1">
        <v>44683.953865740739</v>
      </c>
      <c r="L2136" t="s">
        <v>57</v>
      </c>
      <c r="N2136" s="4">
        <v>44686.953865740739</v>
      </c>
      <c r="O2136" t="s">
        <v>57</v>
      </c>
      <c r="P2136" s="4">
        <v>44685.953865740739</v>
      </c>
      <c r="Q2136" s="4">
        <v>44687.953865740739</v>
      </c>
      <c r="R2136" s="4">
        <v>44685.953865740739</v>
      </c>
      <c r="S2136" s="4">
        <v>44693.953865740739</v>
      </c>
      <c r="T2136">
        <v>1</v>
      </c>
      <c r="U2136" s="4">
        <v>44695.953865740739</v>
      </c>
      <c r="V2136" s="4">
        <v>44698.953865740739</v>
      </c>
      <c r="W2136" s="4">
        <v>44700.953865740739</v>
      </c>
      <c r="Z2136" s="4">
        <v>44712.953865740739</v>
      </c>
      <c r="AC2136" s="2">
        <f t="shared" si="297"/>
        <v>2</v>
      </c>
      <c r="AD2136" s="2">
        <f t="shared" si="298"/>
        <v>7</v>
      </c>
      <c r="AE2136" s="2">
        <f t="shared" si="299"/>
        <v>5</v>
      </c>
      <c r="AF2136" s="2">
        <f t="shared" si="300"/>
        <v>9</v>
      </c>
      <c r="AG2136" s="2">
        <f t="shared" si="301"/>
        <v>2</v>
      </c>
      <c r="AH2136" s="4">
        <f t="shared" si="302"/>
        <v>44775.953865740739</v>
      </c>
      <c r="AI2136" s="2">
        <f t="shared" si="303"/>
        <v>2</v>
      </c>
      <c r="AJ2136" s="2">
        <f t="shared" si="304"/>
        <v>27</v>
      </c>
      <c r="AK2136" s="2">
        <f t="shared" si="305"/>
        <v>15</v>
      </c>
    </row>
    <row r="2137" spans="1:37" x14ac:dyDescent="0.25">
      <c r="A2137">
        <v>1074</v>
      </c>
      <c r="B2137" t="s">
        <v>2322</v>
      </c>
      <c r="C2137" t="s">
        <v>2283</v>
      </c>
      <c r="D2137" t="s">
        <v>2305</v>
      </c>
      <c r="E2137" t="s">
        <v>388</v>
      </c>
      <c r="F2137" t="s">
        <v>2306</v>
      </c>
      <c r="G2137" t="s">
        <v>144</v>
      </c>
      <c r="H2137" s="1">
        <v>44601.990740740737</v>
      </c>
      <c r="I2137" s="1">
        <v>44605.990740740737</v>
      </c>
      <c r="J2137" t="s">
        <v>44</v>
      </c>
      <c r="K2137" s="1"/>
      <c r="T2137">
        <v>0</v>
      </c>
      <c r="AC2137" s="2">
        <f t="shared" si="297"/>
        <v>4</v>
      </c>
      <c r="AD2137" s="2" t="str">
        <f t="shared" si="298"/>
        <v/>
      </c>
      <c r="AE2137" s="2" t="str">
        <f t="shared" si="299"/>
        <v/>
      </c>
      <c r="AF2137" s="2" t="str">
        <f t="shared" si="300"/>
        <v/>
      </c>
      <c r="AG2137" s="2" t="str">
        <f t="shared" si="301"/>
        <v/>
      </c>
      <c r="AH2137" s="4" t="str">
        <f t="shared" si="302"/>
        <v/>
      </c>
      <c r="AI2137" s="2" t="str">
        <f t="shared" si="303"/>
        <v/>
      </c>
      <c r="AJ2137" s="2" t="str">
        <f t="shared" si="304"/>
        <v/>
      </c>
      <c r="AK2137" s="2" t="str">
        <f t="shared" si="305"/>
        <v/>
      </c>
    </row>
    <row r="2138" spans="1:37" x14ac:dyDescent="0.25">
      <c r="A2138">
        <v>923</v>
      </c>
      <c r="B2138" t="s">
        <v>2323</v>
      </c>
      <c r="C2138" t="s">
        <v>2283</v>
      </c>
      <c r="D2138" t="s">
        <v>2305</v>
      </c>
      <c r="E2138" t="s">
        <v>388</v>
      </c>
      <c r="F2138" t="s">
        <v>2306</v>
      </c>
      <c r="G2138" t="s">
        <v>144</v>
      </c>
      <c r="H2138" s="1">
        <v>45075.494004629632</v>
      </c>
      <c r="I2138" s="1">
        <v>45078.494004629632</v>
      </c>
      <c r="J2138" t="s">
        <v>32</v>
      </c>
      <c r="K2138" s="1">
        <v>45097.494004629632</v>
      </c>
      <c r="L2138" t="s">
        <v>33</v>
      </c>
      <c r="M2138" t="s">
        <v>51</v>
      </c>
      <c r="R2138" s="4">
        <v>45099.494004629632</v>
      </c>
      <c r="T2138">
        <v>0</v>
      </c>
      <c r="Y2138" t="s">
        <v>35</v>
      </c>
      <c r="AC2138" s="2">
        <f t="shared" si="297"/>
        <v>3</v>
      </c>
      <c r="AD2138" s="2">
        <f t="shared" si="298"/>
        <v>22</v>
      </c>
      <c r="AE2138" s="2">
        <f t="shared" si="299"/>
        <v>19</v>
      </c>
      <c r="AF2138" s="2">
        <f t="shared" si="300"/>
        <v>24</v>
      </c>
      <c r="AG2138" s="2">
        <f t="shared" si="301"/>
        <v>2</v>
      </c>
      <c r="AH2138" s="4">
        <f t="shared" si="302"/>
        <v>45189.494004629632</v>
      </c>
      <c r="AI2138" s="2" t="str">
        <f t="shared" si="303"/>
        <v/>
      </c>
      <c r="AJ2138" s="2" t="str">
        <f t="shared" si="304"/>
        <v/>
      </c>
      <c r="AK2138" s="2" t="str">
        <f t="shared" si="305"/>
        <v/>
      </c>
    </row>
    <row r="2139" spans="1:37" x14ac:dyDescent="0.25">
      <c r="A2139">
        <v>922</v>
      </c>
      <c r="B2139" t="s">
        <v>2324</v>
      </c>
      <c r="C2139" t="s">
        <v>2283</v>
      </c>
      <c r="D2139" t="s">
        <v>2305</v>
      </c>
      <c r="E2139" t="s">
        <v>388</v>
      </c>
      <c r="F2139" t="s">
        <v>2306</v>
      </c>
      <c r="G2139" t="s">
        <v>144</v>
      </c>
      <c r="H2139" s="1">
        <v>45071.494004629632</v>
      </c>
      <c r="I2139" s="1">
        <v>45075.494004629632</v>
      </c>
      <c r="J2139" t="s">
        <v>32</v>
      </c>
      <c r="K2139" s="1">
        <v>45086.494004629632</v>
      </c>
      <c r="L2139" t="s">
        <v>164</v>
      </c>
      <c r="N2139" s="4">
        <v>45091.494004629632</v>
      </c>
      <c r="O2139" t="s">
        <v>164</v>
      </c>
      <c r="R2139" s="4">
        <v>45088.494004629632</v>
      </c>
      <c r="T2139">
        <v>0</v>
      </c>
      <c r="AC2139" s="2">
        <f t="shared" si="297"/>
        <v>4</v>
      </c>
      <c r="AD2139" s="2">
        <f t="shared" si="298"/>
        <v>15</v>
      </c>
      <c r="AE2139" s="2">
        <f t="shared" si="299"/>
        <v>11</v>
      </c>
      <c r="AF2139" s="2">
        <f t="shared" si="300"/>
        <v>17</v>
      </c>
      <c r="AG2139" s="2">
        <f t="shared" si="301"/>
        <v>2</v>
      </c>
      <c r="AH2139" s="4">
        <f t="shared" si="302"/>
        <v>45178.494004629632</v>
      </c>
      <c r="AI2139" s="2" t="str">
        <f t="shared" si="303"/>
        <v/>
      </c>
      <c r="AJ2139" s="2" t="str">
        <f t="shared" si="304"/>
        <v/>
      </c>
      <c r="AK2139" s="2" t="str">
        <f t="shared" si="305"/>
        <v/>
      </c>
    </row>
    <row r="2140" spans="1:37" x14ac:dyDescent="0.25">
      <c r="A2140">
        <v>921</v>
      </c>
      <c r="B2140" t="s">
        <v>2325</v>
      </c>
      <c r="C2140" t="s">
        <v>2283</v>
      </c>
      <c r="D2140" t="s">
        <v>2305</v>
      </c>
      <c r="E2140" t="s">
        <v>388</v>
      </c>
      <c r="F2140" t="s">
        <v>2306</v>
      </c>
      <c r="G2140" t="s">
        <v>144</v>
      </c>
      <c r="H2140" s="1">
        <v>45070.494004629632</v>
      </c>
      <c r="I2140" s="1">
        <v>45074.494004629632</v>
      </c>
      <c r="J2140" t="s">
        <v>32</v>
      </c>
      <c r="K2140" s="1">
        <v>45089.494004629632</v>
      </c>
      <c r="L2140" t="s">
        <v>57</v>
      </c>
      <c r="N2140" s="4">
        <v>45095.494004629632</v>
      </c>
      <c r="O2140" t="s">
        <v>57</v>
      </c>
      <c r="P2140" s="4">
        <v>45090.494004629632</v>
      </c>
      <c r="Q2140" s="4">
        <v>45092.494004629632</v>
      </c>
      <c r="R2140" s="4">
        <v>45093.494004629632</v>
      </c>
      <c r="S2140" s="4">
        <v>45100.494004629632</v>
      </c>
      <c r="T2140">
        <v>1</v>
      </c>
      <c r="U2140" s="4">
        <v>45101.494004629632</v>
      </c>
      <c r="V2140" s="4">
        <v>45103.494004629632</v>
      </c>
      <c r="W2140" s="4">
        <v>45106.494004629632</v>
      </c>
      <c r="Z2140" s="4">
        <v>45117.494004629632</v>
      </c>
      <c r="AC2140" s="2">
        <f t="shared" si="297"/>
        <v>4</v>
      </c>
      <c r="AD2140" s="2">
        <f t="shared" si="298"/>
        <v>19</v>
      </c>
      <c r="AE2140" s="2">
        <f t="shared" si="299"/>
        <v>15</v>
      </c>
      <c r="AF2140" s="2">
        <f t="shared" si="300"/>
        <v>23</v>
      </c>
      <c r="AG2140" s="2">
        <f t="shared" si="301"/>
        <v>4</v>
      </c>
      <c r="AH2140" s="4">
        <f t="shared" si="302"/>
        <v>45183.494004629632</v>
      </c>
      <c r="AI2140" s="2">
        <f t="shared" si="303"/>
        <v>1</v>
      </c>
      <c r="AJ2140" s="2">
        <f t="shared" si="304"/>
        <v>24</v>
      </c>
      <c r="AK2140" s="2">
        <f t="shared" si="305"/>
        <v>13</v>
      </c>
    </row>
    <row r="2141" spans="1:37" x14ac:dyDescent="0.25">
      <c r="A2141">
        <v>808</v>
      </c>
      <c r="B2141" t="s">
        <v>2326</v>
      </c>
      <c r="C2141" t="s">
        <v>2283</v>
      </c>
      <c r="D2141" t="s">
        <v>2305</v>
      </c>
      <c r="E2141" t="s">
        <v>388</v>
      </c>
      <c r="F2141" t="s">
        <v>2306</v>
      </c>
      <c r="G2141" t="s">
        <v>144</v>
      </c>
      <c r="H2141" s="1">
        <v>44937.903796296298</v>
      </c>
      <c r="I2141" s="1">
        <v>44941.903796296298</v>
      </c>
      <c r="J2141" t="s">
        <v>32</v>
      </c>
      <c r="K2141" s="1">
        <v>44948.903796296298</v>
      </c>
      <c r="L2141" t="s">
        <v>39</v>
      </c>
      <c r="N2141" s="4">
        <v>44952.903796296298</v>
      </c>
      <c r="O2141" t="s">
        <v>39</v>
      </c>
      <c r="R2141" s="4">
        <v>44951.903796296298</v>
      </c>
      <c r="T2141">
        <v>0</v>
      </c>
      <c r="AC2141" s="2">
        <f t="shared" si="297"/>
        <v>4</v>
      </c>
      <c r="AD2141" s="2">
        <f t="shared" si="298"/>
        <v>11</v>
      </c>
      <c r="AE2141" s="2">
        <f t="shared" si="299"/>
        <v>7</v>
      </c>
      <c r="AF2141" s="2">
        <f t="shared" si="300"/>
        <v>14</v>
      </c>
      <c r="AG2141" s="2">
        <f t="shared" si="301"/>
        <v>3</v>
      </c>
      <c r="AH2141" s="4">
        <f t="shared" si="302"/>
        <v>45041.903796296298</v>
      </c>
      <c r="AI2141" s="2" t="str">
        <f t="shared" si="303"/>
        <v/>
      </c>
      <c r="AJ2141" s="2" t="str">
        <f t="shared" si="304"/>
        <v/>
      </c>
      <c r="AK2141" s="2" t="str">
        <f t="shared" si="305"/>
        <v/>
      </c>
    </row>
    <row r="2142" spans="1:37" x14ac:dyDescent="0.25">
      <c r="A2142">
        <v>803</v>
      </c>
      <c r="B2142" t="s">
        <v>2327</v>
      </c>
      <c r="C2142" t="s">
        <v>2283</v>
      </c>
      <c r="D2142" t="s">
        <v>2305</v>
      </c>
      <c r="E2142" t="s">
        <v>388</v>
      </c>
      <c r="F2142" t="s">
        <v>2306</v>
      </c>
      <c r="G2142" t="s">
        <v>144</v>
      </c>
      <c r="H2142" s="1">
        <v>44937.903796296298</v>
      </c>
      <c r="I2142" s="1">
        <v>44938.903796296298</v>
      </c>
      <c r="J2142" t="s">
        <v>32</v>
      </c>
      <c r="K2142" s="1">
        <v>44952.903796296298</v>
      </c>
      <c r="L2142" t="s">
        <v>33</v>
      </c>
      <c r="M2142" t="s">
        <v>67</v>
      </c>
      <c r="R2142" s="4">
        <v>44954.903796296298</v>
      </c>
      <c r="T2142">
        <v>0</v>
      </c>
      <c r="Y2142" t="s">
        <v>35</v>
      </c>
      <c r="AC2142" s="2">
        <f t="shared" si="297"/>
        <v>1</v>
      </c>
      <c r="AD2142" s="2">
        <f t="shared" si="298"/>
        <v>15</v>
      </c>
      <c r="AE2142" s="2">
        <f t="shared" si="299"/>
        <v>14</v>
      </c>
      <c r="AF2142" s="2">
        <f t="shared" si="300"/>
        <v>17</v>
      </c>
      <c r="AG2142" s="2">
        <f t="shared" si="301"/>
        <v>2</v>
      </c>
      <c r="AH2142" s="4">
        <f t="shared" si="302"/>
        <v>45044.903796296298</v>
      </c>
      <c r="AI2142" s="2" t="str">
        <f t="shared" si="303"/>
        <v/>
      </c>
      <c r="AJ2142" s="2" t="str">
        <f t="shared" si="304"/>
        <v/>
      </c>
      <c r="AK2142" s="2" t="str">
        <f t="shared" si="305"/>
        <v/>
      </c>
    </row>
    <row r="2143" spans="1:37" x14ac:dyDescent="0.25">
      <c r="A2143">
        <v>802</v>
      </c>
      <c r="B2143" t="s">
        <v>2328</v>
      </c>
      <c r="C2143" t="s">
        <v>2283</v>
      </c>
      <c r="D2143" t="s">
        <v>2305</v>
      </c>
      <c r="E2143" t="s">
        <v>388</v>
      </c>
      <c r="F2143" t="s">
        <v>2306</v>
      </c>
      <c r="G2143" t="s">
        <v>144</v>
      </c>
      <c r="H2143" s="1">
        <v>44937.903796296298</v>
      </c>
      <c r="I2143" s="1">
        <v>44941.903796296298</v>
      </c>
      <c r="J2143" t="s">
        <v>32</v>
      </c>
      <c r="K2143" s="1">
        <v>44946.903796296298</v>
      </c>
      <c r="L2143" t="s">
        <v>57</v>
      </c>
      <c r="N2143" s="4">
        <v>44950.903796296298</v>
      </c>
      <c r="O2143" t="s">
        <v>57</v>
      </c>
      <c r="P2143" s="4">
        <v>44947.903796296298</v>
      </c>
      <c r="Q2143" s="4">
        <v>44951.903796296298</v>
      </c>
      <c r="R2143" s="4">
        <v>44949.903796296298</v>
      </c>
      <c r="S2143" s="4">
        <v>44952.903796296298</v>
      </c>
      <c r="T2143">
        <v>1</v>
      </c>
      <c r="U2143" s="4">
        <v>44953.903796296298</v>
      </c>
      <c r="V2143" s="4">
        <v>44954.903796296298</v>
      </c>
      <c r="W2143" s="4">
        <v>44955.903796296298</v>
      </c>
      <c r="Z2143" s="4">
        <v>44970.903796296298</v>
      </c>
      <c r="AC2143" s="2">
        <f t="shared" si="297"/>
        <v>4</v>
      </c>
      <c r="AD2143" s="2">
        <f t="shared" si="298"/>
        <v>9</v>
      </c>
      <c r="AE2143" s="2">
        <f t="shared" si="299"/>
        <v>5</v>
      </c>
      <c r="AF2143" s="2">
        <f t="shared" si="300"/>
        <v>12</v>
      </c>
      <c r="AG2143" s="2">
        <f t="shared" si="301"/>
        <v>3</v>
      </c>
      <c r="AH2143" s="4">
        <f t="shared" si="302"/>
        <v>45039.903796296298</v>
      </c>
      <c r="AI2143" s="2">
        <f t="shared" si="303"/>
        <v>1</v>
      </c>
      <c r="AJ2143" s="2">
        <f t="shared" si="304"/>
        <v>21</v>
      </c>
      <c r="AK2143" s="2">
        <f t="shared" si="305"/>
        <v>6</v>
      </c>
    </row>
    <row r="2144" spans="1:37" x14ac:dyDescent="0.25">
      <c r="A2144">
        <v>771</v>
      </c>
      <c r="B2144" t="s">
        <v>2329</v>
      </c>
      <c r="C2144" t="s">
        <v>2283</v>
      </c>
      <c r="D2144" t="s">
        <v>2305</v>
      </c>
      <c r="E2144" t="s">
        <v>388</v>
      </c>
      <c r="F2144" t="s">
        <v>2306</v>
      </c>
      <c r="G2144" t="s">
        <v>144</v>
      </c>
      <c r="H2144" s="1">
        <v>45005.397060185183</v>
      </c>
      <c r="I2144" s="1">
        <v>45007.397060185183</v>
      </c>
      <c r="J2144" t="s">
        <v>32</v>
      </c>
      <c r="K2144" s="1">
        <v>45024.397060185183</v>
      </c>
      <c r="L2144" t="s">
        <v>33</v>
      </c>
      <c r="M2144" t="s">
        <v>51</v>
      </c>
      <c r="T2144">
        <v>0</v>
      </c>
      <c r="Y2144" t="s">
        <v>55</v>
      </c>
      <c r="AC2144" s="2">
        <f t="shared" si="297"/>
        <v>2</v>
      </c>
      <c r="AD2144" s="2">
        <f t="shared" si="298"/>
        <v>19</v>
      </c>
      <c r="AE2144" s="2">
        <f t="shared" si="299"/>
        <v>17</v>
      </c>
      <c r="AF2144" s="2" t="str">
        <f t="shared" si="300"/>
        <v/>
      </c>
      <c r="AG2144" s="2" t="str">
        <f t="shared" si="301"/>
        <v/>
      </c>
      <c r="AH2144" s="4" t="str">
        <f t="shared" si="302"/>
        <v/>
      </c>
      <c r="AI2144" s="2" t="str">
        <f t="shared" si="303"/>
        <v/>
      </c>
      <c r="AJ2144" s="2" t="str">
        <f t="shared" si="304"/>
        <v/>
      </c>
      <c r="AK2144" s="2" t="str">
        <f t="shared" si="305"/>
        <v/>
      </c>
    </row>
    <row r="2145" spans="1:37" x14ac:dyDescent="0.25">
      <c r="A2145">
        <v>666</v>
      </c>
      <c r="B2145" t="s">
        <v>2330</v>
      </c>
      <c r="C2145" t="s">
        <v>2283</v>
      </c>
      <c r="D2145" t="s">
        <v>2305</v>
      </c>
      <c r="E2145" t="s">
        <v>1167</v>
      </c>
      <c r="F2145" t="s">
        <v>2331</v>
      </c>
      <c r="G2145" t="s">
        <v>144</v>
      </c>
      <c r="H2145" s="1">
        <v>44572.204074074078</v>
      </c>
      <c r="I2145" s="1">
        <v>44575.204074074078</v>
      </c>
      <c r="J2145" t="s">
        <v>32</v>
      </c>
      <c r="K2145" s="1">
        <v>44591.204074074078</v>
      </c>
      <c r="L2145" t="s">
        <v>164</v>
      </c>
      <c r="N2145" s="4">
        <v>44595.204074074078</v>
      </c>
      <c r="O2145" t="s">
        <v>164</v>
      </c>
      <c r="R2145" s="4">
        <v>44592.204074074078</v>
      </c>
      <c r="T2145">
        <v>0</v>
      </c>
      <c r="AC2145" s="2">
        <f t="shared" si="297"/>
        <v>3</v>
      </c>
      <c r="AD2145" s="2">
        <f t="shared" si="298"/>
        <v>19</v>
      </c>
      <c r="AE2145" s="2">
        <f t="shared" si="299"/>
        <v>16</v>
      </c>
      <c r="AF2145" s="2">
        <f t="shared" si="300"/>
        <v>20</v>
      </c>
      <c r="AG2145" s="2">
        <f t="shared" si="301"/>
        <v>1</v>
      </c>
      <c r="AH2145" s="4">
        <f t="shared" si="302"/>
        <v>44682.204074074078</v>
      </c>
      <c r="AI2145" s="2" t="str">
        <f t="shared" si="303"/>
        <v/>
      </c>
      <c r="AJ2145" s="2" t="str">
        <f t="shared" si="304"/>
        <v/>
      </c>
      <c r="AK2145" s="2" t="str">
        <f t="shared" si="305"/>
        <v/>
      </c>
    </row>
    <row r="2146" spans="1:37" x14ac:dyDescent="0.25">
      <c r="A2146">
        <v>665</v>
      </c>
      <c r="B2146" t="s">
        <v>2332</v>
      </c>
      <c r="C2146" t="s">
        <v>2283</v>
      </c>
      <c r="D2146" t="s">
        <v>2305</v>
      </c>
      <c r="E2146" t="s">
        <v>1167</v>
      </c>
      <c r="F2146" t="s">
        <v>2331</v>
      </c>
      <c r="G2146" t="s">
        <v>144</v>
      </c>
      <c r="H2146" s="1">
        <v>44570.204074074078</v>
      </c>
      <c r="I2146" s="1">
        <v>44572.204074074078</v>
      </c>
      <c r="J2146" t="s">
        <v>32</v>
      </c>
      <c r="K2146" s="1">
        <v>44581.204074074078</v>
      </c>
      <c r="L2146" t="s">
        <v>39</v>
      </c>
      <c r="N2146" s="4">
        <v>44585.204074074078</v>
      </c>
      <c r="O2146" t="s">
        <v>39</v>
      </c>
      <c r="R2146" s="4">
        <v>44583.204074074078</v>
      </c>
      <c r="T2146">
        <v>0</v>
      </c>
      <c r="AC2146" s="2">
        <f t="shared" si="297"/>
        <v>2</v>
      </c>
      <c r="AD2146" s="2">
        <f t="shared" si="298"/>
        <v>11</v>
      </c>
      <c r="AE2146" s="2">
        <f t="shared" si="299"/>
        <v>9</v>
      </c>
      <c r="AF2146" s="2">
        <f t="shared" si="300"/>
        <v>13</v>
      </c>
      <c r="AG2146" s="2">
        <f t="shared" si="301"/>
        <v>2</v>
      </c>
      <c r="AH2146" s="4">
        <f t="shared" si="302"/>
        <v>44673.204074074078</v>
      </c>
      <c r="AI2146" s="2" t="str">
        <f t="shared" si="303"/>
        <v/>
      </c>
      <c r="AJ2146" s="2" t="str">
        <f t="shared" si="304"/>
        <v/>
      </c>
      <c r="AK2146" s="2" t="str">
        <f t="shared" si="305"/>
        <v/>
      </c>
    </row>
    <row r="2147" spans="1:37" x14ac:dyDescent="0.25">
      <c r="A2147">
        <v>625</v>
      </c>
      <c r="B2147" t="s">
        <v>2333</v>
      </c>
      <c r="C2147" t="s">
        <v>2283</v>
      </c>
      <c r="D2147" t="s">
        <v>2305</v>
      </c>
      <c r="E2147" t="s">
        <v>1167</v>
      </c>
      <c r="F2147" t="s">
        <v>2331</v>
      </c>
      <c r="G2147" t="s">
        <v>144</v>
      </c>
      <c r="H2147" s="1">
        <v>44994.828541666669</v>
      </c>
      <c r="I2147" s="1">
        <v>44997.828541666669</v>
      </c>
      <c r="J2147" t="s">
        <v>32</v>
      </c>
      <c r="K2147" s="1">
        <v>45013.828541666669</v>
      </c>
      <c r="L2147" t="s">
        <v>39</v>
      </c>
      <c r="N2147" s="4">
        <v>45018.828541666669</v>
      </c>
      <c r="O2147" t="s">
        <v>39</v>
      </c>
      <c r="R2147" s="4">
        <v>45016.828541666669</v>
      </c>
      <c r="T2147">
        <v>0</v>
      </c>
      <c r="AC2147" s="2">
        <f t="shared" si="297"/>
        <v>3</v>
      </c>
      <c r="AD2147" s="2">
        <f t="shared" si="298"/>
        <v>19</v>
      </c>
      <c r="AE2147" s="2">
        <f t="shared" si="299"/>
        <v>16</v>
      </c>
      <c r="AF2147" s="2">
        <f t="shared" si="300"/>
        <v>22</v>
      </c>
      <c r="AG2147" s="2">
        <f t="shared" si="301"/>
        <v>3</v>
      </c>
      <c r="AH2147" s="4">
        <f t="shared" si="302"/>
        <v>45106.828541666669</v>
      </c>
      <c r="AI2147" s="2" t="str">
        <f t="shared" si="303"/>
        <v/>
      </c>
      <c r="AJ2147" s="2" t="str">
        <f t="shared" si="304"/>
        <v/>
      </c>
      <c r="AK2147" s="2" t="str">
        <f t="shared" si="305"/>
        <v/>
      </c>
    </row>
    <row r="2148" spans="1:37" x14ac:dyDescent="0.25">
      <c r="A2148">
        <v>624</v>
      </c>
      <c r="B2148" t="s">
        <v>2334</v>
      </c>
      <c r="C2148" t="s">
        <v>2283</v>
      </c>
      <c r="D2148" t="s">
        <v>2305</v>
      </c>
      <c r="E2148" t="s">
        <v>1167</v>
      </c>
      <c r="F2148" t="s">
        <v>2331</v>
      </c>
      <c r="G2148" t="s">
        <v>144</v>
      </c>
      <c r="H2148" s="1">
        <v>44992.828541666669</v>
      </c>
      <c r="I2148" s="1">
        <v>44994.828541666669</v>
      </c>
      <c r="J2148" t="s">
        <v>32</v>
      </c>
      <c r="K2148" s="1">
        <v>45008.828541666669</v>
      </c>
      <c r="L2148" t="s">
        <v>57</v>
      </c>
      <c r="N2148" s="4">
        <v>45016.828541666669</v>
      </c>
      <c r="O2148" t="s">
        <v>57</v>
      </c>
      <c r="P2148" s="4">
        <v>45010.828541666669</v>
      </c>
      <c r="Q2148" s="4">
        <v>45013.828541666669</v>
      </c>
      <c r="R2148" s="4">
        <v>45012.828541666669</v>
      </c>
      <c r="S2148" s="4">
        <v>45015.828541666669</v>
      </c>
      <c r="T2148">
        <v>1</v>
      </c>
      <c r="U2148" s="4">
        <v>45019.828541666669</v>
      </c>
      <c r="V2148" s="4">
        <v>45020.828541666669</v>
      </c>
      <c r="W2148" s="4">
        <v>45021.828541666669</v>
      </c>
      <c r="Z2148" s="4">
        <v>45039.828541666669</v>
      </c>
      <c r="AC2148" s="2">
        <f t="shared" si="297"/>
        <v>2</v>
      </c>
      <c r="AD2148" s="2">
        <f t="shared" si="298"/>
        <v>16</v>
      </c>
      <c r="AE2148" s="2">
        <f t="shared" si="299"/>
        <v>14</v>
      </c>
      <c r="AF2148" s="2">
        <f t="shared" si="300"/>
        <v>20</v>
      </c>
      <c r="AG2148" s="2">
        <f t="shared" si="301"/>
        <v>4</v>
      </c>
      <c r="AH2148" s="4">
        <f t="shared" si="302"/>
        <v>45102.828541666669</v>
      </c>
      <c r="AI2148" s="2">
        <f t="shared" si="303"/>
        <v>4</v>
      </c>
      <c r="AJ2148" s="2">
        <f t="shared" si="304"/>
        <v>27</v>
      </c>
      <c r="AK2148" s="2">
        <f t="shared" si="305"/>
        <v>9</v>
      </c>
    </row>
    <row r="2149" spans="1:37" x14ac:dyDescent="0.25">
      <c r="A2149">
        <v>540</v>
      </c>
      <c r="B2149" t="s">
        <v>2335</v>
      </c>
      <c r="C2149" t="s">
        <v>2283</v>
      </c>
      <c r="D2149" t="s">
        <v>2305</v>
      </c>
      <c r="E2149" t="s">
        <v>1167</v>
      </c>
      <c r="F2149" t="s">
        <v>2331</v>
      </c>
      <c r="G2149" t="s">
        <v>144</v>
      </c>
      <c r="H2149" s="1">
        <v>44576.271180555559</v>
      </c>
      <c r="I2149" s="1">
        <v>44577.271180555559</v>
      </c>
      <c r="J2149" t="s">
        <v>44</v>
      </c>
      <c r="K2149" s="1"/>
      <c r="T2149">
        <v>0</v>
      </c>
      <c r="AC2149" s="2">
        <f t="shared" si="297"/>
        <v>1</v>
      </c>
      <c r="AD2149" s="2" t="str">
        <f t="shared" si="298"/>
        <v/>
      </c>
      <c r="AE2149" s="2" t="str">
        <f t="shared" si="299"/>
        <v/>
      </c>
      <c r="AF2149" s="2" t="str">
        <f t="shared" si="300"/>
        <v/>
      </c>
      <c r="AG2149" s="2" t="str">
        <f t="shared" si="301"/>
        <v/>
      </c>
      <c r="AH2149" s="4" t="str">
        <f t="shared" si="302"/>
        <v/>
      </c>
      <c r="AI2149" s="2" t="str">
        <f t="shared" si="303"/>
        <v/>
      </c>
      <c r="AJ2149" s="2" t="str">
        <f t="shared" si="304"/>
        <v/>
      </c>
      <c r="AK2149" s="2" t="str">
        <f t="shared" si="305"/>
        <v/>
      </c>
    </row>
    <row r="2150" spans="1:37" x14ac:dyDescent="0.25">
      <c r="A2150">
        <v>536</v>
      </c>
      <c r="B2150" t="s">
        <v>2336</v>
      </c>
      <c r="C2150" t="s">
        <v>2283</v>
      </c>
      <c r="D2150" t="s">
        <v>2305</v>
      </c>
      <c r="E2150" t="s">
        <v>1167</v>
      </c>
      <c r="F2150" t="s">
        <v>2331</v>
      </c>
      <c r="G2150" t="s">
        <v>144</v>
      </c>
      <c r="H2150" s="1">
        <v>44574.271180555559</v>
      </c>
      <c r="I2150" s="1">
        <v>44577.271180555559</v>
      </c>
      <c r="J2150" t="s">
        <v>32</v>
      </c>
      <c r="K2150" s="1">
        <v>44586.271180555559</v>
      </c>
      <c r="L2150" t="s">
        <v>164</v>
      </c>
      <c r="N2150" s="4">
        <v>44592.271180555559</v>
      </c>
      <c r="O2150" t="s">
        <v>164</v>
      </c>
      <c r="R2150" s="4">
        <v>44590.271180555559</v>
      </c>
      <c r="T2150">
        <v>0</v>
      </c>
      <c r="AC2150" s="2">
        <f t="shared" si="297"/>
        <v>3</v>
      </c>
      <c r="AD2150" s="2">
        <f t="shared" si="298"/>
        <v>12</v>
      </c>
      <c r="AE2150" s="2">
        <f t="shared" si="299"/>
        <v>9</v>
      </c>
      <c r="AF2150" s="2">
        <f t="shared" si="300"/>
        <v>16</v>
      </c>
      <c r="AG2150" s="2">
        <f t="shared" si="301"/>
        <v>4</v>
      </c>
      <c r="AH2150" s="4">
        <f t="shared" si="302"/>
        <v>44680.271180555559</v>
      </c>
      <c r="AI2150" s="2" t="str">
        <f t="shared" si="303"/>
        <v/>
      </c>
      <c r="AJ2150" s="2" t="str">
        <f t="shared" si="304"/>
        <v/>
      </c>
      <c r="AK2150" s="2" t="str">
        <f t="shared" si="305"/>
        <v/>
      </c>
    </row>
    <row r="2151" spans="1:37" x14ac:dyDescent="0.25">
      <c r="A2151">
        <v>533</v>
      </c>
      <c r="B2151" t="s">
        <v>2337</v>
      </c>
      <c r="C2151" t="s">
        <v>2283</v>
      </c>
      <c r="D2151" t="s">
        <v>2305</v>
      </c>
      <c r="E2151" t="s">
        <v>1167</v>
      </c>
      <c r="F2151" t="s">
        <v>2331</v>
      </c>
      <c r="G2151" t="s">
        <v>144</v>
      </c>
      <c r="H2151" s="1">
        <v>44574.271180555559</v>
      </c>
      <c r="I2151" s="1">
        <v>44575.271180555559</v>
      </c>
      <c r="J2151" t="s">
        <v>32</v>
      </c>
      <c r="K2151" s="1">
        <v>44593.271180555559</v>
      </c>
      <c r="L2151" t="s">
        <v>57</v>
      </c>
      <c r="N2151" s="4">
        <v>44598.271180555559</v>
      </c>
      <c r="O2151" t="s">
        <v>57</v>
      </c>
      <c r="P2151" s="4">
        <v>44595.271180555559</v>
      </c>
      <c r="Q2151" s="4">
        <v>44598.271180555559</v>
      </c>
      <c r="R2151" s="4">
        <v>44595.271180555559</v>
      </c>
      <c r="S2151" s="4">
        <v>44602.271180555559</v>
      </c>
      <c r="T2151">
        <v>1</v>
      </c>
      <c r="U2151" s="4">
        <v>44606.271180555559</v>
      </c>
      <c r="V2151" s="4">
        <v>44609.271180555559</v>
      </c>
      <c r="W2151" s="4">
        <v>44612.271180555559</v>
      </c>
      <c r="Z2151" s="4">
        <v>44631.271180555559</v>
      </c>
      <c r="AC2151" s="2">
        <f t="shared" si="297"/>
        <v>1</v>
      </c>
      <c r="AD2151" s="2">
        <f t="shared" si="298"/>
        <v>19</v>
      </c>
      <c r="AE2151" s="2">
        <f t="shared" si="299"/>
        <v>18</v>
      </c>
      <c r="AF2151" s="2">
        <f t="shared" si="300"/>
        <v>21</v>
      </c>
      <c r="AG2151" s="2">
        <f t="shared" si="301"/>
        <v>2</v>
      </c>
      <c r="AH2151" s="4">
        <f t="shared" si="302"/>
        <v>44685.271180555559</v>
      </c>
      <c r="AI2151" s="2">
        <f t="shared" si="303"/>
        <v>4</v>
      </c>
      <c r="AJ2151" s="2">
        <f t="shared" si="304"/>
        <v>36</v>
      </c>
      <c r="AK2151" s="2">
        <f t="shared" si="305"/>
        <v>17</v>
      </c>
    </row>
    <row r="2152" spans="1:37" x14ac:dyDescent="0.25">
      <c r="A2152">
        <v>501</v>
      </c>
      <c r="B2152" t="s">
        <v>2338</v>
      </c>
      <c r="C2152" t="s">
        <v>2283</v>
      </c>
      <c r="D2152" t="s">
        <v>2305</v>
      </c>
      <c r="E2152" t="s">
        <v>1167</v>
      </c>
      <c r="F2152" t="s">
        <v>2331</v>
      </c>
      <c r="G2152" t="s">
        <v>144</v>
      </c>
      <c r="H2152" s="1">
        <v>44746.103750000002</v>
      </c>
      <c r="I2152" s="1">
        <v>44747.103750000002</v>
      </c>
      <c r="J2152" t="s">
        <v>32</v>
      </c>
      <c r="K2152" s="1">
        <v>44758.103750000002</v>
      </c>
      <c r="L2152" t="s">
        <v>33</v>
      </c>
      <c r="M2152" t="s">
        <v>67</v>
      </c>
      <c r="T2152">
        <v>0</v>
      </c>
      <c r="Y2152" t="s">
        <v>35</v>
      </c>
      <c r="AC2152" s="2">
        <f t="shared" si="297"/>
        <v>1</v>
      </c>
      <c r="AD2152" s="2">
        <f t="shared" si="298"/>
        <v>12</v>
      </c>
      <c r="AE2152" s="2">
        <f t="shared" si="299"/>
        <v>11</v>
      </c>
      <c r="AF2152" s="2" t="str">
        <f t="shared" si="300"/>
        <v/>
      </c>
      <c r="AG2152" s="2" t="str">
        <f t="shared" si="301"/>
        <v/>
      </c>
      <c r="AH2152" s="4" t="str">
        <f t="shared" si="302"/>
        <v/>
      </c>
      <c r="AI2152" s="2" t="str">
        <f t="shared" si="303"/>
        <v/>
      </c>
      <c r="AJ2152" s="2" t="str">
        <f t="shared" si="304"/>
        <v/>
      </c>
      <c r="AK2152" s="2" t="str">
        <f t="shared" si="305"/>
        <v/>
      </c>
    </row>
    <row r="2153" spans="1:37" x14ac:dyDescent="0.25">
      <c r="A2153">
        <v>429</v>
      </c>
      <c r="B2153" t="s">
        <v>2339</v>
      </c>
      <c r="C2153" t="s">
        <v>2283</v>
      </c>
      <c r="D2153" t="s">
        <v>2305</v>
      </c>
      <c r="E2153" t="s">
        <v>1167</v>
      </c>
      <c r="F2153" t="s">
        <v>2331</v>
      </c>
      <c r="G2153" t="s">
        <v>144</v>
      </c>
      <c r="H2153" s="1">
        <v>44982.544421296298</v>
      </c>
      <c r="I2153" s="1">
        <v>44986.544421296298</v>
      </c>
      <c r="J2153" t="s">
        <v>44</v>
      </c>
      <c r="K2153" s="1"/>
      <c r="T2153">
        <v>0</v>
      </c>
      <c r="AC2153" s="2">
        <f t="shared" si="297"/>
        <v>4</v>
      </c>
      <c r="AD2153" s="2" t="str">
        <f t="shared" si="298"/>
        <v/>
      </c>
      <c r="AE2153" s="2" t="str">
        <f t="shared" si="299"/>
        <v/>
      </c>
      <c r="AF2153" s="2" t="str">
        <f t="shared" si="300"/>
        <v/>
      </c>
      <c r="AG2153" s="2" t="str">
        <f t="shared" si="301"/>
        <v/>
      </c>
      <c r="AH2153" s="4" t="str">
        <f t="shared" si="302"/>
        <v/>
      </c>
      <c r="AI2153" s="2" t="str">
        <f t="shared" si="303"/>
        <v/>
      </c>
      <c r="AJ2153" s="2" t="str">
        <f t="shared" si="304"/>
        <v/>
      </c>
      <c r="AK2153" s="2" t="str">
        <f t="shared" si="305"/>
        <v/>
      </c>
    </row>
    <row r="2154" spans="1:37" x14ac:dyDescent="0.25">
      <c r="A2154">
        <v>422</v>
      </c>
      <c r="B2154" t="s">
        <v>2340</v>
      </c>
      <c r="C2154" t="s">
        <v>2283</v>
      </c>
      <c r="D2154" t="s">
        <v>2305</v>
      </c>
      <c r="E2154" t="s">
        <v>1167</v>
      </c>
      <c r="F2154" t="s">
        <v>2331</v>
      </c>
      <c r="G2154" t="s">
        <v>144</v>
      </c>
      <c r="H2154" s="1">
        <v>44984.544421296298</v>
      </c>
      <c r="I2154" s="1">
        <v>44985.544421296298</v>
      </c>
      <c r="J2154" t="s">
        <v>32</v>
      </c>
      <c r="K2154" s="1">
        <v>44990.544421296298</v>
      </c>
      <c r="L2154" t="s">
        <v>39</v>
      </c>
      <c r="N2154" s="4">
        <v>44998.544421296298</v>
      </c>
      <c r="O2154" t="s">
        <v>39</v>
      </c>
      <c r="R2154" s="4">
        <v>44994.544421296298</v>
      </c>
      <c r="T2154">
        <v>0</v>
      </c>
      <c r="AC2154" s="2">
        <f t="shared" si="297"/>
        <v>1</v>
      </c>
      <c r="AD2154" s="2">
        <f t="shared" si="298"/>
        <v>6</v>
      </c>
      <c r="AE2154" s="2">
        <f t="shared" si="299"/>
        <v>5</v>
      </c>
      <c r="AF2154" s="2">
        <f t="shared" si="300"/>
        <v>10</v>
      </c>
      <c r="AG2154" s="2">
        <f t="shared" si="301"/>
        <v>4</v>
      </c>
      <c r="AH2154" s="4">
        <f t="shared" si="302"/>
        <v>45084.544421296298</v>
      </c>
      <c r="AI2154" s="2" t="str">
        <f t="shared" si="303"/>
        <v/>
      </c>
      <c r="AJ2154" s="2" t="str">
        <f t="shared" si="304"/>
        <v/>
      </c>
      <c r="AK2154" s="2" t="str">
        <f t="shared" si="305"/>
        <v/>
      </c>
    </row>
    <row r="2155" spans="1:37" x14ac:dyDescent="0.25">
      <c r="A2155">
        <v>411</v>
      </c>
      <c r="B2155" t="s">
        <v>2341</v>
      </c>
      <c r="C2155" t="s">
        <v>2283</v>
      </c>
      <c r="D2155" t="s">
        <v>2305</v>
      </c>
      <c r="E2155" t="s">
        <v>1167</v>
      </c>
      <c r="F2155" t="s">
        <v>2331</v>
      </c>
      <c r="G2155" t="s">
        <v>144</v>
      </c>
      <c r="H2155" s="1">
        <v>45092.637766203705</v>
      </c>
      <c r="I2155" s="1">
        <v>45094.637766203705</v>
      </c>
      <c r="J2155" t="s">
        <v>44</v>
      </c>
      <c r="K2155" s="1"/>
      <c r="T2155">
        <v>0</v>
      </c>
      <c r="AC2155" s="2">
        <f t="shared" si="297"/>
        <v>2</v>
      </c>
      <c r="AD2155" s="2" t="str">
        <f t="shared" si="298"/>
        <v/>
      </c>
      <c r="AE2155" s="2" t="str">
        <f t="shared" si="299"/>
        <v/>
      </c>
      <c r="AF2155" s="2" t="str">
        <f t="shared" si="300"/>
        <v/>
      </c>
      <c r="AG2155" s="2" t="str">
        <f t="shared" si="301"/>
        <v/>
      </c>
      <c r="AH2155" s="4" t="str">
        <f t="shared" si="302"/>
        <v/>
      </c>
      <c r="AI2155" s="2" t="str">
        <f t="shared" si="303"/>
        <v/>
      </c>
      <c r="AJ2155" s="2" t="str">
        <f t="shared" si="304"/>
        <v/>
      </c>
      <c r="AK2155" s="2" t="str">
        <f t="shared" si="305"/>
        <v/>
      </c>
    </row>
    <row r="2156" spans="1:37" x14ac:dyDescent="0.25">
      <c r="A2156">
        <v>269</v>
      </c>
      <c r="B2156" t="s">
        <v>2342</v>
      </c>
      <c r="C2156" t="s">
        <v>2283</v>
      </c>
      <c r="D2156" t="s">
        <v>2305</v>
      </c>
      <c r="E2156" t="s">
        <v>1167</v>
      </c>
      <c r="F2156" t="s">
        <v>2331</v>
      </c>
      <c r="G2156" t="s">
        <v>144</v>
      </c>
      <c r="H2156" s="1">
        <v>44768.282581018517</v>
      </c>
      <c r="I2156" s="1">
        <v>44769.282581018517</v>
      </c>
      <c r="J2156" t="s">
        <v>32</v>
      </c>
      <c r="K2156" s="1">
        <v>44779.282581018517</v>
      </c>
      <c r="L2156" t="s">
        <v>57</v>
      </c>
      <c r="N2156" s="4">
        <v>44785.282581018517</v>
      </c>
      <c r="O2156" t="s">
        <v>57</v>
      </c>
      <c r="P2156" s="4">
        <v>44781.282581018517</v>
      </c>
      <c r="Q2156" s="4">
        <v>44783.282581018517</v>
      </c>
      <c r="R2156" s="4">
        <v>44782.282581018517</v>
      </c>
      <c r="S2156" s="4">
        <v>44790.282581018517</v>
      </c>
      <c r="T2156">
        <v>1</v>
      </c>
      <c r="U2156" s="4">
        <v>44794.282581018517</v>
      </c>
      <c r="V2156" s="4">
        <v>44795.282581018517</v>
      </c>
      <c r="W2156" s="4">
        <v>44796.282581018517</v>
      </c>
      <c r="Z2156" s="4">
        <v>44818.282581018517</v>
      </c>
      <c r="AC2156" s="2">
        <f t="shared" si="297"/>
        <v>1</v>
      </c>
      <c r="AD2156" s="2">
        <f t="shared" si="298"/>
        <v>11</v>
      </c>
      <c r="AE2156" s="2">
        <f t="shared" si="299"/>
        <v>10</v>
      </c>
      <c r="AF2156" s="2">
        <f t="shared" si="300"/>
        <v>14</v>
      </c>
      <c r="AG2156" s="2">
        <f t="shared" si="301"/>
        <v>3</v>
      </c>
      <c r="AH2156" s="4">
        <f t="shared" si="302"/>
        <v>44872.282581018517</v>
      </c>
      <c r="AI2156" s="2">
        <f t="shared" si="303"/>
        <v>4</v>
      </c>
      <c r="AJ2156" s="2">
        <f t="shared" si="304"/>
        <v>36</v>
      </c>
      <c r="AK2156" s="2">
        <f t="shared" si="305"/>
        <v>14</v>
      </c>
    </row>
    <row r="2157" spans="1:37" x14ac:dyDescent="0.25">
      <c r="A2157">
        <v>266</v>
      </c>
      <c r="B2157" t="s">
        <v>2343</v>
      </c>
      <c r="C2157" t="s">
        <v>2283</v>
      </c>
      <c r="D2157" t="s">
        <v>2305</v>
      </c>
      <c r="E2157" t="s">
        <v>1167</v>
      </c>
      <c r="F2157" t="s">
        <v>2331</v>
      </c>
      <c r="G2157" t="s">
        <v>144</v>
      </c>
      <c r="H2157" s="1">
        <v>44763.282581018517</v>
      </c>
      <c r="I2157" s="1">
        <v>44766.282581018517</v>
      </c>
      <c r="J2157" t="s">
        <v>32</v>
      </c>
      <c r="K2157" s="1">
        <v>44779.282581018517</v>
      </c>
      <c r="L2157" t="s">
        <v>39</v>
      </c>
      <c r="N2157" s="4">
        <v>44785.282581018517</v>
      </c>
      <c r="O2157" t="s">
        <v>39</v>
      </c>
      <c r="R2157" s="4">
        <v>44781.282581018517</v>
      </c>
      <c r="T2157">
        <v>0</v>
      </c>
      <c r="AC2157" s="2">
        <f t="shared" si="297"/>
        <v>3</v>
      </c>
      <c r="AD2157" s="2">
        <f t="shared" si="298"/>
        <v>16</v>
      </c>
      <c r="AE2157" s="2">
        <f t="shared" si="299"/>
        <v>13</v>
      </c>
      <c r="AF2157" s="2">
        <f t="shared" si="300"/>
        <v>18</v>
      </c>
      <c r="AG2157" s="2">
        <f t="shared" si="301"/>
        <v>2</v>
      </c>
      <c r="AH2157" s="4">
        <f t="shared" si="302"/>
        <v>44871.282581018517</v>
      </c>
      <c r="AI2157" s="2" t="str">
        <f t="shared" si="303"/>
        <v/>
      </c>
      <c r="AJ2157" s="2" t="str">
        <f t="shared" si="304"/>
        <v/>
      </c>
      <c r="AK2157" s="2" t="str">
        <f t="shared" si="305"/>
        <v/>
      </c>
    </row>
    <row r="2158" spans="1:37" x14ac:dyDescent="0.25">
      <c r="A2158">
        <v>256</v>
      </c>
      <c r="B2158" t="s">
        <v>2344</v>
      </c>
      <c r="C2158" t="s">
        <v>2283</v>
      </c>
      <c r="D2158" t="s">
        <v>2305</v>
      </c>
      <c r="E2158" t="s">
        <v>1167</v>
      </c>
      <c r="F2158" t="s">
        <v>2331</v>
      </c>
      <c r="G2158" t="s">
        <v>144</v>
      </c>
      <c r="H2158" s="1">
        <v>44705.632962962962</v>
      </c>
      <c r="I2158" s="1">
        <v>44708.632962962962</v>
      </c>
      <c r="J2158" t="s">
        <v>32</v>
      </c>
      <c r="K2158" s="1">
        <v>44724.632962962962</v>
      </c>
      <c r="L2158" t="s">
        <v>57</v>
      </c>
      <c r="N2158" s="4">
        <v>44731.632962962962</v>
      </c>
      <c r="O2158" t="s">
        <v>57</v>
      </c>
      <c r="P2158" s="4">
        <v>44725.632962962962</v>
      </c>
      <c r="Q2158" s="4">
        <v>44727.632962962962</v>
      </c>
      <c r="R2158" s="4">
        <v>44728.632962962962</v>
      </c>
      <c r="S2158" s="4">
        <v>44732.632962962962</v>
      </c>
      <c r="T2158">
        <v>1</v>
      </c>
      <c r="U2158" s="4">
        <v>44734.632962962962</v>
      </c>
      <c r="V2158" s="4">
        <v>44735.632962962962</v>
      </c>
      <c r="W2158" s="4">
        <v>44737.632962962962</v>
      </c>
      <c r="Z2158" s="4">
        <v>44746.632962962962</v>
      </c>
      <c r="AC2158" s="2">
        <f t="shared" si="297"/>
        <v>3</v>
      </c>
      <c r="AD2158" s="2">
        <f t="shared" si="298"/>
        <v>19</v>
      </c>
      <c r="AE2158" s="2">
        <f t="shared" si="299"/>
        <v>16</v>
      </c>
      <c r="AF2158" s="2">
        <f t="shared" si="300"/>
        <v>23</v>
      </c>
      <c r="AG2158" s="2">
        <f t="shared" si="301"/>
        <v>4</v>
      </c>
      <c r="AH2158" s="4">
        <f t="shared" si="302"/>
        <v>44818.632962962962</v>
      </c>
      <c r="AI2158" s="2">
        <f t="shared" si="303"/>
        <v>2</v>
      </c>
      <c r="AJ2158" s="2">
        <f t="shared" si="304"/>
        <v>18</v>
      </c>
      <c r="AK2158" s="2">
        <f t="shared" si="305"/>
        <v>9</v>
      </c>
    </row>
    <row r="2159" spans="1:37" x14ac:dyDescent="0.25">
      <c r="A2159">
        <v>254</v>
      </c>
      <c r="B2159" t="s">
        <v>2345</v>
      </c>
      <c r="C2159" t="s">
        <v>2283</v>
      </c>
      <c r="D2159" t="s">
        <v>2305</v>
      </c>
      <c r="E2159" t="s">
        <v>1167</v>
      </c>
      <c r="F2159" t="s">
        <v>2331</v>
      </c>
      <c r="G2159" t="s">
        <v>144</v>
      </c>
      <c r="H2159" s="1">
        <v>44706.632962962962</v>
      </c>
      <c r="I2159" s="1">
        <v>44710.632962962962</v>
      </c>
      <c r="J2159" t="s">
        <v>32</v>
      </c>
      <c r="K2159" s="1">
        <v>44718.632962962962</v>
      </c>
      <c r="L2159" t="s">
        <v>33</v>
      </c>
      <c r="M2159" t="s">
        <v>51</v>
      </c>
      <c r="T2159">
        <v>0</v>
      </c>
      <c r="Y2159" t="s">
        <v>55</v>
      </c>
      <c r="AC2159" s="2">
        <f t="shared" si="297"/>
        <v>4</v>
      </c>
      <c r="AD2159" s="2">
        <f t="shared" si="298"/>
        <v>12</v>
      </c>
      <c r="AE2159" s="2">
        <f t="shared" si="299"/>
        <v>8</v>
      </c>
      <c r="AF2159" s="2" t="str">
        <f t="shared" si="300"/>
        <v/>
      </c>
      <c r="AG2159" s="2" t="str">
        <f t="shared" si="301"/>
        <v/>
      </c>
      <c r="AH2159" s="4" t="str">
        <f t="shared" si="302"/>
        <v/>
      </c>
      <c r="AI2159" s="2" t="str">
        <f t="shared" si="303"/>
        <v/>
      </c>
      <c r="AJ2159" s="2" t="str">
        <f t="shared" si="304"/>
        <v/>
      </c>
      <c r="AK2159" s="2" t="str">
        <f t="shared" si="305"/>
        <v/>
      </c>
    </row>
    <row r="2160" spans="1:37" x14ac:dyDescent="0.25">
      <c r="A2160">
        <v>251</v>
      </c>
      <c r="B2160" t="s">
        <v>2346</v>
      </c>
      <c r="C2160" t="s">
        <v>2283</v>
      </c>
      <c r="D2160" t="s">
        <v>2305</v>
      </c>
      <c r="E2160" t="s">
        <v>1167</v>
      </c>
      <c r="F2160" t="s">
        <v>2331</v>
      </c>
      <c r="G2160" t="s">
        <v>144</v>
      </c>
      <c r="H2160" s="1">
        <v>44708.632962962962</v>
      </c>
      <c r="I2160" s="1">
        <v>44711.632962962962</v>
      </c>
      <c r="J2160" t="s">
        <v>32</v>
      </c>
      <c r="K2160" s="1">
        <v>44726.632962962962</v>
      </c>
      <c r="L2160" t="s">
        <v>33</v>
      </c>
      <c r="M2160" t="s">
        <v>92</v>
      </c>
      <c r="R2160" s="4">
        <v>44727.632962962962</v>
      </c>
      <c r="T2160">
        <v>0</v>
      </c>
      <c r="Y2160" t="s">
        <v>35</v>
      </c>
      <c r="AC2160" s="2">
        <f t="shared" si="297"/>
        <v>3</v>
      </c>
      <c r="AD2160" s="2">
        <f t="shared" si="298"/>
        <v>18</v>
      </c>
      <c r="AE2160" s="2">
        <f t="shared" si="299"/>
        <v>15</v>
      </c>
      <c r="AF2160" s="2">
        <f t="shared" si="300"/>
        <v>19</v>
      </c>
      <c r="AG2160" s="2">
        <f t="shared" si="301"/>
        <v>1</v>
      </c>
      <c r="AH2160" s="4">
        <f t="shared" si="302"/>
        <v>44817.632962962962</v>
      </c>
      <c r="AI2160" s="2" t="str">
        <f t="shared" si="303"/>
        <v/>
      </c>
      <c r="AJ2160" s="2" t="str">
        <f t="shared" si="304"/>
        <v/>
      </c>
      <c r="AK2160" s="2" t="str">
        <f t="shared" si="305"/>
        <v/>
      </c>
    </row>
    <row r="2161" spans="1:37" x14ac:dyDescent="0.25">
      <c r="A2161">
        <v>231</v>
      </c>
      <c r="B2161" t="s">
        <v>2347</v>
      </c>
      <c r="C2161" t="s">
        <v>2283</v>
      </c>
      <c r="D2161" t="s">
        <v>2305</v>
      </c>
      <c r="E2161" t="s">
        <v>1167</v>
      </c>
      <c r="F2161" t="s">
        <v>2331</v>
      </c>
      <c r="G2161" t="s">
        <v>144</v>
      </c>
      <c r="H2161" s="1">
        <v>44595.810960648145</v>
      </c>
      <c r="I2161" s="1">
        <v>44599.810960648145</v>
      </c>
      <c r="J2161" t="s">
        <v>32</v>
      </c>
      <c r="K2161" s="1">
        <v>44604.810960648145</v>
      </c>
      <c r="L2161" t="s">
        <v>33</v>
      </c>
      <c r="M2161" t="s">
        <v>92</v>
      </c>
      <c r="R2161" s="4">
        <v>44608.810960648145</v>
      </c>
      <c r="T2161">
        <v>0</v>
      </c>
      <c r="Y2161" t="s">
        <v>35</v>
      </c>
      <c r="AC2161" s="2">
        <f t="shared" si="297"/>
        <v>4</v>
      </c>
      <c r="AD2161" s="2">
        <f t="shared" si="298"/>
        <v>9</v>
      </c>
      <c r="AE2161" s="2">
        <f t="shared" si="299"/>
        <v>5</v>
      </c>
      <c r="AF2161" s="2">
        <f t="shared" si="300"/>
        <v>13</v>
      </c>
      <c r="AG2161" s="2">
        <f t="shared" si="301"/>
        <v>4</v>
      </c>
      <c r="AH2161" s="4">
        <f t="shared" si="302"/>
        <v>44698.810960648145</v>
      </c>
      <c r="AI2161" s="2" t="str">
        <f t="shared" si="303"/>
        <v/>
      </c>
      <c r="AJ2161" s="2" t="str">
        <f t="shared" si="304"/>
        <v/>
      </c>
      <c r="AK2161" s="2" t="str">
        <f t="shared" si="305"/>
        <v/>
      </c>
    </row>
    <row r="2162" spans="1:37" x14ac:dyDescent="0.25">
      <c r="A2162">
        <v>224</v>
      </c>
      <c r="B2162" t="s">
        <v>2348</v>
      </c>
      <c r="C2162" t="s">
        <v>2283</v>
      </c>
      <c r="D2162" t="s">
        <v>2305</v>
      </c>
      <c r="E2162" t="s">
        <v>1167</v>
      </c>
      <c r="F2162" t="s">
        <v>2331</v>
      </c>
      <c r="G2162" t="s">
        <v>144</v>
      </c>
      <c r="H2162" s="1">
        <v>44741.447731481479</v>
      </c>
      <c r="I2162" s="1">
        <v>44743.447731481479</v>
      </c>
      <c r="J2162" t="s">
        <v>32</v>
      </c>
      <c r="K2162" s="1">
        <v>44754.447731481479</v>
      </c>
      <c r="L2162" t="s">
        <v>33</v>
      </c>
      <c r="M2162" t="s">
        <v>92</v>
      </c>
      <c r="T2162">
        <v>0</v>
      </c>
      <c r="Y2162" t="s">
        <v>55</v>
      </c>
      <c r="AC2162" s="2">
        <f t="shared" si="297"/>
        <v>2</v>
      </c>
      <c r="AD2162" s="2">
        <f t="shared" si="298"/>
        <v>13</v>
      </c>
      <c r="AE2162" s="2">
        <f t="shared" si="299"/>
        <v>11</v>
      </c>
      <c r="AF2162" s="2" t="str">
        <f t="shared" si="300"/>
        <v/>
      </c>
      <c r="AG2162" s="2" t="str">
        <f t="shared" si="301"/>
        <v/>
      </c>
      <c r="AH2162" s="4" t="str">
        <f t="shared" si="302"/>
        <v/>
      </c>
      <c r="AI2162" s="2" t="str">
        <f t="shared" si="303"/>
        <v/>
      </c>
      <c r="AJ2162" s="2" t="str">
        <f t="shared" si="304"/>
        <v/>
      </c>
      <c r="AK2162" s="2" t="str">
        <f t="shared" si="305"/>
        <v/>
      </c>
    </row>
    <row r="2163" spans="1:37" x14ac:dyDescent="0.25">
      <c r="A2163">
        <v>223</v>
      </c>
      <c r="B2163" t="s">
        <v>2349</v>
      </c>
      <c r="C2163" t="s">
        <v>2283</v>
      </c>
      <c r="D2163" t="s">
        <v>2305</v>
      </c>
      <c r="E2163" t="s">
        <v>1167</v>
      </c>
      <c r="F2163" t="s">
        <v>2331</v>
      </c>
      <c r="G2163" t="s">
        <v>144</v>
      </c>
      <c r="H2163" s="1">
        <v>44740.447731481479</v>
      </c>
      <c r="I2163" s="1">
        <v>44742.447731481479</v>
      </c>
      <c r="J2163" t="s">
        <v>32</v>
      </c>
      <c r="K2163" s="1">
        <v>44750.447731481479</v>
      </c>
      <c r="L2163" t="s">
        <v>33</v>
      </c>
      <c r="M2163" t="s">
        <v>92</v>
      </c>
      <c r="R2163" s="4">
        <v>44753.447731481479</v>
      </c>
      <c r="T2163">
        <v>0</v>
      </c>
      <c r="Y2163" t="s">
        <v>35</v>
      </c>
      <c r="AC2163" s="2">
        <f t="shared" si="297"/>
        <v>2</v>
      </c>
      <c r="AD2163" s="2">
        <f t="shared" si="298"/>
        <v>10</v>
      </c>
      <c r="AE2163" s="2">
        <f t="shared" si="299"/>
        <v>8</v>
      </c>
      <c r="AF2163" s="2">
        <f t="shared" si="300"/>
        <v>13</v>
      </c>
      <c r="AG2163" s="2">
        <f t="shared" si="301"/>
        <v>3</v>
      </c>
      <c r="AH2163" s="4">
        <f t="shared" si="302"/>
        <v>44843.447731481479</v>
      </c>
      <c r="AI2163" s="2" t="str">
        <f t="shared" si="303"/>
        <v/>
      </c>
      <c r="AJ2163" s="2" t="str">
        <f t="shared" si="304"/>
        <v/>
      </c>
      <c r="AK2163" s="2" t="str">
        <f t="shared" si="305"/>
        <v/>
      </c>
    </row>
    <row r="2164" spans="1:37" x14ac:dyDescent="0.25">
      <c r="A2164">
        <v>158</v>
      </c>
      <c r="B2164" t="s">
        <v>2350</v>
      </c>
      <c r="C2164" t="s">
        <v>2283</v>
      </c>
      <c r="D2164" t="s">
        <v>2305</v>
      </c>
      <c r="E2164" t="s">
        <v>1167</v>
      </c>
      <c r="F2164" t="s">
        <v>2331</v>
      </c>
      <c r="G2164" t="s">
        <v>144</v>
      </c>
      <c r="H2164" s="1">
        <v>44931.64434027778</v>
      </c>
      <c r="I2164" s="1">
        <v>44932.64434027778</v>
      </c>
      <c r="J2164" t="s">
        <v>32</v>
      </c>
      <c r="K2164" s="1">
        <v>44942.64434027778</v>
      </c>
      <c r="L2164" t="s">
        <v>33</v>
      </c>
      <c r="M2164" t="s">
        <v>67</v>
      </c>
      <c r="T2164">
        <v>0</v>
      </c>
      <c r="Y2164" t="s">
        <v>35</v>
      </c>
      <c r="AC2164" s="2">
        <f t="shared" si="297"/>
        <v>1</v>
      </c>
      <c r="AD2164" s="2">
        <f t="shared" si="298"/>
        <v>11</v>
      </c>
      <c r="AE2164" s="2">
        <f t="shared" si="299"/>
        <v>10</v>
      </c>
      <c r="AF2164" s="2" t="str">
        <f t="shared" si="300"/>
        <v/>
      </c>
      <c r="AG2164" s="2" t="str">
        <f t="shared" si="301"/>
        <v/>
      </c>
      <c r="AH2164" s="4" t="str">
        <f t="shared" si="302"/>
        <v/>
      </c>
      <c r="AI2164" s="2" t="str">
        <f t="shared" si="303"/>
        <v/>
      </c>
      <c r="AJ2164" s="2" t="str">
        <f t="shared" si="304"/>
        <v/>
      </c>
      <c r="AK2164" s="2" t="str">
        <f t="shared" si="305"/>
        <v/>
      </c>
    </row>
    <row r="2165" spans="1:37" x14ac:dyDescent="0.25">
      <c r="A2165">
        <v>153</v>
      </c>
      <c r="B2165" t="s">
        <v>2351</v>
      </c>
      <c r="C2165" t="s">
        <v>2283</v>
      </c>
      <c r="D2165" t="s">
        <v>2305</v>
      </c>
      <c r="E2165" t="s">
        <v>1167</v>
      </c>
      <c r="F2165" t="s">
        <v>2331</v>
      </c>
      <c r="G2165" t="s">
        <v>144</v>
      </c>
      <c r="H2165" s="1">
        <v>44930.64434027778</v>
      </c>
      <c r="I2165" s="1">
        <v>44934.64434027778</v>
      </c>
      <c r="J2165" t="s">
        <v>44</v>
      </c>
      <c r="K2165" s="1"/>
      <c r="T2165">
        <v>0</v>
      </c>
      <c r="AC2165" s="2">
        <f t="shared" si="297"/>
        <v>4</v>
      </c>
      <c r="AD2165" s="2" t="str">
        <f t="shared" si="298"/>
        <v/>
      </c>
      <c r="AE2165" s="2" t="str">
        <f t="shared" si="299"/>
        <v/>
      </c>
      <c r="AF2165" s="2" t="str">
        <f t="shared" si="300"/>
        <v/>
      </c>
      <c r="AG2165" s="2" t="str">
        <f t="shared" si="301"/>
        <v/>
      </c>
      <c r="AH2165" s="4" t="str">
        <f t="shared" si="302"/>
        <v/>
      </c>
      <c r="AI2165" s="2" t="str">
        <f t="shared" si="303"/>
        <v/>
      </c>
      <c r="AJ2165" s="2" t="str">
        <f t="shared" si="304"/>
        <v/>
      </c>
      <c r="AK2165" s="2" t="str">
        <f t="shared" si="305"/>
        <v/>
      </c>
    </row>
    <row r="2166" spans="1:37" x14ac:dyDescent="0.25">
      <c r="A2166">
        <v>142</v>
      </c>
      <c r="B2166" t="s">
        <v>2352</v>
      </c>
      <c r="C2166" t="s">
        <v>2283</v>
      </c>
      <c r="D2166" t="s">
        <v>2305</v>
      </c>
      <c r="E2166" t="s">
        <v>827</v>
      </c>
      <c r="F2166" t="s">
        <v>2353</v>
      </c>
      <c r="G2166" t="s">
        <v>144</v>
      </c>
      <c r="H2166" s="1">
        <v>44628.982245370367</v>
      </c>
      <c r="I2166" s="1">
        <v>44632.982245370367</v>
      </c>
      <c r="J2166" t="s">
        <v>32</v>
      </c>
      <c r="K2166" s="1">
        <v>44646.982245370367</v>
      </c>
      <c r="L2166" t="s">
        <v>164</v>
      </c>
      <c r="N2166" s="4">
        <v>44651.982245370367</v>
      </c>
      <c r="O2166" t="s">
        <v>164</v>
      </c>
      <c r="R2166" s="4">
        <v>44650.982245370367</v>
      </c>
      <c r="T2166">
        <v>0</v>
      </c>
      <c r="AC2166" s="2">
        <f t="shared" si="297"/>
        <v>4</v>
      </c>
      <c r="AD2166" s="2">
        <f t="shared" si="298"/>
        <v>18</v>
      </c>
      <c r="AE2166" s="2">
        <f t="shared" si="299"/>
        <v>14</v>
      </c>
      <c r="AF2166" s="2">
        <f t="shared" si="300"/>
        <v>22</v>
      </c>
      <c r="AG2166" s="2">
        <f t="shared" si="301"/>
        <v>4</v>
      </c>
      <c r="AH2166" s="4">
        <f t="shared" si="302"/>
        <v>44740.982245370367</v>
      </c>
      <c r="AI2166" s="2" t="str">
        <f t="shared" si="303"/>
        <v/>
      </c>
      <c r="AJ2166" s="2" t="str">
        <f t="shared" si="304"/>
        <v/>
      </c>
      <c r="AK2166" s="2" t="str">
        <f t="shared" si="305"/>
        <v/>
      </c>
    </row>
    <row r="2167" spans="1:37" x14ac:dyDescent="0.25">
      <c r="A2167">
        <v>115</v>
      </c>
      <c r="B2167" t="s">
        <v>2354</v>
      </c>
      <c r="C2167" t="s">
        <v>2283</v>
      </c>
      <c r="D2167" t="s">
        <v>2305</v>
      </c>
      <c r="E2167" t="s">
        <v>827</v>
      </c>
      <c r="F2167" t="s">
        <v>2353</v>
      </c>
      <c r="G2167" t="s">
        <v>144</v>
      </c>
      <c r="H2167" s="1">
        <v>44738.19809027778</v>
      </c>
      <c r="I2167" s="1">
        <v>44741.19809027778</v>
      </c>
      <c r="J2167" t="s">
        <v>32</v>
      </c>
      <c r="K2167" s="1">
        <v>44760.19809027778</v>
      </c>
      <c r="L2167" t="s">
        <v>33</v>
      </c>
      <c r="M2167" t="s">
        <v>108</v>
      </c>
      <c r="T2167">
        <v>0</v>
      </c>
      <c r="Y2167" t="s">
        <v>55</v>
      </c>
      <c r="AC2167" s="2">
        <f t="shared" si="297"/>
        <v>3</v>
      </c>
      <c r="AD2167" s="2">
        <f t="shared" si="298"/>
        <v>22</v>
      </c>
      <c r="AE2167" s="2">
        <f t="shared" si="299"/>
        <v>19</v>
      </c>
      <c r="AF2167" s="2" t="str">
        <f t="shared" si="300"/>
        <v/>
      </c>
      <c r="AG2167" s="2" t="str">
        <f t="shared" si="301"/>
        <v/>
      </c>
      <c r="AH2167" s="4" t="str">
        <f t="shared" si="302"/>
        <v/>
      </c>
      <c r="AI2167" s="2" t="str">
        <f t="shared" si="303"/>
        <v/>
      </c>
      <c r="AJ2167" s="2" t="str">
        <f t="shared" si="304"/>
        <v/>
      </c>
      <c r="AK2167" s="2" t="str">
        <f t="shared" si="305"/>
        <v/>
      </c>
    </row>
    <row r="2168" spans="1:37" x14ac:dyDescent="0.25">
      <c r="A2168">
        <v>112</v>
      </c>
      <c r="B2168" t="s">
        <v>2355</v>
      </c>
      <c r="C2168" t="s">
        <v>2283</v>
      </c>
      <c r="D2168" t="s">
        <v>2305</v>
      </c>
      <c r="E2168" t="s">
        <v>827</v>
      </c>
      <c r="F2168" t="s">
        <v>2353</v>
      </c>
      <c r="G2168" t="s">
        <v>144</v>
      </c>
      <c r="H2168" s="1">
        <v>44743.19809027778</v>
      </c>
      <c r="I2168" s="1">
        <v>44744.19809027778</v>
      </c>
      <c r="J2168" t="s">
        <v>32</v>
      </c>
      <c r="K2168" s="1">
        <v>44752.19809027778</v>
      </c>
      <c r="L2168" t="s">
        <v>57</v>
      </c>
      <c r="N2168" s="4">
        <v>44758.19809027778</v>
      </c>
      <c r="O2168" t="s">
        <v>57</v>
      </c>
      <c r="P2168" s="4">
        <v>44753.19809027778</v>
      </c>
      <c r="Q2168" s="4">
        <v>44757.19809027778</v>
      </c>
      <c r="R2168" s="4">
        <v>44754.19809027778</v>
      </c>
      <c r="S2168" s="4">
        <v>44755.19809027778</v>
      </c>
      <c r="T2168">
        <v>1</v>
      </c>
      <c r="U2168" s="4">
        <v>44757.19809027778</v>
      </c>
      <c r="V2168" s="4">
        <v>44758.19809027778</v>
      </c>
      <c r="W2168" s="4">
        <v>44761.19809027778</v>
      </c>
      <c r="Z2168" s="4">
        <v>44782.19809027778</v>
      </c>
      <c r="AC2168" s="2">
        <f t="shared" si="297"/>
        <v>1</v>
      </c>
      <c r="AD2168" s="2">
        <f t="shared" si="298"/>
        <v>9</v>
      </c>
      <c r="AE2168" s="2">
        <f t="shared" si="299"/>
        <v>8</v>
      </c>
      <c r="AF2168" s="2">
        <f t="shared" si="300"/>
        <v>11</v>
      </c>
      <c r="AG2168" s="2">
        <f t="shared" si="301"/>
        <v>2</v>
      </c>
      <c r="AH2168" s="4">
        <f t="shared" si="302"/>
        <v>44844.19809027778</v>
      </c>
      <c r="AI2168" s="2">
        <f t="shared" si="303"/>
        <v>2</v>
      </c>
      <c r="AJ2168" s="2">
        <f t="shared" si="304"/>
        <v>28</v>
      </c>
      <c r="AK2168" s="2">
        <f t="shared" si="305"/>
        <v>7</v>
      </c>
    </row>
    <row r="2169" spans="1:37" x14ac:dyDescent="0.25">
      <c r="A2169">
        <v>60</v>
      </c>
      <c r="B2169" t="s">
        <v>2356</v>
      </c>
      <c r="C2169" t="s">
        <v>2283</v>
      </c>
      <c r="D2169" t="s">
        <v>2305</v>
      </c>
      <c r="E2169" t="s">
        <v>827</v>
      </c>
      <c r="F2169" t="s">
        <v>2353</v>
      </c>
      <c r="G2169" t="s">
        <v>144</v>
      </c>
      <c r="H2169" s="1">
        <v>44773.01295138889</v>
      </c>
      <c r="I2169" s="1">
        <v>44776.01295138889</v>
      </c>
      <c r="J2169" t="s">
        <v>44</v>
      </c>
      <c r="K2169" s="1"/>
      <c r="T2169">
        <v>0</v>
      </c>
      <c r="AC2169" s="2">
        <f t="shared" si="297"/>
        <v>3</v>
      </c>
      <c r="AD2169" s="2" t="str">
        <f t="shared" si="298"/>
        <v/>
      </c>
      <c r="AE2169" s="2" t="str">
        <f t="shared" si="299"/>
        <v/>
      </c>
      <c r="AF2169" s="2" t="str">
        <f t="shared" si="300"/>
        <v/>
      </c>
      <c r="AG2169" s="2" t="str">
        <f t="shared" si="301"/>
        <v/>
      </c>
      <c r="AH2169" s="4" t="str">
        <f t="shared" si="302"/>
        <v/>
      </c>
      <c r="AI2169" s="2" t="str">
        <f t="shared" si="303"/>
        <v/>
      </c>
      <c r="AJ2169" s="2" t="str">
        <f t="shared" si="304"/>
        <v/>
      </c>
      <c r="AK2169" s="2" t="str">
        <f t="shared" si="305"/>
        <v/>
      </c>
    </row>
    <row r="2170" spans="1:37" x14ac:dyDescent="0.25">
      <c r="A2170">
        <v>59</v>
      </c>
      <c r="B2170" t="s">
        <v>2357</v>
      </c>
      <c r="C2170" t="s">
        <v>2283</v>
      </c>
      <c r="D2170" t="s">
        <v>2305</v>
      </c>
      <c r="E2170" t="s">
        <v>827</v>
      </c>
      <c r="F2170" t="s">
        <v>2353</v>
      </c>
      <c r="G2170" t="s">
        <v>144</v>
      </c>
      <c r="H2170" s="1">
        <v>44771.01295138889</v>
      </c>
      <c r="I2170" s="1">
        <v>44772.01295138889</v>
      </c>
      <c r="J2170" t="s">
        <v>32</v>
      </c>
      <c r="K2170" s="1">
        <v>44790.01295138889</v>
      </c>
      <c r="L2170" t="s">
        <v>33</v>
      </c>
      <c r="M2170" t="s">
        <v>34</v>
      </c>
      <c r="R2170" s="4">
        <v>44793.01295138889</v>
      </c>
      <c r="T2170">
        <v>0</v>
      </c>
      <c r="Y2170" t="s">
        <v>55</v>
      </c>
      <c r="AC2170" s="2">
        <f t="shared" si="297"/>
        <v>1</v>
      </c>
      <c r="AD2170" s="2">
        <f t="shared" si="298"/>
        <v>19</v>
      </c>
      <c r="AE2170" s="2">
        <f t="shared" si="299"/>
        <v>18</v>
      </c>
      <c r="AF2170" s="2">
        <f t="shared" si="300"/>
        <v>22</v>
      </c>
      <c r="AG2170" s="2">
        <f t="shared" si="301"/>
        <v>3</v>
      </c>
      <c r="AH2170" s="4">
        <f t="shared" si="302"/>
        <v>44883.01295138889</v>
      </c>
      <c r="AI2170" s="2" t="str">
        <f t="shared" si="303"/>
        <v/>
      </c>
      <c r="AJ2170" s="2" t="str">
        <f t="shared" si="304"/>
        <v/>
      </c>
      <c r="AK2170" s="2" t="str">
        <f t="shared" si="305"/>
        <v/>
      </c>
    </row>
    <row r="2171" spans="1:37" x14ac:dyDescent="0.25">
      <c r="A2171">
        <v>51</v>
      </c>
      <c r="B2171" t="s">
        <v>2358</v>
      </c>
      <c r="C2171" t="s">
        <v>2283</v>
      </c>
      <c r="D2171" t="s">
        <v>2305</v>
      </c>
      <c r="E2171" t="s">
        <v>827</v>
      </c>
      <c r="F2171" t="s">
        <v>2353</v>
      </c>
      <c r="G2171" t="s">
        <v>144</v>
      </c>
      <c r="H2171" s="1">
        <v>44771.01295138889</v>
      </c>
      <c r="I2171" s="1">
        <v>44773.01295138889</v>
      </c>
      <c r="J2171" t="s">
        <v>44</v>
      </c>
      <c r="K2171" s="1"/>
      <c r="T2171">
        <v>0</v>
      </c>
      <c r="AC2171" s="2">
        <f t="shared" si="297"/>
        <v>2</v>
      </c>
      <c r="AD2171" s="2" t="str">
        <f t="shared" si="298"/>
        <v/>
      </c>
      <c r="AE2171" s="2" t="str">
        <f t="shared" si="299"/>
        <v/>
      </c>
      <c r="AF2171" s="2" t="str">
        <f t="shared" si="300"/>
        <v/>
      </c>
      <c r="AG2171" s="2" t="str">
        <f t="shared" si="301"/>
        <v/>
      </c>
      <c r="AH2171" s="4" t="str">
        <f t="shared" si="302"/>
        <v/>
      </c>
      <c r="AI2171" s="2" t="str">
        <f t="shared" si="303"/>
        <v/>
      </c>
      <c r="AJ2171" s="2" t="str">
        <f t="shared" si="304"/>
        <v/>
      </c>
      <c r="AK2171" s="2" t="str">
        <f t="shared" si="305"/>
        <v/>
      </c>
    </row>
    <row r="2172" spans="1:37" x14ac:dyDescent="0.25">
      <c r="A2172">
        <v>2952</v>
      </c>
      <c r="B2172" t="s">
        <v>2359</v>
      </c>
      <c r="C2172" t="s">
        <v>2283</v>
      </c>
      <c r="D2172" t="s">
        <v>2360</v>
      </c>
      <c r="E2172" t="s">
        <v>267</v>
      </c>
      <c r="F2172" t="s">
        <v>2361</v>
      </c>
      <c r="G2172" t="s">
        <v>269</v>
      </c>
      <c r="H2172" s="1">
        <v>45016.652233796296</v>
      </c>
      <c r="I2172" s="1">
        <v>45017.652233796296</v>
      </c>
      <c r="J2172" t="s">
        <v>44</v>
      </c>
      <c r="K2172" s="1"/>
      <c r="T2172">
        <v>0</v>
      </c>
      <c r="AC2172" s="2">
        <f t="shared" si="297"/>
        <v>1</v>
      </c>
      <c r="AD2172" s="2" t="str">
        <f t="shared" si="298"/>
        <v/>
      </c>
      <c r="AE2172" s="2" t="str">
        <f t="shared" si="299"/>
        <v/>
      </c>
      <c r="AF2172" s="2" t="str">
        <f t="shared" si="300"/>
        <v/>
      </c>
      <c r="AG2172" s="2" t="str">
        <f t="shared" si="301"/>
        <v/>
      </c>
      <c r="AH2172" s="4" t="str">
        <f t="shared" si="302"/>
        <v/>
      </c>
      <c r="AI2172" s="2" t="str">
        <f t="shared" si="303"/>
        <v/>
      </c>
      <c r="AJ2172" s="2" t="str">
        <f t="shared" si="304"/>
        <v/>
      </c>
      <c r="AK2172" s="2" t="str">
        <f t="shared" si="305"/>
        <v/>
      </c>
    </row>
    <row r="2173" spans="1:37" x14ac:dyDescent="0.25">
      <c r="A2173">
        <v>2934</v>
      </c>
      <c r="B2173" t="s">
        <v>2362</v>
      </c>
      <c r="C2173" t="s">
        <v>2283</v>
      </c>
      <c r="D2173" t="s">
        <v>2360</v>
      </c>
      <c r="E2173" t="s">
        <v>267</v>
      </c>
      <c r="F2173" t="s">
        <v>2361</v>
      </c>
      <c r="G2173" t="s">
        <v>269</v>
      </c>
      <c r="H2173" s="1">
        <v>44967.550104166665</v>
      </c>
      <c r="I2173" s="1">
        <v>44968.550104166665</v>
      </c>
      <c r="J2173" t="s">
        <v>44</v>
      </c>
      <c r="K2173" s="1"/>
      <c r="T2173">
        <v>0</v>
      </c>
      <c r="AC2173" s="2">
        <f t="shared" si="297"/>
        <v>1</v>
      </c>
      <c r="AD2173" s="2" t="str">
        <f t="shared" si="298"/>
        <v/>
      </c>
      <c r="AE2173" s="2" t="str">
        <f t="shared" si="299"/>
        <v/>
      </c>
      <c r="AF2173" s="2" t="str">
        <f t="shared" si="300"/>
        <v/>
      </c>
      <c r="AG2173" s="2" t="str">
        <f t="shared" si="301"/>
        <v/>
      </c>
      <c r="AH2173" s="4" t="str">
        <f t="shared" si="302"/>
        <v/>
      </c>
      <c r="AI2173" s="2" t="str">
        <f t="shared" si="303"/>
        <v/>
      </c>
      <c r="AJ2173" s="2" t="str">
        <f t="shared" si="304"/>
        <v/>
      </c>
      <c r="AK2173" s="2" t="str">
        <f t="shared" si="305"/>
        <v/>
      </c>
    </row>
    <row r="2174" spans="1:37" x14ac:dyDescent="0.25">
      <c r="A2174">
        <v>2805</v>
      </c>
      <c r="B2174" t="s">
        <v>2363</v>
      </c>
      <c r="C2174" t="s">
        <v>2283</v>
      </c>
      <c r="D2174" t="s">
        <v>2360</v>
      </c>
      <c r="E2174" t="s">
        <v>267</v>
      </c>
      <c r="F2174" t="s">
        <v>2361</v>
      </c>
      <c r="G2174" t="s">
        <v>269</v>
      </c>
      <c r="H2174" s="1">
        <v>45080.778425925928</v>
      </c>
      <c r="I2174" s="1">
        <v>45082.778425925928</v>
      </c>
      <c r="J2174" t="s">
        <v>32</v>
      </c>
      <c r="K2174" s="1">
        <v>45100.778425925928</v>
      </c>
      <c r="L2174" t="s">
        <v>57</v>
      </c>
      <c r="N2174" s="4">
        <v>45104.778425925928</v>
      </c>
      <c r="O2174" t="s">
        <v>57</v>
      </c>
      <c r="P2174" s="4">
        <v>45101.778425925928</v>
      </c>
      <c r="Q2174" s="4">
        <v>45104.778425925928</v>
      </c>
      <c r="R2174" s="4">
        <v>45101.778425925928</v>
      </c>
      <c r="S2174" s="4">
        <v>45111.778425925928</v>
      </c>
      <c r="T2174">
        <v>1</v>
      </c>
      <c r="U2174" s="4">
        <v>45115.778425925928</v>
      </c>
      <c r="V2174" s="4">
        <v>45118.778425925928</v>
      </c>
      <c r="W2174" s="4">
        <v>45121.778425925928</v>
      </c>
      <c r="Z2174" s="4">
        <v>45142.778425925928</v>
      </c>
      <c r="AC2174" s="2">
        <f t="shared" si="297"/>
        <v>2</v>
      </c>
      <c r="AD2174" s="2">
        <f t="shared" si="298"/>
        <v>20</v>
      </c>
      <c r="AE2174" s="2">
        <f t="shared" si="299"/>
        <v>18</v>
      </c>
      <c r="AF2174" s="2">
        <f t="shared" si="300"/>
        <v>21</v>
      </c>
      <c r="AG2174" s="2">
        <f t="shared" si="301"/>
        <v>1</v>
      </c>
      <c r="AH2174" s="4">
        <f t="shared" si="302"/>
        <v>45191.778425925928</v>
      </c>
      <c r="AI2174" s="2">
        <f t="shared" si="303"/>
        <v>4</v>
      </c>
      <c r="AJ2174" s="2">
        <f t="shared" si="304"/>
        <v>41</v>
      </c>
      <c r="AK2174" s="2">
        <f t="shared" si="305"/>
        <v>20</v>
      </c>
    </row>
    <row r="2175" spans="1:37" x14ac:dyDescent="0.25">
      <c r="A2175">
        <v>2798</v>
      </c>
      <c r="B2175" t="s">
        <v>2364</v>
      </c>
      <c r="C2175" t="s">
        <v>2283</v>
      </c>
      <c r="D2175" t="s">
        <v>2360</v>
      </c>
      <c r="E2175" t="s">
        <v>267</v>
      </c>
      <c r="F2175" t="s">
        <v>2361</v>
      </c>
      <c r="G2175" t="s">
        <v>269</v>
      </c>
      <c r="H2175" s="1">
        <v>45102.834444444445</v>
      </c>
      <c r="I2175" s="1">
        <v>45105.834444444445</v>
      </c>
      <c r="J2175" t="s">
        <v>32</v>
      </c>
      <c r="K2175" s="1">
        <v>45111.834444444445</v>
      </c>
      <c r="L2175" t="s">
        <v>57</v>
      </c>
      <c r="N2175" s="4">
        <v>45114.834444444445</v>
      </c>
      <c r="O2175" t="s">
        <v>57</v>
      </c>
      <c r="P2175" s="4">
        <v>45112.834444444445</v>
      </c>
      <c r="Q2175" s="4">
        <v>45116.834444444445</v>
      </c>
      <c r="R2175" s="4">
        <v>45112.834444444445</v>
      </c>
      <c r="S2175" s="4">
        <v>45118.834444444445</v>
      </c>
      <c r="T2175">
        <v>1</v>
      </c>
      <c r="U2175" s="4">
        <v>45121.834444444445</v>
      </c>
      <c r="V2175" s="4">
        <v>45122.834444444445</v>
      </c>
      <c r="W2175" s="4">
        <v>45125.834444444445</v>
      </c>
      <c r="Z2175" s="4">
        <v>45143.834444444445</v>
      </c>
      <c r="AC2175" s="2">
        <f t="shared" si="297"/>
        <v>3</v>
      </c>
      <c r="AD2175" s="2">
        <f t="shared" si="298"/>
        <v>9</v>
      </c>
      <c r="AE2175" s="2">
        <f t="shared" si="299"/>
        <v>6</v>
      </c>
      <c r="AF2175" s="2">
        <f t="shared" si="300"/>
        <v>10</v>
      </c>
      <c r="AG2175" s="2">
        <f t="shared" si="301"/>
        <v>1</v>
      </c>
      <c r="AH2175" s="4">
        <f t="shared" si="302"/>
        <v>45202.834444444445</v>
      </c>
      <c r="AI2175" s="2">
        <f t="shared" si="303"/>
        <v>3</v>
      </c>
      <c r="AJ2175" s="2">
        <f t="shared" si="304"/>
        <v>31</v>
      </c>
      <c r="AK2175" s="2">
        <f t="shared" si="305"/>
        <v>13</v>
      </c>
    </row>
    <row r="2176" spans="1:37" x14ac:dyDescent="0.25">
      <c r="A2176">
        <v>2766</v>
      </c>
      <c r="B2176" t="s">
        <v>2365</v>
      </c>
      <c r="C2176" t="s">
        <v>2283</v>
      </c>
      <c r="D2176" t="s">
        <v>2360</v>
      </c>
      <c r="E2176" t="s">
        <v>267</v>
      </c>
      <c r="F2176" t="s">
        <v>2361</v>
      </c>
      <c r="G2176" t="s">
        <v>269</v>
      </c>
      <c r="H2176" s="1">
        <v>44807.301701388889</v>
      </c>
      <c r="I2176" s="1">
        <v>44808.301701388889</v>
      </c>
      <c r="J2176" t="s">
        <v>32</v>
      </c>
      <c r="K2176" s="1">
        <v>44819.301701388889</v>
      </c>
      <c r="L2176" t="s">
        <v>57</v>
      </c>
      <c r="N2176" s="4">
        <v>44827.301701388889</v>
      </c>
      <c r="O2176" t="s">
        <v>57</v>
      </c>
      <c r="P2176" s="4">
        <v>44820.301701388889</v>
      </c>
      <c r="Q2176" s="4">
        <v>44823.301701388889</v>
      </c>
      <c r="R2176" s="4">
        <v>44823.301701388889</v>
      </c>
      <c r="S2176" s="4">
        <v>44825.301701388889</v>
      </c>
      <c r="T2176">
        <v>1</v>
      </c>
      <c r="U2176" s="4">
        <v>44829.301701388889</v>
      </c>
      <c r="V2176" s="4">
        <v>44831.301701388889</v>
      </c>
      <c r="W2176" s="4">
        <v>44833.301701388889</v>
      </c>
      <c r="Z2176" s="4">
        <v>44844.301701388889</v>
      </c>
      <c r="AC2176" s="2">
        <f t="shared" si="297"/>
        <v>1</v>
      </c>
      <c r="AD2176" s="2">
        <f t="shared" si="298"/>
        <v>12</v>
      </c>
      <c r="AE2176" s="2">
        <f t="shared" si="299"/>
        <v>11</v>
      </c>
      <c r="AF2176" s="2">
        <f t="shared" si="300"/>
        <v>16</v>
      </c>
      <c r="AG2176" s="2">
        <f t="shared" si="301"/>
        <v>4</v>
      </c>
      <c r="AH2176" s="4">
        <f t="shared" si="302"/>
        <v>44913.301701388889</v>
      </c>
      <c r="AI2176" s="2">
        <f t="shared" si="303"/>
        <v>4</v>
      </c>
      <c r="AJ2176" s="2">
        <f t="shared" si="304"/>
        <v>21</v>
      </c>
      <c r="AK2176" s="2">
        <f t="shared" si="305"/>
        <v>10</v>
      </c>
    </row>
    <row r="2177" spans="1:37" x14ac:dyDescent="0.25">
      <c r="A2177">
        <v>2705</v>
      </c>
      <c r="B2177" t="s">
        <v>2366</v>
      </c>
      <c r="C2177" t="s">
        <v>2283</v>
      </c>
      <c r="D2177" t="s">
        <v>2360</v>
      </c>
      <c r="E2177" t="s">
        <v>267</v>
      </c>
      <c r="F2177" t="s">
        <v>2361</v>
      </c>
      <c r="G2177" t="s">
        <v>269</v>
      </c>
      <c r="H2177" s="1">
        <v>44830.495787037034</v>
      </c>
      <c r="I2177" s="1">
        <v>44831.495787037034</v>
      </c>
      <c r="J2177" t="s">
        <v>44</v>
      </c>
      <c r="K2177" s="1"/>
      <c r="T2177">
        <v>0</v>
      </c>
      <c r="AC2177" s="2">
        <f t="shared" si="297"/>
        <v>1</v>
      </c>
      <c r="AD2177" s="2" t="str">
        <f t="shared" si="298"/>
        <v/>
      </c>
      <c r="AE2177" s="2" t="str">
        <f t="shared" si="299"/>
        <v/>
      </c>
      <c r="AF2177" s="2" t="str">
        <f t="shared" si="300"/>
        <v/>
      </c>
      <c r="AG2177" s="2" t="str">
        <f t="shared" si="301"/>
        <v/>
      </c>
      <c r="AH2177" s="4" t="str">
        <f t="shared" si="302"/>
        <v/>
      </c>
      <c r="AI2177" s="2" t="str">
        <f t="shared" si="303"/>
        <v/>
      </c>
      <c r="AJ2177" s="2" t="str">
        <f t="shared" si="304"/>
        <v/>
      </c>
      <c r="AK2177" s="2" t="str">
        <f t="shared" si="305"/>
        <v/>
      </c>
    </row>
    <row r="2178" spans="1:37" x14ac:dyDescent="0.25">
      <c r="A2178">
        <v>2615</v>
      </c>
      <c r="B2178" t="s">
        <v>2367</v>
      </c>
      <c r="C2178" t="s">
        <v>2283</v>
      </c>
      <c r="D2178" t="s">
        <v>2360</v>
      </c>
      <c r="E2178" t="s">
        <v>267</v>
      </c>
      <c r="F2178" t="s">
        <v>2361</v>
      </c>
      <c r="G2178" t="s">
        <v>269</v>
      </c>
      <c r="H2178" s="1">
        <v>44931.379525462966</v>
      </c>
      <c r="I2178" s="1">
        <v>44933.379525462966</v>
      </c>
      <c r="J2178" t="s">
        <v>44</v>
      </c>
      <c r="K2178" s="1"/>
      <c r="T2178">
        <v>0</v>
      </c>
      <c r="AC2178" s="2">
        <f t="shared" si="297"/>
        <v>2</v>
      </c>
      <c r="AD2178" s="2" t="str">
        <f t="shared" si="298"/>
        <v/>
      </c>
      <c r="AE2178" s="2" t="str">
        <f t="shared" si="299"/>
        <v/>
      </c>
      <c r="AF2178" s="2" t="str">
        <f t="shared" si="300"/>
        <v/>
      </c>
      <c r="AG2178" s="2" t="str">
        <f t="shared" si="301"/>
        <v/>
      </c>
      <c r="AH2178" s="4" t="str">
        <f t="shared" si="302"/>
        <v/>
      </c>
      <c r="AI2178" s="2" t="str">
        <f t="shared" si="303"/>
        <v/>
      </c>
      <c r="AJ2178" s="2" t="str">
        <f t="shared" si="304"/>
        <v/>
      </c>
      <c r="AK2178" s="2" t="str">
        <f t="shared" si="305"/>
        <v/>
      </c>
    </row>
    <row r="2179" spans="1:37" x14ac:dyDescent="0.25">
      <c r="A2179">
        <v>2611</v>
      </c>
      <c r="B2179" t="s">
        <v>2368</v>
      </c>
      <c r="C2179" t="s">
        <v>2283</v>
      </c>
      <c r="D2179" t="s">
        <v>2360</v>
      </c>
      <c r="E2179" t="s">
        <v>267</v>
      </c>
      <c r="F2179" t="s">
        <v>2361</v>
      </c>
      <c r="G2179" t="s">
        <v>269</v>
      </c>
      <c r="H2179" s="1">
        <v>44933.379525462966</v>
      </c>
      <c r="I2179" s="1">
        <v>44935.379525462966</v>
      </c>
      <c r="J2179" t="s">
        <v>44</v>
      </c>
      <c r="K2179" s="1"/>
      <c r="T2179">
        <v>0</v>
      </c>
      <c r="AC2179" s="2">
        <f t="shared" ref="AC2179:AC2242" si="306">IF(AND(I2179&lt;&gt;"",H2179&lt;&gt;""), I2179-H2179, "")</f>
        <v>2</v>
      </c>
      <c r="AD2179" s="2" t="str">
        <f t="shared" ref="AD2179:AD2242" si="307">IF(AND(K2179&lt;&gt;"",H2179&lt;&gt;""), K2179-H2179, "")</f>
        <v/>
      </c>
      <c r="AE2179" s="2" t="str">
        <f t="shared" ref="AE2179:AE2242" si="308">IF(AND(K2179&lt;&gt;"",I2179&lt;&gt;""), K2179-I2179, "")</f>
        <v/>
      </c>
      <c r="AF2179" s="2" t="str">
        <f t="shared" ref="AF2179:AF2242" si="309">IF(AND(R2179&lt;&gt;"",H2179&lt;&gt;""), R2179-H2179, "")</f>
        <v/>
      </c>
      <c r="AG2179" s="2" t="str">
        <f t="shared" ref="AG2179:AG2242" si="310">IF(AND(R2179&lt;&gt;"",K2179&lt;&gt;""), R2179-K2179, "")</f>
        <v/>
      </c>
      <c r="AH2179" s="4" t="str">
        <f t="shared" ref="AH2179:AH2242" si="311">IF(R2179&lt;&gt;"", R2179+90, "")</f>
        <v/>
      </c>
      <c r="AI2179" s="2" t="str">
        <f t="shared" ref="AI2179:AI2242" si="312">IF(AND(U2179&lt;&gt;"",S2179&lt;&gt;""), U2179-S2179, "")</f>
        <v/>
      </c>
      <c r="AJ2179" s="2" t="str">
        <f t="shared" ref="AJ2179:AJ2242" si="313">IF(AND(Z2179&lt;&gt;"",R2179&lt;&gt;""), Z2179-R2179, "")</f>
        <v/>
      </c>
      <c r="AK2179" s="2" t="str">
        <f t="shared" ref="AK2179:AK2242" si="314">IF(AND(W2179&lt;&gt;"",R2179&lt;&gt;""), W2179-R2179, "")</f>
        <v/>
      </c>
    </row>
    <row r="2180" spans="1:37" x14ac:dyDescent="0.25">
      <c r="A2180">
        <v>2575</v>
      </c>
      <c r="B2180" t="s">
        <v>2369</v>
      </c>
      <c r="C2180" t="s">
        <v>2283</v>
      </c>
      <c r="D2180" t="s">
        <v>2360</v>
      </c>
      <c r="E2180" t="s">
        <v>267</v>
      </c>
      <c r="F2180" t="s">
        <v>2361</v>
      </c>
      <c r="G2180" t="s">
        <v>269</v>
      </c>
      <c r="H2180" s="1">
        <v>44641.718425925923</v>
      </c>
      <c r="I2180" s="1">
        <v>44644.718425925923</v>
      </c>
      <c r="J2180" t="s">
        <v>32</v>
      </c>
      <c r="K2180" s="1">
        <v>44650.718425925923</v>
      </c>
      <c r="L2180" t="s">
        <v>57</v>
      </c>
      <c r="N2180" s="4">
        <v>44656.718425925923</v>
      </c>
      <c r="O2180" t="s">
        <v>57</v>
      </c>
      <c r="P2180" s="4">
        <v>44651.718425925923</v>
      </c>
      <c r="Q2180" s="4">
        <v>44655.718425925923</v>
      </c>
      <c r="R2180" s="4">
        <v>44654.718425925923</v>
      </c>
      <c r="S2180" s="4">
        <v>44655.718425925923</v>
      </c>
      <c r="T2180">
        <v>1</v>
      </c>
      <c r="U2180" s="4">
        <v>44659.718425925923</v>
      </c>
      <c r="V2180" s="4">
        <v>44661.718425925923</v>
      </c>
      <c r="W2180" s="4">
        <v>44662.718425925923</v>
      </c>
      <c r="Z2180" s="4">
        <v>44673.718425925923</v>
      </c>
      <c r="AC2180" s="2">
        <f t="shared" si="306"/>
        <v>3</v>
      </c>
      <c r="AD2180" s="2">
        <f t="shared" si="307"/>
        <v>9</v>
      </c>
      <c r="AE2180" s="2">
        <f t="shared" si="308"/>
        <v>6</v>
      </c>
      <c r="AF2180" s="2">
        <f t="shared" si="309"/>
        <v>13</v>
      </c>
      <c r="AG2180" s="2">
        <f t="shared" si="310"/>
        <v>4</v>
      </c>
      <c r="AH2180" s="4">
        <f t="shared" si="311"/>
        <v>44744.718425925923</v>
      </c>
      <c r="AI2180" s="2">
        <f t="shared" si="312"/>
        <v>4</v>
      </c>
      <c r="AJ2180" s="2">
        <f t="shared" si="313"/>
        <v>19</v>
      </c>
      <c r="AK2180" s="2">
        <f t="shared" si="314"/>
        <v>8</v>
      </c>
    </row>
    <row r="2181" spans="1:37" x14ac:dyDescent="0.25">
      <c r="A2181">
        <v>2523</v>
      </c>
      <c r="B2181" t="s">
        <v>2370</v>
      </c>
      <c r="C2181" t="s">
        <v>2283</v>
      </c>
      <c r="D2181" t="s">
        <v>2360</v>
      </c>
      <c r="E2181" t="s">
        <v>267</v>
      </c>
      <c r="F2181" t="s">
        <v>2361</v>
      </c>
      <c r="G2181" t="s">
        <v>269</v>
      </c>
      <c r="H2181" s="1">
        <v>45028.778819444444</v>
      </c>
      <c r="I2181" s="1">
        <v>45030.778819444444</v>
      </c>
      <c r="J2181" t="s">
        <v>32</v>
      </c>
      <c r="K2181" s="1">
        <v>45047.778819444444</v>
      </c>
      <c r="L2181" t="s">
        <v>57</v>
      </c>
      <c r="N2181" s="4">
        <v>45054.778819444444</v>
      </c>
      <c r="O2181" t="s">
        <v>57</v>
      </c>
      <c r="P2181" s="4">
        <v>45048.778819444444</v>
      </c>
      <c r="Q2181" s="4">
        <v>45049.778819444444</v>
      </c>
      <c r="R2181" s="4">
        <v>45050.778819444444</v>
      </c>
      <c r="S2181" s="4">
        <v>45053.778819444444</v>
      </c>
      <c r="T2181">
        <v>1</v>
      </c>
      <c r="U2181" s="4">
        <v>45057.778819444444</v>
      </c>
      <c r="V2181" s="4">
        <v>45058.778819444444</v>
      </c>
      <c r="W2181" s="4">
        <v>45060.778819444444</v>
      </c>
      <c r="Z2181" s="4">
        <v>45069.778819444444</v>
      </c>
      <c r="AC2181" s="2">
        <f t="shared" si="306"/>
        <v>2</v>
      </c>
      <c r="AD2181" s="2">
        <f t="shared" si="307"/>
        <v>19</v>
      </c>
      <c r="AE2181" s="2">
        <f t="shared" si="308"/>
        <v>17</v>
      </c>
      <c r="AF2181" s="2">
        <f t="shared" si="309"/>
        <v>22</v>
      </c>
      <c r="AG2181" s="2">
        <f t="shared" si="310"/>
        <v>3</v>
      </c>
      <c r="AH2181" s="4">
        <f t="shared" si="311"/>
        <v>45140.778819444444</v>
      </c>
      <c r="AI2181" s="2">
        <f t="shared" si="312"/>
        <v>4</v>
      </c>
      <c r="AJ2181" s="2">
        <f t="shared" si="313"/>
        <v>19</v>
      </c>
      <c r="AK2181" s="2">
        <f t="shared" si="314"/>
        <v>10</v>
      </c>
    </row>
    <row r="2182" spans="1:37" x14ac:dyDescent="0.25">
      <c r="A2182">
        <v>2134</v>
      </c>
      <c r="B2182" t="s">
        <v>2371</v>
      </c>
      <c r="C2182" t="s">
        <v>2283</v>
      </c>
      <c r="D2182" t="s">
        <v>2360</v>
      </c>
      <c r="E2182" t="s">
        <v>267</v>
      </c>
      <c r="F2182" t="s">
        <v>2361</v>
      </c>
      <c r="G2182" t="s">
        <v>269</v>
      </c>
      <c r="H2182" s="1">
        <v>44776.516493055555</v>
      </c>
      <c r="I2182" s="1">
        <v>44780.516493055555</v>
      </c>
      <c r="J2182" t="s">
        <v>44</v>
      </c>
      <c r="K2182" s="1"/>
      <c r="T2182">
        <v>0</v>
      </c>
      <c r="AC2182" s="2">
        <f t="shared" si="306"/>
        <v>4</v>
      </c>
      <c r="AD2182" s="2" t="str">
        <f t="shared" si="307"/>
        <v/>
      </c>
      <c r="AE2182" s="2" t="str">
        <f t="shared" si="308"/>
        <v/>
      </c>
      <c r="AF2182" s="2" t="str">
        <f t="shared" si="309"/>
        <v/>
      </c>
      <c r="AG2182" s="2" t="str">
        <f t="shared" si="310"/>
        <v/>
      </c>
      <c r="AH2182" s="4" t="str">
        <f t="shared" si="311"/>
        <v/>
      </c>
      <c r="AI2182" s="2" t="str">
        <f t="shared" si="312"/>
        <v/>
      </c>
      <c r="AJ2182" s="2" t="str">
        <f t="shared" si="313"/>
        <v/>
      </c>
      <c r="AK2182" s="2" t="str">
        <f t="shared" si="314"/>
        <v/>
      </c>
    </row>
    <row r="2183" spans="1:37" x14ac:dyDescent="0.25">
      <c r="A2183">
        <v>2102</v>
      </c>
      <c r="B2183" t="s">
        <v>2372</v>
      </c>
      <c r="C2183" t="s">
        <v>2283</v>
      </c>
      <c r="D2183" t="s">
        <v>2360</v>
      </c>
      <c r="E2183" t="s">
        <v>267</v>
      </c>
      <c r="F2183" t="s">
        <v>2361</v>
      </c>
      <c r="G2183" t="s">
        <v>269</v>
      </c>
      <c r="H2183" s="1">
        <v>44686.022326388891</v>
      </c>
      <c r="I2183" s="1">
        <v>44690.022326388891</v>
      </c>
      <c r="J2183" t="s">
        <v>44</v>
      </c>
      <c r="K2183" s="1"/>
      <c r="T2183">
        <v>0</v>
      </c>
      <c r="AC2183" s="2">
        <f t="shared" si="306"/>
        <v>4</v>
      </c>
      <c r="AD2183" s="2" t="str">
        <f t="shared" si="307"/>
        <v/>
      </c>
      <c r="AE2183" s="2" t="str">
        <f t="shared" si="308"/>
        <v/>
      </c>
      <c r="AF2183" s="2" t="str">
        <f t="shared" si="309"/>
        <v/>
      </c>
      <c r="AG2183" s="2" t="str">
        <f t="shared" si="310"/>
        <v/>
      </c>
      <c r="AH2183" s="4" t="str">
        <f t="shared" si="311"/>
        <v/>
      </c>
      <c r="AI2183" s="2" t="str">
        <f t="shared" si="312"/>
        <v/>
      </c>
      <c r="AJ2183" s="2" t="str">
        <f t="shared" si="313"/>
        <v/>
      </c>
      <c r="AK2183" s="2" t="str">
        <f t="shared" si="314"/>
        <v/>
      </c>
    </row>
    <row r="2184" spans="1:37" x14ac:dyDescent="0.25">
      <c r="A2184">
        <v>2039</v>
      </c>
      <c r="B2184" t="s">
        <v>2373</v>
      </c>
      <c r="C2184" t="s">
        <v>2283</v>
      </c>
      <c r="D2184" t="s">
        <v>2360</v>
      </c>
      <c r="E2184" t="s">
        <v>267</v>
      </c>
      <c r="F2184" t="s">
        <v>2361</v>
      </c>
      <c r="G2184" t="s">
        <v>269</v>
      </c>
      <c r="H2184" s="1">
        <v>44645.861122685186</v>
      </c>
      <c r="I2184" s="1">
        <v>44649.861122685186</v>
      </c>
      <c r="J2184" t="s">
        <v>44</v>
      </c>
      <c r="K2184" s="1"/>
      <c r="T2184">
        <v>0</v>
      </c>
      <c r="AC2184" s="2">
        <f t="shared" si="306"/>
        <v>4</v>
      </c>
      <c r="AD2184" s="2" t="str">
        <f t="shared" si="307"/>
        <v/>
      </c>
      <c r="AE2184" s="2" t="str">
        <f t="shared" si="308"/>
        <v/>
      </c>
      <c r="AF2184" s="2" t="str">
        <f t="shared" si="309"/>
        <v/>
      </c>
      <c r="AG2184" s="2" t="str">
        <f t="shared" si="310"/>
        <v/>
      </c>
      <c r="AH2184" s="4" t="str">
        <f t="shared" si="311"/>
        <v/>
      </c>
      <c r="AI2184" s="2" t="str">
        <f t="shared" si="312"/>
        <v/>
      </c>
      <c r="AJ2184" s="2" t="str">
        <f t="shared" si="313"/>
        <v/>
      </c>
      <c r="AK2184" s="2" t="str">
        <f t="shared" si="314"/>
        <v/>
      </c>
    </row>
    <row r="2185" spans="1:37" x14ac:dyDescent="0.25">
      <c r="A2185">
        <v>1718</v>
      </c>
      <c r="B2185" t="s">
        <v>2374</v>
      </c>
      <c r="C2185" t="s">
        <v>2283</v>
      </c>
      <c r="D2185" t="s">
        <v>2360</v>
      </c>
      <c r="E2185" t="s">
        <v>267</v>
      </c>
      <c r="F2185" t="s">
        <v>2361</v>
      </c>
      <c r="G2185" t="s">
        <v>269</v>
      </c>
      <c r="H2185" s="1">
        <v>44561.077685185184</v>
      </c>
      <c r="I2185" s="1">
        <v>44564.077685185184</v>
      </c>
      <c r="J2185" t="s">
        <v>44</v>
      </c>
      <c r="K2185" s="1"/>
      <c r="T2185">
        <v>0</v>
      </c>
      <c r="AC2185" s="2">
        <f t="shared" si="306"/>
        <v>3</v>
      </c>
      <c r="AD2185" s="2" t="str">
        <f t="shared" si="307"/>
        <v/>
      </c>
      <c r="AE2185" s="2" t="str">
        <f t="shared" si="308"/>
        <v/>
      </c>
      <c r="AF2185" s="2" t="str">
        <f t="shared" si="309"/>
        <v/>
      </c>
      <c r="AG2185" s="2" t="str">
        <f t="shared" si="310"/>
        <v/>
      </c>
      <c r="AH2185" s="4" t="str">
        <f t="shared" si="311"/>
        <v/>
      </c>
      <c r="AI2185" s="2" t="str">
        <f t="shared" si="312"/>
        <v/>
      </c>
      <c r="AJ2185" s="2" t="str">
        <f t="shared" si="313"/>
        <v/>
      </c>
      <c r="AK2185" s="2" t="str">
        <f t="shared" si="314"/>
        <v/>
      </c>
    </row>
    <row r="2186" spans="1:37" x14ac:dyDescent="0.25">
      <c r="A2186">
        <v>1716</v>
      </c>
      <c r="B2186" t="s">
        <v>2375</v>
      </c>
      <c r="C2186" t="s">
        <v>2283</v>
      </c>
      <c r="D2186" t="s">
        <v>2360</v>
      </c>
      <c r="E2186" t="s">
        <v>267</v>
      </c>
      <c r="F2186" t="s">
        <v>2361</v>
      </c>
      <c r="G2186" t="s">
        <v>269</v>
      </c>
      <c r="H2186" s="1">
        <v>44563.077685185184</v>
      </c>
      <c r="I2186" s="1">
        <v>44566.077685185184</v>
      </c>
      <c r="J2186" t="s">
        <v>44</v>
      </c>
      <c r="K2186" s="1"/>
      <c r="T2186">
        <v>0</v>
      </c>
      <c r="AC2186" s="2">
        <f t="shared" si="306"/>
        <v>3</v>
      </c>
      <c r="AD2186" s="2" t="str">
        <f t="shared" si="307"/>
        <v/>
      </c>
      <c r="AE2186" s="2" t="str">
        <f t="shared" si="308"/>
        <v/>
      </c>
      <c r="AF2186" s="2" t="str">
        <f t="shared" si="309"/>
        <v/>
      </c>
      <c r="AG2186" s="2" t="str">
        <f t="shared" si="310"/>
        <v/>
      </c>
      <c r="AH2186" s="4" t="str">
        <f t="shared" si="311"/>
        <v/>
      </c>
      <c r="AI2186" s="2" t="str">
        <f t="shared" si="312"/>
        <v/>
      </c>
      <c r="AJ2186" s="2" t="str">
        <f t="shared" si="313"/>
        <v/>
      </c>
      <c r="AK2186" s="2" t="str">
        <f t="shared" si="314"/>
        <v/>
      </c>
    </row>
    <row r="2187" spans="1:37" x14ac:dyDescent="0.25">
      <c r="A2187">
        <v>1713</v>
      </c>
      <c r="B2187" t="s">
        <v>2376</v>
      </c>
      <c r="C2187" t="s">
        <v>2283</v>
      </c>
      <c r="D2187" t="s">
        <v>2360</v>
      </c>
      <c r="E2187" t="s">
        <v>267</v>
      </c>
      <c r="F2187" t="s">
        <v>2361</v>
      </c>
      <c r="G2187" t="s">
        <v>269</v>
      </c>
      <c r="H2187" s="1">
        <v>44563.077685185184</v>
      </c>
      <c r="I2187" s="1">
        <v>44566.077685185184</v>
      </c>
      <c r="J2187" t="s">
        <v>44</v>
      </c>
      <c r="K2187" s="1"/>
      <c r="T2187">
        <v>0</v>
      </c>
      <c r="AC2187" s="2">
        <f t="shared" si="306"/>
        <v>3</v>
      </c>
      <c r="AD2187" s="2" t="str">
        <f t="shared" si="307"/>
        <v/>
      </c>
      <c r="AE2187" s="2" t="str">
        <f t="shared" si="308"/>
        <v/>
      </c>
      <c r="AF2187" s="2" t="str">
        <f t="shared" si="309"/>
        <v/>
      </c>
      <c r="AG2187" s="2" t="str">
        <f t="shared" si="310"/>
        <v/>
      </c>
      <c r="AH2187" s="4" t="str">
        <f t="shared" si="311"/>
        <v/>
      </c>
      <c r="AI2187" s="2" t="str">
        <f t="shared" si="312"/>
        <v/>
      </c>
      <c r="AJ2187" s="2" t="str">
        <f t="shared" si="313"/>
        <v/>
      </c>
      <c r="AK2187" s="2" t="str">
        <f t="shared" si="314"/>
        <v/>
      </c>
    </row>
    <row r="2188" spans="1:37" x14ac:dyDescent="0.25">
      <c r="A2188">
        <v>1461</v>
      </c>
      <c r="B2188" t="s">
        <v>2377</v>
      </c>
      <c r="C2188" t="s">
        <v>2283</v>
      </c>
      <c r="D2188" t="s">
        <v>2360</v>
      </c>
      <c r="E2188" t="s">
        <v>267</v>
      </c>
      <c r="F2188" t="s">
        <v>2361</v>
      </c>
      <c r="G2188" t="s">
        <v>269</v>
      </c>
      <c r="H2188" s="1">
        <v>45005.141805555555</v>
      </c>
      <c r="I2188" s="1">
        <v>45006.141805555555</v>
      </c>
      <c r="J2188" t="s">
        <v>32</v>
      </c>
      <c r="K2188" s="1">
        <v>45024.141805555555</v>
      </c>
      <c r="L2188" t="s">
        <v>57</v>
      </c>
      <c r="N2188" s="4">
        <v>45028.141805555555</v>
      </c>
      <c r="O2188" t="s">
        <v>57</v>
      </c>
      <c r="P2188" s="4">
        <v>45025.141805555555</v>
      </c>
      <c r="Q2188" s="4">
        <v>45029.141805555555</v>
      </c>
      <c r="R2188" s="4">
        <v>45025.141805555555</v>
      </c>
      <c r="S2188" s="4">
        <v>45030.141805555555</v>
      </c>
      <c r="T2188">
        <v>1</v>
      </c>
      <c r="U2188" s="4">
        <v>45034.141805555555</v>
      </c>
      <c r="V2188" s="4">
        <v>45035.141805555555</v>
      </c>
      <c r="W2188" s="4">
        <v>45037.141805555555</v>
      </c>
      <c r="Z2188" s="4">
        <v>45053.141805555555</v>
      </c>
      <c r="AC2188" s="2">
        <f t="shared" si="306"/>
        <v>1</v>
      </c>
      <c r="AD2188" s="2">
        <f t="shared" si="307"/>
        <v>19</v>
      </c>
      <c r="AE2188" s="2">
        <f t="shared" si="308"/>
        <v>18</v>
      </c>
      <c r="AF2188" s="2">
        <f t="shared" si="309"/>
        <v>20</v>
      </c>
      <c r="AG2188" s="2">
        <f t="shared" si="310"/>
        <v>1</v>
      </c>
      <c r="AH2188" s="4">
        <f t="shared" si="311"/>
        <v>45115.141805555555</v>
      </c>
      <c r="AI2188" s="2">
        <f t="shared" si="312"/>
        <v>4</v>
      </c>
      <c r="AJ2188" s="2">
        <f t="shared" si="313"/>
        <v>28</v>
      </c>
      <c r="AK2188" s="2">
        <f t="shared" si="314"/>
        <v>12</v>
      </c>
    </row>
    <row r="2189" spans="1:37" x14ac:dyDescent="0.25">
      <c r="A2189">
        <v>1246</v>
      </c>
      <c r="B2189" t="s">
        <v>2378</v>
      </c>
      <c r="C2189" t="s">
        <v>2283</v>
      </c>
      <c r="D2189" t="s">
        <v>2360</v>
      </c>
      <c r="E2189" t="s">
        <v>267</v>
      </c>
      <c r="F2189" t="s">
        <v>2361</v>
      </c>
      <c r="G2189" t="s">
        <v>269</v>
      </c>
      <c r="H2189" s="1">
        <v>44736.839942129627</v>
      </c>
      <c r="I2189" s="1">
        <v>44738.839942129627</v>
      </c>
      <c r="J2189" t="s">
        <v>32</v>
      </c>
      <c r="K2189" s="1">
        <v>44746.839942129627</v>
      </c>
      <c r="L2189" t="s">
        <v>57</v>
      </c>
      <c r="N2189" s="4">
        <v>44750.839942129627</v>
      </c>
      <c r="O2189" t="s">
        <v>57</v>
      </c>
      <c r="P2189" s="4">
        <v>44748.839942129627</v>
      </c>
      <c r="Q2189" s="4">
        <v>44752.839942129627</v>
      </c>
      <c r="R2189" s="4">
        <v>44748.839942129627</v>
      </c>
      <c r="S2189" s="4">
        <v>44749.839942129627</v>
      </c>
      <c r="T2189">
        <v>1</v>
      </c>
      <c r="U2189" s="4">
        <v>44751.839942129627</v>
      </c>
      <c r="V2189" s="4">
        <v>44754.839942129627</v>
      </c>
      <c r="W2189" s="4">
        <v>44757.839942129627</v>
      </c>
      <c r="Z2189" s="4">
        <v>44770.839942129627</v>
      </c>
      <c r="AC2189" s="2">
        <f t="shared" si="306"/>
        <v>2</v>
      </c>
      <c r="AD2189" s="2">
        <f t="shared" si="307"/>
        <v>10</v>
      </c>
      <c r="AE2189" s="2">
        <f t="shared" si="308"/>
        <v>8</v>
      </c>
      <c r="AF2189" s="2">
        <f t="shared" si="309"/>
        <v>12</v>
      </c>
      <c r="AG2189" s="2">
        <f t="shared" si="310"/>
        <v>2</v>
      </c>
      <c r="AH2189" s="4">
        <f t="shared" si="311"/>
        <v>44838.839942129627</v>
      </c>
      <c r="AI2189" s="2">
        <f t="shared" si="312"/>
        <v>2</v>
      </c>
      <c r="AJ2189" s="2">
        <f t="shared" si="313"/>
        <v>22</v>
      </c>
      <c r="AK2189" s="2">
        <f t="shared" si="314"/>
        <v>9</v>
      </c>
    </row>
    <row r="2190" spans="1:37" x14ac:dyDescent="0.25">
      <c r="A2190">
        <v>1241</v>
      </c>
      <c r="B2190" t="s">
        <v>2379</v>
      </c>
      <c r="C2190" t="s">
        <v>2283</v>
      </c>
      <c r="D2190" t="s">
        <v>2360</v>
      </c>
      <c r="E2190" t="s">
        <v>267</v>
      </c>
      <c r="F2190" t="s">
        <v>2361</v>
      </c>
      <c r="G2190" t="s">
        <v>269</v>
      </c>
      <c r="H2190" s="1">
        <v>44734.839942129627</v>
      </c>
      <c r="I2190" s="1">
        <v>44737.839942129627</v>
      </c>
      <c r="J2190" t="s">
        <v>44</v>
      </c>
      <c r="K2190" s="1"/>
      <c r="T2190">
        <v>0</v>
      </c>
      <c r="AC2190" s="2">
        <f t="shared" si="306"/>
        <v>3</v>
      </c>
      <c r="AD2190" s="2" t="str">
        <f t="shared" si="307"/>
        <v/>
      </c>
      <c r="AE2190" s="2" t="str">
        <f t="shared" si="308"/>
        <v/>
      </c>
      <c r="AF2190" s="2" t="str">
        <f t="shared" si="309"/>
        <v/>
      </c>
      <c r="AG2190" s="2" t="str">
        <f t="shared" si="310"/>
        <v/>
      </c>
      <c r="AH2190" s="4" t="str">
        <f t="shared" si="311"/>
        <v/>
      </c>
      <c r="AI2190" s="2" t="str">
        <f t="shared" si="312"/>
        <v/>
      </c>
      <c r="AJ2190" s="2" t="str">
        <f t="shared" si="313"/>
        <v/>
      </c>
      <c r="AK2190" s="2" t="str">
        <f t="shared" si="314"/>
        <v/>
      </c>
    </row>
    <row r="2191" spans="1:37" x14ac:dyDescent="0.25">
      <c r="A2191">
        <v>1102</v>
      </c>
      <c r="B2191" t="s">
        <v>2380</v>
      </c>
      <c r="C2191" t="s">
        <v>2283</v>
      </c>
      <c r="D2191" t="s">
        <v>2360</v>
      </c>
      <c r="E2191" t="s">
        <v>267</v>
      </c>
      <c r="F2191" t="s">
        <v>2361</v>
      </c>
      <c r="G2191" t="s">
        <v>269</v>
      </c>
      <c r="H2191" s="1">
        <v>44679.953865740739</v>
      </c>
      <c r="I2191" s="1">
        <v>44680.953865740739</v>
      </c>
      <c r="J2191" t="s">
        <v>44</v>
      </c>
      <c r="K2191" s="1"/>
      <c r="T2191">
        <v>0</v>
      </c>
      <c r="AC2191" s="2">
        <f t="shared" si="306"/>
        <v>1</v>
      </c>
      <c r="AD2191" s="2" t="str">
        <f t="shared" si="307"/>
        <v/>
      </c>
      <c r="AE2191" s="2" t="str">
        <f t="shared" si="308"/>
        <v/>
      </c>
      <c r="AF2191" s="2" t="str">
        <f t="shared" si="309"/>
        <v/>
      </c>
      <c r="AG2191" s="2" t="str">
        <f t="shared" si="310"/>
        <v/>
      </c>
      <c r="AH2191" s="4" t="str">
        <f t="shared" si="311"/>
        <v/>
      </c>
      <c r="AI2191" s="2" t="str">
        <f t="shared" si="312"/>
        <v/>
      </c>
      <c r="AJ2191" s="2" t="str">
        <f t="shared" si="313"/>
        <v/>
      </c>
      <c r="AK2191" s="2" t="str">
        <f t="shared" si="314"/>
        <v/>
      </c>
    </row>
    <row r="2192" spans="1:37" x14ac:dyDescent="0.25">
      <c r="A2192">
        <v>1079</v>
      </c>
      <c r="B2192" t="s">
        <v>2381</v>
      </c>
      <c r="C2192" t="s">
        <v>2283</v>
      </c>
      <c r="D2192" t="s">
        <v>2360</v>
      </c>
      <c r="E2192" t="s">
        <v>267</v>
      </c>
      <c r="F2192" t="s">
        <v>2361</v>
      </c>
      <c r="G2192" t="s">
        <v>269</v>
      </c>
      <c r="H2192" s="1">
        <v>44602.990740740737</v>
      </c>
      <c r="I2192" s="1">
        <v>44603.990740740737</v>
      </c>
      <c r="J2192" t="s">
        <v>44</v>
      </c>
      <c r="K2192" s="1"/>
      <c r="T2192">
        <v>0</v>
      </c>
      <c r="AC2192" s="2">
        <f t="shared" si="306"/>
        <v>1</v>
      </c>
      <c r="AD2192" s="2" t="str">
        <f t="shared" si="307"/>
        <v/>
      </c>
      <c r="AE2192" s="2" t="str">
        <f t="shared" si="308"/>
        <v/>
      </c>
      <c r="AF2192" s="2" t="str">
        <f t="shared" si="309"/>
        <v/>
      </c>
      <c r="AG2192" s="2" t="str">
        <f t="shared" si="310"/>
        <v/>
      </c>
      <c r="AH2192" s="4" t="str">
        <f t="shared" si="311"/>
        <v/>
      </c>
      <c r="AI2192" s="2" t="str">
        <f t="shared" si="312"/>
        <v/>
      </c>
      <c r="AJ2192" s="2" t="str">
        <f t="shared" si="313"/>
        <v/>
      </c>
      <c r="AK2192" s="2" t="str">
        <f t="shared" si="314"/>
        <v/>
      </c>
    </row>
    <row r="2193" spans="1:37" x14ac:dyDescent="0.25">
      <c r="A2193">
        <v>928</v>
      </c>
      <c r="B2193" t="s">
        <v>2382</v>
      </c>
      <c r="C2193" t="s">
        <v>2283</v>
      </c>
      <c r="D2193" t="s">
        <v>2360</v>
      </c>
      <c r="E2193" t="s">
        <v>267</v>
      </c>
      <c r="F2193" t="s">
        <v>2361</v>
      </c>
      <c r="G2193" t="s">
        <v>269</v>
      </c>
      <c r="H2193" s="1">
        <v>45074.494004629632</v>
      </c>
      <c r="I2193" s="1">
        <v>45078.494004629632</v>
      </c>
      <c r="J2193" t="s">
        <v>44</v>
      </c>
      <c r="K2193" s="1"/>
      <c r="T2193">
        <v>0</v>
      </c>
      <c r="AC2193" s="2">
        <f t="shared" si="306"/>
        <v>4</v>
      </c>
      <c r="AD2193" s="2" t="str">
        <f t="shared" si="307"/>
        <v/>
      </c>
      <c r="AE2193" s="2" t="str">
        <f t="shared" si="308"/>
        <v/>
      </c>
      <c r="AF2193" s="2" t="str">
        <f t="shared" si="309"/>
        <v/>
      </c>
      <c r="AG2193" s="2" t="str">
        <f t="shared" si="310"/>
        <v/>
      </c>
      <c r="AH2193" s="4" t="str">
        <f t="shared" si="311"/>
        <v/>
      </c>
      <c r="AI2193" s="2" t="str">
        <f t="shared" si="312"/>
        <v/>
      </c>
      <c r="AJ2193" s="2" t="str">
        <f t="shared" si="313"/>
        <v/>
      </c>
      <c r="AK2193" s="2" t="str">
        <f t="shared" si="314"/>
        <v/>
      </c>
    </row>
    <row r="2194" spans="1:37" x14ac:dyDescent="0.25">
      <c r="A2194">
        <v>924</v>
      </c>
      <c r="B2194" t="s">
        <v>2383</v>
      </c>
      <c r="C2194" t="s">
        <v>2283</v>
      </c>
      <c r="D2194" t="s">
        <v>2360</v>
      </c>
      <c r="E2194" t="s">
        <v>267</v>
      </c>
      <c r="F2194" t="s">
        <v>2361</v>
      </c>
      <c r="G2194" t="s">
        <v>269</v>
      </c>
      <c r="H2194" s="1">
        <v>45075.494004629632</v>
      </c>
      <c r="I2194" s="1">
        <v>45078.494004629632</v>
      </c>
      <c r="J2194" t="s">
        <v>32</v>
      </c>
      <c r="K2194" s="1">
        <v>45083.494004629632</v>
      </c>
      <c r="L2194" t="s">
        <v>33</v>
      </c>
      <c r="M2194" t="s">
        <v>67</v>
      </c>
      <c r="R2194" s="4">
        <v>45086.494004629632</v>
      </c>
      <c r="T2194">
        <v>0</v>
      </c>
      <c r="Y2194" t="s">
        <v>35</v>
      </c>
      <c r="AC2194" s="2">
        <f t="shared" si="306"/>
        <v>3</v>
      </c>
      <c r="AD2194" s="2">
        <f t="shared" si="307"/>
        <v>8</v>
      </c>
      <c r="AE2194" s="2">
        <f t="shared" si="308"/>
        <v>5</v>
      </c>
      <c r="AF2194" s="2">
        <f t="shared" si="309"/>
        <v>11</v>
      </c>
      <c r="AG2194" s="2">
        <f t="shared" si="310"/>
        <v>3</v>
      </c>
      <c r="AH2194" s="4">
        <f t="shared" si="311"/>
        <v>45176.494004629632</v>
      </c>
      <c r="AI2194" s="2" t="str">
        <f t="shared" si="312"/>
        <v/>
      </c>
      <c r="AJ2194" s="2" t="str">
        <f t="shared" si="313"/>
        <v/>
      </c>
      <c r="AK2194" s="2" t="str">
        <f t="shared" si="314"/>
        <v/>
      </c>
    </row>
    <row r="2195" spans="1:37" x14ac:dyDescent="0.25">
      <c r="A2195">
        <v>806</v>
      </c>
      <c r="B2195" t="s">
        <v>2384</v>
      </c>
      <c r="C2195" t="s">
        <v>2283</v>
      </c>
      <c r="D2195" t="s">
        <v>2360</v>
      </c>
      <c r="E2195" t="s">
        <v>267</v>
      </c>
      <c r="F2195" t="s">
        <v>2361</v>
      </c>
      <c r="G2195" t="s">
        <v>269</v>
      </c>
      <c r="H2195" s="1">
        <v>44940.903796296298</v>
      </c>
      <c r="I2195" s="1">
        <v>44943.903796296298</v>
      </c>
      <c r="J2195" t="s">
        <v>44</v>
      </c>
      <c r="K2195" s="1"/>
      <c r="T2195">
        <v>0</v>
      </c>
      <c r="AC2195" s="2">
        <f t="shared" si="306"/>
        <v>3</v>
      </c>
      <c r="AD2195" s="2" t="str">
        <f t="shared" si="307"/>
        <v/>
      </c>
      <c r="AE2195" s="2" t="str">
        <f t="shared" si="308"/>
        <v/>
      </c>
      <c r="AF2195" s="2" t="str">
        <f t="shared" si="309"/>
        <v/>
      </c>
      <c r="AG2195" s="2" t="str">
        <f t="shared" si="310"/>
        <v/>
      </c>
      <c r="AH2195" s="4" t="str">
        <f t="shared" si="311"/>
        <v/>
      </c>
      <c r="AI2195" s="2" t="str">
        <f t="shared" si="312"/>
        <v/>
      </c>
      <c r="AJ2195" s="2" t="str">
        <f t="shared" si="313"/>
        <v/>
      </c>
      <c r="AK2195" s="2" t="str">
        <f t="shared" si="314"/>
        <v/>
      </c>
    </row>
    <row r="2196" spans="1:37" x14ac:dyDescent="0.25">
      <c r="A2196">
        <v>804</v>
      </c>
      <c r="B2196" t="s">
        <v>2385</v>
      </c>
      <c r="C2196" t="s">
        <v>2283</v>
      </c>
      <c r="D2196" t="s">
        <v>2360</v>
      </c>
      <c r="E2196" t="s">
        <v>267</v>
      </c>
      <c r="F2196" t="s">
        <v>2361</v>
      </c>
      <c r="G2196" t="s">
        <v>269</v>
      </c>
      <c r="H2196" s="1">
        <v>44936.903796296298</v>
      </c>
      <c r="I2196" s="1">
        <v>44940.903796296298</v>
      </c>
      <c r="J2196" t="s">
        <v>32</v>
      </c>
      <c r="K2196" s="1">
        <v>44959.903796296298</v>
      </c>
      <c r="L2196" t="s">
        <v>33</v>
      </c>
      <c r="M2196" t="s">
        <v>92</v>
      </c>
      <c r="R2196" s="4">
        <v>44960.903796296298</v>
      </c>
      <c r="T2196">
        <v>0</v>
      </c>
      <c r="Y2196" t="s">
        <v>55</v>
      </c>
      <c r="AC2196" s="2">
        <f t="shared" si="306"/>
        <v>4</v>
      </c>
      <c r="AD2196" s="2">
        <f t="shared" si="307"/>
        <v>23</v>
      </c>
      <c r="AE2196" s="2">
        <f t="shared" si="308"/>
        <v>19</v>
      </c>
      <c r="AF2196" s="2">
        <f t="shared" si="309"/>
        <v>24</v>
      </c>
      <c r="AG2196" s="2">
        <f t="shared" si="310"/>
        <v>1</v>
      </c>
      <c r="AH2196" s="4">
        <f t="shared" si="311"/>
        <v>45050.903796296298</v>
      </c>
      <c r="AI2196" s="2" t="str">
        <f t="shared" si="312"/>
        <v/>
      </c>
      <c r="AJ2196" s="2" t="str">
        <f t="shared" si="313"/>
        <v/>
      </c>
      <c r="AK2196" s="2" t="str">
        <f t="shared" si="314"/>
        <v/>
      </c>
    </row>
    <row r="2197" spans="1:37" x14ac:dyDescent="0.25">
      <c r="A2197">
        <v>775</v>
      </c>
      <c r="B2197" t="s">
        <v>2386</v>
      </c>
      <c r="C2197" t="s">
        <v>2283</v>
      </c>
      <c r="D2197" t="s">
        <v>2360</v>
      </c>
      <c r="E2197" t="s">
        <v>267</v>
      </c>
      <c r="F2197" t="s">
        <v>2361</v>
      </c>
      <c r="G2197" t="s">
        <v>269</v>
      </c>
      <c r="H2197" s="1">
        <v>45010.397060185183</v>
      </c>
      <c r="I2197" s="1">
        <v>45011.397060185183</v>
      </c>
      <c r="J2197" t="s">
        <v>32</v>
      </c>
      <c r="K2197" s="1">
        <v>45021.397060185183</v>
      </c>
      <c r="L2197" t="s">
        <v>33</v>
      </c>
      <c r="M2197" t="s">
        <v>108</v>
      </c>
      <c r="R2197" s="4">
        <v>45024.397060185183</v>
      </c>
      <c r="T2197">
        <v>0</v>
      </c>
      <c r="Y2197" t="s">
        <v>55</v>
      </c>
      <c r="AC2197" s="2">
        <f t="shared" si="306"/>
        <v>1</v>
      </c>
      <c r="AD2197" s="2">
        <f t="shared" si="307"/>
        <v>11</v>
      </c>
      <c r="AE2197" s="2">
        <f t="shared" si="308"/>
        <v>10</v>
      </c>
      <c r="AF2197" s="2">
        <f t="shared" si="309"/>
        <v>14</v>
      </c>
      <c r="AG2197" s="2">
        <f t="shared" si="310"/>
        <v>3</v>
      </c>
      <c r="AH2197" s="4">
        <f t="shared" si="311"/>
        <v>45114.397060185183</v>
      </c>
      <c r="AI2197" s="2" t="str">
        <f t="shared" si="312"/>
        <v/>
      </c>
      <c r="AJ2197" s="2" t="str">
        <f t="shared" si="313"/>
        <v/>
      </c>
      <c r="AK2197" s="2" t="str">
        <f t="shared" si="314"/>
        <v/>
      </c>
    </row>
    <row r="2198" spans="1:37" x14ac:dyDescent="0.25">
      <c r="A2198">
        <v>772</v>
      </c>
      <c r="B2198" t="s">
        <v>2387</v>
      </c>
      <c r="C2198" t="s">
        <v>2283</v>
      </c>
      <c r="D2198" t="s">
        <v>2360</v>
      </c>
      <c r="E2198" t="s">
        <v>267</v>
      </c>
      <c r="F2198" t="s">
        <v>2361</v>
      </c>
      <c r="G2198" t="s">
        <v>269</v>
      </c>
      <c r="H2198" s="1">
        <v>45006.397060185183</v>
      </c>
      <c r="I2198" s="1">
        <v>45009.397060185183</v>
      </c>
      <c r="J2198" t="s">
        <v>32</v>
      </c>
      <c r="K2198" s="1">
        <v>45014.397060185183</v>
      </c>
      <c r="L2198" t="s">
        <v>33</v>
      </c>
      <c r="M2198" t="s">
        <v>51</v>
      </c>
      <c r="R2198" s="4">
        <v>45015.397060185183</v>
      </c>
      <c r="T2198">
        <v>0</v>
      </c>
      <c r="Y2198" t="s">
        <v>35</v>
      </c>
      <c r="AC2198" s="2">
        <f t="shared" si="306"/>
        <v>3</v>
      </c>
      <c r="AD2198" s="2">
        <f t="shared" si="307"/>
        <v>8</v>
      </c>
      <c r="AE2198" s="2">
        <f t="shared" si="308"/>
        <v>5</v>
      </c>
      <c r="AF2198" s="2">
        <f t="shared" si="309"/>
        <v>9</v>
      </c>
      <c r="AG2198" s="2">
        <f t="shared" si="310"/>
        <v>1</v>
      </c>
      <c r="AH2198" s="4">
        <f t="shared" si="311"/>
        <v>45105.397060185183</v>
      </c>
      <c r="AI2198" s="2" t="str">
        <f t="shared" si="312"/>
        <v/>
      </c>
      <c r="AJ2198" s="2" t="str">
        <f t="shared" si="313"/>
        <v/>
      </c>
      <c r="AK2198" s="2" t="str">
        <f t="shared" si="314"/>
        <v/>
      </c>
    </row>
    <row r="2199" spans="1:37" x14ac:dyDescent="0.25">
      <c r="A2199">
        <v>669</v>
      </c>
      <c r="B2199" t="s">
        <v>2388</v>
      </c>
      <c r="C2199" t="s">
        <v>2283</v>
      </c>
      <c r="D2199" t="s">
        <v>2360</v>
      </c>
      <c r="E2199" t="s">
        <v>267</v>
      </c>
      <c r="F2199" t="s">
        <v>2361</v>
      </c>
      <c r="G2199" t="s">
        <v>269</v>
      </c>
      <c r="H2199" s="1">
        <v>44570.204074074078</v>
      </c>
      <c r="I2199" s="1">
        <v>44574.204074074078</v>
      </c>
      <c r="J2199" t="s">
        <v>44</v>
      </c>
      <c r="K2199" s="1"/>
      <c r="T2199">
        <v>0</v>
      </c>
      <c r="AC2199" s="2">
        <f t="shared" si="306"/>
        <v>4</v>
      </c>
      <c r="AD2199" s="2" t="str">
        <f t="shared" si="307"/>
        <v/>
      </c>
      <c r="AE2199" s="2" t="str">
        <f t="shared" si="308"/>
        <v/>
      </c>
      <c r="AF2199" s="2" t="str">
        <f t="shared" si="309"/>
        <v/>
      </c>
      <c r="AG2199" s="2" t="str">
        <f t="shared" si="310"/>
        <v/>
      </c>
      <c r="AH2199" s="4" t="str">
        <f t="shared" si="311"/>
        <v/>
      </c>
      <c r="AI2199" s="2" t="str">
        <f t="shared" si="312"/>
        <v/>
      </c>
      <c r="AJ2199" s="2" t="str">
        <f t="shared" si="313"/>
        <v/>
      </c>
      <c r="AK2199" s="2" t="str">
        <f t="shared" si="314"/>
        <v/>
      </c>
    </row>
    <row r="2200" spans="1:37" x14ac:dyDescent="0.25">
      <c r="A2200">
        <v>630</v>
      </c>
      <c r="B2200" t="s">
        <v>2389</v>
      </c>
      <c r="C2200" t="s">
        <v>2283</v>
      </c>
      <c r="D2200" t="s">
        <v>2360</v>
      </c>
      <c r="E2200" t="s">
        <v>267</v>
      </c>
      <c r="F2200" t="s">
        <v>2361</v>
      </c>
      <c r="G2200" t="s">
        <v>269</v>
      </c>
      <c r="H2200" s="1">
        <v>44994.828541666669</v>
      </c>
      <c r="I2200" s="1">
        <v>44998.828541666669</v>
      </c>
      <c r="J2200" t="s">
        <v>32</v>
      </c>
      <c r="K2200" s="1">
        <v>45012.828541666669</v>
      </c>
      <c r="L2200" t="s">
        <v>39</v>
      </c>
      <c r="N2200" s="4">
        <v>45019.828541666669</v>
      </c>
      <c r="O2200" t="s">
        <v>39</v>
      </c>
      <c r="R2200" s="4">
        <v>45016.828541666669</v>
      </c>
      <c r="T2200">
        <v>0</v>
      </c>
      <c r="AC2200" s="2">
        <f t="shared" si="306"/>
        <v>4</v>
      </c>
      <c r="AD2200" s="2">
        <f t="shared" si="307"/>
        <v>18</v>
      </c>
      <c r="AE2200" s="2">
        <f t="shared" si="308"/>
        <v>14</v>
      </c>
      <c r="AF2200" s="2">
        <f t="shared" si="309"/>
        <v>22</v>
      </c>
      <c r="AG2200" s="2">
        <f t="shared" si="310"/>
        <v>4</v>
      </c>
      <c r="AH2200" s="4">
        <f t="shared" si="311"/>
        <v>45106.828541666669</v>
      </c>
      <c r="AI2200" s="2" t="str">
        <f t="shared" si="312"/>
        <v/>
      </c>
      <c r="AJ2200" s="2" t="str">
        <f t="shared" si="313"/>
        <v/>
      </c>
      <c r="AK2200" s="2" t="str">
        <f t="shared" si="314"/>
        <v/>
      </c>
    </row>
    <row r="2201" spans="1:37" x14ac:dyDescent="0.25">
      <c r="A2201">
        <v>629</v>
      </c>
      <c r="B2201" t="s">
        <v>2390</v>
      </c>
      <c r="C2201" t="s">
        <v>2283</v>
      </c>
      <c r="D2201" t="s">
        <v>2360</v>
      </c>
      <c r="E2201" t="s">
        <v>267</v>
      </c>
      <c r="F2201" t="s">
        <v>2361</v>
      </c>
      <c r="G2201" t="s">
        <v>269</v>
      </c>
      <c r="H2201" s="1">
        <v>44993.828541666669</v>
      </c>
      <c r="I2201" s="1">
        <v>44994.828541666669</v>
      </c>
      <c r="J2201" t="s">
        <v>32</v>
      </c>
      <c r="K2201" s="1">
        <v>45018.828541666669</v>
      </c>
      <c r="L2201" t="s">
        <v>33</v>
      </c>
      <c r="M2201" t="s">
        <v>51</v>
      </c>
      <c r="R2201" s="4">
        <v>45020.828541666669</v>
      </c>
      <c r="T2201">
        <v>0</v>
      </c>
      <c r="Y2201" t="s">
        <v>55</v>
      </c>
      <c r="AC2201" s="2">
        <f t="shared" si="306"/>
        <v>1</v>
      </c>
      <c r="AD2201" s="2">
        <f t="shared" si="307"/>
        <v>25</v>
      </c>
      <c r="AE2201" s="2">
        <f t="shared" si="308"/>
        <v>24</v>
      </c>
      <c r="AF2201" s="2">
        <f t="shared" si="309"/>
        <v>27</v>
      </c>
      <c r="AG2201" s="2">
        <f t="shared" si="310"/>
        <v>2</v>
      </c>
      <c r="AH2201" s="4">
        <f t="shared" si="311"/>
        <v>45110.828541666669</v>
      </c>
      <c r="AI2201" s="2" t="str">
        <f t="shared" si="312"/>
        <v/>
      </c>
      <c r="AJ2201" s="2" t="str">
        <f t="shared" si="313"/>
        <v/>
      </c>
      <c r="AK2201" s="2" t="str">
        <f t="shared" si="314"/>
        <v/>
      </c>
    </row>
    <row r="2202" spans="1:37" x14ac:dyDescent="0.25">
      <c r="A2202">
        <v>623</v>
      </c>
      <c r="B2202" t="s">
        <v>2391</v>
      </c>
      <c r="C2202" t="s">
        <v>2283</v>
      </c>
      <c r="D2202" t="s">
        <v>2360</v>
      </c>
      <c r="E2202" t="s">
        <v>267</v>
      </c>
      <c r="F2202" t="s">
        <v>2361</v>
      </c>
      <c r="G2202" t="s">
        <v>269</v>
      </c>
      <c r="H2202" s="1">
        <v>44991.828541666669</v>
      </c>
      <c r="I2202" s="1">
        <v>44994.828541666669</v>
      </c>
      <c r="J2202" t="s">
        <v>32</v>
      </c>
      <c r="K2202" s="1">
        <v>45007.828541666669</v>
      </c>
      <c r="L2202" t="s">
        <v>39</v>
      </c>
      <c r="N2202" s="4">
        <v>45012.828541666669</v>
      </c>
      <c r="O2202" t="s">
        <v>39</v>
      </c>
      <c r="R2202" s="4">
        <v>45009.828541666669</v>
      </c>
      <c r="T2202">
        <v>0</v>
      </c>
      <c r="AC2202" s="2">
        <f t="shared" si="306"/>
        <v>3</v>
      </c>
      <c r="AD2202" s="2">
        <f t="shared" si="307"/>
        <v>16</v>
      </c>
      <c r="AE2202" s="2">
        <f t="shared" si="308"/>
        <v>13</v>
      </c>
      <c r="AF2202" s="2">
        <f t="shared" si="309"/>
        <v>18</v>
      </c>
      <c r="AG2202" s="2">
        <f t="shared" si="310"/>
        <v>2</v>
      </c>
      <c r="AH2202" s="4">
        <f t="shared" si="311"/>
        <v>45099.828541666669</v>
      </c>
      <c r="AI2202" s="2" t="str">
        <f t="shared" si="312"/>
        <v/>
      </c>
      <c r="AJ2202" s="2" t="str">
        <f t="shared" si="313"/>
        <v/>
      </c>
      <c r="AK2202" s="2" t="str">
        <f t="shared" si="314"/>
        <v/>
      </c>
    </row>
    <row r="2203" spans="1:37" x14ac:dyDescent="0.25">
      <c r="A2203">
        <v>622</v>
      </c>
      <c r="B2203" t="s">
        <v>2392</v>
      </c>
      <c r="C2203" t="s">
        <v>2283</v>
      </c>
      <c r="D2203" t="s">
        <v>2360</v>
      </c>
      <c r="E2203" t="s">
        <v>267</v>
      </c>
      <c r="F2203" t="s">
        <v>2361</v>
      </c>
      <c r="G2203" t="s">
        <v>269</v>
      </c>
      <c r="H2203" s="1">
        <v>44992.828541666669</v>
      </c>
      <c r="I2203" s="1">
        <v>44996.828541666669</v>
      </c>
      <c r="J2203" t="s">
        <v>32</v>
      </c>
      <c r="K2203" s="1">
        <v>45004.828541666669</v>
      </c>
      <c r="L2203" t="s">
        <v>39</v>
      </c>
      <c r="N2203" s="4">
        <v>45009.828541666669</v>
      </c>
      <c r="O2203" t="s">
        <v>39</v>
      </c>
      <c r="R2203" s="4">
        <v>45008.828541666669</v>
      </c>
      <c r="T2203">
        <v>0</v>
      </c>
      <c r="AC2203" s="2">
        <f t="shared" si="306"/>
        <v>4</v>
      </c>
      <c r="AD2203" s="2">
        <f t="shared" si="307"/>
        <v>12</v>
      </c>
      <c r="AE2203" s="2">
        <f t="shared" si="308"/>
        <v>8</v>
      </c>
      <c r="AF2203" s="2">
        <f t="shared" si="309"/>
        <v>16</v>
      </c>
      <c r="AG2203" s="2">
        <f t="shared" si="310"/>
        <v>4</v>
      </c>
      <c r="AH2203" s="4">
        <f t="shared" si="311"/>
        <v>45098.828541666669</v>
      </c>
      <c r="AI2203" s="2" t="str">
        <f t="shared" si="312"/>
        <v/>
      </c>
      <c r="AJ2203" s="2" t="str">
        <f t="shared" si="313"/>
        <v/>
      </c>
      <c r="AK2203" s="2" t="str">
        <f t="shared" si="314"/>
        <v/>
      </c>
    </row>
    <row r="2204" spans="1:37" x14ac:dyDescent="0.25">
      <c r="A2204">
        <v>428</v>
      </c>
      <c r="B2204" t="s">
        <v>2393</v>
      </c>
      <c r="C2204" t="s">
        <v>2283</v>
      </c>
      <c r="D2204" t="s">
        <v>2360</v>
      </c>
      <c r="E2204" t="s">
        <v>267</v>
      </c>
      <c r="F2204" t="s">
        <v>2361</v>
      </c>
      <c r="G2204" t="s">
        <v>269</v>
      </c>
      <c r="H2204" s="1">
        <v>44983.544421296298</v>
      </c>
      <c r="I2204" s="1">
        <v>44985.544421296298</v>
      </c>
      <c r="J2204" t="s">
        <v>32</v>
      </c>
      <c r="K2204" s="1">
        <v>44998.544421296298</v>
      </c>
      <c r="L2204" t="s">
        <v>33</v>
      </c>
      <c r="M2204" t="s">
        <v>67</v>
      </c>
      <c r="T2204">
        <v>0</v>
      </c>
      <c r="Y2204" t="s">
        <v>55</v>
      </c>
      <c r="AC2204" s="2">
        <f t="shared" si="306"/>
        <v>2</v>
      </c>
      <c r="AD2204" s="2">
        <f t="shared" si="307"/>
        <v>15</v>
      </c>
      <c r="AE2204" s="2">
        <f t="shared" si="308"/>
        <v>13</v>
      </c>
      <c r="AF2204" s="2" t="str">
        <f t="shared" si="309"/>
        <v/>
      </c>
      <c r="AG2204" s="2" t="str">
        <f t="shared" si="310"/>
        <v/>
      </c>
      <c r="AH2204" s="4" t="str">
        <f t="shared" si="311"/>
        <v/>
      </c>
      <c r="AI2204" s="2" t="str">
        <f t="shared" si="312"/>
        <v/>
      </c>
      <c r="AJ2204" s="2" t="str">
        <f t="shared" si="313"/>
        <v/>
      </c>
      <c r="AK2204" s="2" t="str">
        <f t="shared" si="314"/>
        <v/>
      </c>
    </row>
    <row r="2205" spans="1:37" x14ac:dyDescent="0.25">
      <c r="A2205">
        <v>423</v>
      </c>
      <c r="B2205" t="s">
        <v>2394</v>
      </c>
      <c r="C2205" t="s">
        <v>2283</v>
      </c>
      <c r="D2205" t="s">
        <v>2360</v>
      </c>
      <c r="E2205" t="s">
        <v>267</v>
      </c>
      <c r="F2205" t="s">
        <v>2361</v>
      </c>
      <c r="G2205" t="s">
        <v>269</v>
      </c>
      <c r="H2205" s="1">
        <v>44979.544421296298</v>
      </c>
      <c r="I2205" s="1">
        <v>44982.544421296298</v>
      </c>
      <c r="J2205" t="s">
        <v>32</v>
      </c>
      <c r="K2205" s="1">
        <v>44998.544421296298</v>
      </c>
      <c r="L2205" t="s">
        <v>57</v>
      </c>
      <c r="N2205" s="4">
        <v>45006.544421296298</v>
      </c>
      <c r="O2205" t="s">
        <v>57</v>
      </c>
      <c r="P2205" s="4">
        <v>44999.544421296298</v>
      </c>
      <c r="Q2205" s="4">
        <v>45002.544421296298</v>
      </c>
      <c r="R2205" s="4">
        <v>45002.544421296298</v>
      </c>
      <c r="S2205" s="4">
        <v>45005.544421296298</v>
      </c>
      <c r="T2205">
        <v>1</v>
      </c>
      <c r="U2205" s="4">
        <v>45008.544421296298</v>
      </c>
      <c r="V2205" s="4">
        <v>45009.544421296298</v>
      </c>
      <c r="W2205" s="4">
        <v>45010.544421296298</v>
      </c>
      <c r="Z2205" s="4">
        <v>45021.544421296298</v>
      </c>
      <c r="AC2205" s="2">
        <f t="shared" si="306"/>
        <v>3</v>
      </c>
      <c r="AD2205" s="2">
        <f t="shared" si="307"/>
        <v>19</v>
      </c>
      <c r="AE2205" s="2">
        <f t="shared" si="308"/>
        <v>16</v>
      </c>
      <c r="AF2205" s="2">
        <f t="shared" si="309"/>
        <v>23</v>
      </c>
      <c r="AG2205" s="2">
        <f t="shared" si="310"/>
        <v>4</v>
      </c>
      <c r="AH2205" s="4">
        <f t="shared" si="311"/>
        <v>45092.544421296298</v>
      </c>
      <c r="AI2205" s="2">
        <f t="shared" si="312"/>
        <v>3</v>
      </c>
      <c r="AJ2205" s="2">
        <f t="shared" si="313"/>
        <v>19</v>
      </c>
      <c r="AK2205" s="2">
        <f t="shared" si="314"/>
        <v>8</v>
      </c>
    </row>
    <row r="2206" spans="1:37" x14ac:dyDescent="0.25">
      <c r="A2206">
        <v>421</v>
      </c>
      <c r="B2206" t="s">
        <v>2395</v>
      </c>
      <c r="C2206" t="s">
        <v>2283</v>
      </c>
      <c r="D2206" t="s">
        <v>2360</v>
      </c>
      <c r="E2206" t="s">
        <v>267</v>
      </c>
      <c r="F2206" t="s">
        <v>2361</v>
      </c>
      <c r="G2206" t="s">
        <v>269</v>
      </c>
      <c r="H2206" s="1">
        <v>44982.544421296298</v>
      </c>
      <c r="I2206" s="1">
        <v>44985.544421296298</v>
      </c>
      <c r="J2206" t="s">
        <v>32</v>
      </c>
      <c r="K2206" s="1">
        <v>44997.544421296298</v>
      </c>
      <c r="L2206" t="s">
        <v>57</v>
      </c>
      <c r="N2206" s="4">
        <v>45001.544421296298</v>
      </c>
      <c r="O2206" t="s">
        <v>57</v>
      </c>
      <c r="P2206" s="4">
        <v>44998.544421296298</v>
      </c>
      <c r="Q2206" s="4">
        <v>45001.544421296298</v>
      </c>
      <c r="R2206" s="4">
        <v>44999.544421296298</v>
      </c>
      <c r="S2206" s="4">
        <v>45005.544421296298</v>
      </c>
      <c r="T2206">
        <v>1</v>
      </c>
      <c r="U2206" s="4">
        <v>45007.544421296298</v>
      </c>
      <c r="V2206" s="4">
        <v>45009.544421296298</v>
      </c>
      <c r="W2206" s="4">
        <v>45011.544421296298</v>
      </c>
      <c r="Z2206" s="4">
        <v>45024.544421296298</v>
      </c>
      <c r="AC2206" s="2">
        <f t="shared" si="306"/>
        <v>3</v>
      </c>
      <c r="AD2206" s="2">
        <f t="shared" si="307"/>
        <v>15</v>
      </c>
      <c r="AE2206" s="2">
        <f t="shared" si="308"/>
        <v>12</v>
      </c>
      <c r="AF2206" s="2">
        <f t="shared" si="309"/>
        <v>17</v>
      </c>
      <c r="AG2206" s="2">
        <f t="shared" si="310"/>
        <v>2</v>
      </c>
      <c r="AH2206" s="4">
        <f t="shared" si="311"/>
        <v>45089.544421296298</v>
      </c>
      <c r="AI2206" s="2">
        <f t="shared" si="312"/>
        <v>2</v>
      </c>
      <c r="AJ2206" s="2">
        <f t="shared" si="313"/>
        <v>25</v>
      </c>
      <c r="AK2206" s="2">
        <f t="shared" si="314"/>
        <v>12</v>
      </c>
    </row>
    <row r="2207" spans="1:37" x14ac:dyDescent="0.25">
      <c r="A2207">
        <v>267</v>
      </c>
      <c r="B2207" t="s">
        <v>2396</v>
      </c>
      <c r="C2207" t="s">
        <v>2283</v>
      </c>
      <c r="D2207" t="s">
        <v>2360</v>
      </c>
      <c r="E2207" t="s">
        <v>267</v>
      </c>
      <c r="F2207" t="s">
        <v>2361</v>
      </c>
      <c r="G2207" t="s">
        <v>269</v>
      </c>
      <c r="H2207" s="1">
        <v>44766.282581018517</v>
      </c>
      <c r="I2207" s="1">
        <v>44767.282581018517</v>
      </c>
      <c r="J2207" t="s">
        <v>32</v>
      </c>
      <c r="K2207" s="1">
        <v>44775.282581018517</v>
      </c>
      <c r="L2207" t="s">
        <v>33</v>
      </c>
      <c r="M2207" t="s">
        <v>67</v>
      </c>
      <c r="R2207" s="4">
        <v>44779.282581018517</v>
      </c>
      <c r="T2207">
        <v>0</v>
      </c>
      <c r="Y2207" t="s">
        <v>35</v>
      </c>
      <c r="AC2207" s="2">
        <f t="shared" si="306"/>
        <v>1</v>
      </c>
      <c r="AD2207" s="2">
        <f t="shared" si="307"/>
        <v>9</v>
      </c>
      <c r="AE2207" s="2">
        <f t="shared" si="308"/>
        <v>8</v>
      </c>
      <c r="AF2207" s="2">
        <f t="shared" si="309"/>
        <v>13</v>
      </c>
      <c r="AG2207" s="2">
        <f t="shared" si="310"/>
        <v>4</v>
      </c>
      <c r="AH2207" s="4">
        <f t="shared" si="311"/>
        <v>44869.282581018517</v>
      </c>
      <c r="AI2207" s="2" t="str">
        <f t="shared" si="312"/>
        <v/>
      </c>
      <c r="AJ2207" s="2" t="str">
        <f t="shared" si="313"/>
        <v/>
      </c>
      <c r="AK2207" s="2" t="str">
        <f t="shared" si="314"/>
        <v/>
      </c>
    </row>
    <row r="2208" spans="1:37" x14ac:dyDescent="0.25">
      <c r="A2208">
        <v>263</v>
      </c>
      <c r="B2208" t="s">
        <v>2397</v>
      </c>
      <c r="C2208" t="s">
        <v>2283</v>
      </c>
      <c r="D2208" t="s">
        <v>2360</v>
      </c>
      <c r="E2208" t="s">
        <v>267</v>
      </c>
      <c r="F2208" t="s">
        <v>2361</v>
      </c>
      <c r="G2208" t="s">
        <v>269</v>
      </c>
      <c r="H2208" s="1">
        <v>44761.282581018517</v>
      </c>
      <c r="I2208" s="1">
        <v>44764.282581018517</v>
      </c>
      <c r="J2208" t="s">
        <v>32</v>
      </c>
      <c r="K2208" s="1">
        <v>44785.282581018517</v>
      </c>
      <c r="L2208" t="s">
        <v>39</v>
      </c>
      <c r="N2208" s="4">
        <v>44791.282581018517</v>
      </c>
      <c r="O2208" t="s">
        <v>39</v>
      </c>
      <c r="R2208" s="4">
        <v>44788.282581018517</v>
      </c>
      <c r="T2208">
        <v>0</v>
      </c>
      <c r="AC2208" s="2">
        <f t="shared" si="306"/>
        <v>3</v>
      </c>
      <c r="AD2208" s="2">
        <f t="shared" si="307"/>
        <v>24</v>
      </c>
      <c r="AE2208" s="2">
        <f t="shared" si="308"/>
        <v>21</v>
      </c>
      <c r="AF2208" s="2">
        <f t="shared" si="309"/>
        <v>27</v>
      </c>
      <c r="AG2208" s="2">
        <f t="shared" si="310"/>
        <v>3</v>
      </c>
      <c r="AH2208" s="4">
        <f t="shared" si="311"/>
        <v>44878.282581018517</v>
      </c>
      <c r="AI2208" s="2" t="str">
        <f t="shared" si="312"/>
        <v/>
      </c>
      <c r="AJ2208" s="2" t="str">
        <f t="shared" si="313"/>
        <v/>
      </c>
      <c r="AK2208" s="2" t="str">
        <f t="shared" si="314"/>
        <v/>
      </c>
    </row>
    <row r="2209" spans="1:37" x14ac:dyDescent="0.25">
      <c r="A2209">
        <v>261</v>
      </c>
      <c r="B2209" t="s">
        <v>2398</v>
      </c>
      <c r="C2209" t="s">
        <v>2283</v>
      </c>
      <c r="D2209" t="s">
        <v>2360</v>
      </c>
      <c r="E2209" t="s">
        <v>267</v>
      </c>
      <c r="F2209" t="s">
        <v>2361</v>
      </c>
      <c r="G2209" t="s">
        <v>269</v>
      </c>
      <c r="H2209" s="1">
        <v>44767.282581018517</v>
      </c>
      <c r="I2209" s="1">
        <v>44769.282581018517</v>
      </c>
      <c r="J2209" t="s">
        <v>44</v>
      </c>
      <c r="K2209" s="1"/>
      <c r="T2209">
        <v>0</v>
      </c>
      <c r="AC2209" s="2">
        <f t="shared" si="306"/>
        <v>2</v>
      </c>
      <c r="AD2209" s="2" t="str">
        <f t="shared" si="307"/>
        <v/>
      </c>
      <c r="AE2209" s="2" t="str">
        <f t="shared" si="308"/>
        <v/>
      </c>
      <c r="AF2209" s="2" t="str">
        <f t="shared" si="309"/>
        <v/>
      </c>
      <c r="AG2209" s="2" t="str">
        <f t="shared" si="310"/>
        <v/>
      </c>
      <c r="AH2209" s="4" t="str">
        <f t="shared" si="311"/>
        <v/>
      </c>
      <c r="AI2209" s="2" t="str">
        <f t="shared" si="312"/>
        <v/>
      </c>
      <c r="AJ2209" s="2" t="str">
        <f t="shared" si="313"/>
        <v/>
      </c>
      <c r="AK2209" s="2" t="str">
        <f t="shared" si="314"/>
        <v/>
      </c>
    </row>
    <row r="2210" spans="1:37" x14ac:dyDescent="0.25">
      <c r="A2210">
        <v>260</v>
      </c>
      <c r="B2210" t="s">
        <v>2399</v>
      </c>
      <c r="C2210" t="s">
        <v>2283</v>
      </c>
      <c r="D2210" t="s">
        <v>2360</v>
      </c>
      <c r="E2210" t="s">
        <v>267</v>
      </c>
      <c r="F2210" t="s">
        <v>2361</v>
      </c>
      <c r="G2210" t="s">
        <v>269</v>
      </c>
      <c r="H2210" s="1">
        <v>44704.632962962962</v>
      </c>
      <c r="I2210" s="1">
        <v>44708.632962962962</v>
      </c>
      <c r="J2210" t="s">
        <v>32</v>
      </c>
      <c r="K2210" s="1">
        <v>44728.632962962962</v>
      </c>
      <c r="L2210" t="s">
        <v>39</v>
      </c>
      <c r="N2210" s="4">
        <v>44733.632962962962</v>
      </c>
      <c r="O2210" t="s">
        <v>39</v>
      </c>
      <c r="R2210" s="4">
        <v>44730.632962962962</v>
      </c>
      <c r="T2210">
        <v>0</v>
      </c>
      <c r="AC2210" s="2">
        <f t="shared" si="306"/>
        <v>4</v>
      </c>
      <c r="AD2210" s="2">
        <f t="shared" si="307"/>
        <v>24</v>
      </c>
      <c r="AE2210" s="2">
        <f t="shared" si="308"/>
        <v>20</v>
      </c>
      <c r="AF2210" s="2">
        <f t="shared" si="309"/>
        <v>26</v>
      </c>
      <c r="AG2210" s="2">
        <f t="shared" si="310"/>
        <v>2</v>
      </c>
      <c r="AH2210" s="4">
        <f t="shared" si="311"/>
        <v>44820.632962962962</v>
      </c>
      <c r="AI2210" s="2" t="str">
        <f t="shared" si="312"/>
        <v/>
      </c>
      <c r="AJ2210" s="2" t="str">
        <f t="shared" si="313"/>
        <v/>
      </c>
      <c r="AK2210" s="2" t="str">
        <f t="shared" si="314"/>
        <v/>
      </c>
    </row>
    <row r="2211" spans="1:37" x14ac:dyDescent="0.25">
      <c r="A2211">
        <v>240</v>
      </c>
      <c r="B2211" t="s">
        <v>2400</v>
      </c>
      <c r="C2211" t="s">
        <v>2283</v>
      </c>
      <c r="D2211" t="s">
        <v>2360</v>
      </c>
      <c r="E2211" t="s">
        <v>267</v>
      </c>
      <c r="F2211" t="s">
        <v>2361</v>
      </c>
      <c r="G2211" t="s">
        <v>269</v>
      </c>
      <c r="H2211" s="1">
        <v>44595.810960648145</v>
      </c>
      <c r="I2211" s="1">
        <v>44597.810960648145</v>
      </c>
      <c r="J2211" t="s">
        <v>32</v>
      </c>
      <c r="K2211" s="1">
        <v>44616.810960648145</v>
      </c>
      <c r="L2211" t="s">
        <v>164</v>
      </c>
      <c r="N2211" s="4">
        <v>44621.810960648145</v>
      </c>
      <c r="O2211" t="s">
        <v>164</v>
      </c>
      <c r="R2211" s="4">
        <v>44617.810960648145</v>
      </c>
      <c r="T2211">
        <v>0</v>
      </c>
      <c r="AC2211" s="2">
        <f t="shared" si="306"/>
        <v>2</v>
      </c>
      <c r="AD2211" s="2">
        <f t="shared" si="307"/>
        <v>21</v>
      </c>
      <c r="AE2211" s="2">
        <f t="shared" si="308"/>
        <v>19</v>
      </c>
      <c r="AF2211" s="2">
        <f t="shared" si="309"/>
        <v>22</v>
      </c>
      <c r="AG2211" s="2">
        <f t="shared" si="310"/>
        <v>1</v>
      </c>
      <c r="AH2211" s="4">
        <f t="shared" si="311"/>
        <v>44707.810960648145</v>
      </c>
      <c r="AI2211" s="2" t="str">
        <f t="shared" si="312"/>
        <v/>
      </c>
      <c r="AJ2211" s="2" t="str">
        <f t="shared" si="313"/>
        <v/>
      </c>
      <c r="AK2211" s="2" t="str">
        <f t="shared" si="314"/>
        <v/>
      </c>
    </row>
    <row r="2212" spans="1:37" x14ac:dyDescent="0.25">
      <c r="A2212">
        <v>232</v>
      </c>
      <c r="B2212" t="s">
        <v>2401</v>
      </c>
      <c r="C2212" t="s">
        <v>2283</v>
      </c>
      <c r="D2212" t="s">
        <v>2360</v>
      </c>
      <c r="E2212" t="s">
        <v>267</v>
      </c>
      <c r="F2212" t="s">
        <v>2361</v>
      </c>
      <c r="G2212" t="s">
        <v>269</v>
      </c>
      <c r="H2212" s="1">
        <v>44598.810960648145</v>
      </c>
      <c r="I2212" s="1">
        <v>44601.810960648145</v>
      </c>
      <c r="J2212" t="s">
        <v>32</v>
      </c>
      <c r="K2212" s="1">
        <v>44616.810960648145</v>
      </c>
      <c r="L2212" t="s">
        <v>33</v>
      </c>
      <c r="M2212" t="s">
        <v>92</v>
      </c>
      <c r="R2212" s="4">
        <v>44617.810960648145</v>
      </c>
      <c r="T2212">
        <v>0</v>
      </c>
      <c r="Y2212" t="s">
        <v>35</v>
      </c>
      <c r="AC2212" s="2">
        <f t="shared" si="306"/>
        <v>3</v>
      </c>
      <c r="AD2212" s="2">
        <f t="shared" si="307"/>
        <v>18</v>
      </c>
      <c r="AE2212" s="2">
        <f t="shared" si="308"/>
        <v>15</v>
      </c>
      <c r="AF2212" s="2">
        <f t="shared" si="309"/>
        <v>19</v>
      </c>
      <c r="AG2212" s="2">
        <f t="shared" si="310"/>
        <v>1</v>
      </c>
      <c r="AH2212" s="4">
        <f t="shared" si="311"/>
        <v>44707.810960648145</v>
      </c>
      <c r="AI2212" s="2" t="str">
        <f t="shared" si="312"/>
        <v/>
      </c>
      <c r="AJ2212" s="2" t="str">
        <f t="shared" si="313"/>
        <v/>
      </c>
      <c r="AK2212" s="2" t="str">
        <f t="shared" si="314"/>
        <v/>
      </c>
    </row>
    <row r="2213" spans="1:37" x14ac:dyDescent="0.25">
      <c r="A2213">
        <v>225</v>
      </c>
      <c r="B2213" t="s">
        <v>2402</v>
      </c>
      <c r="C2213" t="s">
        <v>2283</v>
      </c>
      <c r="D2213" t="s">
        <v>2360</v>
      </c>
      <c r="E2213" t="s">
        <v>267</v>
      </c>
      <c r="F2213" t="s">
        <v>2361</v>
      </c>
      <c r="G2213" t="s">
        <v>269</v>
      </c>
      <c r="H2213" s="1">
        <v>44741.447731481479</v>
      </c>
      <c r="I2213" s="1">
        <v>44742.447731481479</v>
      </c>
      <c r="J2213" t="s">
        <v>32</v>
      </c>
      <c r="K2213" s="1">
        <v>44761.447731481479</v>
      </c>
      <c r="L2213" t="s">
        <v>33</v>
      </c>
      <c r="M2213" t="s">
        <v>51</v>
      </c>
      <c r="T2213">
        <v>0</v>
      </c>
      <c r="Y2213" t="s">
        <v>55</v>
      </c>
      <c r="AC2213" s="2">
        <f t="shared" si="306"/>
        <v>1</v>
      </c>
      <c r="AD2213" s="2">
        <f t="shared" si="307"/>
        <v>20</v>
      </c>
      <c r="AE2213" s="2">
        <f t="shared" si="308"/>
        <v>19</v>
      </c>
      <c r="AF2213" s="2" t="str">
        <f t="shared" si="309"/>
        <v/>
      </c>
      <c r="AG2213" s="2" t="str">
        <f t="shared" si="310"/>
        <v/>
      </c>
      <c r="AH2213" s="4" t="str">
        <f t="shared" si="311"/>
        <v/>
      </c>
      <c r="AI2213" s="2" t="str">
        <f t="shared" si="312"/>
        <v/>
      </c>
      <c r="AJ2213" s="2" t="str">
        <f t="shared" si="313"/>
        <v/>
      </c>
      <c r="AK2213" s="2" t="str">
        <f t="shared" si="314"/>
        <v/>
      </c>
    </row>
    <row r="2214" spans="1:37" x14ac:dyDescent="0.25">
      <c r="A2214">
        <v>221</v>
      </c>
      <c r="B2214" t="s">
        <v>2403</v>
      </c>
      <c r="C2214" t="s">
        <v>2283</v>
      </c>
      <c r="D2214" t="s">
        <v>2360</v>
      </c>
      <c r="E2214" t="s">
        <v>267</v>
      </c>
      <c r="F2214" t="s">
        <v>2361</v>
      </c>
      <c r="G2214" t="s">
        <v>269</v>
      </c>
      <c r="H2214" s="1">
        <v>44738.447731481479</v>
      </c>
      <c r="I2214" s="1">
        <v>44740.447731481479</v>
      </c>
      <c r="J2214" t="s">
        <v>32</v>
      </c>
      <c r="K2214" s="1">
        <v>44751.447731481479</v>
      </c>
      <c r="L2214" t="s">
        <v>33</v>
      </c>
      <c r="M2214" t="s">
        <v>108</v>
      </c>
      <c r="R2214" s="4">
        <v>44753.447731481479</v>
      </c>
      <c r="T2214">
        <v>0</v>
      </c>
      <c r="Y2214" t="s">
        <v>55</v>
      </c>
      <c r="AC2214" s="2">
        <f t="shared" si="306"/>
        <v>2</v>
      </c>
      <c r="AD2214" s="2">
        <f t="shared" si="307"/>
        <v>13</v>
      </c>
      <c r="AE2214" s="2">
        <f t="shared" si="308"/>
        <v>11</v>
      </c>
      <c r="AF2214" s="2">
        <f t="shared" si="309"/>
        <v>15</v>
      </c>
      <c r="AG2214" s="2">
        <f t="shared" si="310"/>
        <v>2</v>
      </c>
      <c r="AH2214" s="4">
        <f t="shared" si="311"/>
        <v>44843.447731481479</v>
      </c>
      <c r="AI2214" s="2" t="str">
        <f t="shared" si="312"/>
        <v/>
      </c>
      <c r="AJ2214" s="2" t="str">
        <f t="shared" si="313"/>
        <v/>
      </c>
      <c r="AK2214" s="2" t="str">
        <f t="shared" si="314"/>
        <v/>
      </c>
    </row>
    <row r="2215" spans="1:37" x14ac:dyDescent="0.25">
      <c r="A2215">
        <v>152</v>
      </c>
      <c r="B2215" t="s">
        <v>2404</v>
      </c>
      <c r="C2215" t="s">
        <v>2283</v>
      </c>
      <c r="D2215" t="s">
        <v>2360</v>
      </c>
      <c r="E2215" t="s">
        <v>267</v>
      </c>
      <c r="F2215" t="s">
        <v>2361</v>
      </c>
      <c r="G2215" t="s">
        <v>269</v>
      </c>
      <c r="H2215" s="1">
        <v>44928.64434027778</v>
      </c>
      <c r="I2215" s="1">
        <v>44932.64434027778</v>
      </c>
      <c r="J2215" t="s">
        <v>32</v>
      </c>
      <c r="K2215" s="1">
        <v>44951.64434027778</v>
      </c>
      <c r="L2215" t="s">
        <v>164</v>
      </c>
      <c r="N2215" s="4">
        <v>44954.64434027778</v>
      </c>
      <c r="O2215" t="s">
        <v>164</v>
      </c>
      <c r="R2215" s="4">
        <v>44953.64434027778</v>
      </c>
      <c r="T2215">
        <v>0</v>
      </c>
      <c r="AC2215" s="2">
        <f t="shared" si="306"/>
        <v>4</v>
      </c>
      <c r="AD2215" s="2">
        <f t="shared" si="307"/>
        <v>23</v>
      </c>
      <c r="AE2215" s="2">
        <f t="shared" si="308"/>
        <v>19</v>
      </c>
      <c r="AF2215" s="2">
        <f t="shared" si="309"/>
        <v>25</v>
      </c>
      <c r="AG2215" s="2">
        <f t="shared" si="310"/>
        <v>2</v>
      </c>
      <c r="AH2215" s="4">
        <f t="shared" si="311"/>
        <v>45043.64434027778</v>
      </c>
      <c r="AI2215" s="2" t="str">
        <f t="shared" si="312"/>
        <v/>
      </c>
      <c r="AJ2215" s="2" t="str">
        <f t="shared" si="313"/>
        <v/>
      </c>
      <c r="AK2215" s="2" t="str">
        <f t="shared" si="314"/>
        <v/>
      </c>
    </row>
    <row r="2216" spans="1:37" x14ac:dyDescent="0.25">
      <c r="A2216">
        <v>120</v>
      </c>
      <c r="B2216" t="s">
        <v>2405</v>
      </c>
      <c r="C2216" t="s">
        <v>2283</v>
      </c>
      <c r="D2216" t="s">
        <v>2360</v>
      </c>
      <c r="E2216" t="s">
        <v>267</v>
      </c>
      <c r="F2216" t="s">
        <v>2361</v>
      </c>
      <c r="G2216" t="s">
        <v>269</v>
      </c>
      <c r="H2216" s="1">
        <v>44739.19809027778</v>
      </c>
      <c r="I2216" s="1">
        <v>44743.19809027778</v>
      </c>
      <c r="J2216" t="s">
        <v>44</v>
      </c>
      <c r="K2216" s="1"/>
      <c r="T2216">
        <v>0</v>
      </c>
      <c r="AC2216" s="2">
        <f t="shared" si="306"/>
        <v>4</v>
      </c>
      <c r="AD2216" s="2" t="str">
        <f t="shared" si="307"/>
        <v/>
      </c>
      <c r="AE2216" s="2" t="str">
        <f t="shared" si="308"/>
        <v/>
      </c>
      <c r="AF2216" s="2" t="str">
        <f t="shared" si="309"/>
        <v/>
      </c>
      <c r="AG2216" s="2" t="str">
        <f t="shared" si="310"/>
        <v/>
      </c>
      <c r="AH2216" s="4" t="str">
        <f t="shared" si="311"/>
        <v/>
      </c>
      <c r="AI2216" s="2" t="str">
        <f t="shared" si="312"/>
        <v/>
      </c>
      <c r="AJ2216" s="2" t="str">
        <f t="shared" si="313"/>
        <v/>
      </c>
      <c r="AK2216" s="2" t="str">
        <f t="shared" si="314"/>
        <v/>
      </c>
    </row>
    <row r="2217" spans="1:37" x14ac:dyDescent="0.25">
      <c r="A2217">
        <v>117</v>
      </c>
      <c r="B2217" t="s">
        <v>2406</v>
      </c>
      <c r="C2217" t="s">
        <v>2283</v>
      </c>
      <c r="D2217" t="s">
        <v>2360</v>
      </c>
      <c r="E2217" t="s">
        <v>267</v>
      </c>
      <c r="F2217" t="s">
        <v>2361</v>
      </c>
      <c r="G2217" t="s">
        <v>269</v>
      </c>
      <c r="H2217" s="1">
        <v>44737.19809027778</v>
      </c>
      <c r="I2217" s="1">
        <v>44740.19809027778</v>
      </c>
      <c r="J2217" t="s">
        <v>32</v>
      </c>
      <c r="K2217" s="1">
        <v>44755.19809027778</v>
      </c>
      <c r="L2217" t="s">
        <v>57</v>
      </c>
      <c r="N2217" s="4">
        <v>44759.19809027778</v>
      </c>
      <c r="O2217" t="s">
        <v>57</v>
      </c>
      <c r="P2217" s="4">
        <v>44757.19809027778</v>
      </c>
      <c r="Q2217" s="4">
        <v>44759.19809027778</v>
      </c>
      <c r="R2217" s="4">
        <v>44758.19809027778</v>
      </c>
      <c r="S2217" s="4">
        <v>44759.19809027778</v>
      </c>
      <c r="T2217">
        <v>1</v>
      </c>
      <c r="U2217" s="4">
        <v>44763.19809027778</v>
      </c>
      <c r="V2217" s="4">
        <v>44765.19809027778</v>
      </c>
      <c r="W2217" s="4">
        <v>44768.19809027778</v>
      </c>
      <c r="Z2217" s="4">
        <v>44784.19809027778</v>
      </c>
      <c r="AC2217" s="2">
        <f t="shared" si="306"/>
        <v>3</v>
      </c>
      <c r="AD2217" s="2">
        <f t="shared" si="307"/>
        <v>18</v>
      </c>
      <c r="AE2217" s="2">
        <f t="shared" si="308"/>
        <v>15</v>
      </c>
      <c r="AF2217" s="2">
        <f t="shared" si="309"/>
        <v>21</v>
      </c>
      <c r="AG2217" s="2">
        <f t="shared" si="310"/>
        <v>3</v>
      </c>
      <c r="AH2217" s="4">
        <f t="shared" si="311"/>
        <v>44848.19809027778</v>
      </c>
      <c r="AI2217" s="2">
        <f t="shared" si="312"/>
        <v>4</v>
      </c>
      <c r="AJ2217" s="2">
        <f t="shared" si="313"/>
        <v>26</v>
      </c>
      <c r="AK2217" s="2">
        <f t="shared" si="314"/>
        <v>10</v>
      </c>
    </row>
    <row r="2218" spans="1:37" x14ac:dyDescent="0.25">
      <c r="A2218">
        <v>57</v>
      </c>
      <c r="B2218" t="s">
        <v>2407</v>
      </c>
      <c r="C2218" t="s">
        <v>2283</v>
      </c>
      <c r="D2218" t="s">
        <v>2360</v>
      </c>
      <c r="E2218" t="s">
        <v>267</v>
      </c>
      <c r="F2218" t="s">
        <v>2361</v>
      </c>
      <c r="G2218" t="s">
        <v>269</v>
      </c>
      <c r="H2218" s="1">
        <v>44772.01295138889</v>
      </c>
      <c r="I2218" s="1">
        <v>44776.01295138889</v>
      </c>
      <c r="J2218" t="s">
        <v>32</v>
      </c>
      <c r="K2218" s="1">
        <v>44792.01295138889</v>
      </c>
      <c r="L2218" t="s">
        <v>57</v>
      </c>
      <c r="N2218" s="4">
        <v>44798.01295138889</v>
      </c>
      <c r="O2218" t="s">
        <v>57</v>
      </c>
      <c r="P2218" s="4">
        <v>44793.01295138889</v>
      </c>
      <c r="Q2218" s="4">
        <v>44794.01295138889</v>
      </c>
      <c r="R2218" s="4">
        <v>44795.01295138889</v>
      </c>
      <c r="S2218" s="4">
        <v>44800.01295138889</v>
      </c>
      <c r="T2218">
        <v>1</v>
      </c>
      <c r="U2218" s="4">
        <v>44801.01295138889</v>
      </c>
      <c r="V2218" s="4">
        <v>44803.01295138889</v>
      </c>
      <c r="W2218" s="4">
        <v>44806.01295138889</v>
      </c>
      <c r="Z2218" s="4">
        <v>44824.01295138889</v>
      </c>
      <c r="AC2218" s="2">
        <f t="shared" si="306"/>
        <v>4</v>
      </c>
      <c r="AD2218" s="2">
        <f t="shared" si="307"/>
        <v>20</v>
      </c>
      <c r="AE2218" s="2">
        <f t="shared" si="308"/>
        <v>16</v>
      </c>
      <c r="AF2218" s="2">
        <f t="shared" si="309"/>
        <v>23</v>
      </c>
      <c r="AG2218" s="2">
        <f t="shared" si="310"/>
        <v>3</v>
      </c>
      <c r="AH2218" s="4">
        <f t="shared" si="311"/>
        <v>44885.01295138889</v>
      </c>
      <c r="AI2218" s="2">
        <f t="shared" si="312"/>
        <v>1</v>
      </c>
      <c r="AJ2218" s="2">
        <f t="shared" si="313"/>
        <v>29</v>
      </c>
      <c r="AK2218" s="2">
        <f t="shared" si="314"/>
        <v>11</v>
      </c>
    </row>
    <row r="2219" spans="1:37" x14ac:dyDescent="0.25">
      <c r="A2219">
        <v>2999</v>
      </c>
      <c r="B2219" t="s">
        <v>2408</v>
      </c>
      <c r="C2219" t="s">
        <v>2283</v>
      </c>
      <c r="D2219" t="s">
        <v>2409</v>
      </c>
      <c r="E2219" t="s">
        <v>2410</v>
      </c>
      <c r="F2219" t="s">
        <v>2411</v>
      </c>
      <c r="G2219" t="s">
        <v>31</v>
      </c>
      <c r="H2219" s="1">
        <v>44989.039479166669</v>
      </c>
      <c r="I2219" s="1">
        <v>44990.039479166669</v>
      </c>
      <c r="J2219" t="s">
        <v>32</v>
      </c>
      <c r="K2219" s="1">
        <v>44997.039479166669</v>
      </c>
      <c r="L2219" t="s">
        <v>57</v>
      </c>
      <c r="N2219" s="4">
        <v>45000.039479166669</v>
      </c>
      <c r="O2219" t="s">
        <v>57</v>
      </c>
      <c r="P2219" s="4">
        <v>44998.039479166669</v>
      </c>
      <c r="Q2219" s="4">
        <v>45000.039479166669</v>
      </c>
      <c r="R2219" s="4">
        <v>44998.039479166669</v>
      </c>
      <c r="S2219" s="4">
        <v>45007.039479166669</v>
      </c>
      <c r="T2219">
        <v>1</v>
      </c>
      <c r="U2219" s="4">
        <v>45011.039479166669</v>
      </c>
      <c r="V2219" s="4">
        <v>45014.039479166669</v>
      </c>
      <c r="W2219" s="4">
        <v>45017.039479166669</v>
      </c>
      <c r="Z2219" s="4">
        <v>45038.039479166669</v>
      </c>
      <c r="AC2219" s="2">
        <f t="shared" si="306"/>
        <v>1</v>
      </c>
      <c r="AD2219" s="2">
        <f t="shared" si="307"/>
        <v>8</v>
      </c>
      <c r="AE2219" s="2">
        <f t="shared" si="308"/>
        <v>7</v>
      </c>
      <c r="AF2219" s="2">
        <f t="shared" si="309"/>
        <v>9</v>
      </c>
      <c r="AG2219" s="2">
        <f t="shared" si="310"/>
        <v>1</v>
      </c>
      <c r="AH2219" s="4">
        <f t="shared" si="311"/>
        <v>45088.039479166669</v>
      </c>
      <c r="AI2219" s="2">
        <f t="shared" si="312"/>
        <v>4</v>
      </c>
      <c r="AJ2219" s="2">
        <f t="shared" si="313"/>
        <v>40</v>
      </c>
      <c r="AK2219" s="2">
        <f t="shared" si="314"/>
        <v>19</v>
      </c>
    </row>
    <row r="2220" spans="1:37" x14ac:dyDescent="0.25">
      <c r="A2220">
        <v>2953</v>
      </c>
      <c r="B2220" t="s">
        <v>2412</v>
      </c>
      <c r="C2220" t="s">
        <v>2283</v>
      </c>
      <c r="D2220" t="s">
        <v>2409</v>
      </c>
      <c r="E2220" t="s">
        <v>2410</v>
      </c>
      <c r="F2220" t="s">
        <v>2411</v>
      </c>
      <c r="G2220" t="s">
        <v>31</v>
      </c>
      <c r="H2220" s="1">
        <v>45018.652233796296</v>
      </c>
      <c r="I2220" s="1">
        <v>45020.652233796296</v>
      </c>
      <c r="J2220" t="s">
        <v>44</v>
      </c>
      <c r="K2220" s="1"/>
      <c r="T2220">
        <v>0</v>
      </c>
      <c r="AC2220" s="2">
        <f t="shared" si="306"/>
        <v>2</v>
      </c>
      <c r="AD2220" s="2" t="str">
        <f t="shared" si="307"/>
        <v/>
      </c>
      <c r="AE2220" s="2" t="str">
        <f t="shared" si="308"/>
        <v/>
      </c>
      <c r="AF2220" s="2" t="str">
        <f t="shared" si="309"/>
        <v/>
      </c>
      <c r="AG2220" s="2" t="str">
        <f t="shared" si="310"/>
        <v/>
      </c>
      <c r="AH2220" s="4" t="str">
        <f t="shared" si="311"/>
        <v/>
      </c>
      <c r="AI2220" s="2" t="str">
        <f t="shared" si="312"/>
        <v/>
      </c>
      <c r="AJ2220" s="2" t="str">
        <f t="shared" si="313"/>
        <v/>
      </c>
      <c r="AK2220" s="2" t="str">
        <f t="shared" si="314"/>
        <v/>
      </c>
    </row>
    <row r="2221" spans="1:37" x14ac:dyDescent="0.25">
      <c r="A2221">
        <v>2911</v>
      </c>
      <c r="B2221" t="s">
        <v>2413</v>
      </c>
      <c r="C2221" t="s">
        <v>2283</v>
      </c>
      <c r="D2221" t="s">
        <v>2409</v>
      </c>
      <c r="E2221" t="s">
        <v>2410</v>
      </c>
      <c r="F2221" t="s">
        <v>2411</v>
      </c>
      <c r="G2221" t="s">
        <v>31</v>
      </c>
      <c r="H2221" s="1">
        <v>44601.794965277775</v>
      </c>
      <c r="I2221" s="1">
        <v>44603.794965277775</v>
      </c>
      <c r="J2221" t="s">
        <v>32</v>
      </c>
      <c r="K2221" s="1">
        <v>44614.794965277775</v>
      </c>
      <c r="L2221" t="s">
        <v>57</v>
      </c>
      <c r="N2221" s="4">
        <v>44618.794965277775</v>
      </c>
      <c r="O2221" t="s">
        <v>57</v>
      </c>
      <c r="P2221" s="4">
        <v>44615.794965277775</v>
      </c>
      <c r="Q2221" s="4">
        <v>44619.794965277775</v>
      </c>
      <c r="R2221" s="4">
        <v>44616.794965277775</v>
      </c>
      <c r="S2221" s="4">
        <v>44622.794965277775</v>
      </c>
      <c r="T2221">
        <v>1</v>
      </c>
      <c r="U2221" s="4">
        <v>44623.794965277775</v>
      </c>
      <c r="V2221" s="4">
        <v>44625.794965277775</v>
      </c>
      <c r="W2221" s="4">
        <v>44628.794965277775</v>
      </c>
      <c r="Z2221" s="4">
        <v>44647.794965277775</v>
      </c>
      <c r="AC2221" s="2">
        <f t="shared" si="306"/>
        <v>2</v>
      </c>
      <c r="AD2221" s="2">
        <f t="shared" si="307"/>
        <v>13</v>
      </c>
      <c r="AE2221" s="2">
        <f t="shared" si="308"/>
        <v>11</v>
      </c>
      <c r="AF2221" s="2">
        <f t="shared" si="309"/>
        <v>15</v>
      </c>
      <c r="AG2221" s="2">
        <f t="shared" si="310"/>
        <v>2</v>
      </c>
      <c r="AH2221" s="4">
        <f t="shared" si="311"/>
        <v>44706.794965277775</v>
      </c>
      <c r="AI2221" s="2">
        <f t="shared" si="312"/>
        <v>1</v>
      </c>
      <c r="AJ2221" s="2">
        <f t="shared" si="313"/>
        <v>31</v>
      </c>
      <c r="AK2221" s="2">
        <f t="shared" si="314"/>
        <v>12</v>
      </c>
    </row>
    <row r="2222" spans="1:37" x14ac:dyDescent="0.25">
      <c r="A2222">
        <v>2797</v>
      </c>
      <c r="B2222" t="s">
        <v>2414</v>
      </c>
      <c r="C2222" t="s">
        <v>2283</v>
      </c>
      <c r="D2222" t="s">
        <v>2409</v>
      </c>
      <c r="E2222" t="s">
        <v>2410</v>
      </c>
      <c r="F2222" t="s">
        <v>2411</v>
      </c>
      <c r="G2222" t="s">
        <v>31</v>
      </c>
      <c r="H2222" s="1">
        <v>45100.834444444445</v>
      </c>
      <c r="I2222" s="1">
        <v>45104.834444444445</v>
      </c>
      <c r="J2222" t="s">
        <v>44</v>
      </c>
      <c r="K2222" s="1"/>
      <c r="T2222">
        <v>0</v>
      </c>
      <c r="AC2222" s="2">
        <f t="shared" si="306"/>
        <v>4</v>
      </c>
      <c r="AD2222" s="2" t="str">
        <f t="shared" si="307"/>
        <v/>
      </c>
      <c r="AE2222" s="2" t="str">
        <f t="shared" si="308"/>
        <v/>
      </c>
      <c r="AF2222" s="2" t="str">
        <f t="shared" si="309"/>
        <v/>
      </c>
      <c r="AG2222" s="2" t="str">
        <f t="shared" si="310"/>
        <v/>
      </c>
      <c r="AH2222" s="4" t="str">
        <f t="shared" si="311"/>
        <v/>
      </c>
      <c r="AI2222" s="2" t="str">
        <f t="shared" si="312"/>
        <v/>
      </c>
      <c r="AJ2222" s="2" t="str">
        <f t="shared" si="313"/>
        <v/>
      </c>
      <c r="AK2222" s="2" t="str">
        <f t="shared" si="314"/>
        <v/>
      </c>
    </row>
    <row r="2223" spans="1:37" x14ac:dyDescent="0.25">
      <c r="A2223">
        <v>2741</v>
      </c>
      <c r="B2223" t="s">
        <v>2415</v>
      </c>
      <c r="C2223" t="s">
        <v>2283</v>
      </c>
      <c r="D2223" t="s">
        <v>2409</v>
      </c>
      <c r="E2223" t="s">
        <v>2410</v>
      </c>
      <c r="F2223" t="s">
        <v>2411</v>
      </c>
      <c r="G2223" t="s">
        <v>31</v>
      </c>
      <c r="H2223" s="1">
        <v>44667.561030092591</v>
      </c>
      <c r="I2223" s="1">
        <v>44669.561030092591</v>
      </c>
      <c r="J2223" t="s">
        <v>44</v>
      </c>
      <c r="K2223" s="1"/>
      <c r="T2223">
        <v>0</v>
      </c>
      <c r="AC2223" s="2">
        <f t="shared" si="306"/>
        <v>2</v>
      </c>
      <c r="AD2223" s="2" t="str">
        <f t="shared" si="307"/>
        <v/>
      </c>
      <c r="AE2223" s="2" t="str">
        <f t="shared" si="308"/>
        <v/>
      </c>
      <c r="AF2223" s="2" t="str">
        <f t="shared" si="309"/>
        <v/>
      </c>
      <c r="AG2223" s="2" t="str">
        <f t="shared" si="310"/>
        <v/>
      </c>
      <c r="AH2223" s="4" t="str">
        <f t="shared" si="311"/>
        <v/>
      </c>
      <c r="AI2223" s="2" t="str">
        <f t="shared" si="312"/>
        <v/>
      </c>
      <c r="AJ2223" s="2" t="str">
        <f t="shared" si="313"/>
        <v/>
      </c>
      <c r="AK2223" s="2" t="str">
        <f t="shared" si="314"/>
        <v/>
      </c>
    </row>
    <row r="2224" spans="1:37" x14ac:dyDescent="0.25">
      <c r="A2224">
        <v>2707</v>
      </c>
      <c r="B2224" t="s">
        <v>2416</v>
      </c>
      <c r="C2224" t="s">
        <v>2283</v>
      </c>
      <c r="D2224" t="s">
        <v>2409</v>
      </c>
      <c r="E2224" t="s">
        <v>2410</v>
      </c>
      <c r="F2224" t="s">
        <v>2411</v>
      </c>
      <c r="G2224" t="s">
        <v>31</v>
      </c>
      <c r="H2224" s="1">
        <v>44829.495787037034</v>
      </c>
      <c r="I2224" s="1">
        <v>44831.495787037034</v>
      </c>
      <c r="J2224" t="s">
        <v>32</v>
      </c>
      <c r="K2224" s="1">
        <v>44847.495787037034</v>
      </c>
      <c r="L2224" t="s">
        <v>57</v>
      </c>
      <c r="N2224" s="4">
        <v>44851.495787037034</v>
      </c>
      <c r="O2224" t="s">
        <v>57</v>
      </c>
      <c r="P2224" s="4">
        <v>44849.495787037034</v>
      </c>
      <c r="Q2224" s="4">
        <v>44852.495787037034</v>
      </c>
      <c r="R2224" s="4">
        <v>44848.495787037034</v>
      </c>
      <c r="S2224" s="4">
        <v>44849.495787037034</v>
      </c>
      <c r="T2224">
        <v>1</v>
      </c>
      <c r="U2224" s="4">
        <v>44851.495787037034</v>
      </c>
      <c r="V2224" s="4">
        <v>44854.495787037034</v>
      </c>
      <c r="W2224" s="4">
        <v>44857.495787037034</v>
      </c>
      <c r="Z2224" s="4">
        <v>44874.495787037034</v>
      </c>
      <c r="AC2224" s="2">
        <f t="shared" si="306"/>
        <v>2</v>
      </c>
      <c r="AD2224" s="2">
        <f t="shared" si="307"/>
        <v>18</v>
      </c>
      <c r="AE2224" s="2">
        <f t="shared" si="308"/>
        <v>16</v>
      </c>
      <c r="AF2224" s="2">
        <f t="shared" si="309"/>
        <v>19</v>
      </c>
      <c r="AG2224" s="2">
        <f t="shared" si="310"/>
        <v>1</v>
      </c>
      <c r="AH2224" s="4">
        <f t="shared" si="311"/>
        <v>44938.495787037034</v>
      </c>
      <c r="AI2224" s="2">
        <f t="shared" si="312"/>
        <v>2</v>
      </c>
      <c r="AJ2224" s="2">
        <f t="shared" si="313"/>
        <v>26</v>
      </c>
      <c r="AK2224" s="2">
        <f t="shared" si="314"/>
        <v>9</v>
      </c>
    </row>
    <row r="2225" spans="1:37" x14ac:dyDescent="0.25">
      <c r="A2225">
        <v>2701</v>
      </c>
      <c r="B2225" t="s">
        <v>2417</v>
      </c>
      <c r="C2225" t="s">
        <v>2283</v>
      </c>
      <c r="D2225" t="s">
        <v>2409</v>
      </c>
      <c r="E2225" t="s">
        <v>2410</v>
      </c>
      <c r="F2225" t="s">
        <v>2411</v>
      </c>
      <c r="G2225" t="s">
        <v>31</v>
      </c>
      <c r="H2225" s="1">
        <v>44832.495787037034</v>
      </c>
      <c r="I2225" s="1">
        <v>44833.495787037034</v>
      </c>
      <c r="J2225" t="s">
        <v>32</v>
      </c>
      <c r="K2225" s="1">
        <v>44841.495787037034</v>
      </c>
      <c r="L2225" t="s">
        <v>57</v>
      </c>
      <c r="N2225" s="4">
        <v>44846.495787037034</v>
      </c>
      <c r="O2225" t="s">
        <v>57</v>
      </c>
      <c r="P2225" s="4">
        <v>44842.495787037034</v>
      </c>
      <c r="Q2225" s="4">
        <v>44846.495787037034</v>
      </c>
      <c r="R2225" s="4">
        <v>44844.495787037034</v>
      </c>
      <c r="S2225" s="4">
        <v>44847.495787037034</v>
      </c>
      <c r="T2225">
        <v>1</v>
      </c>
      <c r="U2225" s="4">
        <v>44849.495787037034</v>
      </c>
      <c r="V2225" s="4">
        <v>44850.495787037034</v>
      </c>
      <c r="W2225" s="4">
        <v>44853.495787037034</v>
      </c>
      <c r="Z2225" s="4">
        <v>44868.495787037034</v>
      </c>
      <c r="AC2225" s="2">
        <f t="shared" si="306"/>
        <v>1</v>
      </c>
      <c r="AD2225" s="2">
        <f t="shared" si="307"/>
        <v>9</v>
      </c>
      <c r="AE2225" s="2">
        <f t="shared" si="308"/>
        <v>8</v>
      </c>
      <c r="AF2225" s="2">
        <f t="shared" si="309"/>
        <v>12</v>
      </c>
      <c r="AG2225" s="2">
        <f t="shared" si="310"/>
        <v>3</v>
      </c>
      <c r="AH2225" s="4">
        <f t="shared" si="311"/>
        <v>44934.495787037034</v>
      </c>
      <c r="AI2225" s="2">
        <f t="shared" si="312"/>
        <v>2</v>
      </c>
      <c r="AJ2225" s="2">
        <f t="shared" si="313"/>
        <v>24</v>
      </c>
      <c r="AK2225" s="2">
        <f t="shared" si="314"/>
        <v>9</v>
      </c>
    </row>
    <row r="2226" spans="1:37" x14ac:dyDescent="0.25">
      <c r="A2226">
        <v>2640</v>
      </c>
      <c r="B2226" t="s">
        <v>2418</v>
      </c>
      <c r="C2226" t="s">
        <v>2283</v>
      </c>
      <c r="D2226" t="s">
        <v>2409</v>
      </c>
      <c r="E2226" t="s">
        <v>2410</v>
      </c>
      <c r="F2226" t="s">
        <v>2411</v>
      </c>
      <c r="G2226" t="s">
        <v>31</v>
      </c>
      <c r="H2226" s="1">
        <v>44581.196851851855</v>
      </c>
      <c r="I2226" s="1">
        <v>44584.196851851855</v>
      </c>
      <c r="J2226" t="s">
        <v>32</v>
      </c>
      <c r="K2226" s="1">
        <v>44600.196851851855</v>
      </c>
      <c r="L2226" t="s">
        <v>57</v>
      </c>
      <c r="N2226" s="4">
        <v>44607.196851851855</v>
      </c>
      <c r="O2226" t="s">
        <v>57</v>
      </c>
      <c r="P2226" s="4">
        <v>44601.196851851855</v>
      </c>
      <c r="Q2226" s="4">
        <v>44605.196851851855</v>
      </c>
      <c r="R2226" s="4">
        <v>44603.196851851855</v>
      </c>
      <c r="S2226" s="4">
        <v>44613.196851851855</v>
      </c>
      <c r="T2226">
        <v>1</v>
      </c>
      <c r="U2226" s="4">
        <v>44614.196851851855</v>
      </c>
      <c r="V2226" s="4">
        <v>44615.196851851855</v>
      </c>
      <c r="W2226" s="4">
        <v>44616.196851851855</v>
      </c>
      <c r="Z2226" s="4">
        <v>44628.196851851855</v>
      </c>
      <c r="AC2226" s="2">
        <f t="shared" si="306"/>
        <v>3</v>
      </c>
      <c r="AD2226" s="2">
        <f t="shared" si="307"/>
        <v>19</v>
      </c>
      <c r="AE2226" s="2">
        <f t="shared" si="308"/>
        <v>16</v>
      </c>
      <c r="AF2226" s="2">
        <f t="shared" si="309"/>
        <v>22</v>
      </c>
      <c r="AG2226" s="2">
        <f t="shared" si="310"/>
        <v>3</v>
      </c>
      <c r="AH2226" s="4">
        <f t="shared" si="311"/>
        <v>44693.196851851855</v>
      </c>
      <c r="AI2226" s="2">
        <f t="shared" si="312"/>
        <v>1</v>
      </c>
      <c r="AJ2226" s="2">
        <f t="shared" si="313"/>
        <v>25</v>
      </c>
      <c r="AK2226" s="2">
        <f t="shared" si="314"/>
        <v>13</v>
      </c>
    </row>
    <row r="2227" spans="1:37" x14ac:dyDescent="0.25">
      <c r="A2227">
        <v>2638</v>
      </c>
      <c r="B2227" t="s">
        <v>2419</v>
      </c>
      <c r="C2227" t="s">
        <v>2283</v>
      </c>
      <c r="D2227" t="s">
        <v>2409</v>
      </c>
      <c r="E2227" t="s">
        <v>2410</v>
      </c>
      <c r="F2227" t="s">
        <v>2411</v>
      </c>
      <c r="G2227" t="s">
        <v>31</v>
      </c>
      <c r="H2227" s="1">
        <v>44584.196851851855</v>
      </c>
      <c r="I2227" s="1">
        <v>44587.196851851855</v>
      </c>
      <c r="J2227" t="s">
        <v>44</v>
      </c>
      <c r="K2227" s="1"/>
      <c r="T2227">
        <v>0</v>
      </c>
      <c r="AC2227" s="2">
        <f t="shared" si="306"/>
        <v>3</v>
      </c>
      <c r="AD2227" s="2" t="str">
        <f t="shared" si="307"/>
        <v/>
      </c>
      <c r="AE2227" s="2" t="str">
        <f t="shared" si="308"/>
        <v/>
      </c>
      <c r="AF2227" s="2" t="str">
        <f t="shared" si="309"/>
        <v/>
      </c>
      <c r="AG2227" s="2" t="str">
        <f t="shared" si="310"/>
        <v/>
      </c>
      <c r="AH2227" s="4" t="str">
        <f t="shared" si="311"/>
        <v/>
      </c>
      <c r="AI2227" s="2" t="str">
        <f t="shared" si="312"/>
        <v/>
      </c>
      <c r="AJ2227" s="2" t="str">
        <f t="shared" si="313"/>
        <v/>
      </c>
      <c r="AK2227" s="2" t="str">
        <f t="shared" si="314"/>
        <v/>
      </c>
    </row>
    <row r="2228" spans="1:37" x14ac:dyDescent="0.25">
      <c r="A2228">
        <v>2627</v>
      </c>
      <c r="B2228" t="s">
        <v>2420</v>
      </c>
      <c r="C2228" t="s">
        <v>2283</v>
      </c>
      <c r="D2228" t="s">
        <v>2409</v>
      </c>
      <c r="E2228" t="s">
        <v>2410</v>
      </c>
      <c r="F2228" t="s">
        <v>2411</v>
      </c>
      <c r="G2228" t="s">
        <v>31</v>
      </c>
      <c r="H2228" s="1">
        <v>45098.668356481481</v>
      </c>
      <c r="I2228" s="1">
        <v>45099.668356481481</v>
      </c>
      <c r="J2228" t="s">
        <v>44</v>
      </c>
      <c r="K2228" s="1"/>
      <c r="T2228">
        <v>0</v>
      </c>
      <c r="AC2228" s="2">
        <f t="shared" si="306"/>
        <v>1</v>
      </c>
      <c r="AD2228" s="2" t="str">
        <f t="shared" si="307"/>
        <v/>
      </c>
      <c r="AE2228" s="2" t="str">
        <f t="shared" si="308"/>
        <v/>
      </c>
      <c r="AF2228" s="2" t="str">
        <f t="shared" si="309"/>
        <v/>
      </c>
      <c r="AG2228" s="2" t="str">
        <f t="shared" si="310"/>
        <v/>
      </c>
      <c r="AH2228" s="4" t="str">
        <f t="shared" si="311"/>
        <v/>
      </c>
      <c r="AI2228" s="2" t="str">
        <f t="shared" si="312"/>
        <v/>
      </c>
      <c r="AJ2228" s="2" t="str">
        <f t="shared" si="313"/>
        <v/>
      </c>
      <c r="AK2228" s="2" t="str">
        <f t="shared" si="314"/>
        <v/>
      </c>
    </row>
    <row r="2229" spans="1:37" x14ac:dyDescent="0.25">
      <c r="A2229">
        <v>2595</v>
      </c>
      <c r="B2229" t="s">
        <v>2421</v>
      </c>
      <c r="C2229" t="s">
        <v>2283</v>
      </c>
      <c r="D2229" t="s">
        <v>2409</v>
      </c>
      <c r="E2229" t="s">
        <v>2410</v>
      </c>
      <c r="F2229" t="s">
        <v>2411</v>
      </c>
      <c r="G2229" t="s">
        <v>31</v>
      </c>
      <c r="H2229" s="1">
        <v>44945.403136574074</v>
      </c>
      <c r="I2229" s="1">
        <v>44946.403136574074</v>
      </c>
      <c r="J2229" t="s">
        <v>44</v>
      </c>
      <c r="K2229" s="1"/>
      <c r="T2229">
        <v>0</v>
      </c>
      <c r="AC2229" s="2">
        <f t="shared" si="306"/>
        <v>1</v>
      </c>
      <c r="AD2229" s="2" t="str">
        <f t="shared" si="307"/>
        <v/>
      </c>
      <c r="AE2229" s="2" t="str">
        <f t="shared" si="308"/>
        <v/>
      </c>
      <c r="AF2229" s="2" t="str">
        <f t="shared" si="309"/>
        <v/>
      </c>
      <c r="AG2229" s="2" t="str">
        <f t="shared" si="310"/>
        <v/>
      </c>
      <c r="AH2229" s="4" t="str">
        <f t="shared" si="311"/>
        <v/>
      </c>
      <c r="AI2229" s="2" t="str">
        <f t="shared" si="312"/>
        <v/>
      </c>
      <c r="AJ2229" s="2" t="str">
        <f t="shared" si="313"/>
        <v/>
      </c>
      <c r="AK2229" s="2" t="str">
        <f t="shared" si="314"/>
        <v/>
      </c>
    </row>
    <row r="2230" spans="1:37" x14ac:dyDescent="0.25">
      <c r="A2230">
        <v>2578</v>
      </c>
      <c r="B2230" t="s">
        <v>2422</v>
      </c>
      <c r="C2230" t="s">
        <v>2283</v>
      </c>
      <c r="D2230" t="s">
        <v>2409</v>
      </c>
      <c r="E2230" t="s">
        <v>2410</v>
      </c>
      <c r="F2230" t="s">
        <v>2411</v>
      </c>
      <c r="G2230" t="s">
        <v>31</v>
      </c>
      <c r="H2230" s="1">
        <v>44642.718425925923</v>
      </c>
      <c r="I2230" s="1">
        <v>44644.718425925923</v>
      </c>
      <c r="J2230" t="s">
        <v>32</v>
      </c>
      <c r="K2230" s="1">
        <v>44660.718425925923</v>
      </c>
      <c r="L2230" t="s">
        <v>57</v>
      </c>
      <c r="N2230" s="4">
        <v>44664.718425925923</v>
      </c>
      <c r="O2230" t="s">
        <v>57</v>
      </c>
      <c r="P2230" s="4">
        <v>44661.718425925923</v>
      </c>
      <c r="Q2230" s="4">
        <v>44662.718425925923</v>
      </c>
      <c r="R2230" s="4">
        <v>44661.718425925923</v>
      </c>
      <c r="S2230" s="4">
        <v>44664.718425925923</v>
      </c>
      <c r="T2230">
        <v>1</v>
      </c>
      <c r="U2230" s="4">
        <v>44667.718425925923</v>
      </c>
      <c r="V2230" s="4">
        <v>44670.718425925923</v>
      </c>
      <c r="W2230" s="4">
        <v>44671.718425925923</v>
      </c>
      <c r="Z2230" s="4">
        <v>44684.718425925923</v>
      </c>
      <c r="AC2230" s="2">
        <f t="shared" si="306"/>
        <v>2</v>
      </c>
      <c r="AD2230" s="2">
        <f t="shared" si="307"/>
        <v>18</v>
      </c>
      <c r="AE2230" s="2">
        <f t="shared" si="308"/>
        <v>16</v>
      </c>
      <c r="AF2230" s="2">
        <f t="shared" si="309"/>
        <v>19</v>
      </c>
      <c r="AG2230" s="2">
        <f t="shared" si="310"/>
        <v>1</v>
      </c>
      <c r="AH2230" s="4">
        <f t="shared" si="311"/>
        <v>44751.718425925923</v>
      </c>
      <c r="AI2230" s="2">
        <f t="shared" si="312"/>
        <v>3</v>
      </c>
      <c r="AJ2230" s="2">
        <f t="shared" si="313"/>
        <v>23</v>
      </c>
      <c r="AK2230" s="2">
        <f t="shared" si="314"/>
        <v>10</v>
      </c>
    </row>
    <row r="2231" spans="1:37" x14ac:dyDescent="0.25">
      <c r="A2231">
        <v>2425</v>
      </c>
      <c r="B2231" t="s">
        <v>2423</v>
      </c>
      <c r="C2231" t="s">
        <v>2283</v>
      </c>
      <c r="D2231" t="s">
        <v>2409</v>
      </c>
      <c r="E2231" t="s">
        <v>2410</v>
      </c>
      <c r="F2231" t="s">
        <v>2411</v>
      </c>
      <c r="G2231" t="s">
        <v>31</v>
      </c>
      <c r="H2231" s="1">
        <v>44832.25509259259</v>
      </c>
      <c r="I2231" s="1">
        <v>44835.25509259259</v>
      </c>
      <c r="J2231" t="s">
        <v>32</v>
      </c>
      <c r="K2231" s="1">
        <v>44853.25509259259</v>
      </c>
      <c r="L2231" t="s">
        <v>57</v>
      </c>
      <c r="N2231" s="4">
        <v>44856.25509259259</v>
      </c>
      <c r="O2231" t="s">
        <v>57</v>
      </c>
      <c r="P2231" s="4">
        <v>44855.25509259259</v>
      </c>
      <c r="Q2231" s="4">
        <v>44859.25509259259</v>
      </c>
      <c r="R2231" s="4">
        <v>44855.25509259259</v>
      </c>
      <c r="S2231" s="4">
        <v>44864.25509259259</v>
      </c>
      <c r="T2231">
        <v>1</v>
      </c>
      <c r="U2231" s="4">
        <v>44866.25509259259</v>
      </c>
      <c r="V2231" s="4">
        <v>44868.25509259259</v>
      </c>
      <c r="W2231" s="4">
        <v>44870.25509259259</v>
      </c>
      <c r="Z2231" s="4">
        <v>44881.25509259259</v>
      </c>
      <c r="AC2231" s="2">
        <f t="shared" si="306"/>
        <v>3</v>
      </c>
      <c r="AD2231" s="2">
        <f t="shared" si="307"/>
        <v>21</v>
      </c>
      <c r="AE2231" s="2">
        <f t="shared" si="308"/>
        <v>18</v>
      </c>
      <c r="AF2231" s="2">
        <f t="shared" si="309"/>
        <v>23</v>
      </c>
      <c r="AG2231" s="2">
        <f t="shared" si="310"/>
        <v>2</v>
      </c>
      <c r="AH2231" s="4">
        <f t="shared" si="311"/>
        <v>44945.25509259259</v>
      </c>
      <c r="AI2231" s="2">
        <f t="shared" si="312"/>
        <v>2</v>
      </c>
      <c r="AJ2231" s="2">
        <f t="shared" si="313"/>
        <v>26</v>
      </c>
      <c r="AK2231" s="2">
        <f t="shared" si="314"/>
        <v>15</v>
      </c>
    </row>
    <row r="2232" spans="1:37" x14ac:dyDescent="0.25">
      <c r="A2232">
        <v>2395</v>
      </c>
      <c r="B2232" t="s">
        <v>2424</v>
      </c>
      <c r="C2232" t="s">
        <v>2283</v>
      </c>
      <c r="D2232" t="s">
        <v>2409</v>
      </c>
      <c r="E2232" t="s">
        <v>2410</v>
      </c>
      <c r="F2232" t="s">
        <v>2411</v>
      </c>
      <c r="G2232" t="s">
        <v>31</v>
      </c>
      <c r="H2232" s="1">
        <v>45125.731192129628</v>
      </c>
      <c r="I2232" s="1">
        <v>45128.731192129628</v>
      </c>
      <c r="J2232" t="s">
        <v>32</v>
      </c>
      <c r="K2232" s="1">
        <v>45136.731192129628</v>
      </c>
      <c r="L2232" t="s">
        <v>57</v>
      </c>
      <c r="N2232" s="4">
        <v>45141.731192129628</v>
      </c>
      <c r="O2232" t="s">
        <v>57</v>
      </c>
      <c r="P2232" s="4">
        <v>45138.731192129628</v>
      </c>
      <c r="Q2232" s="4">
        <v>45140.731192129628</v>
      </c>
      <c r="R2232" s="4">
        <v>45140.731192129628</v>
      </c>
      <c r="S2232" s="4">
        <v>45146.731192129628</v>
      </c>
      <c r="T2232">
        <v>1</v>
      </c>
      <c r="U2232" s="4">
        <v>45148.731192129628</v>
      </c>
      <c r="V2232" s="4">
        <v>45150.731192129628</v>
      </c>
      <c r="W2232" s="4">
        <v>45151.731192129628</v>
      </c>
      <c r="Z2232" s="4">
        <v>45161.731192129628</v>
      </c>
      <c r="AC2232" s="2">
        <f t="shared" si="306"/>
        <v>3</v>
      </c>
      <c r="AD2232" s="2">
        <f t="shared" si="307"/>
        <v>11</v>
      </c>
      <c r="AE2232" s="2">
        <f t="shared" si="308"/>
        <v>8</v>
      </c>
      <c r="AF2232" s="2">
        <f t="shared" si="309"/>
        <v>15</v>
      </c>
      <c r="AG2232" s="2">
        <f t="shared" si="310"/>
        <v>4</v>
      </c>
      <c r="AH2232" s="4">
        <f t="shared" si="311"/>
        <v>45230.731192129628</v>
      </c>
      <c r="AI2232" s="2">
        <f t="shared" si="312"/>
        <v>2</v>
      </c>
      <c r="AJ2232" s="2">
        <f t="shared" si="313"/>
        <v>21</v>
      </c>
      <c r="AK2232" s="2">
        <f t="shared" si="314"/>
        <v>11</v>
      </c>
    </row>
    <row r="2233" spans="1:37" x14ac:dyDescent="0.25">
      <c r="A2233">
        <v>2038</v>
      </c>
      <c r="B2233" t="s">
        <v>2425</v>
      </c>
      <c r="C2233" t="s">
        <v>2283</v>
      </c>
      <c r="D2233" t="s">
        <v>2409</v>
      </c>
      <c r="E2233" t="s">
        <v>2410</v>
      </c>
      <c r="F2233" t="s">
        <v>2411</v>
      </c>
      <c r="G2233" t="s">
        <v>31</v>
      </c>
      <c r="H2233" s="1">
        <v>44646.861122685186</v>
      </c>
      <c r="I2233" s="1">
        <v>44647.861122685186</v>
      </c>
      <c r="J2233" t="s">
        <v>32</v>
      </c>
      <c r="K2233" s="1">
        <v>44670.861122685186</v>
      </c>
      <c r="L2233" t="s">
        <v>57</v>
      </c>
      <c r="N2233" s="4">
        <v>44675.861122685186</v>
      </c>
      <c r="O2233" t="s">
        <v>57</v>
      </c>
      <c r="P2233" s="4">
        <v>44671.861122685186</v>
      </c>
      <c r="Q2233" s="4">
        <v>44673.861122685186</v>
      </c>
      <c r="R2233" s="4">
        <v>44672.861122685186</v>
      </c>
      <c r="S2233" s="4">
        <v>44681.861122685186</v>
      </c>
      <c r="T2233">
        <v>1</v>
      </c>
      <c r="U2233" s="4">
        <v>44682.861122685186</v>
      </c>
      <c r="V2233" s="4">
        <v>44684.861122685186</v>
      </c>
      <c r="W2233" s="4">
        <v>44686.861122685186</v>
      </c>
      <c r="Z2233" s="4">
        <v>44703.861122685186</v>
      </c>
      <c r="AC2233" s="2">
        <f t="shared" si="306"/>
        <v>1</v>
      </c>
      <c r="AD2233" s="2">
        <f t="shared" si="307"/>
        <v>24</v>
      </c>
      <c r="AE2233" s="2">
        <f t="shared" si="308"/>
        <v>23</v>
      </c>
      <c r="AF2233" s="2">
        <f t="shared" si="309"/>
        <v>26</v>
      </c>
      <c r="AG2233" s="2">
        <f t="shared" si="310"/>
        <v>2</v>
      </c>
      <c r="AH2233" s="4">
        <f t="shared" si="311"/>
        <v>44762.861122685186</v>
      </c>
      <c r="AI2233" s="2">
        <f t="shared" si="312"/>
        <v>1</v>
      </c>
      <c r="AJ2233" s="2">
        <f t="shared" si="313"/>
        <v>31</v>
      </c>
      <c r="AK2233" s="2">
        <f t="shared" si="314"/>
        <v>14</v>
      </c>
    </row>
    <row r="2234" spans="1:37" x14ac:dyDescent="0.25">
      <c r="A2234">
        <v>1871</v>
      </c>
      <c r="B2234" t="s">
        <v>2426</v>
      </c>
      <c r="C2234" t="s">
        <v>2283</v>
      </c>
      <c r="D2234" t="s">
        <v>2409</v>
      </c>
      <c r="E2234" t="s">
        <v>2410</v>
      </c>
      <c r="F2234" t="s">
        <v>2411</v>
      </c>
      <c r="G2234" t="s">
        <v>31</v>
      </c>
      <c r="H2234" s="1">
        <v>44578.732974537037</v>
      </c>
      <c r="I2234" s="1">
        <v>44580.732974537037</v>
      </c>
      <c r="J2234" t="s">
        <v>32</v>
      </c>
      <c r="K2234" s="1">
        <v>44596.732974537037</v>
      </c>
      <c r="L2234" t="s">
        <v>57</v>
      </c>
      <c r="N2234" s="4">
        <v>44598.732974537037</v>
      </c>
      <c r="O2234" t="s">
        <v>57</v>
      </c>
      <c r="P2234" s="4">
        <v>44598.732974537037</v>
      </c>
      <c r="Q2234" s="4">
        <v>44599.732974537037</v>
      </c>
      <c r="R2234" s="4">
        <v>44597.732974537037</v>
      </c>
      <c r="S2234" s="4">
        <v>44599.732974537037</v>
      </c>
      <c r="T2234">
        <v>1</v>
      </c>
      <c r="U2234" s="4">
        <v>44602.732974537037</v>
      </c>
      <c r="V2234" s="4">
        <v>44604.732974537037</v>
      </c>
      <c r="W2234" s="4">
        <v>44605.732974537037</v>
      </c>
      <c r="Z2234" s="4">
        <v>44624.732974537037</v>
      </c>
      <c r="AC2234" s="2">
        <f t="shared" si="306"/>
        <v>2</v>
      </c>
      <c r="AD2234" s="2">
        <f t="shared" si="307"/>
        <v>18</v>
      </c>
      <c r="AE2234" s="2">
        <f t="shared" si="308"/>
        <v>16</v>
      </c>
      <c r="AF2234" s="2">
        <f t="shared" si="309"/>
        <v>19</v>
      </c>
      <c r="AG2234" s="2">
        <f t="shared" si="310"/>
        <v>1</v>
      </c>
      <c r="AH2234" s="4">
        <f t="shared" si="311"/>
        <v>44687.732974537037</v>
      </c>
      <c r="AI2234" s="2">
        <f t="shared" si="312"/>
        <v>3</v>
      </c>
      <c r="AJ2234" s="2">
        <f t="shared" si="313"/>
        <v>27</v>
      </c>
      <c r="AK2234" s="2">
        <f t="shared" si="314"/>
        <v>8</v>
      </c>
    </row>
    <row r="2235" spans="1:37" x14ac:dyDescent="0.25">
      <c r="A2235">
        <v>1487</v>
      </c>
      <c r="B2235" t="s">
        <v>2427</v>
      </c>
      <c r="C2235" t="s">
        <v>2283</v>
      </c>
      <c r="D2235" t="s">
        <v>2409</v>
      </c>
      <c r="E2235" t="s">
        <v>2410</v>
      </c>
      <c r="F2235" t="s">
        <v>2411</v>
      </c>
      <c r="G2235" t="s">
        <v>31</v>
      </c>
      <c r="H2235" s="1">
        <v>45115.542164351849</v>
      </c>
      <c r="I2235" s="1">
        <v>45117.542164351849</v>
      </c>
      <c r="J2235" t="s">
        <v>44</v>
      </c>
      <c r="K2235" s="1"/>
      <c r="T2235">
        <v>0</v>
      </c>
      <c r="AC2235" s="2">
        <f t="shared" si="306"/>
        <v>2</v>
      </c>
      <c r="AD2235" s="2" t="str">
        <f t="shared" si="307"/>
        <v/>
      </c>
      <c r="AE2235" s="2" t="str">
        <f t="shared" si="308"/>
        <v/>
      </c>
      <c r="AF2235" s="2" t="str">
        <f t="shared" si="309"/>
        <v/>
      </c>
      <c r="AG2235" s="2" t="str">
        <f t="shared" si="310"/>
        <v/>
      </c>
      <c r="AH2235" s="4" t="str">
        <f t="shared" si="311"/>
        <v/>
      </c>
      <c r="AI2235" s="2" t="str">
        <f t="shared" si="312"/>
        <v/>
      </c>
      <c r="AJ2235" s="2" t="str">
        <f t="shared" si="313"/>
        <v/>
      </c>
      <c r="AK2235" s="2" t="str">
        <f t="shared" si="314"/>
        <v/>
      </c>
    </row>
    <row r="2236" spans="1:37" x14ac:dyDescent="0.25">
      <c r="A2236">
        <v>1247</v>
      </c>
      <c r="B2236" t="s">
        <v>2428</v>
      </c>
      <c r="C2236" t="s">
        <v>2283</v>
      </c>
      <c r="D2236" t="s">
        <v>2409</v>
      </c>
      <c r="E2236" t="s">
        <v>2410</v>
      </c>
      <c r="F2236" t="s">
        <v>2411</v>
      </c>
      <c r="G2236" t="s">
        <v>31</v>
      </c>
      <c r="H2236" s="1">
        <v>44735.839942129627</v>
      </c>
      <c r="I2236" s="1">
        <v>44739.839942129627</v>
      </c>
      <c r="J2236" t="s">
        <v>44</v>
      </c>
      <c r="K2236" s="1"/>
      <c r="T2236">
        <v>0</v>
      </c>
      <c r="AC2236" s="2">
        <f t="shared" si="306"/>
        <v>4</v>
      </c>
      <c r="AD2236" s="2" t="str">
        <f t="shared" si="307"/>
        <v/>
      </c>
      <c r="AE2236" s="2" t="str">
        <f t="shared" si="308"/>
        <v/>
      </c>
      <c r="AF2236" s="2" t="str">
        <f t="shared" si="309"/>
        <v/>
      </c>
      <c r="AG2236" s="2" t="str">
        <f t="shared" si="310"/>
        <v/>
      </c>
      <c r="AH2236" s="4" t="str">
        <f t="shared" si="311"/>
        <v/>
      </c>
      <c r="AI2236" s="2" t="str">
        <f t="shared" si="312"/>
        <v/>
      </c>
      <c r="AJ2236" s="2" t="str">
        <f t="shared" si="313"/>
        <v/>
      </c>
      <c r="AK2236" s="2" t="str">
        <f t="shared" si="314"/>
        <v/>
      </c>
    </row>
    <row r="2237" spans="1:37" x14ac:dyDescent="0.25">
      <c r="A2237">
        <v>1244</v>
      </c>
      <c r="B2237" t="s">
        <v>2429</v>
      </c>
      <c r="C2237" t="s">
        <v>2283</v>
      </c>
      <c r="D2237" t="s">
        <v>2409</v>
      </c>
      <c r="E2237" t="s">
        <v>2410</v>
      </c>
      <c r="F2237" t="s">
        <v>2411</v>
      </c>
      <c r="G2237" t="s">
        <v>31</v>
      </c>
      <c r="H2237" s="1">
        <v>44737.839942129627</v>
      </c>
      <c r="I2237" s="1">
        <v>44740.839942129627</v>
      </c>
      <c r="J2237" t="s">
        <v>44</v>
      </c>
      <c r="K2237" s="1"/>
      <c r="T2237">
        <v>0</v>
      </c>
      <c r="AC2237" s="2">
        <f t="shared" si="306"/>
        <v>3</v>
      </c>
      <c r="AD2237" s="2" t="str">
        <f t="shared" si="307"/>
        <v/>
      </c>
      <c r="AE2237" s="2" t="str">
        <f t="shared" si="308"/>
        <v/>
      </c>
      <c r="AF2237" s="2" t="str">
        <f t="shared" si="309"/>
        <v/>
      </c>
      <c r="AG2237" s="2" t="str">
        <f t="shared" si="310"/>
        <v/>
      </c>
      <c r="AH2237" s="4" t="str">
        <f t="shared" si="311"/>
        <v/>
      </c>
      <c r="AI2237" s="2" t="str">
        <f t="shared" si="312"/>
        <v/>
      </c>
      <c r="AJ2237" s="2" t="str">
        <f t="shared" si="313"/>
        <v/>
      </c>
      <c r="AK2237" s="2" t="str">
        <f t="shared" si="314"/>
        <v/>
      </c>
    </row>
    <row r="2238" spans="1:37" x14ac:dyDescent="0.25">
      <c r="A2238">
        <v>1238</v>
      </c>
      <c r="B2238" t="s">
        <v>2430</v>
      </c>
      <c r="C2238" t="s">
        <v>2283</v>
      </c>
      <c r="D2238" t="s">
        <v>2409</v>
      </c>
      <c r="E2238" t="s">
        <v>2410</v>
      </c>
      <c r="F2238" t="s">
        <v>2411</v>
      </c>
      <c r="G2238" t="s">
        <v>31</v>
      </c>
      <c r="H2238" s="1">
        <v>44983.728877314818</v>
      </c>
      <c r="I2238" s="1">
        <v>44984.728877314818</v>
      </c>
      <c r="J2238" t="s">
        <v>32</v>
      </c>
      <c r="K2238" s="1">
        <v>44998.728877314818</v>
      </c>
      <c r="L2238" t="s">
        <v>57</v>
      </c>
      <c r="N2238" s="4">
        <v>45002.728877314818</v>
      </c>
      <c r="O2238" t="s">
        <v>57</v>
      </c>
      <c r="P2238" s="4">
        <v>45000.728877314818</v>
      </c>
      <c r="Q2238" s="4">
        <v>45001.728877314818</v>
      </c>
      <c r="R2238" s="4">
        <v>44999.728877314818</v>
      </c>
      <c r="S2238" s="4">
        <v>45002.728877314818</v>
      </c>
      <c r="T2238">
        <v>1</v>
      </c>
      <c r="U2238" s="4">
        <v>45006.728877314818</v>
      </c>
      <c r="V2238" s="4">
        <v>45009.728877314818</v>
      </c>
      <c r="W2238" s="4">
        <v>45012.728877314818</v>
      </c>
      <c r="Z2238" s="4">
        <v>45025.728877314818</v>
      </c>
      <c r="AC2238" s="2">
        <f t="shared" si="306"/>
        <v>1</v>
      </c>
      <c r="AD2238" s="2">
        <f t="shared" si="307"/>
        <v>15</v>
      </c>
      <c r="AE2238" s="2">
        <f t="shared" si="308"/>
        <v>14</v>
      </c>
      <c r="AF2238" s="2">
        <f t="shared" si="309"/>
        <v>16</v>
      </c>
      <c r="AG2238" s="2">
        <f t="shared" si="310"/>
        <v>1</v>
      </c>
      <c r="AH2238" s="4">
        <f t="shared" si="311"/>
        <v>45089.728877314818</v>
      </c>
      <c r="AI2238" s="2">
        <f t="shared" si="312"/>
        <v>4</v>
      </c>
      <c r="AJ2238" s="2">
        <f t="shared" si="313"/>
        <v>26</v>
      </c>
      <c r="AK2238" s="2">
        <f t="shared" si="314"/>
        <v>13</v>
      </c>
    </row>
    <row r="2239" spans="1:37" x14ac:dyDescent="0.25">
      <c r="A2239">
        <v>1226</v>
      </c>
      <c r="B2239" t="s">
        <v>2431</v>
      </c>
      <c r="C2239" t="s">
        <v>2283</v>
      </c>
      <c r="D2239" t="s">
        <v>2409</v>
      </c>
      <c r="E2239" t="s">
        <v>2410</v>
      </c>
      <c r="F2239" t="s">
        <v>2411</v>
      </c>
      <c r="G2239" t="s">
        <v>31</v>
      </c>
      <c r="H2239" s="1">
        <v>44737.14203703704</v>
      </c>
      <c r="I2239" s="1">
        <v>44739.14203703704</v>
      </c>
      <c r="J2239" t="s">
        <v>32</v>
      </c>
      <c r="K2239" s="1">
        <v>44753.14203703704</v>
      </c>
      <c r="L2239" t="s">
        <v>57</v>
      </c>
      <c r="N2239" s="4">
        <v>44758.14203703704</v>
      </c>
      <c r="O2239" t="s">
        <v>57</v>
      </c>
      <c r="P2239" s="4">
        <v>44754.14203703704</v>
      </c>
      <c r="Q2239" s="4">
        <v>44758.14203703704</v>
      </c>
      <c r="R2239" s="4">
        <v>44755.14203703704</v>
      </c>
      <c r="S2239" s="4">
        <v>44765.14203703704</v>
      </c>
      <c r="T2239">
        <v>1</v>
      </c>
      <c r="U2239" s="4">
        <v>44768.14203703704</v>
      </c>
      <c r="V2239" s="4">
        <v>44769.14203703704</v>
      </c>
      <c r="W2239" s="4">
        <v>44772.14203703704</v>
      </c>
      <c r="Z2239" s="4">
        <v>44792.14203703704</v>
      </c>
      <c r="AC2239" s="2">
        <f t="shared" si="306"/>
        <v>2</v>
      </c>
      <c r="AD2239" s="2">
        <f t="shared" si="307"/>
        <v>16</v>
      </c>
      <c r="AE2239" s="2">
        <f t="shared" si="308"/>
        <v>14</v>
      </c>
      <c r="AF2239" s="2">
        <f t="shared" si="309"/>
        <v>18</v>
      </c>
      <c r="AG2239" s="2">
        <f t="shared" si="310"/>
        <v>2</v>
      </c>
      <c r="AH2239" s="4">
        <f t="shared" si="311"/>
        <v>44845.14203703704</v>
      </c>
      <c r="AI2239" s="2">
        <f t="shared" si="312"/>
        <v>3</v>
      </c>
      <c r="AJ2239" s="2">
        <f t="shared" si="313"/>
        <v>37</v>
      </c>
      <c r="AK2239" s="2">
        <f t="shared" si="314"/>
        <v>17</v>
      </c>
    </row>
    <row r="2240" spans="1:37" x14ac:dyDescent="0.25">
      <c r="A2240">
        <v>1174</v>
      </c>
      <c r="B2240" t="s">
        <v>2432</v>
      </c>
      <c r="C2240" t="s">
        <v>2283</v>
      </c>
      <c r="D2240" t="s">
        <v>2409</v>
      </c>
      <c r="E2240" t="s">
        <v>2410</v>
      </c>
      <c r="F2240" t="s">
        <v>2411</v>
      </c>
      <c r="G2240" t="s">
        <v>31</v>
      </c>
      <c r="H2240" s="1">
        <v>45058.041770833333</v>
      </c>
      <c r="I2240" s="1">
        <v>45061.041770833333</v>
      </c>
      <c r="J2240" t="s">
        <v>32</v>
      </c>
      <c r="K2240" s="1">
        <v>45083.041770833333</v>
      </c>
      <c r="L2240" t="s">
        <v>57</v>
      </c>
      <c r="N2240" s="4">
        <v>45088.041770833333</v>
      </c>
      <c r="O2240" t="s">
        <v>57</v>
      </c>
      <c r="P2240" s="4">
        <v>45085.041770833333</v>
      </c>
      <c r="Q2240" s="4">
        <v>45089.041770833333</v>
      </c>
      <c r="R2240" s="4">
        <v>45085.041770833333</v>
      </c>
      <c r="S2240" s="4">
        <v>45090.041770833333</v>
      </c>
      <c r="T2240">
        <v>1</v>
      </c>
      <c r="U2240" s="4">
        <v>45092.041770833333</v>
      </c>
      <c r="V2240" s="4">
        <v>45094.041770833333</v>
      </c>
      <c r="W2240" s="4">
        <v>45096.041770833333</v>
      </c>
      <c r="Z2240" s="4">
        <v>45117.041770833333</v>
      </c>
      <c r="AC2240" s="2">
        <f t="shared" si="306"/>
        <v>3</v>
      </c>
      <c r="AD2240" s="2">
        <f t="shared" si="307"/>
        <v>25</v>
      </c>
      <c r="AE2240" s="2">
        <f t="shared" si="308"/>
        <v>22</v>
      </c>
      <c r="AF2240" s="2">
        <f t="shared" si="309"/>
        <v>27</v>
      </c>
      <c r="AG2240" s="2">
        <f t="shared" si="310"/>
        <v>2</v>
      </c>
      <c r="AH2240" s="4">
        <f t="shared" si="311"/>
        <v>45175.041770833333</v>
      </c>
      <c r="AI2240" s="2">
        <f t="shared" si="312"/>
        <v>2</v>
      </c>
      <c r="AJ2240" s="2">
        <f t="shared" si="313"/>
        <v>32</v>
      </c>
      <c r="AK2240" s="2">
        <f t="shared" si="314"/>
        <v>11</v>
      </c>
    </row>
    <row r="2241" spans="1:37" x14ac:dyDescent="0.25">
      <c r="A2241">
        <v>1107</v>
      </c>
      <c r="B2241" t="s">
        <v>2433</v>
      </c>
      <c r="C2241" t="s">
        <v>2283</v>
      </c>
      <c r="D2241" t="s">
        <v>2409</v>
      </c>
      <c r="E2241" t="s">
        <v>2410</v>
      </c>
      <c r="F2241" t="s">
        <v>2411</v>
      </c>
      <c r="G2241" t="s">
        <v>31</v>
      </c>
      <c r="H2241" s="1">
        <v>44676.953865740739</v>
      </c>
      <c r="I2241" s="1">
        <v>44677.953865740739</v>
      </c>
      <c r="J2241" t="s">
        <v>44</v>
      </c>
      <c r="K2241" s="1"/>
      <c r="T2241">
        <v>0</v>
      </c>
      <c r="AC2241" s="2">
        <f t="shared" si="306"/>
        <v>1</v>
      </c>
      <c r="AD2241" s="2" t="str">
        <f t="shared" si="307"/>
        <v/>
      </c>
      <c r="AE2241" s="2" t="str">
        <f t="shared" si="308"/>
        <v/>
      </c>
      <c r="AF2241" s="2" t="str">
        <f t="shared" si="309"/>
        <v/>
      </c>
      <c r="AG2241" s="2" t="str">
        <f t="shared" si="310"/>
        <v/>
      </c>
      <c r="AH2241" s="4" t="str">
        <f t="shared" si="311"/>
        <v/>
      </c>
      <c r="AI2241" s="2" t="str">
        <f t="shared" si="312"/>
        <v/>
      </c>
      <c r="AJ2241" s="2" t="str">
        <f t="shared" si="313"/>
        <v/>
      </c>
      <c r="AK2241" s="2" t="str">
        <f t="shared" si="314"/>
        <v/>
      </c>
    </row>
    <row r="2242" spans="1:37" x14ac:dyDescent="0.25">
      <c r="A2242">
        <v>1072</v>
      </c>
      <c r="B2242" t="s">
        <v>2434</v>
      </c>
      <c r="C2242" t="s">
        <v>2283</v>
      </c>
      <c r="D2242" t="s">
        <v>2409</v>
      </c>
      <c r="E2242" t="s">
        <v>2410</v>
      </c>
      <c r="F2242" t="s">
        <v>2411</v>
      </c>
      <c r="G2242" t="s">
        <v>31</v>
      </c>
      <c r="H2242" s="1">
        <v>44603.990740740737</v>
      </c>
      <c r="I2242" s="1">
        <v>44604.990740740737</v>
      </c>
      <c r="J2242" t="s">
        <v>44</v>
      </c>
      <c r="K2242" s="1"/>
      <c r="T2242">
        <v>0</v>
      </c>
      <c r="AC2242" s="2">
        <f t="shared" si="306"/>
        <v>1</v>
      </c>
      <c r="AD2242" s="2" t="str">
        <f t="shared" si="307"/>
        <v/>
      </c>
      <c r="AE2242" s="2" t="str">
        <f t="shared" si="308"/>
        <v/>
      </c>
      <c r="AF2242" s="2" t="str">
        <f t="shared" si="309"/>
        <v/>
      </c>
      <c r="AG2242" s="2" t="str">
        <f t="shared" si="310"/>
        <v/>
      </c>
      <c r="AH2242" s="4" t="str">
        <f t="shared" si="311"/>
        <v/>
      </c>
      <c r="AI2242" s="2" t="str">
        <f t="shared" si="312"/>
        <v/>
      </c>
      <c r="AJ2242" s="2" t="str">
        <f t="shared" si="313"/>
        <v/>
      </c>
      <c r="AK2242" s="2" t="str">
        <f t="shared" si="314"/>
        <v/>
      </c>
    </row>
    <row r="2243" spans="1:37" x14ac:dyDescent="0.25">
      <c r="A2243">
        <v>810</v>
      </c>
      <c r="B2243" t="s">
        <v>2435</v>
      </c>
      <c r="C2243" t="s">
        <v>2283</v>
      </c>
      <c r="D2243" t="s">
        <v>2409</v>
      </c>
      <c r="E2243" t="s">
        <v>2410</v>
      </c>
      <c r="F2243" t="s">
        <v>2411</v>
      </c>
      <c r="G2243" t="s">
        <v>31</v>
      </c>
      <c r="H2243" s="1">
        <v>44940.903796296298</v>
      </c>
      <c r="I2243" s="1">
        <v>44941.903796296298</v>
      </c>
      <c r="J2243" t="s">
        <v>32</v>
      </c>
      <c r="K2243" s="1">
        <v>44952.903796296298</v>
      </c>
      <c r="L2243" t="s">
        <v>33</v>
      </c>
      <c r="M2243" t="s">
        <v>108</v>
      </c>
      <c r="T2243">
        <v>0</v>
      </c>
      <c r="Y2243" t="s">
        <v>35</v>
      </c>
      <c r="AC2243" s="2">
        <f t="shared" ref="AC2243:AC2306" si="315">IF(AND(I2243&lt;&gt;"",H2243&lt;&gt;""), I2243-H2243, "")</f>
        <v>1</v>
      </c>
      <c r="AD2243" s="2">
        <f t="shared" ref="AD2243:AD2306" si="316">IF(AND(K2243&lt;&gt;"",H2243&lt;&gt;""), K2243-H2243, "")</f>
        <v>12</v>
      </c>
      <c r="AE2243" s="2">
        <f t="shared" ref="AE2243:AE2306" si="317">IF(AND(K2243&lt;&gt;"",I2243&lt;&gt;""), K2243-I2243, "")</f>
        <v>11</v>
      </c>
      <c r="AF2243" s="2" t="str">
        <f t="shared" ref="AF2243:AF2306" si="318">IF(AND(R2243&lt;&gt;"",H2243&lt;&gt;""), R2243-H2243, "")</f>
        <v/>
      </c>
      <c r="AG2243" s="2" t="str">
        <f t="shared" ref="AG2243:AG2306" si="319">IF(AND(R2243&lt;&gt;"",K2243&lt;&gt;""), R2243-K2243, "")</f>
        <v/>
      </c>
      <c r="AH2243" s="4" t="str">
        <f t="shared" ref="AH2243:AH2306" si="320">IF(R2243&lt;&gt;"", R2243+90, "")</f>
        <v/>
      </c>
      <c r="AI2243" s="2" t="str">
        <f t="shared" ref="AI2243:AI2306" si="321">IF(AND(U2243&lt;&gt;"",S2243&lt;&gt;""), U2243-S2243, "")</f>
        <v/>
      </c>
      <c r="AJ2243" s="2" t="str">
        <f t="shared" ref="AJ2243:AJ2306" si="322">IF(AND(Z2243&lt;&gt;"",R2243&lt;&gt;""), Z2243-R2243, "")</f>
        <v/>
      </c>
      <c r="AK2243" s="2" t="str">
        <f t="shared" ref="AK2243:AK2306" si="323">IF(AND(W2243&lt;&gt;"",R2243&lt;&gt;""), W2243-R2243, "")</f>
        <v/>
      </c>
    </row>
    <row r="2244" spans="1:37" x14ac:dyDescent="0.25">
      <c r="A2244">
        <v>779</v>
      </c>
      <c r="B2244" t="s">
        <v>2436</v>
      </c>
      <c r="C2244" t="s">
        <v>2283</v>
      </c>
      <c r="D2244" t="s">
        <v>2409</v>
      </c>
      <c r="E2244" t="s">
        <v>2410</v>
      </c>
      <c r="F2244" t="s">
        <v>2411</v>
      </c>
      <c r="G2244" t="s">
        <v>31</v>
      </c>
      <c r="H2244" s="1">
        <v>45004.397060185183</v>
      </c>
      <c r="I2244" s="1">
        <v>45008.397060185183</v>
      </c>
      <c r="J2244" t="s">
        <v>32</v>
      </c>
      <c r="K2244" s="1">
        <v>45029.397060185183</v>
      </c>
      <c r="L2244" t="s">
        <v>164</v>
      </c>
      <c r="N2244" s="4">
        <v>45034.397060185183</v>
      </c>
      <c r="O2244" t="s">
        <v>164</v>
      </c>
      <c r="R2244" s="4">
        <v>45031.397060185183</v>
      </c>
      <c r="T2244">
        <v>0</v>
      </c>
      <c r="AC2244" s="2">
        <f t="shared" si="315"/>
        <v>4</v>
      </c>
      <c r="AD2244" s="2">
        <f t="shared" si="316"/>
        <v>25</v>
      </c>
      <c r="AE2244" s="2">
        <f t="shared" si="317"/>
        <v>21</v>
      </c>
      <c r="AF2244" s="2">
        <f t="shared" si="318"/>
        <v>27</v>
      </c>
      <c r="AG2244" s="2">
        <f t="shared" si="319"/>
        <v>2</v>
      </c>
      <c r="AH2244" s="4">
        <f t="shared" si="320"/>
        <v>45121.397060185183</v>
      </c>
      <c r="AI2244" s="2" t="str">
        <f t="shared" si="321"/>
        <v/>
      </c>
      <c r="AJ2244" s="2" t="str">
        <f t="shared" si="322"/>
        <v/>
      </c>
      <c r="AK2244" s="2" t="str">
        <f t="shared" si="323"/>
        <v/>
      </c>
    </row>
    <row r="2245" spans="1:37" x14ac:dyDescent="0.25">
      <c r="A2245">
        <v>773</v>
      </c>
      <c r="B2245" t="s">
        <v>2437</v>
      </c>
      <c r="C2245" t="s">
        <v>2283</v>
      </c>
      <c r="D2245" t="s">
        <v>2409</v>
      </c>
      <c r="E2245" t="s">
        <v>2410</v>
      </c>
      <c r="F2245" t="s">
        <v>2411</v>
      </c>
      <c r="G2245" t="s">
        <v>31</v>
      </c>
      <c r="H2245" s="1">
        <v>45010.397060185183</v>
      </c>
      <c r="I2245" s="1">
        <v>45011.397060185183</v>
      </c>
      <c r="J2245" t="s">
        <v>44</v>
      </c>
      <c r="K2245" s="1"/>
      <c r="T2245">
        <v>0</v>
      </c>
      <c r="AC2245" s="2">
        <f t="shared" si="315"/>
        <v>1</v>
      </c>
      <c r="AD2245" s="2" t="str">
        <f t="shared" si="316"/>
        <v/>
      </c>
      <c r="AE2245" s="2" t="str">
        <f t="shared" si="317"/>
        <v/>
      </c>
      <c r="AF2245" s="2" t="str">
        <f t="shared" si="318"/>
        <v/>
      </c>
      <c r="AG2245" s="2" t="str">
        <f t="shared" si="319"/>
        <v/>
      </c>
      <c r="AH2245" s="4" t="str">
        <f t="shared" si="320"/>
        <v/>
      </c>
      <c r="AI2245" s="2" t="str">
        <f t="shared" si="321"/>
        <v/>
      </c>
      <c r="AJ2245" s="2" t="str">
        <f t="shared" si="322"/>
        <v/>
      </c>
      <c r="AK2245" s="2" t="str">
        <f t="shared" si="323"/>
        <v/>
      </c>
    </row>
    <row r="2246" spans="1:37" x14ac:dyDescent="0.25">
      <c r="A2246">
        <v>664</v>
      </c>
      <c r="B2246" t="s">
        <v>2438</v>
      </c>
      <c r="C2246" t="s">
        <v>2283</v>
      </c>
      <c r="D2246" t="s">
        <v>2409</v>
      </c>
      <c r="E2246" t="s">
        <v>2410</v>
      </c>
      <c r="F2246" t="s">
        <v>2411</v>
      </c>
      <c r="G2246" t="s">
        <v>31</v>
      </c>
      <c r="H2246" s="1">
        <v>44573.204074074078</v>
      </c>
      <c r="I2246" s="1">
        <v>44575.204074074078</v>
      </c>
      <c r="J2246" t="s">
        <v>32</v>
      </c>
      <c r="K2246" s="1">
        <v>44590.204074074078</v>
      </c>
      <c r="L2246" t="s">
        <v>33</v>
      </c>
      <c r="M2246" t="s">
        <v>92</v>
      </c>
      <c r="R2246" s="4">
        <v>44594.204074074078</v>
      </c>
      <c r="T2246">
        <v>0</v>
      </c>
      <c r="Y2246" t="s">
        <v>55</v>
      </c>
      <c r="AC2246" s="2">
        <f t="shared" si="315"/>
        <v>2</v>
      </c>
      <c r="AD2246" s="2">
        <f t="shared" si="316"/>
        <v>17</v>
      </c>
      <c r="AE2246" s="2">
        <f t="shared" si="317"/>
        <v>15</v>
      </c>
      <c r="AF2246" s="2">
        <f t="shared" si="318"/>
        <v>21</v>
      </c>
      <c r="AG2246" s="2">
        <f t="shared" si="319"/>
        <v>4</v>
      </c>
      <c r="AH2246" s="4">
        <f t="shared" si="320"/>
        <v>44684.204074074078</v>
      </c>
      <c r="AI2246" s="2" t="str">
        <f t="shared" si="321"/>
        <v/>
      </c>
      <c r="AJ2246" s="2" t="str">
        <f t="shared" si="322"/>
        <v/>
      </c>
      <c r="AK2246" s="2" t="str">
        <f t="shared" si="323"/>
        <v/>
      </c>
    </row>
    <row r="2247" spans="1:37" x14ac:dyDescent="0.25">
      <c r="A2247">
        <v>661</v>
      </c>
      <c r="B2247" t="s">
        <v>2439</v>
      </c>
      <c r="C2247" t="s">
        <v>2283</v>
      </c>
      <c r="D2247" t="s">
        <v>2409</v>
      </c>
      <c r="E2247" t="s">
        <v>2410</v>
      </c>
      <c r="F2247" t="s">
        <v>2411</v>
      </c>
      <c r="G2247" t="s">
        <v>31</v>
      </c>
      <c r="H2247" s="1">
        <v>44570.204074074078</v>
      </c>
      <c r="I2247" s="1">
        <v>44572.204074074078</v>
      </c>
      <c r="J2247" t="s">
        <v>32</v>
      </c>
      <c r="K2247" s="1">
        <v>44580.204074074078</v>
      </c>
      <c r="L2247" t="s">
        <v>33</v>
      </c>
      <c r="M2247" t="s">
        <v>108</v>
      </c>
      <c r="R2247" s="4">
        <v>44584.204074074078</v>
      </c>
      <c r="T2247">
        <v>0</v>
      </c>
      <c r="Y2247" t="s">
        <v>35</v>
      </c>
      <c r="AC2247" s="2">
        <f t="shared" si="315"/>
        <v>2</v>
      </c>
      <c r="AD2247" s="2">
        <f t="shared" si="316"/>
        <v>10</v>
      </c>
      <c r="AE2247" s="2">
        <f t="shared" si="317"/>
        <v>8</v>
      </c>
      <c r="AF2247" s="2">
        <f t="shared" si="318"/>
        <v>14</v>
      </c>
      <c r="AG2247" s="2">
        <f t="shared" si="319"/>
        <v>4</v>
      </c>
      <c r="AH2247" s="4">
        <f t="shared" si="320"/>
        <v>44674.204074074078</v>
      </c>
      <c r="AI2247" s="2" t="str">
        <f t="shared" si="321"/>
        <v/>
      </c>
      <c r="AJ2247" s="2" t="str">
        <f t="shared" si="322"/>
        <v/>
      </c>
      <c r="AK2247" s="2" t="str">
        <f t="shared" si="323"/>
        <v/>
      </c>
    </row>
    <row r="2248" spans="1:37" x14ac:dyDescent="0.25">
      <c r="A2248">
        <v>626</v>
      </c>
      <c r="B2248" t="s">
        <v>2440</v>
      </c>
      <c r="C2248" t="s">
        <v>2283</v>
      </c>
      <c r="D2248" t="s">
        <v>2409</v>
      </c>
      <c r="E2248" t="s">
        <v>2410</v>
      </c>
      <c r="F2248" t="s">
        <v>2411</v>
      </c>
      <c r="G2248" t="s">
        <v>31</v>
      </c>
      <c r="H2248" s="1">
        <v>44995.828541666669</v>
      </c>
      <c r="I2248" s="1">
        <v>44996.828541666669</v>
      </c>
      <c r="J2248" t="s">
        <v>32</v>
      </c>
      <c r="K2248" s="1">
        <v>45015.828541666669</v>
      </c>
      <c r="L2248" t="s">
        <v>33</v>
      </c>
      <c r="M2248" t="s">
        <v>108</v>
      </c>
      <c r="T2248">
        <v>0</v>
      </c>
      <c r="Y2248" t="s">
        <v>35</v>
      </c>
      <c r="AC2248" s="2">
        <f t="shared" si="315"/>
        <v>1</v>
      </c>
      <c r="AD2248" s="2">
        <f t="shared" si="316"/>
        <v>20</v>
      </c>
      <c r="AE2248" s="2">
        <f t="shared" si="317"/>
        <v>19</v>
      </c>
      <c r="AF2248" s="2" t="str">
        <f t="shared" si="318"/>
        <v/>
      </c>
      <c r="AG2248" s="2" t="str">
        <f t="shared" si="319"/>
        <v/>
      </c>
      <c r="AH2248" s="4" t="str">
        <f t="shared" si="320"/>
        <v/>
      </c>
      <c r="AI2248" s="2" t="str">
        <f t="shared" si="321"/>
        <v/>
      </c>
      <c r="AJ2248" s="2" t="str">
        <f t="shared" si="322"/>
        <v/>
      </c>
      <c r="AK2248" s="2" t="str">
        <f t="shared" si="323"/>
        <v/>
      </c>
    </row>
    <row r="2249" spans="1:37" x14ac:dyDescent="0.25">
      <c r="A2249">
        <v>539</v>
      </c>
      <c r="B2249" t="s">
        <v>2441</v>
      </c>
      <c r="C2249" t="s">
        <v>2283</v>
      </c>
      <c r="D2249" t="s">
        <v>2409</v>
      </c>
      <c r="E2249" t="s">
        <v>2410</v>
      </c>
      <c r="F2249" t="s">
        <v>2411</v>
      </c>
      <c r="G2249" t="s">
        <v>31</v>
      </c>
      <c r="H2249" s="1">
        <v>44570.271180555559</v>
      </c>
      <c r="I2249" s="1">
        <v>44574.271180555559</v>
      </c>
      <c r="J2249" t="s">
        <v>44</v>
      </c>
      <c r="K2249" s="1"/>
      <c r="T2249">
        <v>0</v>
      </c>
      <c r="AC2249" s="2">
        <f t="shared" si="315"/>
        <v>4</v>
      </c>
      <c r="AD2249" s="2" t="str">
        <f t="shared" si="316"/>
        <v/>
      </c>
      <c r="AE2249" s="2" t="str">
        <f t="shared" si="317"/>
        <v/>
      </c>
      <c r="AF2249" s="2" t="str">
        <f t="shared" si="318"/>
        <v/>
      </c>
      <c r="AG2249" s="2" t="str">
        <f t="shared" si="319"/>
        <v/>
      </c>
      <c r="AH2249" s="4" t="str">
        <f t="shared" si="320"/>
        <v/>
      </c>
      <c r="AI2249" s="2" t="str">
        <f t="shared" si="321"/>
        <v/>
      </c>
      <c r="AJ2249" s="2" t="str">
        <f t="shared" si="322"/>
        <v/>
      </c>
      <c r="AK2249" s="2" t="str">
        <f t="shared" si="323"/>
        <v/>
      </c>
    </row>
    <row r="2250" spans="1:37" x14ac:dyDescent="0.25">
      <c r="A2250">
        <v>532</v>
      </c>
      <c r="B2250" t="s">
        <v>2442</v>
      </c>
      <c r="C2250" t="s">
        <v>2283</v>
      </c>
      <c r="D2250" t="s">
        <v>2409</v>
      </c>
      <c r="E2250" t="s">
        <v>2410</v>
      </c>
      <c r="F2250" t="s">
        <v>2411</v>
      </c>
      <c r="G2250" t="s">
        <v>31</v>
      </c>
      <c r="H2250" s="1">
        <v>44572.271180555559</v>
      </c>
      <c r="I2250" s="1">
        <v>44574.271180555559</v>
      </c>
      <c r="J2250" t="s">
        <v>32</v>
      </c>
      <c r="K2250" s="1">
        <v>44591.271180555559</v>
      </c>
      <c r="L2250" t="s">
        <v>33</v>
      </c>
      <c r="M2250" t="s">
        <v>92</v>
      </c>
      <c r="T2250">
        <v>0</v>
      </c>
      <c r="Y2250" t="s">
        <v>35</v>
      </c>
      <c r="AC2250" s="2">
        <f t="shared" si="315"/>
        <v>2</v>
      </c>
      <c r="AD2250" s="2">
        <f t="shared" si="316"/>
        <v>19</v>
      </c>
      <c r="AE2250" s="2">
        <f t="shared" si="317"/>
        <v>17</v>
      </c>
      <c r="AF2250" s="2" t="str">
        <f t="shared" si="318"/>
        <v/>
      </c>
      <c r="AG2250" s="2" t="str">
        <f t="shared" si="319"/>
        <v/>
      </c>
      <c r="AH2250" s="4" t="str">
        <f t="shared" si="320"/>
        <v/>
      </c>
      <c r="AI2250" s="2" t="str">
        <f t="shared" si="321"/>
        <v/>
      </c>
      <c r="AJ2250" s="2" t="str">
        <f t="shared" si="322"/>
        <v/>
      </c>
      <c r="AK2250" s="2" t="str">
        <f t="shared" si="323"/>
        <v/>
      </c>
    </row>
    <row r="2251" spans="1:37" x14ac:dyDescent="0.25">
      <c r="A2251">
        <v>509</v>
      </c>
      <c r="B2251" t="s">
        <v>2443</v>
      </c>
      <c r="C2251" t="s">
        <v>2283</v>
      </c>
      <c r="D2251" t="s">
        <v>2409</v>
      </c>
      <c r="E2251" t="s">
        <v>2410</v>
      </c>
      <c r="F2251" t="s">
        <v>2411</v>
      </c>
      <c r="G2251" t="s">
        <v>31</v>
      </c>
      <c r="H2251" s="1">
        <v>44744.103750000002</v>
      </c>
      <c r="I2251" s="1">
        <v>44747.103750000002</v>
      </c>
      <c r="J2251" t="s">
        <v>32</v>
      </c>
      <c r="K2251" s="1">
        <v>44755.103750000002</v>
      </c>
      <c r="L2251" t="s">
        <v>57</v>
      </c>
      <c r="N2251" s="4">
        <v>44759.103750000002</v>
      </c>
      <c r="O2251" t="s">
        <v>57</v>
      </c>
      <c r="P2251" s="4">
        <v>44757.103750000002</v>
      </c>
      <c r="Q2251" s="4">
        <v>44758.103750000002</v>
      </c>
      <c r="R2251" s="4">
        <v>44757.103750000002</v>
      </c>
      <c r="S2251" s="4">
        <v>44764.103750000002</v>
      </c>
      <c r="T2251">
        <v>1</v>
      </c>
      <c r="U2251" s="4">
        <v>44767.103750000002</v>
      </c>
      <c r="V2251" s="4">
        <v>44768.103750000002</v>
      </c>
      <c r="W2251" s="4">
        <v>44769.103750000002</v>
      </c>
      <c r="Z2251" s="4">
        <v>44783.103750000002</v>
      </c>
      <c r="AC2251" s="2">
        <f t="shared" si="315"/>
        <v>3</v>
      </c>
      <c r="AD2251" s="2">
        <f t="shared" si="316"/>
        <v>11</v>
      </c>
      <c r="AE2251" s="2">
        <f t="shared" si="317"/>
        <v>8</v>
      </c>
      <c r="AF2251" s="2">
        <f t="shared" si="318"/>
        <v>13</v>
      </c>
      <c r="AG2251" s="2">
        <f t="shared" si="319"/>
        <v>2</v>
      </c>
      <c r="AH2251" s="4">
        <f t="shared" si="320"/>
        <v>44847.103750000002</v>
      </c>
      <c r="AI2251" s="2">
        <f t="shared" si="321"/>
        <v>3</v>
      </c>
      <c r="AJ2251" s="2">
        <f t="shared" si="322"/>
        <v>26</v>
      </c>
      <c r="AK2251" s="2">
        <f t="shared" si="323"/>
        <v>12</v>
      </c>
    </row>
    <row r="2252" spans="1:37" x14ac:dyDescent="0.25">
      <c r="A2252">
        <v>507</v>
      </c>
      <c r="B2252" t="s">
        <v>2444</v>
      </c>
      <c r="C2252" t="s">
        <v>2283</v>
      </c>
      <c r="D2252" t="s">
        <v>2409</v>
      </c>
      <c r="E2252" t="s">
        <v>2410</v>
      </c>
      <c r="F2252" t="s">
        <v>2411</v>
      </c>
      <c r="G2252" t="s">
        <v>31</v>
      </c>
      <c r="H2252" s="1">
        <v>44741.103750000002</v>
      </c>
      <c r="I2252" s="1">
        <v>44744.103750000002</v>
      </c>
      <c r="J2252" t="s">
        <v>44</v>
      </c>
      <c r="K2252" s="1"/>
      <c r="T2252">
        <v>0</v>
      </c>
      <c r="AC2252" s="2">
        <f t="shared" si="315"/>
        <v>3</v>
      </c>
      <c r="AD2252" s="2" t="str">
        <f t="shared" si="316"/>
        <v/>
      </c>
      <c r="AE2252" s="2" t="str">
        <f t="shared" si="317"/>
        <v/>
      </c>
      <c r="AF2252" s="2" t="str">
        <f t="shared" si="318"/>
        <v/>
      </c>
      <c r="AG2252" s="2" t="str">
        <f t="shared" si="319"/>
        <v/>
      </c>
      <c r="AH2252" s="4" t="str">
        <f t="shared" si="320"/>
        <v/>
      </c>
      <c r="AI2252" s="2" t="str">
        <f t="shared" si="321"/>
        <v/>
      </c>
      <c r="AJ2252" s="2" t="str">
        <f t="shared" si="322"/>
        <v/>
      </c>
      <c r="AK2252" s="2" t="str">
        <f t="shared" si="323"/>
        <v/>
      </c>
    </row>
    <row r="2253" spans="1:37" x14ac:dyDescent="0.25">
      <c r="A2253">
        <v>505</v>
      </c>
      <c r="B2253" t="s">
        <v>2445</v>
      </c>
      <c r="C2253" t="s">
        <v>2283</v>
      </c>
      <c r="D2253" t="s">
        <v>2409</v>
      </c>
      <c r="E2253" t="s">
        <v>2410</v>
      </c>
      <c r="F2253" t="s">
        <v>2411</v>
      </c>
      <c r="G2253" t="s">
        <v>31</v>
      </c>
      <c r="H2253" s="1">
        <v>44745.103750000002</v>
      </c>
      <c r="I2253" s="1">
        <v>44747.103750000002</v>
      </c>
      <c r="J2253" t="s">
        <v>44</v>
      </c>
      <c r="K2253" s="1"/>
      <c r="T2253">
        <v>0</v>
      </c>
      <c r="AC2253" s="2">
        <f t="shared" si="315"/>
        <v>2</v>
      </c>
      <c r="AD2253" s="2" t="str">
        <f t="shared" si="316"/>
        <v/>
      </c>
      <c r="AE2253" s="2" t="str">
        <f t="shared" si="317"/>
        <v/>
      </c>
      <c r="AF2253" s="2" t="str">
        <f t="shared" si="318"/>
        <v/>
      </c>
      <c r="AG2253" s="2" t="str">
        <f t="shared" si="319"/>
        <v/>
      </c>
      <c r="AH2253" s="4" t="str">
        <f t="shared" si="320"/>
        <v/>
      </c>
      <c r="AI2253" s="2" t="str">
        <f t="shared" si="321"/>
        <v/>
      </c>
      <c r="AJ2253" s="2" t="str">
        <f t="shared" si="322"/>
        <v/>
      </c>
      <c r="AK2253" s="2" t="str">
        <f t="shared" si="323"/>
        <v/>
      </c>
    </row>
    <row r="2254" spans="1:37" x14ac:dyDescent="0.25">
      <c r="A2254">
        <v>504</v>
      </c>
      <c r="B2254" t="s">
        <v>2446</v>
      </c>
      <c r="C2254" t="s">
        <v>2283</v>
      </c>
      <c r="D2254" t="s">
        <v>2409</v>
      </c>
      <c r="E2254" t="s">
        <v>2410</v>
      </c>
      <c r="F2254" t="s">
        <v>2411</v>
      </c>
      <c r="G2254" t="s">
        <v>31</v>
      </c>
      <c r="H2254" s="1">
        <v>44743.103750000002</v>
      </c>
      <c r="I2254" s="1">
        <v>44747.103750000002</v>
      </c>
      <c r="J2254" t="s">
        <v>32</v>
      </c>
      <c r="K2254" s="1">
        <v>44756.103750000002</v>
      </c>
      <c r="L2254" t="s">
        <v>33</v>
      </c>
      <c r="M2254" t="s">
        <v>108</v>
      </c>
      <c r="R2254" s="4">
        <v>44759.103750000002</v>
      </c>
      <c r="T2254">
        <v>0</v>
      </c>
      <c r="Y2254" t="s">
        <v>35</v>
      </c>
      <c r="AC2254" s="2">
        <f t="shared" si="315"/>
        <v>4</v>
      </c>
      <c r="AD2254" s="2">
        <f t="shared" si="316"/>
        <v>13</v>
      </c>
      <c r="AE2254" s="2">
        <f t="shared" si="317"/>
        <v>9</v>
      </c>
      <c r="AF2254" s="2">
        <f t="shared" si="318"/>
        <v>16</v>
      </c>
      <c r="AG2254" s="2">
        <f t="shared" si="319"/>
        <v>3</v>
      </c>
      <c r="AH2254" s="4">
        <f t="shared" si="320"/>
        <v>44849.103750000002</v>
      </c>
      <c r="AI2254" s="2" t="str">
        <f t="shared" si="321"/>
        <v/>
      </c>
      <c r="AJ2254" s="2" t="str">
        <f t="shared" si="322"/>
        <v/>
      </c>
      <c r="AK2254" s="2" t="str">
        <f t="shared" si="323"/>
        <v/>
      </c>
    </row>
    <row r="2255" spans="1:37" x14ac:dyDescent="0.25">
      <c r="A2255">
        <v>427</v>
      </c>
      <c r="B2255" t="s">
        <v>2447</v>
      </c>
      <c r="C2255" t="s">
        <v>2283</v>
      </c>
      <c r="D2255" t="s">
        <v>2409</v>
      </c>
      <c r="E2255" t="s">
        <v>2410</v>
      </c>
      <c r="F2255" t="s">
        <v>2411</v>
      </c>
      <c r="G2255" t="s">
        <v>31</v>
      </c>
      <c r="H2255" s="1">
        <v>44983.544421296298</v>
      </c>
      <c r="I2255" s="1">
        <v>44985.544421296298</v>
      </c>
      <c r="J2255" t="s">
        <v>32</v>
      </c>
      <c r="K2255" s="1">
        <v>44999.544421296298</v>
      </c>
      <c r="L2255" t="s">
        <v>33</v>
      </c>
      <c r="M2255" t="s">
        <v>92</v>
      </c>
      <c r="R2255" s="4">
        <v>45003.544421296298</v>
      </c>
      <c r="T2255">
        <v>0</v>
      </c>
      <c r="Y2255" t="s">
        <v>55</v>
      </c>
      <c r="AC2255" s="2">
        <f t="shared" si="315"/>
        <v>2</v>
      </c>
      <c r="AD2255" s="2">
        <f t="shared" si="316"/>
        <v>16</v>
      </c>
      <c r="AE2255" s="2">
        <f t="shared" si="317"/>
        <v>14</v>
      </c>
      <c r="AF2255" s="2">
        <f t="shared" si="318"/>
        <v>20</v>
      </c>
      <c r="AG2255" s="2">
        <f t="shared" si="319"/>
        <v>4</v>
      </c>
      <c r="AH2255" s="4">
        <f t="shared" si="320"/>
        <v>45093.544421296298</v>
      </c>
      <c r="AI2255" s="2" t="str">
        <f t="shared" si="321"/>
        <v/>
      </c>
      <c r="AJ2255" s="2" t="str">
        <f t="shared" si="322"/>
        <v/>
      </c>
      <c r="AK2255" s="2" t="str">
        <f t="shared" si="323"/>
        <v/>
      </c>
    </row>
    <row r="2256" spans="1:37" x14ac:dyDescent="0.25">
      <c r="A2256">
        <v>415</v>
      </c>
      <c r="B2256" t="s">
        <v>2448</v>
      </c>
      <c r="C2256" t="s">
        <v>2283</v>
      </c>
      <c r="D2256" t="s">
        <v>2409</v>
      </c>
      <c r="E2256" t="s">
        <v>2410</v>
      </c>
      <c r="F2256" t="s">
        <v>2411</v>
      </c>
      <c r="G2256" t="s">
        <v>31</v>
      </c>
      <c r="H2256" s="1">
        <v>45093.637766203705</v>
      </c>
      <c r="I2256" s="1">
        <v>45096.637766203705</v>
      </c>
      <c r="J2256" t="s">
        <v>44</v>
      </c>
      <c r="K2256" s="1"/>
      <c r="T2256">
        <v>0</v>
      </c>
      <c r="AC2256" s="2">
        <f t="shared" si="315"/>
        <v>3</v>
      </c>
      <c r="AD2256" s="2" t="str">
        <f t="shared" si="316"/>
        <v/>
      </c>
      <c r="AE2256" s="2" t="str">
        <f t="shared" si="317"/>
        <v/>
      </c>
      <c r="AF2256" s="2" t="str">
        <f t="shared" si="318"/>
        <v/>
      </c>
      <c r="AG2256" s="2" t="str">
        <f t="shared" si="319"/>
        <v/>
      </c>
      <c r="AH2256" s="4" t="str">
        <f t="shared" si="320"/>
        <v/>
      </c>
      <c r="AI2256" s="2" t="str">
        <f t="shared" si="321"/>
        <v/>
      </c>
      <c r="AJ2256" s="2" t="str">
        <f t="shared" si="322"/>
        <v/>
      </c>
      <c r="AK2256" s="2" t="str">
        <f t="shared" si="323"/>
        <v/>
      </c>
    </row>
    <row r="2257" spans="1:37" x14ac:dyDescent="0.25">
      <c r="A2257">
        <v>255</v>
      </c>
      <c r="B2257" t="s">
        <v>2449</v>
      </c>
      <c r="C2257" t="s">
        <v>2283</v>
      </c>
      <c r="D2257" t="s">
        <v>2409</v>
      </c>
      <c r="E2257" t="s">
        <v>2410</v>
      </c>
      <c r="F2257" t="s">
        <v>2411</v>
      </c>
      <c r="G2257" t="s">
        <v>31</v>
      </c>
      <c r="H2257" s="1">
        <v>44710.632962962962</v>
      </c>
      <c r="I2257" s="1">
        <v>44711.632962962962</v>
      </c>
      <c r="J2257" t="s">
        <v>44</v>
      </c>
      <c r="K2257" s="1"/>
      <c r="T2257">
        <v>0</v>
      </c>
      <c r="AC2257" s="2">
        <f t="shared" si="315"/>
        <v>1</v>
      </c>
      <c r="AD2257" s="2" t="str">
        <f t="shared" si="316"/>
        <v/>
      </c>
      <c r="AE2257" s="2" t="str">
        <f t="shared" si="317"/>
        <v/>
      </c>
      <c r="AF2257" s="2" t="str">
        <f t="shared" si="318"/>
        <v/>
      </c>
      <c r="AG2257" s="2" t="str">
        <f t="shared" si="319"/>
        <v/>
      </c>
      <c r="AH2257" s="4" t="str">
        <f t="shared" si="320"/>
        <v/>
      </c>
      <c r="AI2257" s="2" t="str">
        <f t="shared" si="321"/>
        <v/>
      </c>
      <c r="AJ2257" s="2" t="str">
        <f t="shared" si="322"/>
        <v/>
      </c>
      <c r="AK2257" s="2" t="str">
        <f t="shared" si="323"/>
        <v/>
      </c>
    </row>
    <row r="2258" spans="1:37" x14ac:dyDescent="0.25">
      <c r="A2258">
        <v>252</v>
      </c>
      <c r="B2258" t="s">
        <v>2450</v>
      </c>
      <c r="C2258" t="s">
        <v>2283</v>
      </c>
      <c r="D2258" t="s">
        <v>2409</v>
      </c>
      <c r="E2258" t="s">
        <v>2410</v>
      </c>
      <c r="F2258" t="s">
        <v>2411</v>
      </c>
      <c r="G2258" t="s">
        <v>31</v>
      </c>
      <c r="H2258" s="1">
        <v>44703.632962962962</v>
      </c>
      <c r="I2258" s="1">
        <v>44707.632962962962</v>
      </c>
      <c r="J2258" t="s">
        <v>32</v>
      </c>
      <c r="K2258" s="1">
        <v>44726.632962962962</v>
      </c>
      <c r="L2258" t="s">
        <v>33</v>
      </c>
      <c r="M2258" t="s">
        <v>51</v>
      </c>
      <c r="R2258" s="4">
        <v>44728.632962962962</v>
      </c>
      <c r="T2258">
        <v>0</v>
      </c>
      <c r="Y2258" t="s">
        <v>35</v>
      </c>
      <c r="AC2258" s="2">
        <f t="shared" si="315"/>
        <v>4</v>
      </c>
      <c r="AD2258" s="2">
        <f t="shared" si="316"/>
        <v>23</v>
      </c>
      <c r="AE2258" s="2">
        <f t="shared" si="317"/>
        <v>19</v>
      </c>
      <c r="AF2258" s="2">
        <f t="shared" si="318"/>
        <v>25</v>
      </c>
      <c r="AG2258" s="2">
        <f t="shared" si="319"/>
        <v>2</v>
      </c>
      <c r="AH2258" s="4">
        <f t="shared" si="320"/>
        <v>44818.632962962962</v>
      </c>
      <c r="AI2258" s="2" t="str">
        <f t="shared" si="321"/>
        <v/>
      </c>
      <c r="AJ2258" s="2" t="str">
        <f t="shared" si="322"/>
        <v/>
      </c>
      <c r="AK2258" s="2" t="str">
        <f t="shared" si="323"/>
        <v/>
      </c>
    </row>
    <row r="2259" spans="1:37" x14ac:dyDescent="0.25">
      <c r="A2259">
        <v>230</v>
      </c>
      <c r="B2259" t="s">
        <v>2451</v>
      </c>
      <c r="C2259" t="s">
        <v>2283</v>
      </c>
      <c r="D2259" t="s">
        <v>2409</v>
      </c>
      <c r="E2259" t="s">
        <v>2410</v>
      </c>
      <c r="F2259" t="s">
        <v>2411</v>
      </c>
      <c r="G2259" t="s">
        <v>31</v>
      </c>
      <c r="H2259" s="1">
        <v>44739.447731481479</v>
      </c>
      <c r="I2259" s="1">
        <v>44743.447731481479</v>
      </c>
      <c r="J2259" t="s">
        <v>32</v>
      </c>
      <c r="K2259" s="1">
        <v>44759.447731481479</v>
      </c>
      <c r="L2259" t="s">
        <v>39</v>
      </c>
      <c r="N2259" s="4">
        <v>44765.447731481479</v>
      </c>
      <c r="O2259" t="s">
        <v>39</v>
      </c>
      <c r="R2259" s="4">
        <v>44761.447731481479</v>
      </c>
      <c r="T2259">
        <v>0</v>
      </c>
      <c r="AC2259" s="2">
        <f t="shared" si="315"/>
        <v>4</v>
      </c>
      <c r="AD2259" s="2">
        <f t="shared" si="316"/>
        <v>20</v>
      </c>
      <c r="AE2259" s="2">
        <f t="shared" si="317"/>
        <v>16</v>
      </c>
      <c r="AF2259" s="2">
        <f t="shared" si="318"/>
        <v>22</v>
      </c>
      <c r="AG2259" s="2">
        <f t="shared" si="319"/>
        <v>2</v>
      </c>
      <c r="AH2259" s="4">
        <f t="shared" si="320"/>
        <v>44851.447731481479</v>
      </c>
      <c r="AI2259" s="2" t="str">
        <f t="shared" si="321"/>
        <v/>
      </c>
      <c r="AJ2259" s="2" t="str">
        <f t="shared" si="322"/>
        <v/>
      </c>
      <c r="AK2259" s="2" t="str">
        <f t="shared" si="323"/>
        <v/>
      </c>
    </row>
    <row r="2260" spans="1:37" x14ac:dyDescent="0.25">
      <c r="A2260">
        <v>228</v>
      </c>
      <c r="B2260" t="s">
        <v>2452</v>
      </c>
      <c r="C2260" t="s">
        <v>2283</v>
      </c>
      <c r="D2260" t="s">
        <v>2409</v>
      </c>
      <c r="E2260" t="s">
        <v>2410</v>
      </c>
      <c r="F2260" t="s">
        <v>2411</v>
      </c>
      <c r="G2260" t="s">
        <v>31</v>
      </c>
      <c r="H2260" s="1">
        <v>44739.447731481479</v>
      </c>
      <c r="I2260" s="1">
        <v>44742.447731481479</v>
      </c>
      <c r="J2260" t="s">
        <v>32</v>
      </c>
      <c r="K2260" s="1">
        <v>44759.447731481479</v>
      </c>
      <c r="L2260" t="s">
        <v>33</v>
      </c>
      <c r="M2260" t="s">
        <v>108</v>
      </c>
      <c r="T2260">
        <v>0</v>
      </c>
      <c r="Y2260" t="s">
        <v>55</v>
      </c>
      <c r="AC2260" s="2">
        <f t="shared" si="315"/>
        <v>3</v>
      </c>
      <c r="AD2260" s="2">
        <f t="shared" si="316"/>
        <v>20</v>
      </c>
      <c r="AE2260" s="2">
        <f t="shared" si="317"/>
        <v>17</v>
      </c>
      <c r="AF2260" s="2" t="str">
        <f t="shared" si="318"/>
        <v/>
      </c>
      <c r="AG2260" s="2" t="str">
        <f t="shared" si="319"/>
        <v/>
      </c>
      <c r="AH2260" s="4" t="str">
        <f t="shared" si="320"/>
        <v/>
      </c>
      <c r="AI2260" s="2" t="str">
        <f t="shared" si="321"/>
        <v/>
      </c>
      <c r="AJ2260" s="2" t="str">
        <f t="shared" si="322"/>
        <v/>
      </c>
      <c r="AK2260" s="2" t="str">
        <f t="shared" si="323"/>
        <v/>
      </c>
    </row>
    <row r="2261" spans="1:37" x14ac:dyDescent="0.25">
      <c r="A2261">
        <v>226</v>
      </c>
      <c r="B2261" t="s">
        <v>2453</v>
      </c>
      <c r="C2261" t="s">
        <v>2283</v>
      </c>
      <c r="D2261" t="s">
        <v>2409</v>
      </c>
      <c r="E2261" t="s">
        <v>29</v>
      </c>
      <c r="F2261" t="s">
        <v>2454</v>
      </c>
      <c r="G2261" t="s">
        <v>31</v>
      </c>
      <c r="H2261" s="1">
        <v>44737.447731481479</v>
      </c>
      <c r="I2261" s="1">
        <v>44739.447731481479</v>
      </c>
      <c r="J2261" t="s">
        <v>32</v>
      </c>
      <c r="K2261" s="1">
        <v>44753.447731481479</v>
      </c>
      <c r="L2261" t="s">
        <v>33</v>
      </c>
      <c r="M2261" t="s">
        <v>67</v>
      </c>
      <c r="R2261" s="4">
        <v>44756.447731481479</v>
      </c>
      <c r="T2261">
        <v>0</v>
      </c>
      <c r="Y2261" t="s">
        <v>55</v>
      </c>
      <c r="AC2261" s="2">
        <f t="shared" si="315"/>
        <v>2</v>
      </c>
      <c r="AD2261" s="2">
        <f t="shared" si="316"/>
        <v>16</v>
      </c>
      <c r="AE2261" s="2">
        <f t="shared" si="317"/>
        <v>14</v>
      </c>
      <c r="AF2261" s="2">
        <f t="shared" si="318"/>
        <v>19</v>
      </c>
      <c r="AG2261" s="2">
        <f t="shared" si="319"/>
        <v>3</v>
      </c>
      <c r="AH2261" s="4">
        <f t="shared" si="320"/>
        <v>44846.447731481479</v>
      </c>
      <c r="AI2261" s="2" t="str">
        <f t="shared" si="321"/>
        <v/>
      </c>
      <c r="AJ2261" s="2" t="str">
        <f t="shared" si="322"/>
        <v/>
      </c>
      <c r="AK2261" s="2" t="str">
        <f t="shared" si="323"/>
        <v/>
      </c>
    </row>
    <row r="2262" spans="1:37" x14ac:dyDescent="0.25">
      <c r="A2262">
        <v>154</v>
      </c>
      <c r="B2262" t="s">
        <v>2455</v>
      </c>
      <c r="C2262" t="s">
        <v>2283</v>
      </c>
      <c r="D2262" t="s">
        <v>2409</v>
      </c>
      <c r="E2262" t="s">
        <v>29</v>
      </c>
      <c r="F2262" t="s">
        <v>2454</v>
      </c>
      <c r="G2262" t="s">
        <v>31</v>
      </c>
      <c r="H2262" s="1">
        <v>44934.64434027778</v>
      </c>
      <c r="I2262" s="1">
        <v>44937.64434027778</v>
      </c>
      <c r="J2262" t="s">
        <v>32</v>
      </c>
      <c r="K2262" s="1">
        <v>44954.64434027778</v>
      </c>
      <c r="L2262" t="s">
        <v>164</v>
      </c>
      <c r="N2262" s="4">
        <v>44957.64434027778</v>
      </c>
      <c r="O2262" t="s">
        <v>164</v>
      </c>
      <c r="R2262" s="4">
        <v>44956.64434027778</v>
      </c>
      <c r="T2262">
        <v>0</v>
      </c>
      <c r="AC2262" s="2">
        <f t="shared" si="315"/>
        <v>3</v>
      </c>
      <c r="AD2262" s="2">
        <f t="shared" si="316"/>
        <v>20</v>
      </c>
      <c r="AE2262" s="2">
        <f t="shared" si="317"/>
        <v>17</v>
      </c>
      <c r="AF2262" s="2">
        <f t="shared" si="318"/>
        <v>22</v>
      </c>
      <c r="AG2262" s="2">
        <f t="shared" si="319"/>
        <v>2</v>
      </c>
      <c r="AH2262" s="4">
        <f t="shared" si="320"/>
        <v>45046.64434027778</v>
      </c>
      <c r="AI2262" s="2" t="str">
        <f t="shared" si="321"/>
        <v/>
      </c>
      <c r="AJ2262" s="2" t="str">
        <f t="shared" si="322"/>
        <v/>
      </c>
      <c r="AK2262" s="2" t="str">
        <f t="shared" si="323"/>
        <v/>
      </c>
    </row>
    <row r="2263" spans="1:37" x14ac:dyDescent="0.25">
      <c r="A2263">
        <v>151</v>
      </c>
      <c r="B2263" t="s">
        <v>2456</v>
      </c>
      <c r="C2263" t="s">
        <v>2283</v>
      </c>
      <c r="D2263" t="s">
        <v>2409</v>
      </c>
      <c r="E2263" t="s">
        <v>29</v>
      </c>
      <c r="F2263" t="s">
        <v>2454</v>
      </c>
      <c r="G2263" t="s">
        <v>31</v>
      </c>
      <c r="H2263" s="1">
        <v>44930.64434027778</v>
      </c>
      <c r="I2263" s="1">
        <v>44934.64434027778</v>
      </c>
      <c r="J2263" t="s">
        <v>32</v>
      </c>
      <c r="K2263" s="1">
        <v>44953.64434027778</v>
      </c>
      <c r="L2263" t="s">
        <v>57</v>
      </c>
      <c r="N2263" s="4">
        <v>44958.64434027778</v>
      </c>
      <c r="O2263" t="s">
        <v>57</v>
      </c>
      <c r="P2263" s="4">
        <v>44954.64434027778</v>
      </c>
      <c r="Q2263" s="4">
        <v>44957.64434027778</v>
      </c>
      <c r="R2263" s="4">
        <v>44956.64434027778</v>
      </c>
      <c r="S2263" s="4">
        <v>44963.64434027778</v>
      </c>
      <c r="T2263">
        <v>1</v>
      </c>
      <c r="U2263" s="4">
        <v>44967.64434027778</v>
      </c>
      <c r="V2263" s="4">
        <v>44970.64434027778</v>
      </c>
      <c r="W2263" s="4">
        <v>44972.64434027778</v>
      </c>
      <c r="Z2263" s="4">
        <v>44983.64434027778</v>
      </c>
      <c r="AC2263" s="2">
        <f t="shared" si="315"/>
        <v>4</v>
      </c>
      <c r="AD2263" s="2">
        <f t="shared" si="316"/>
        <v>23</v>
      </c>
      <c r="AE2263" s="2">
        <f t="shared" si="317"/>
        <v>19</v>
      </c>
      <c r="AF2263" s="2">
        <f t="shared" si="318"/>
        <v>26</v>
      </c>
      <c r="AG2263" s="2">
        <f t="shared" si="319"/>
        <v>3</v>
      </c>
      <c r="AH2263" s="4">
        <f t="shared" si="320"/>
        <v>45046.64434027778</v>
      </c>
      <c r="AI2263" s="2">
        <f t="shared" si="321"/>
        <v>4</v>
      </c>
      <c r="AJ2263" s="2">
        <f t="shared" si="322"/>
        <v>27</v>
      </c>
      <c r="AK2263" s="2">
        <f t="shared" si="323"/>
        <v>16</v>
      </c>
    </row>
    <row r="2264" spans="1:37" x14ac:dyDescent="0.25">
      <c r="A2264">
        <v>150</v>
      </c>
      <c r="B2264" t="s">
        <v>2457</v>
      </c>
      <c r="C2264" t="s">
        <v>2283</v>
      </c>
      <c r="D2264" t="s">
        <v>2409</v>
      </c>
      <c r="E2264" t="s">
        <v>29</v>
      </c>
      <c r="F2264" t="s">
        <v>2454</v>
      </c>
      <c r="G2264" t="s">
        <v>31</v>
      </c>
      <c r="H2264" s="1">
        <v>44627.982245370367</v>
      </c>
      <c r="I2264" s="1">
        <v>44630.982245370367</v>
      </c>
      <c r="J2264" t="s">
        <v>32</v>
      </c>
      <c r="K2264" s="1">
        <v>44651.982245370367</v>
      </c>
      <c r="L2264" t="s">
        <v>39</v>
      </c>
      <c r="N2264" s="4">
        <v>44655.982245370367</v>
      </c>
      <c r="O2264" t="s">
        <v>39</v>
      </c>
      <c r="R2264" s="4">
        <v>44652.982245370367</v>
      </c>
      <c r="T2264">
        <v>0</v>
      </c>
      <c r="AC2264" s="2">
        <f t="shared" si="315"/>
        <v>3</v>
      </c>
      <c r="AD2264" s="2">
        <f t="shared" si="316"/>
        <v>24</v>
      </c>
      <c r="AE2264" s="2">
        <f t="shared" si="317"/>
        <v>21</v>
      </c>
      <c r="AF2264" s="2">
        <f t="shared" si="318"/>
        <v>25</v>
      </c>
      <c r="AG2264" s="2">
        <f t="shared" si="319"/>
        <v>1</v>
      </c>
      <c r="AH2264" s="4">
        <f t="shared" si="320"/>
        <v>44742.982245370367</v>
      </c>
      <c r="AI2264" s="2" t="str">
        <f t="shared" si="321"/>
        <v/>
      </c>
      <c r="AJ2264" s="2" t="str">
        <f t="shared" si="322"/>
        <v/>
      </c>
      <c r="AK2264" s="2" t="str">
        <f t="shared" si="323"/>
        <v/>
      </c>
    </row>
    <row r="2265" spans="1:37" x14ac:dyDescent="0.25">
      <c r="A2265">
        <v>145</v>
      </c>
      <c r="B2265" t="s">
        <v>2458</v>
      </c>
      <c r="C2265" t="s">
        <v>2283</v>
      </c>
      <c r="D2265" t="s">
        <v>2409</v>
      </c>
      <c r="E2265" t="s">
        <v>29</v>
      </c>
      <c r="F2265" t="s">
        <v>2454</v>
      </c>
      <c r="G2265" t="s">
        <v>31</v>
      </c>
      <c r="H2265" s="1">
        <v>44631.982245370367</v>
      </c>
      <c r="I2265" s="1">
        <v>44633.982245370367</v>
      </c>
      <c r="J2265" t="s">
        <v>32</v>
      </c>
      <c r="K2265" s="1">
        <v>44652.982245370367</v>
      </c>
      <c r="L2265" t="s">
        <v>57</v>
      </c>
      <c r="N2265" s="4">
        <v>44657.982245370367</v>
      </c>
      <c r="O2265" t="s">
        <v>57</v>
      </c>
      <c r="P2265" s="4">
        <v>44654.982245370367</v>
      </c>
      <c r="Q2265" s="4">
        <v>44656.982245370367</v>
      </c>
      <c r="R2265" s="4">
        <v>44653.982245370367</v>
      </c>
      <c r="S2265" s="4">
        <v>44657.982245370367</v>
      </c>
      <c r="T2265">
        <v>1</v>
      </c>
      <c r="U2265" s="4">
        <v>44658.982245370367</v>
      </c>
      <c r="V2265" s="4">
        <v>44659.982245370367</v>
      </c>
      <c r="W2265" s="4">
        <v>44661.982245370367</v>
      </c>
      <c r="Z2265" s="4">
        <v>44673.982245370367</v>
      </c>
      <c r="AC2265" s="2">
        <f t="shared" si="315"/>
        <v>2</v>
      </c>
      <c r="AD2265" s="2">
        <f t="shared" si="316"/>
        <v>21</v>
      </c>
      <c r="AE2265" s="2">
        <f t="shared" si="317"/>
        <v>19</v>
      </c>
      <c r="AF2265" s="2">
        <f t="shared" si="318"/>
        <v>22</v>
      </c>
      <c r="AG2265" s="2">
        <f t="shared" si="319"/>
        <v>1</v>
      </c>
      <c r="AH2265" s="4">
        <f t="shared" si="320"/>
        <v>44743.982245370367</v>
      </c>
      <c r="AI2265" s="2">
        <f t="shared" si="321"/>
        <v>1</v>
      </c>
      <c r="AJ2265" s="2">
        <f t="shared" si="322"/>
        <v>20</v>
      </c>
      <c r="AK2265" s="2">
        <f t="shared" si="323"/>
        <v>8</v>
      </c>
    </row>
    <row r="2266" spans="1:37" x14ac:dyDescent="0.25">
      <c r="A2266">
        <v>141</v>
      </c>
      <c r="B2266" t="s">
        <v>2459</v>
      </c>
      <c r="C2266" t="s">
        <v>2283</v>
      </c>
      <c r="D2266" t="s">
        <v>2409</v>
      </c>
      <c r="E2266" t="s">
        <v>29</v>
      </c>
      <c r="F2266" t="s">
        <v>2454</v>
      </c>
      <c r="G2266" t="s">
        <v>31</v>
      </c>
      <c r="H2266" s="1">
        <v>44629.982245370367</v>
      </c>
      <c r="I2266" s="1">
        <v>44630.982245370367</v>
      </c>
      <c r="J2266" t="s">
        <v>32</v>
      </c>
      <c r="K2266" s="1">
        <v>44650.982245370367</v>
      </c>
      <c r="L2266" t="s">
        <v>57</v>
      </c>
      <c r="N2266" s="4">
        <v>44658.982245370367</v>
      </c>
      <c r="O2266" t="s">
        <v>57</v>
      </c>
      <c r="P2266" s="4">
        <v>44651.982245370367</v>
      </c>
      <c r="Q2266" s="4">
        <v>44655.982245370367</v>
      </c>
      <c r="R2266" s="4">
        <v>44654.982245370367</v>
      </c>
      <c r="S2266" s="4">
        <v>44660.982245370367</v>
      </c>
      <c r="T2266">
        <v>1</v>
      </c>
      <c r="U2266" s="4">
        <v>44661.982245370367</v>
      </c>
      <c r="V2266" s="4">
        <v>44662.982245370367</v>
      </c>
      <c r="W2266" s="4">
        <v>44663.982245370367</v>
      </c>
      <c r="Z2266" s="4">
        <v>44685.982245370367</v>
      </c>
      <c r="AC2266" s="2">
        <f t="shared" si="315"/>
        <v>1</v>
      </c>
      <c r="AD2266" s="2">
        <f t="shared" si="316"/>
        <v>21</v>
      </c>
      <c r="AE2266" s="2">
        <f t="shared" si="317"/>
        <v>20</v>
      </c>
      <c r="AF2266" s="2">
        <f t="shared" si="318"/>
        <v>25</v>
      </c>
      <c r="AG2266" s="2">
        <f t="shared" si="319"/>
        <v>4</v>
      </c>
      <c r="AH2266" s="4">
        <f t="shared" si="320"/>
        <v>44744.982245370367</v>
      </c>
      <c r="AI2266" s="2">
        <f t="shared" si="321"/>
        <v>1</v>
      </c>
      <c r="AJ2266" s="2">
        <f t="shared" si="322"/>
        <v>31</v>
      </c>
      <c r="AK2266" s="2">
        <f t="shared" si="323"/>
        <v>9</v>
      </c>
    </row>
    <row r="2267" spans="1:37" x14ac:dyDescent="0.25">
      <c r="A2267">
        <v>114</v>
      </c>
      <c r="B2267" t="s">
        <v>2460</v>
      </c>
      <c r="C2267" t="s">
        <v>2283</v>
      </c>
      <c r="D2267" t="s">
        <v>2409</v>
      </c>
      <c r="E2267" t="s">
        <v>29</v>
      </c>
      <c r="F2267" t="s">
        <v>2454</v>
      </c>
      <c r="G2267" t="s">
        <v>31</v>
      </c>
      <c r="H2267" s="1">
        <v>44738.19809027778</v>
      </c>
      <c r="I2267" s="1">
        <v>44740.19809027778</v>
      </c>
      <c r="J2267" t="s">
        <v>32</v>
      </c>
      <c r="K2267" s="1">
        <v>44749.19809027778</v>
      </c>
      <c r="L2267" t="s">
        <v>57</v>
      </c>
      <c r="N2267" s="4">
        <v>44752.19809027778</v>
      </c>
      <c r="O2267" t="s">
        <v>57</v>
      </c>
      <c r="P2267" s="4">
        <v>44750.19809027778</v>
      </c>
      <c r="Q2267" s="4">
        <v>44754.19809027778</v>
      </c>
      <c r="R2267" s="4">
        <v>44750.19809027778</v>
      </c>
      <c r="S2267" s="4">
        <v>44753.19809027778</v>
      </c>
      <c r="T2267">
        <v>1</v>
      </c>
      <c r="U2267" s="4">
        <v>44754.19809027778</v>
      </c>
      <c r="V2267" s="4">
        <v>44755.19809027778</v>
      </c>
      <c r="W2267" s="4">
        <v>44757.19809027778</v>
      </c>
      <c r="Z2267" s="4">
        <v>44777.19809027778</v>
      </c>
      <c r="AC2267" s="2">
        <f t="shared" si="315"/>
        <v>2</v>
      </c>
      <c r="AD2267" s="2">
        <f t="shared" si="316"/>
        <v>11</v>
      </c>
      <c r="AE2267" s="2">
        <f t="shared" si="317"/>
        <v>9</v>
      </c>
      <c r="AF2267" s="2">
        <f t="shared" si="318"/>
        <v>12</v>
      </c>
      <c r="AG2267" s="2">
        <f t="shared" si="319"/>
        <v>1</v>
      </c>
      <c r="AH2267" s="4">
        <f t="shared" si="320"/>
        <v>44840.19809027778</v>
      </c>
      <c r="AI2267" s="2">
        <f t="shared" si="321"/>
        <v>1</v>
      </c>
      <c r="AJ2267" s="2">
        <f t="shared" si="322"/>
        <v>27</v>
      </c>
      <c r="AK2267" s="2">
        <f t="shared" si="323"/>
        <v>7</v>
      </c>
    </row>
    <row r="2268" spans="1:37" x14ac:dyDescent="0.25">
      <c r="A2268">
        <v>58</v>
      </c>
      <c r="B2268" t="s">
        <v>2461</v>
      </c>
      <c r="C2268" t="s">
        <v>2283</v>
      </c>
      <c r="D2268" t="s">
        <v>2409</v>
      </c>
      <c r="E2268" t="s">
        <v>29</v>
      </c>
      <c r="F2268" t="s">
        <v>2454</v>
      </c>
      <c r="G2268" t="s">
        <v>31</v>
      </c>
      <c r="H2268" s="1">
        <v>44773.01295138889</v>
      </c>
      <c r="I2268" s="1">
        <v>44774.01295138889</v>
      </c>
      <c r="J2268" t="s">
        <v>32</v>
      </c>
      <c r="K2268" s="1">
        <v>44795.01295138889</v>
      </c>
      <c r="L2268" t="s">
        <v>33</v>
      </c>
      <c r="M2268" t="s">
        <v>51</v>
      </c>
      <c r="T2268">
        <v>0</v>
      </c>
      <c r="Y2268" t="s">
        <v>35</v>
      </c>
      <c r="AC2268" s="2">
        <f t="shared" si="315"/>
        <v>1</v>
      </c>
      <c r="AD2268" s="2">
        <f t="shared" si="316"/>
        <v>22</v>
      </c>
      <c r="AE2268" s="2">
        <f t="shared" si="317"/>
        <v>21</v>
      </c>
      <c r="AF2268" s="2" t="str">
        <f t="shared" si="318"/>
        <v/>
      </c>
      <c r="AG2268" s="2" t="str">
        <f t="shared" si="319"/>
        <v/>
      </c>
      <c r="AH2268" s="4" t="str">
        <f t="shared" si="320"/>
        <v/>
      </c>
      <c r="AI2268" s="2" t="str">
        <f t="shared" si="321"/>
        <v/>
      </c>
      <c r="AJ2268" s="2" t="str">
        <f t="shared" si="322"/>
        <v/>
      </c>
      <c r="AK2268" s="2" t="str">
        <f t="shared" si="323"/>
        <v/>
      </c>
    </row>
    <row r="2269" spans="1:37" x14ac:dyDescent="0.25">
      <c r="A2269">
        <v>55</v>
      </c>
      <c r="B2269" t="s">
        <v>2462</v>
      </c>
      <c r="C2269" t="s">
        <v>2283</v>
      </c>
      <c r="D2269" t="s">
        <v>2409</v>
      </c>
      <c r="E2269" t="s">
        <v>29</v>
      </c>
      <c r="F2269" t="s">
        <v>2454</v>
      </c>
      <c r="G2269" t="s">
        <v>31</v>
      </c>
      <c r="H2269" s="1">
        <v>44769.01295138889</v>
      </c>
      <c r="I2269" s="1">
        <v>44771.01295138889</v>
      </c>
      <c r="J2269" t="s">
        <v>32</v>
      </c>
      <c r="K2269" s="1">
        <v>44784.01295138889</v>
      </c>
      <c r="L2269" t="s">
        <v>57</v>
      </c>
      <c r="N2269" s="4">
        <v>44788.01295138889</v>
      </c>
      <c r="O2269" t="s">
        <v>57</v>
      </c>
      <c r="P2269" s="4">
        <v>44786.01295138889</v>
      </c>
      <c r="Q2269" s="4">
        <v>44789.01295138889</v>
      </c>
      <c r="R2269" s="4">
        <v>44786.01295138889</v>
      </c>
      <c r="S2269" s="4">
        <v>44787.01295138889</v>
      </c>
      <c r="T2269">
        <v>1</v>
      </c>
      <c r="U2269" s="4">
        <v>44790.01295138889</v>
      </c>
      <c r="V2269" s="4">
        <v>44792.01295138889</v>
      </c>
      <c r="W2269" s="4">
        <v>44793.01295138889</v>
      </c>
      <c r="Z2269" s="4">
        <v>44816.01295138889</v>
      </c>
      <c r="AC2269" s="2">
        <f t="shared" si="315"/>
        <v>2</v>
      </c>
      <c r="AD2269" s="2">
        <f t="shared" si="316"/>
        <v>15</v>
      </c>
      <c r="AE2269" s="2">
        <f t="shared" si="317"/>
        <v>13</v>
      </c>
      <c r="AF2269" s="2">
        <f t="shared" si="318"/>
        <v>17</v>
      </c>
      <c r="AG2269" s="2">
        <f t="shared" si="319"/>
        <v>2</v>
      </c>
      <c r="AH2269" s="4">
        <f t="shared" si="320"/>
        <v>44876.01295138889</v>
      </c>
      <c r="AI2269" s="2">
        <f t="shared" si="321"/>
        <v>3</v>
      </c>
      <c r="AJ2269" s="2">
        <f t="shared" si="322"/>
        <v>30</v>
      </c>
      <c r="AK2269" s="2">
        <f t="shared" si="323"/>
        <v>7</v>
      </c>
    </row>
    <row r="2270" spans="1:37" x14ac:dyDescent="0.25">
      <c r="A2270">
        <v>2992</v>
      </c>
      <c r="B2270" t="s">
        <v>2463</v>
      </c>
      <c r="C2270" t="s">
        <v>2283</v>
      </c>
      <c r="D2270" t="s">
        <v>2464</v>
      </c>
      <c r="E2270" t="s">
        <v>1056</v>
      </c>
      <c r="F2270" t="s">
        <v>2465</v>
      </c>
      <c r="G2270" t="s">
        <v>49</v>
      </c>
      <c r="H2270" s="1">
        <v>44987.039479166669</v>
      </c>
      <c r="I2270" s="1">
        <v>44990.039479166669</v>
      </c>
      <c r="J2270" t="s">
        <v>44</v>
      </c>
      <c r="K2270" s="1"/>
      <c r="T2270">
        <v>0</v>
      </c>
      <c r="AC2270" s="2">
        <f t="shared" si="315"/>
        <v>3</v>
      </c>
      <c r="AD2270" s="2" t="str">
        <f t="shared" si="316"/>
        <v/>
      </c>
      <c r="AE2270" s="2" t="str">
        <f t="shared" si="317"/>
        <v/>
      </c>
      <c r="AF2270" s="2" t="str">
        <f t="shared" si="318"/>
        <v/>
      </c>
      <c r="AG2270" s="2" t="str">
        <f t="shared" si="319"/>
        <v/>
      </c>
      <c r="AH2270" s="4" t="str">
        <f t="shared" si="320"/>
        <v/>
      </c>
      <c r="AI2270" s="2" t="str">
        <f t="shared" si="321"/>
        <v/>
      </c>
      <c r="AJ2270" s="2" t="str">
        <f t="shared" si="322"/>
        <v/>
      </c>
      <c r="AK2270" s="2" t="str">
        <f t="shared" si="323"/>
        <v/>
      </c>
    </row>
    <row r="2271" spans="1:37" x14ac:dyDescent="0.25">
      <c r="A2271">
        <v>2768</v>
      </c>
      <c r="B2271" t="s">
        <v>2466</v>
      </c>
      <c r="C2271" t="s">
        <v>2283</v>
      </c>
      <c r="D2271" t="s">
        <v>2464</v>
      </c>
      <c r="E2271" t="s">
        <v>1056</v>
      </c>
      <c r="F2271" t="s">
        <v>2465</v>
      </c>
      <c r="G2271" t="s">
        <v>49</v>
      </c>
      <c r="H2271" s="1">
        <v>44805.301701388889</v>
      </c>
      <c r="I2271" s="1">
        <v>44809.301701388889</v>
      </c>
      <c r="J2271" t="s">
        <v>44</v>
      </c>
      <c r="K2271" s="1"/>
      <c r="T2271">
        <v>0</v>
      </c>
      <c r="AC2271" s="2">
        <f t="shared" si="315"/>
        <v>4</v>
      </c>
      <c r="AD2271" s="2" t="str">
        <f t="shared" si="316"/>
        <v/>
      </c>
      <c r="AE2271" s="2" t="str">
        <f t="shared" si="317"/>
        <v/>
      </c>
      <c r="AF2271" s="2" t="str">
        <f t="shared" si="318"/>
        <v/>
      </c>
      <c r="AG2271" s="2" t="str">
        <f t="shared" si="319"/>
        <v/>
      </c>
      <c r="AH2271" s="4" t="str">
        <f t="shared" si="320"/>
        <v/>
      </c>
      <c r="AI2271" s="2" t="str">
        <f t="shared" si="321"/>
        <v/>
      </c>
      <c r="AJ2271" s="2" t="str">
        <f t="shared" si="322"/>
        <v/>
      </c>
      <c r="AK2271" s="2" t="str">
        <f t="shared" si="323"/>
        <v/>
      </c>
    </row>
    <row r="2272" spans="1:37" x14ac:dyDescent="0.25">
      <c r="A2272">
        <v>2633</v>
      </c>
      <c r="B2272" t="s">
        <v>2467</v>
      </c>
      <c r="C2272" t="s">
        <v>2283</v>
      </c>
      <c r="D2272" t="s">
        <v>2464</v>
      </c>
      <c r="E2272" t="s">
        <v>1056</v>
      </c>
      <c r="F2272" t="s">
        <v>2465</v>
      </c>
      <c r="G2272" t="s">
        <v>49</v>
      </c>
      <c r="H2272" s="1">
        <v>44581.196851851855</v>
      </c>
      <c r="I2272" s="1">
        <v>44584.196851851855</v>
      </c>
      <c r="J2272" t="s">
        <v>44</v>
      </c>
      <c r="K2272" s="1"/>
      <c r="T2272">
        <v>0</v>
      </c>
      <c r="AC2272" s="2">
        <f t="shared" si="315"/>
        <v>3</v>
      </c>
      <c r="AD2272" s="2" t="str">
        <f t="shared" si="316"/>
        <v/>
      </c>
      <c r="AE2272" s="2" t="str">
        <f t="shared" si="317"/>
        <v/>
      </c>
      <c r="AF2272" s="2" t="str">
        <f t="shared" si="318"/>
        <v/>
      </c>
      <c r="AG2272" s="2" t="str">
        <f t="shared" si="319"/>
        <v/>
      </c>
      <c r="AH2272" s="4" t="str">
        <f t="shared" si="320"/>
        <v/>
      </c>
      <c r="AI2272" s="2" t="str">
        <f t="shared" si="321"/>
        <v/>
      </c>
      <c r="AJ2272" s="2" t="str">
        <f t="shared" si="322"/>
        <v/>
      </c>
      <c r="AK2272" s="2" t="str">
        <f t="shared" si="323"/>
        <v/>
      </c>
    </row>
    <row r="2273" spans="1:37" x14ac:dyDescent="0.25">
      <c r="A2273">
        <v>2576</v>
      </c>
      <c r="B2273" t="s">
        <v>2468</v>
      </c>
      <c r="C2273" t="s">
        <v>2283</v>
      </c>
      <c r="D2273" t="s">
        <v>2464</v>
      </c>
      <c r="E2273" t="s">
        <v>1056</v>
      </c>
      <c r="F2273" t="s">
        <v>2465</v>
      </c>
      <c r="G2273" t="s">
        <v>49</v>
      </c>
      <c r="H2273" s="1">
        <v>44637.718425925923</v>
      </c>
      <c r="I2273" s="1">
        <v>44641.718425925923</v>
      </c>
      <c r="J2273" t="s">
        <v>44</v>
      </c>
      <c r="K2273" s="1"/>
      <c r="T2273">
        <v>0</v>
      </c>
      <c r="AC2273" s="2">
        <f t="shared" si="315"/>
        <v>4</v>
      </c>
      <c r="AD2273" s="2" t="str">
        <f t="shared" si="316"/>
        <v/>
      </c>
      <c r="AE2273" s="2" t="str">
        <f t="shared" si="317"/>
        <v/>
      </c>
      <c r="AF2273" s="2" t="str">
        <f t="shared" si="318"/>
        <v/>
      </c>
      <c r="AG2273" s="2" t="str">
        <f t="shared" si="319"/>
        <v/>
      </c>
      <c r="AH2273" s="4" t="str">
        <f t="shared" si="320"/>
        <v/>
      </c>
      <c r="AI2273" s="2" t="str">
        <f t="shared" si="321"/>
        <v/>
      </c>
      <c r="AJ2273" s="2" t="str">
        <f t="shared" si="322"/>
        <v/>
      </c>
      <c r="AK2273" s="2" t="str">
        <f t="shared" si="323"/>
        <v/>
      </c>
    </row>
    <row r="2274" spans="1:37" x14ac:dyDescent="0.25">
      <c r="A2274">
        <v>2529</v>
      </c>
      <c r="B2274" t="s">
        <v>2469</v>
      </c>
      <c r="C2274" t="s">
        <v>2283</v>
      </c>
      <c r="D2274" t="s">
        <v>2464</v>
      </c>
      <c r="E2274" t="s">
        <v>1056</v>
      </c>
      <c r="F2274" t="s">
        <v>2465</v>
      </c>
      <c r="G2274" t="s">
        <v>49</v>
      </c>
      <c r="H2274" s="1">
        <v>45027.778819444444</v>
      </c>
      <c r="I2274" s="1">
        <v>45028.778819444444</v>
      </c>
      <c r="J2274" t="s">
        <v>44</v>
      </c>
      <c r="K2274" s="1"/>
      <c r="T2274">
        <v>0</v>
      </c>
      <c r="AC2274" s="2">
        <f t="shared" si="315"/>
        <v>1</v>
      </c>
      <c r="AD2274" s="2" t="str">
        <f t="shared" si="316"/>
        <v/>
      </c>
      <c r="AE2274" s="2" t="str">
        <f t="shared" si="317"/>
        <v/>
      </c>
      <c r="AF2274" s="2" t="str">
        <f t="shared" si="318"/>
        <v/>
      </c>
      <c r="AG2274" s="2" t="str">
        <f t="shared" si="319"/>
        <v/>
      </c>
      <c r="AH2274" s="4" t="str">
        <f t="shared" si="320"/>
        <v/>
      </c>
      <c r="AI2274" s="2" t="str">
        <f t="shared" si="321"/>
        <v/>
      </c>
      <c r="AJ2274" s="2" t="str">
        <f t="shared" si="322"/>
        <v/>
      </c>
      <c r="AK2274" s="2" t="str">
        <f t="shared" si="323"/>
        <v/>
      </c>
    </row>
    <row r="2275" spans="1:37" x14ac:dyDescent="0.25">
      <c r="A2275">
        <v>2092</v>
      </c>
      <c r="B2275" t="s">
        <v>2470</v>
      </c>
      <c r="C2275" t="s">
        <v>2283</v>
      </c>
      <c r="D2275" t="s">
        <v>2464</v>
      </c>
      <c r="E2275" t="s">
        <v>1056</v>
      </c>
      <c r="F2275" t="s">
        <v>2465</v>
      </c>
      <c r="G2275" t="s">
        <v>49</v>
      </c>
      <c r="H2275" s="1">
        <v>44857.987488425926</v>
      </c>
      <c r="I2275" s="1">
        <v>44858.987488425926</v>
      </c>
      <c r="J2275" t="s">
        <v>44</v>
      </c>
      <c r="K2275" s="1"/>
      <c r="T2275">
        <v>0</v>
      </c>
      <c r="AC2275" s="2">
        <f t="shared" si="315"/>
        <v>1</v>
      </c>
      <c r="AD2275" s="2" t="str">
        <f t="shared" si="316"/>
        <v/>
      </c>
      <c r="AE2275" s="2" t="str">
        <f t="shared" si="317"/>
        <v/>
      </c>
      <c r="AF2275" s="2" t="str">
        <f t="shared" si="318"/>
        <v/>
      </c>
      <c r="AG2275" s="2" t="str">
        <f t="shared" si="319"/>
        <v/>
      </c>
      <c r="AH2275" s="4" t="str">
        <f t="shared" si="320"/>
        <v/>
      </c>
      <c r="AI2275" s="2" t="str">
        <f t="shared" si="321"/>
        <v/>
      </c>
      <c r="AJ2275" s="2" t="str">
        <f t="shared" si="322"/>
        <v/>
      </c>
      <c r="AK2275" s="2" t="str">
        <f t="shared" si="323"/>
        <v/>
      </c>
    </row>
    <row r="2276" spans="1:37" x14ac:dyDescent="0.25">
      <c r="A2276">
        <v>1939</v>
      </c>
      <c r="B2276" t="s">
        <v>2471</v>
      </c>
      <c r="C2276" t="s">
        <v>2283</v>
      </c>
      <c r="D2276" t="s">
        <v>2464</v>
      </c>
      <c r="E2276" t="s">
        <v>1056</v>
      </c>
      <c r="F2276" t="s">
        <v>2465</v>
      </c>
      <c r="G2276" t="s">
        <v>49</v>
      </c>
      <c r="H2276" s="1">
        <v>45179.30609953704</v>
      </c>
      <c r="I2276" s="1">
        <v>45182.30609953704</v>
      </c>
      <c r="J2276" t="s">
        <v>44</v>
      </c>
      <c r="K2276" s="1"/>
      <c r="T2276">
        <v>0</v>
      </c>
      <c r="AC2276" s="2">
        <f t="shared" si="315"/>
        <v>3</v>
      </c>
      <c r="AD2276" s="2" t="str">
        <f t="shared" si="316"/>
        <v/>
      </c>
      <c r="AE2276" s="2" t="str">
        <f t="shared" si="317"/>
        <v/>
      </c>
      <c r="AF2276" s="2" t="str">
        <f t="shared" si="318"/>
        <v/>
      </c>
      <c r="AG2276" s="2" t="str">
        <f t="shared" si="319"/>
        <v/>
      </c>
      <c r="AH2276" s="4" t="str">
        <f t="shared" si="320"/>
        <v/>
      </c>
      <c r="AI2276" s="2" t="str">
        <f t="shared" si="321"/>
        <v/>
      </c>
      <c r="AJ2276" s="2" t="str">
        <f t="shared" si="322"/>
        <v/>
      </c>
      <c r="AK2276" s="2" t="str">
        <f t="shared" si="323"/>
        <v/>
      </c>
    </row>
    <row r="2277" spans="1:37" x14ac:dyDescent="0.25">
      <c r="A2277">
        <v>1192</v>
      </c>
      <c r="B2277" t="s">
        <v>2472</v>
      </c>
      <c r="C2277" t="s">
        <v>2283</v>
      </c>
      <c r="D2277" t="s">
        <v>2464</v>
      </c>
      <c r="E2277" t="s">
        <v>1056</v>
      </c>
      <c r="F2277" t="s">
        <v>2465</v>
      </c>
      <c r="G2277" t="s">
        <v>49</v>
      </c>
      <c r="H2277" s="1">
        <v>44765.966006944444</v>
      </c>
      <c r="I2277" s="1">
        <v>44769.966006944444</v>
      </c>
      <c r="J2277" t="s">
        <v>44</v>
      </c>
      <c r="K2277" s="1"/>
      <c r="T2277">
        <v>0</v>
      </c>
      <c r="AC2277" s="2">
        <f t="shared" si="315"/>
        <v>4</v>
      </c>
      <c r="AD2277" s="2" t="str">
        <f t="shared" si="316"/>
        <v/>
      </c>
      <c r="AE2277" s="2" t="str">
        <f t="shared" si="317"/>
        <v/>
      </c>
      <c r="AF2277" s="2" t="str">
        <f t="shared" si="318"/>
        <v/>
      </c>
      <c r="AG2277" s="2" t="str">
        <f t="shared" si="319"/>
        <v/>
      </c>
      <c r="AH2277" s="4" t="str">
        <f t="shared" si="320"/>
        <v/>
      </c>
      <c r="AI2277" s="2" t="str">
        <f t="shared" si="321"/>
        <v/>
      </c>
      <c r="AJ2277" s="2" t="str">
        <f t="shared" si="322"/>
        <v/>
      </c>
      <c r="AK2277" s="2" t="str">
        <f t="shared" si="323"/>
        <v/>
      </c>
    </row>
    <row r="2278" spans="1:37" x14ac:dyDescent="0.25">
      <c r="A2278">
        <v>929</v>
      </c>
      <c r="B2278" t="s">
        <v>2473</v>
      </c>
      <c r="C2278" t="s">
        <v>2283</v>
      </c>
      <c r="D2278" t="s">
        <v>2464</v>
      </c>
      <c r="E2278" t="s">
        <v>1056</v>
      </c>
      <c r="F2278" t="s">
        <v>2465</v>
      </c>
      <c r="G2278" t="s">
        <v>49</v>
      </c>
      <c r="H2278" s="1">
        <v>45071.494004629632</v>
      </c>
      <c r="I2278" s="1">
        <v>45075.494004629632</v>
      </c>
      <c r="J2278" t="s">
        <v>32</v>
      </c>
      <c r="K2278" s="1">
        <v>45087.494004629632</v>
      </c>
      <c r="L2278" t="s">
        <v>33</v>
      </c>
      <c r="M2278" t="s">
        <v>108</v>
      </c>
      <c r="R2278" s="4">
        <v>45090.494004629632</v>
      </c>
      <c r="T2278">
        <v>0</v>
      </c>
      <c r="Y2278" t="s">
        <v>35</v>
      </c>
      <c r="AC2278" s="2">
        <f t="shared" si="315"/>
        <v>4</v>
      </c>
      <c r="AD2278" s="2">
        <f t="shared" si="316"/>
        <v>16</v>
      </c>
      <c r="AE2278" s="2">
        <f t="shared" si="317"/>
        <v>12</v>
      </c>
      <c r="AF2278" s="2">
        <f t="shared" si="318"/>
        <v>19</v>
      </c>
      <c r="AG2278" s="2">
        <f t="shared" si="319"/>
        <v>3</v>
      </c>
      <c r="AH2278" s="4">
        <f t="shared" si="320"/>
        <v>45180.494004629632</v>
      </c>
      <c r="AI2278" s="2" t="str">
        <f t="shared" si="321"/>
        <v/>
      </c>
      <c r="AJ2278" s="2" t="str">
        <f t="shared" si="322"/>
        <v/>
      </c>
      <c r="AK2278" s="2" t="str">
        <f t="shared" si="323"/>
        <v/>
      </c>
    </row>
    <row r="2279" spans="1:37" x14ac:dyDescent="0.25">
      <c r="A2279">
        <v>927</v>
      </c>
      <c r="B2279" t="s">
        <v>2474</v>
      </c>
      <c r="C2279" t="s">
        <v>2283</v>
      </c>
      <c r="D2279" t="s">
        <v>2464</v>
      </c>
      <c r="E2279" t="s">
        <v>1984</v>
      </c>
      <c r="F2279" t="s">
        <v>2475</v>
      </c>
      <c r="G2279" t="s">
        <v>49</v>
      </c>
      <c r="H2279" s="1">
        <v>45076.494004629632</v>
      </c>
      <c r="I2279" s="1">
        <v>45078.494004629632</v>
      </c>
      <c r="J2279" t="s">
        <v>44</v>
      </c>
      <c r="K2279" s="1"/>
      <c r="T2279">
        <v>0</v>
      </c>
      <c r="AC2279" s="2">
        <f t="shared" si="315"/>
        <v>2</v>
      </c>
      <c r="AD2279" s="2" t="str">
        <f t="shared" si="316"/>
        <v/>
      </c>
      <c r="AE2279" s="2" t="str">
        <f t="shared" si="317"/>
        <v/>
      </c>
      <c r="AF2279" s="2" t="str">
        <f t="shared" si="318"/>
        <v/>
      </c>
      <c r="AG2279" s="2" t="str">
        <f t="shared" si="319"/>
        <v/>
      </c>
      <c r="AH2279" s="4" t="str">
        <f t="shared" si="320"/>
        <v/>
      </c>
      <c r="AI2279" s="2" t="str">
        <f t="shared" si="321"/>
        <v/>
      </c>
      <c r="AJ2279" s="2" t="str">
        <f t="shared" si="322"/>
        <v/>
      </c>
      <c r="AK2279" s="2" t="str">
        <f t="shared" si="323"/>
        <v/>
      </c>
    </row>
    <row r="2280" spans="1:37" x14ac:dyDescent="0.25">
      <c r="A2280">
        <v>809</v>
      </c>
      <c r="B2280" t="s">
        <v>2476</v>
      </c>
      <c r="C2280" t="s">
        <v>2283</v>
      </c>
      <c r="D2280" t="s">
        <v>2464</v>
      </c>
      <c r="E2280" t="s">
        <v>1984</v>
      </c>
      <c r="F2280" t="s">
        <v>2475</v>
      </c>
      <c r="G2280" t="s">
        <v>49</v>
      </c>
      <c r="H2280" s="1">
        <v>44937.903796296298</v>
      </c>
      <c r="I2280" s="1">
        <v>44939.903796296298</v>
      </c>
      <c r="J2280" t="s">
        <v>32</v>
      </c>
      <c r="K2280" s="1">
        <v>44953.903796296298</v>
      </c>
      <c r="L2280" t="s">
        <v>33</v>
      </c>
      <c r="M2280" t="s">
        <v>67</v>
      </c>
      <c r="T2280">
        <v>0</v>
      </c>
      <c r="Y2280" t="s">
        <v>35</v>
      </c>
      <c r="AC2280" s="2">
        <f t="shared" si="315"/>
        <v>2</v>
      </c>
      <c r="AD2280" s="2">
        <f t="shared" si="316"/>
        <v>16</v>
      </c>
      <c r="AE2280" s="2">
        <f t="shared" si="317"/>
        <v>14</v>
      </c>
      <c r="AF2280" s="2" t="str">
        <f t="shared" si="318"/>
        <v/>
      </c>
      <c r="AG2280" s="2" t="str">
        <f t="shared" si="319"/>
        <v/>
      </c>
      <c r="AH2280" s="4" t="str">
        <f t="shared" si="320"/>
        <v/>
      </c>
      <c r="AI2280" s="2" t="str">
        <f t="shared" si="321"/>
        <v/>
      </c>
      <c r="AJ2280" s="2" t="str">
        <f t="shared" si="322"/>
        <v/>
      </c>
      <c r="AK2280" s="2" t="str">
        <f t="shared" si="323"/>
        <v/>
      </c>
    </row>
    <row r="2281" spans="1:37" x14ac:dyDescent="0.25">
      <c r="A2281">
        <v>805</v>
      </c>
      <c r="B2281" t="s">
        <v>2477</v>
      </c>
      <c r="C2281" t="s">
        <v>2283</v>
      </c>
      <c r="D2281" t="s">
        <v>2464</v>
      </c>
      <c r="E2281" t="s">
        <v>1984</v>
      </c>
      <c r="F2281" t="s">
        <v>2475</v>
      </c>
      <c r="G2281" t="s">
        <v>49</v>
      </c>
      <c r="H2281" s="1">
        <v>44940.903796296298</v>
      </c>
      <c r="I2281" s="1">
        <v>44943.903796296298</v>
      </c>
      <c r="J2281" t="s">
        <v>44</v>
      </c>
      <c r="K2281" s="1"/>
      <c r="T2281">
        <v>0</v>
      </c>
      <c r="AC2281" s="2">
        <f t="shared" si="315"/>
        <v>3</v>
      </c>
      <c r="AD2281" s="2" t="str">
        <f t="shared" si="316"/>
        <v/>
      </c>
      <c r="AE2281" s="2" t="str">
        <f t="shared" si="317"/>
        <v/>
      </c>
      <c r="AF2281" s="2" t="str">
        <f t="shared" si="318"/>
        <v/>
      </c>
      <c r="AG2281" s="2" t="str">
        <f t="shared" si="319"/>
        <v/>
      </c>
      <c r="AH2281" s="4" t="str">
        <f t="shared" si="320"/>
        <v/>
      </c>
      <c r="AI2281" s="2" t="str">
        <f t="shared" si="321"/>
        <v/>
      </c>
      <c r="AJ2281" s="2" t="str">
        <f t="shared" si="322"/>
        <v/>
      </c>
      <c r="AK2281" s="2" t="str">
        <f t="shared" si="323"/>
        <v/>
      </c>
    </row>
    <row r="2282" spans="1:37" x14ac:dyDescent="0.25">
      <c r="A2282">
        <v>801</v>
      </c>
      <c r="B2282" t="s">
        <v>2478</v>
      </c>
      <c r="C2282" t="s">
        <v>2283</v>
      </c>
      <c r="D2282" t="s">
        <v>2464</v>
      </c>
      <c r="E2282" t="s">
        <v>1984</v>
      </c>
      <c r="F2282" t="s">
        <v>2475</v>
      </c>
      <c r="G2282" t="s">
        <v>49</v>
      </c>
      <c r="H2282" s="1">
        <v>44940.903796296298</v>
      </c>
      <c r="I2282" s="1">
        <v>44942.903796296298</v>
      </c>
      <c r="J2282" t="s">
        <v>32</v>
      </c>
      <c r="K2282" s="1">
        <v>44952.903796296298</v>
      </c>
      <c r="L2282" t="s">
        <v>39</v>
      </c>
      <c r="N2282" s="4">
        <v>44958.903796296298</v>
      </c>
      <c r="O2282" t="s">
        <v>39</v>
      </c>
      <c r="R2282" s="4">
        <v>44955.903796296298</v>
      </c>
      <c r="T2282">
        <v>0</v>
      </c>
      <c r="AC2282" s="2">
        <f t="shared" si="315"/>
        <v>2</v>
      </c>
      <c r="AD2282" s="2">
        <f t="shared" si="316"/>
        <v>12</v>
      </c>
      <c r="AE2282" s="2">
        <f t="shared" si="317"/>
        <v>10</v>
      </c>
      <c r="AF2282" s="2">
        <f t="shared" si="318"/>
        <v>15</v>
      </c>
      <c r="AG2282" s="2">
        <f t="shared" si="319"/>
        <v>3</v>
      </c>
      <c r="AH2282" s="4">
        <f t="shared" si="320"/>
        <v>45045.903796296298</v>
      </c>
      <c r="AI2282" s="2" t="str">
        <f t="shared" si="321"/>
        <v/>
      </c>
      <c r="AJ2282" s="2" t="str">
        <f t="shared" si="322"/>
        <v/>
      </c>
      <c r="AK2282" s="2" t="str">
        <f t="shared" si="323"/>
        <v/>
      </c>
    </row>
    <row r="2283" spans="1:37" x14ac:dyDescent="0.25">
      <c r="A2283">
        <v>777</v>
      </c>
      <c r="B2283" t="s">
        <v>2479</v>
      </c>
      <c r="C2283" t="s">
        <v>2283</v>
      </c>
      <c r="D2283" t="s">
        <v>2464</v>
      </c>
      <c r="E2283" t="s">
        <v>1984</v>
      </c>
      <c r="F2283" t="s">
        <v>2475</v>
      </c>
      <c r="G2283" t="s">
        <v>49</v>
      </c>
      <c r="H2283" s="1">
        <v>45006.397060185183</v>
      </c>
      <c r="I2283" s="1">
        <v>45010.397060185183</v>
      </c>
      <c r="J2283" t="s">
        <v>32</v>
      </c>
      <c r="K2283" s="1">
        <v>45020.397060185183</v>
      </c>
      <c r="L2283" t="s">
        <v>57</v>
      </c>
      <c r="N2283" s="4">
        <v>45027.397060185183</v>
      </c>
      <c r="O2283" t="s">
        <v>57</v>
      </c>
      <c r="P2283" s="4">
        <v>45021.397060185183</v>
      </c>
      <c r="Q2283" s="4">
        <v>45023.397060185183</v>
      </c>
      <c r="R2283" s="4">
        <v>45023.397060185183</v>
      </c>
      <c r="S2283" s="4">
        <v>45028.397060185183</v>
      </c>
      <c r="T2283">
        <v>1</v>
      </c>
      <c r="U2283" s="4">
        <v>45031.397060185183</v>
      </c>
      <c r="V2283" s="4">
        <v>45033.397060185183</v>
      </c>
      <c r="W2283" s="4">
        <v>45034.397060185183</v>
      </c>
      <c r="Z2283" s="4">
        <v>45056.397060185183</v>
      </c>
      <c r="AC2283" s="2">
        <f t="shared" si="315"/>
        <v>4</v>
      </c>
      <c r="AD2283" s="2">
        <f t="shared" si="316"/>
        <v>14</v>
      </c>
      <c r="AE2283" s="2">
        <f t="shared" si="317"/>
        <v>10</v>
      </c>
      <c r="AF2283" s="2">
        <f t="shared" si="318"/>
        <v>17</v>
      </c>
      <c r="AG2283" s="2">
        <f t="shared" si="319"/>
        <v>3</v>
      </c>
      <c r="AH2283" s="4">
        <f t="shared" si="320"/>
        <v>45113.397060185183</v>
      </c>
      <c r="AI2283" s="2">
        <f t="shared" si="321"/>
        <v>3</v>
      </c>
      <c r="AJ2283" s="2">
        <f t="shared" si="322"/>
        <v>33</v>
      </c>
      <c r="AK2283" s="2">
        <f t="shared" si="323"/>
        <v>11</v>
      </c>
    </row>
    <row r="2284" spans="1:37" x14ac:dyDescent="0.25">
      <c r="A2284">
        <v>776</v>
      </c>
      <c r="B2284" t="s">
        <v>2480</v>
      </c>
      <c r="C2284" t="s">
        <v>2283</v>
      </c>
      <c r="D2284" t="s">
        <v>2464</v>
      </c>
      <c r="E2284" t="s">
        <v>1984</v>
      </c>
      <c r="F2284" t="s">
        <v>2475</v>
      </c>
      <c r="G2284" t="s">
        <v>49</v>
      </c>
      <c r="H2284" s="1">
        <v>45004.397060185183</v>
      </c>
      <c r="I2284" s="1">
        <v>45007.397060185183</v>
      </c>
      <c r="J2284" t="s">
        <v>32</v>
      </c>
      <c r="K2284" s="1">
        <v>45027.397060185183</v>
      </c>
      <c r="L2284" t="s">
        <v>39</v>
      </c>
      <c r="N2284" s="4">
        <v>45030.397060185183</v>
      </c>
      <c r="O2284" t="s">
        <v>39</v>
      </c>
      <c r="R2284" s="4">
        <v>45028.397060185183</v>
      </c>
      <c r="T2284">
        <v>0</v>
      </c>
      <c r="AC2284" s="2">
        <f t="shared" si="315"/>
        <v>3</v>
      </c>
      <c r="AD2284" s="2">
        <f t="shared" si="316"/>
        <v>23</v>
      </c>
      <c r="AE2284" s="2">
        <f t="shared" si="317"/>
        <v>20</v>
      </c>
      <c r="AF2284" s="2">
        <f t="shared" si="318"/>
        <v>24</v>
      </c>
      <c r="AG2284" s="2">
        <f t="shared" si="319"/>
        <v>1</v>
      </c>
      <c r="AH2284" s="4">
        <f t="shared" si="320"/>
        <v>45118.397060185183</v>
      </c>
      <c r="AI2284" s="2" t="str">
        <f t="shared" si="321"/>
        <v/>
      </c>
      <c r="AJ2284" s="2" t="str">
        <f t="shared" si="322"/>
        <v/>
      </c>
      <c r="AK2284" s="2" t="str">
        <f t="shared" si="323"/>
        <v/>
      </c>
    </row>
    <row r="2285" spans="1:37" x14ac:dyDescent="0.25">
      <c r="A2285">
        <v>670</v>
      </c>
      <c r="B2285" t="s">
        <v>2481</v>
      </c>
      <c r="C2285" t="s">
        <v>2283</v>
      </c>
      <c r="D2285" t="s">
        <v>2464</v>
      </c>
      <c r="E2285" t="s">
        <v>1984</v>
      </c>
      <c r="F2285" t="s">
        <v>2475</v>
      </c>
      <c r="G2285" t="s">
        <v>49</v>
      </c>
      <c r="H2285" s="1">
        <v>44570.204074074078</v>
      </c>
      <c r="I2285" s="1">
        <v>44572.204074074078</v>
      </c>
      <c r="J2285" t="s">
        <v>32</v>
      </c>
      <c r="K2285" s="1">
        <v>44591.204074074078</v>
      </c>
      <c r="L2285" t="s">
        <v>33</v>
      </c>
      <c r="M2285" t="s">
        <v>108</v>
      </c>
      <c r="T2285">
        <v>0</v>
      </c>
      <c r="Y2285" t="s">
        <v>55</v>
      </c>
      <c r="AC2285" s="2">
        <f t="shared" si="315"/>
        <v>2</v>
      </c>
      <c r="AD2285" s="2">
        <f t="shared" si="316"/>
        <v>21</v>
      </c>
      <c r="AE2285" s="2">
        <f t="shared" si="317"/>
        <v>19</v>
      </c>
      <c r="AF2285" s="2" t="str">
        <f t="shared" si="318"/>
        <v/>
      </c>
      <c r="AG2285" s="2" t="str">
        <f t="shared" si="319"/>
        <v/>
      </c>
      <c r="AH2285" s="4" t="str">
        <f t="shared" si="320"/>
        <v/>
      </c>
      <c r="AI2285" s="2" t="str">
        <f t="shared" si="321"/>
        <v/>
      </c>
      <c r="AJ2285" s="2" t="str">
        <f t="shared" si="322"/>
        <v/>
      </c>
      <c r="AK2285" s="2" t="str">
        <f t="shared" si="323"/>
        <v/>
      </c>
    </row>
    <row r="2286" spans="1:37" x14ac:dyDescent="0.25">
      <c r="A2286">
        <v>663</v>
      </c>
      <c r="B2286" t="s">
        <v>2482</v>
      </c>
      <c r="C2286" t="s">
        <v>2283</v>
      </c>
      <c r="D2286" t="s">
        <v>2464</v>
      </c>
      <c r="E2286" t="s">
        <v>1984</v>
      </c>
      <c r="F2286" t="s">
        <v>2475</v>
      </c>
      <c r="G2286" t="s">
        <v>49</v>
      </c>
      <c r="H2286" s="1">
        <v>44568.204074074078</v>
      </c>
      <c r="I2286" s="1">
        <v>44571.204074074078</v>
      </c>
      <c r="J2286" t="s">
        <v>32</v>
      </c>
      <c r="K2286" s="1">
        <v>44589.204074074078</v>
      </c>
      <c r="L2286" t="s">
        <v>33</v>
      </c>
      <c r="M2286" t="s">
        <v>51</v>
      </c>
      <c r="T2286">
        <v>0</v>
      </c>
      <c r="Y2286" t="s">
        <v>35</v>
      </c>
      <c r="AC2286" s="2">
        <f t="shared" si="315"/>
        <v>3</v>
      </c>
      <c r="AD2286" s="2">
        <f t="shared" si="316"/>
        <v>21</v>
      </c>
      <c r="AE2286" s="2">
        <f t="shared" si="317"/>
        <v>18</v>
      </c>
      <c r="AF2286" s="2" t="str">
        <f t="shared" si="318"/>
        <v/>
      </c>
      <c r="AG2286" s="2" t="str">
        <f t="shared" si="319"/>
        <v/>
      </c>
      <c r="AH2286" s="4" t="str">
        <f t="shared" si="320"/>
        <v/>
      </c>
      <c r="AI2286" s="2" t="str">
        <f t="shared" si="321"/>
        <v/>
      </c>
      <c r="AJ2286" s="2" t="str">
        <f t="shared" si="322"/>
        <v/>
      </c>
      <c r="AK2286" s="2" t="str">
        <f t="shared" si="323"/>
        <v/>
      </c>
    </row>
    <row r="2287" spans="1:37" x14ac:dyDescent="0.25">
      <c r="A2287">
        <v>662</v>
      </c>
      <c r="B2287" t="s">
        <v>2483</v>
      </c>
      <c r="C2287" t="s">
        <v>2283</v>
      </c>
      <c r="D2287" t="s">
        <v>2464</v>
      </c>
      <c r="E2287" t="s">
        <v>1984</v>
      </c>
      <c r="F2287" t="s">
        <v>2475</v>
      </c>
      <c r="G2287" t="s">
        <v>49</v>
      </c>
      <c r="H2287" s="1">
        <v>44566.204074074078</v>
      </c>
      <c r="I2287" s="1">
        <v>44570.204074074078</v>
      </c>
      <c r="J2287" t="s">
        <v>32</v>
      </c>
      <c r="K2287" s="1">
        <v>44582.204074074078</v>
      </c>
      <c r="L2287" t="s">
        <v>57</v>
      </c>
      <c r="N2287" s="4">
        <v>44587.204074074078</v>
      </c>
      <c r="O2287" t="s">
        <v>57</v>
      </c>
      <c r="P2287" s="4">
        <v>44584.204074074078</v>
      </c>
      <c r="Q2287" s="4">
        <v>44587.204074074078</v>
      </c>
      <c r="R2287" s="4">
        <v>44586.204074074078</v>
      </c>
      <c r="S2287" s="4">
        <v>44587.204074074078</v>
      </c>
      <c r="T2287">
        <v>1</v>
      </c>
      <c r="U2287" s="4">
        <v>44589.204074074078</v>
      </c>
      <c r="V2287" s="4">
        <v>44590.204074074078</v>
      </c>
      <c r="W2287" s="4">
        <v>44591.204074074078</v>
      </c>
      <c r="Z2287" s="4">
        <v>44605.204074074078</v>
      </c>
      <c r="AC2287" s="2">
        <f t="shared" si="315"/>
        <v>4</v>
      </c>
      <c r="AD2287" s="2">
        <f t="shared" si="316"/>
        <v>16</v>
      </c>
      <c r="AE2287" s="2">
        <f t="shared" si="317"/>
        <v>12</v>
      </c>
      <c r="AF2287" s="2">
        <f t="shared" si="318"/>
        <v>20</v>
      </c>
      <c r="AG2287" s="2">
        <f t="shared" si="319"/>
        <v>4</v>
      </c>
      <c r="AH2287" s="4">
        <f t="shared" si="320"/>
        <v>44676.204074074078</v>
      </c>
      <c r="AI2287" s="2">
        <f t="shared" si="321"/>
        <v>2</v>
      </c>
      <c r="AJ2287" s="2">
        <f t="shared" si="322"/>
        <v>19</v>
      </c>
      <c r="AK2287" s="2">
        <f t="shared" si="323"/>
        <v>5</v>
      </c>
    </row>
    <row r="2288" spans="1:37" x14ac:dyDescent="0.25">
      <c r="A2288">
        <v>628</v>
      </c>
      <c r="B2288" t="s">
        <v>2484</v>
      </c>
      <c r="C2288" t="s">
        <v>2283</v>
      </c>
      <c r="D2288" t="s">
        <v>2464</v>
      </c>
      <c r="E2288" t="s">
        <v>1984</v>
      </c>
      <c r="F2288" t="s">
        <v>2475</v>
      </c>
      <c r="G2288" t="s">
        <v>49</v>
      </c>
      <c r="H2288" s="1">
        <v>44994.828541666669</v>
      </c>
      <c r="I2288" s="1">
        <v>44998.828541666669</v>
      </c>
      <c r="J2288" t="s">
        <v>32</v>
      </c>
      <c r="K2288" s="1">
        <v>45006.828541666669</v>
      </c>
      <c r="L2288" t="s">
        <v>33</v>
      </c>
      <c r="M2288" t="s">
        <v>34</v>
      </c>
      <c r="R2288" s="4">
        <v>45009.828541666669</v>
      </c>
      <c r="T2288">
        <v>0</v>
      </c>
      <c r="Y2288" t="s">
        <v>35</v>
      </c>
      <c r="AC2288" s="2">
        <f t="shared" si="315"/>
        <v>4</v>
      </c>
      <c r="AD2288" s="2">
        <f t="shared" si="316"/>
        <v>12</v>
      </c>
      <c r="AE2288" s="2">
        <f t="shared" si="317"/>
        <v>8</v>
      </c>
      <c r="AF2288" s="2">
        <f t="shared" si="318"/>
        <v>15</v>
      </c>
      <c r="AG2288" s="2">
        <f t="shared" si="319"/>
        <v>3</v>
      </c>
      <c r="AH2288" s="4">
        <f t="shared" si="320"/>
        <v>45099.828541666669</v>
      </c>
      <c r="AI2288" s="2" t="str">
        <f t="shared" si="321"/>
        <v/>
      </c>
      <c r="AJ2288" s="2" t="str">
        <f t="shared" si="322"/>
        <v/>
      </c>
      <c r="AK2288" s="2" t="str">
        <f t="shared" si="323"/>
        <v/>
      </c>
    </row>
    <row r="2289" spans="1:37" x14ac:dyDescent="0.25">
      <c r="A2289">
        <v>538</v>
      </c>
      <c r="B2289" t="s">
        <v>2485</v>
      </c>
      <c r="C2289" t="s">
        <v>2283</v>
      </c>
      <c r="D2289" t="s">
        <v>2464</v>
      </c>
      <c r="E2289" t="s">
        <v>1984</v>
      </c>
      <c r="F2289" t="s">
        <v>2475</v>
      </c>
      <c r="G2289" t="s">
        <v>49</v>
      </c>
      <c r="H2289" s="1">
        <v>44570.271180555559</v>
      </c>
      <c r="I2289" s="1">
        <v>44574.271180555559</v>
      </c>
      <c r="J2289" t="s">
        <v>32</v>
      </c>
      <c r="K2289" s="1">
        <v>44584.271180555559</v>
      </c>
      <c r="L2289" t="s">
        <v>33</v>
      </c>
      <c r="M2289" t="s">
        <v>51</v>
      </c>
      <c r="R2289" s="4">
        <v>44587.271180555559</v>
      </c>
      <c r="T2289">
        <v>0</v>
      </c>
      <c r="Y2289" t="s">
        <v>35</v>
      </c>
      <c r="AC2289" s="2">
        <f t="shared" si="315"/>
        <v>4</v>
      </c>
      <c r="AD2289" s="2">
        <f t="shared" si="316"/>
        <v>14</v>
      </c>
      <c r="AE2289" s="2">
        <f t="shared" si="317"/>
        <v>10</v>
      </c>
      <c r="AF2289" s="2">
        <f t="shared" si="318"/>
        <v>17</v>
      </c>
      <c r="AG2289" s="2">
        <f t="shared" si="319"/>
        <v>3</v>
      </c>
      <c r="AH2289" s="4">
        <f t="shared" si="320"/>
        <v>44677.271180555559</v>
      </c>
      <c r="AI2289" s="2" t="str">
        <f t="shared" si="321"/>
        <v/>
      </c>
      <c r="AJ2289" s="2" t="str">
        <f t="shared" si="322"/>
        <v/>
      </c>
      <c r="AK2289" s="2" t="str">
        <f t="shared" si="323"/>
        <v/>
      </c>
    </row>
    <row r="2290" spans="1:37" x14ac:dyDescent="0.25">
      <c r="A2290">
        <v>537</v>
      </c>
      <c r="B2290" t="s">
        <v>2486</v>
      </c>
      <c r="C2290" t="s">
        <v>2283</v>
      </c>
      <c r="D2290" t="s">
        <v>2464</v>
      </c>
      <c r="E2290" t="s">
        <v>1984</v>
      </c>
      <c r="F2290" t="s">
        <v>2475</v>
      </c>
      <c r="G2290" t="s">
        <v>49</v>
      </c>
      <c r="H2290" s="1">
        <v>44573.271180555559</v>
      </c>
      <c r="I2290" s="1">
        <v>44576.271180555559</v>
      </c>
      <c r="J2290" t="s">
        <v>32</v>
      </c>
      <c r="K2290" s="1">
        <v>44582.271180555559</v>
      </c>
      <c r="L2290" t="s">
        <v>33</v>
      </c>
      <c r="M2290" t="s">
        <v>51</v>
      </c>
      <c r="R2290" s="4">
        <v>44585.271180555559</v>
      </c>
      <c r="T2290">
        <v>0</v>
      </c>
      <c r="Y2290" t="s">
        <v>55</v>
      </c>
      <c r="AC2290" s="2">
        <f t="shared" si="315"/>
        <v>3</v>
      </c>
      <c r="AD2290" s="2">
        <f t="shared" si="316"/>
        <v>9</v>
      </c>
      <c r="AE2290" s="2">
        <f t="shared" si="317"/>
        <v>6</v>
      </c>
      <c r="AF2290" s="2">
        <f t="shared" si="318"/>
        <v>12</v>
      </c>
      <c r="AG2290" s="2">
        <f t="shared" si="319"/>
        <v>3</v>
      </c>
      <c r="AH2290" s="4">
        <f t="shared" si="320"/>
        <v>44675.271180555559</v>
      </c>
      <c r="AI2290" s="2" t="str">
        <f t="shared" si="321"/>
        <v/>
      </c>
      <c r="AJ2290" s="2" t="str">
        <f t="shared" si="322"/>
        <v/>
      </c>
      <c r="AK2290" s="2" t="str">
        <f t="shared" si="323"/>
        <v/>
      </c>
    </row>
    <row r="2291" spans="1:37" x14ac:dyDescent="0.25">
      <c r="A2291">
        <v>426</v>
      </c>
      <c r="B2291" t="s">
        <v>2487</v>
      </c>
      <c r="C2291" t="s">
        <v>2283</v>
      </c>
      <c r="D2291" t="s">
        <v>2464</v>
      </c>
      <c r="E2291" t="s">
        <v>1984</v>
      </c>
      <c r="F2291" t="s">
        <v>2475</v>
      </c>
      <c r="G2291" t="s">
        <v>49</v>
      </c>
      <c r="H2291" s="1">
        <v>44983.544421296298</v>
      </c>
      <c r="I2291" s="1">
        <v>44984.544421296298</v>
      </c>
      <c r="J2291" t="s">
        <v>32</v>
      </c>
      <c r="K2291" s="1">
        <v>44991.544421296298</v>
      </c>
      <c r="L2291" t="s">
        <v>39</v>
      </c>
      <c r="N2291" s="4">
        <v>44994.544421296298</v>
      </c>
      <c r="O2291" t="s">
        <v>39</v>
      </c>
      <c r="R2291" s="4">
        <v>44992.544421296298</v>
      </c>
      <c r="T2291">
        <v>0</v>
      </c>
      <c r="AC2291" s="2">
        <f t="shared" si="315"/>
        <v>1</v>
      </c>
      <c r="AD2291" s="2">
        <f t="shared" si="316"/>
        <v>8</v>
      </c>
      <c r="AE2291" s="2">
        <f t="shared" si="317"/>
        <v>7</v>
      </c>
      <c r="AF2291" s="2">
        <f t="shared" si="318"/>
        <v>9</v>
      </c>
      <c r="AG2291" s="2">
        <f t="shared" si="319"/>
        <v>1</v>
      </c>
      <c r="AH2291" s="4">
        <f t="shared" si="320"/>
        <v>45082.544421296298</v>
      </c>
      <c r="AI2291" s="2" t="str">
        <f t="shared" si="321"/>
        <v/>
      </c>
      <c r="AJ2291" s="2" t="str">
        <f t="shared" si="322"/>
        <v/>
      </c>
      <c r="AK2291" s="2" t="str">
        <f t="shared" si="323"/>
        <v/>
      </c>
    </row>
    <row r="2292" spans="1:37" x14ac:dyDescent="0.25">
      <c r="A2292">
        <v>424</v>
      </c>
      <c r="B2292" t="s">
        <v>2488</v>
      </c>
      <c r="C2292" t="s">
        <v>2283</v>
      </c>
      <c r="D2292" t="s">
        <v>2464</v>
      </c>
      <c r="E2292" t="s">
        <v>1984</v>
      </c>
      <c r="F2292" t="s">
        <v>2475</v>
      </c>
      <c r="G2292" t="s">
        <v>49</v>
      </c>
      <c r="H2292" s="1">
        <v>44981.544421296298</v>
      </c>
      <c r="I2292" s="1">
        <v>44984.544421296298</v>
      </c>
      <c r="J2292" t="s">
        <v>44</v>
      </c>
      <c r="K2292" s="1"/>
      <c r="T2292">
        <v>0</v>
      </c>
      <c r="AC2292" s="2">
        <f t="shared" si="315"/>
        <v>3</v>
      </c>
      <c r="AD2292" s="2" t="str">
        <f t="shared" si="316"/>
        <v/>
      </c>
      <c r="AE2292" s="2" t="str">
        <f t="shared" si="317"/>
        <v/>
      </c>
      <c r="AF2292" s="2" t="str">
        <f t="shared" si="318"/>
        <v/>
      </c>
      <c r="AG2292" s="2" t="str">
        <f t="shared" si="319"/>
        <v/>
      </c>
      <c r="AH2292" s="4" t="str">
        <f t="shared" si="320"/>
        <v/>
      </c>
      <c r="AI2292" s="2" t="str">
        <f t="shared" si="321"/>
        <v/>
      </c>
      <c r="AJ2292" s="2" t="str">
        <f t="shared" si="322"/>
        <v/>
      </c>
      <c r="AK2292" s="2" t="str">
        <f t="shared" si="323"/>
        <v/>
      </c>
    </row>
    <row r="2293" spans="1:37" x14ac:dyDescent="0.25">
      <c r="A2293">
        <v>420</v>
      </c>
      <c r="B2293" t="s">
        <v>2489</v>
      </c>
      <c r="C2293" t="s">
        <v>2283</v>
      </c>
      <c r="D2293" t="s">
        <v>2464</v>
      </c>
      <c r="E2293" t="s">
        <v>1984</v>
      </c>
      <c r="F2293" t="s">
        <v>2475</v>
      </c>
      <c r="G2293" t="s">
        <v>49</v>
      </c>
      <c r="H2293" s="1">
        <v>45095.637766203705</v>
      </c>
      <c r="I2293" s="1">
        <v>45097.637766203705</v>
      </c>
      <c r="J2293" t="s">
        <v>32</v>
      </c>
      <c r="K2293" s="1">
        <v>45106.637766203705</v>
      </c>
      <c r="L2293" t="s">
        <v>39</v>
      </c>
      <c r="N2293" s="4">
        <v>45114.637766203705</v>
      </c>
      <c r="O2293" t="s">
        <v>39</v>
      </c>
      <c r="R2293" s="4">
        <v>45110.637766203705</v>
      </c>
      <c r="T2293">
        <v>0</v>
      </c>
      <c r="AC2293" s="2">
        <f t="shared" si="315"/>
        <v>2</v>
      </c>
      <c r="AD2293" s="2">
        <f t="shared" si="316"/>
        <v>11</v>
      </c>
      <c r="AE2293" s="2">
        <f t="shared" si="317"/>
        <v>9</v>
      </c>
      <c r="AF2293" s="2">
        <f t="shared" si="318"/>
        <v>15</v>
      </c>
      <c r="AG2293" s="2">
        <f t="shared" si="319"/>
        <v>4</v>
      </c>
      <c r="AH2293" s="4">
        <f t="shared" si="320"/>
        <v>45200.637766203705</v>
      </c>
      <c r="AI2293" s="2" t="str">
        <f t="shared" si="321"/>
        <v/>
      </c>
      <c r="AJ2293" s="2" t="str">
        <f t="shared" si="322"/>
        <v/>
      </c>
      <c r="AK2293" s="2" t="str">
        <f t="shared" si="323"/>
        <v/>
      </c>
    </row>
    <row r="2294" spans="1:37" x14ac:dyDescent="0.25">
      <c r="A2294">
        <v>417</v>
      </c>
      <c r="B2294" t="s">
        <v>2490</v>
      </c>
      <c r="C2294" t="s">
        <v>2283</v>
      </c>
      <c r="D2294" t="s">
        <v>2464</v>
      </c>
      <c r="E2294" t="s">
        <v>1984</v>
      </c>
      <c r="F2294" t="s">
        <v>2475</v>
      </c>
      <c r="G2294" t="s">
        <v>49</v>
      </c>
      <c r="H2294" s="1">
        <v>45094.637766203705</v>
      </c>
      <c r="I2294" s="1">
        <v>45098.637766203705</v>
      </c>
      <c r="J2294" t="s">
        <v>32</v>
      </c>
      <c r="K2294" s="1">
        <v>45111.637766203705</v>
      </c>
      <c r="L2294" t="s">
        <v>39</v>
      </c>
      <c r="N2294" s="4">
        <v>45116.637766203705</v>
      </c>
      <c r="O2294" t="s">
        <v>39</v>
      </c>
      <c r="R2294" s="4">
        <v>45112.637766203705</v>
      </c>
      <c r="T2294">
        <v>0</v>
      </c>
      <c r="AC2294" s="2">
        <f t="shared" si="315"/>
        <v>4</v>
      </c>
      <c r="AD2294" s="2">
        <f t="shared" si="316"/>
        <v>17</v>
      </c>
      <c r="AE2294" s="2">
        <f t="shared" si="317"/>
        <v>13</v>
      </c>
      <c r="AF2294" s="2">
        <f t="shared" si="318"/>
        <v>18</v>
      </c>
      <c r="AG2294" s="2">
        <f t="shared" si="319"/>
        <v>1</v>
      </c>
      <c r="AH2294" s="4">
        <f t="shared" si="320"/>
        <v>45202.637766203705</v>
      </c>
      <c r="AI2294" s="2" t="str">
        <f t="shared" si="321"/>
        <v/>
      </c>
      <c r="AJ2294" s="2" t="str">
        <f t="shared" si="322"/>
        <v/>
      </c>
      <c r="AK2294" s="2" t="str">
        <f t="shared" si="323"/>
        <v/>
      </c>
    </row>
    <row r="2295" spans="1:37" x14ac:dyDescent="0.25">
      <c r="A2295">
        <v>414</v>
      </c>
      <c r="B2295" t="s">
        <v>2491</v>
      </c>
      <c r="C2295" t="s">
        <v>2283</v>
      </c>
      <c r="D2295" t="s">
        <v>2464</v>
      </c>
      <c r="E2295" t="s">
        <v>1984</v>
      </c>
      <c r="F2295" t="s">
        <v>2475</v>
      </c>
      <c r="G2295" t="s">
        <v>49</v>
      </c>
      <c r="H2295" s="1">
        <v>45094.637766203705</v>
      </c>
      <c r="I2295" s="1">
        <v>45098.637766203705</v>
      </c>
      <c r="J2295" t="s">
        <v>44</v>
      </c>
      <c r="K2295" s="1"/>
      <c r="T2295">
        <v>0</v>
      </c>
      <c r="AC2295" s="2">
        <f t="shared" si="315"/>
        <v>4</v>
      </c>
      <c r="AD2295" s="2" t="str">
        <f t="shared" si="316"/>
        <v/>
      </c>
      <c r="AE2295" s="2" t="str">
        <f t="shared" si="317"/>
        <v/>
      </c>
      <c r="AF2295" s="2" t="str">
        <f t="shared" si="318"/>
        <v/>
      </c>
      <c r="AG2295" s="2" t="str">
        <f t="shared" si="319"/>
        <v/>
      </c>
      <c r="AH2295" s="4" t="str">
        <f t="shared" si="320"/>
        <v/>
      </c>
      <c r="AI2295" s="2" t="str">
        <f t="shared" si="321"/>
        <v/>
      </c>
      <c r="AJ2295" s="2" t="str">
        <f t="shared" si="322"/>
        <v/>
      </c>
      <c r="AK2295" s="2" t="str">
        <f t="shared" si="323"/>
        <v/>
      </c>
    </row>
    <row r="2296" spans="1:37" x14ac:dyDescent="0.25">
      <c r="A2296">
        <v>268</v>
      </c>
      <c r="B2296" t="s">
        <v>2492</v>
      </c>
      <c r="C2296" t="s">
        <v>2283</v>
      </c>
      <c r="D2296" t="s">
        <v>2464</v>
      </c>
      <c r="E2296" t="s">
        <v>1984</v>
      </c>
      <c r="F2296" t="s">
        <v>2475</v>
      </c>
      <c r="G2296" t="s">
        <v>49</v>
      </c>
      <c r="H2296" s="1">
        <v>44767.282581018517</v>
      </c>
      <c r="I2296" s="1">
        <v>44769.282581018517</v>
      </c>
      <c r="J2296" t="s">
        <v>44</v>
      </c>
      <c r="K2296" s="1"/>
      <c r="T2296">
        <v>0</v>
      </c>
      <c r="AC2296" s="2">
        <f t="shared" si="315"/>
        <v>2</v>
      </c>
      <c r="AD2296" s="2" t="str">
        <f t="shared" si="316"/>
        <v/>
      </c>
      <c r="AE2296" s="2" t="str">
        <f t="shared" si="317"/>
        <v/>
      </c>
      <c r="AF2296" s="2" t="str">
        <f t="shared" si="318"/>
        <v/>
      </c>
      <c r="AG2296" s="2" t="str">
        <f t="shared" si="319"/>
        <v/>
      </c>
      <c r="AH2296" s="4" t="str">
        <f t="shared" si="320"/>
        <v/>
      </c>
      <c r="AI2296" s="2" t="str">
        <f t="shared" si="321"/>
        <v/>
      </c>
      <c r="AJ2296" s="2" t="str">
        <f t="shared" si="322"/>
        <v/>
      </c>
      <c r="AK2296" s="2" t="str">
        <f t="shared" si="323"/>
        <v/>
      </c>
    </row>
    <row r="2297" spans="1:37" x14ac:dyDescent="0.25">
      <c r="A2297">
        <v>262</v>
      </c>
      <c r="B2297" t="s">
        <v>2493</v>
      </c>
      <c r="C2297" t="s">
        <v>2283</v>
      </c>
      <c r="D2297" t="s">
        <v>2464</v>
      </c>
      <c r="E2297" t="s">
        <v>1984</v>
      </c>
      <c r="F2297" t="s">
        <v>2475</v>
      </c>
      <c r="G2297" t="s">
        <v>49</v>
      </c>
      <c r="H2297" s="1">
        <v>44763.282581018517</v>
      </c>
      <c r="I2297" s="1">
        <v>44764.282581018517</v>
      </c>
      <c r="J2297" t="s">
        <v>32</v>
      </c>
      <c r="K2297" s="1">
        <v>44773.282581018517</v>
      </c>
      <c r="L2297" t="s">
        <v>33</v>
      </c>
      <c r="M2297" t="s">
        <v>51</v>
      </c>
      <c r="R2297" s="4">
        <v>44775.282581018517</v>
      </c>
      <c r="T2297">
        <v>0</v>
      </c>
      <c r="Y2297" t="s">
        <v>35</v>
      </c>
      <c r="AC2297" s="2">
        <f t="shared" si="315"/>
        <v>1</v>
      </c>
      <c r="AD2297" s="2">
        <f t="shared" si="316"/>
        <v>10</v>
      </c>
      <c r="AE2297" s="2">
        <f t="shared" si="317"/>
        <v>9</v>
      </c>
      <c r="AF2297" s="2">
        <f t="shared" si="318"/>
        <v>12</v>
      </c>
      <c r="AG2297" s="2">
        <f t="shared" si="319"/>
        <v>2</v>
      </c>
      <c r="AH2297" s="4">
        <f t="shared" si="320"/>
        <v>44865.282581018517</v>
      </c>
      <c r="AI2297" s="2" t="str">
        <f t="shared" si="321"/>
        <v/>
      </c>
      <c r="AJ2297" s="2" t="str">
        <f t="shared" si="322"/>
        <v/>
      </c>
      <c r="AK2297" s="2" t="str">
        <f t="shared" si="323"/>
        <v/>
      </c>
    </row>
    <row r="2298" spans="1:37" x14ac:dyDescent="0.25">
      <c r="A2298">
        <v>257</v>
      </c>
      <c r="B2298" t="s">
        <v>2494</v>
      </c>
      <c r="C2298" t="s">
        <v>2283</v>
      </c>
      <c r="D2298" t="s">
        <v>2464</v>
      </c>
      <c r="E2298" t="s">
        <v>1984</v>
      </c>
      <c r="F2298" t="s">
        <v>2475</v>
      </c>
      <c r="G2298" t="s">
        <v>49</v>
      </c>
      <c r="H2298" s="1">
        <v>44705.632962962962</v>
      </c>
      <c r="I2298" s="1">
        <v>44708.632962962962</v>
      </c>
      <c r="J2298" t="s">
        <v>32</v>
      </c>
      <c r="K2298" s="1">
        <v>44728.632962962962</v>
      </c>
      <c r="L2298" t="s">
        <v>33</v>
      </c>
      <c r="M2298" t="s">
        <v>92</v>
      </c>
      <c r="R2298" s="4">
        <v>44732.632962962962</v>
      </c>
      <c r="T2298">
        <v>0</v>
      </c>
      <c r="Y2298" t="s">
        <v>55</v>
      </c>
      <c r="AC2298" s="2">
        <f t="shared" si="315"/>
        <v>3</v>
      </c>
      <c r="AD2298" s="2">
        <f t="shared" si="316"/>
        <v>23</v>
      </c>
      <c r="AE2298" s="2">
        <f t="shared" si="317"/>
        <v>20</v>
      </c>
      <c r="AF2298" s="2">
        <f t="shared" si="318"/>
        <v>27</v>
      </c>
      <c r="AG2298" s="2">
        <f t="shared" si="319"/>
        <v>4</v>
      </c>
      <c r="AH2298" s="4">
        <f t="shared" si="320"/>
        <v>44822.632962962962</v>
      </c>
      <c r="AI2298" s="2" t="str">
        <f t="shared" si="321"/>
        <v/>
      </c>
      <c r="AJ2298" s="2" t="str">
        <f t="shared" si="322"/>
        <v/>
      </c>
      <c r="AK2298" s="2" t="str">
        <f t="shared" si="323"/>
        <v/>
      </c>
    </row>
    <row r="2299" spans="1:37" x14ac:dyDescent="0.25">
      <c r="A2299">
        <v>239</v>
      </c>
      <c r="B2299" t="s">
        <v>2495</v>
      </c>
      <c r="C2299" t="s">
        <v>2283</v>
      </c>
      <c r="D2299" t="s">
        <v>2464</v>
      </c>
      <c r="E2299" t="s">
        <v>1984</v>
      </c>
      <c r="F2299" t="s">
        <v>2475</v>
      </c>
      <c r="G2299" t="s">
        <v>49</v>
      </c>
      <c r="H2299" s="1">
        <v>44594.810960648145</v>
      </c>
      <c r="I2299" s="1">
        <v>44598.810960648145</v>
      </c>
      <c r="J2299" t="s">
        <v>44</v>
      </c>
      <c r="K2299" s="1"/>
      <c r="T2299">
        <v>0</v>
      </c>
      <c r="AC2299" s="2">
        <f t="shared" si="315"/>
        <v>4</v>
      </c>
      <c r="AD2299" s="2" t="str">
        <f t="shared" si="316"/>
        <v/>
      </c>
      <c r="AE2299" s="2" t="str">
        <f t="shared" si="317"/>
        <v/>
      </c>
      <c r="AF2299" s="2" t="str">
        <f t="shared" si="318"/>
        <v/>
      </c>
      <c r="AG2299" s="2" t="str">
        <f t="shared" si="319"/>
        <v/>
      </c>
      <c r="AH2299" s="4" t="str">
        <f t="shared" si="320"/>
        <v/>
      </c>
      <c r="AI2299" s="2" t="str">
        <f t="shared" si="321"/>
        <v/>
      </c>
      <c r="AJ2299" s="2" t="str">
        <f t="shared" si="322"/>
        <v/>
      </c>
      <c r="AK2299" s="2" t="str">
        <f t="shared" si="323"/>
        <v/>
      </c>
    </row>
    <row r="2300" spans="1:37" x14ac:dyDescent="0.25">
      <c r="A2300">
        <v>237</v>
      </c>
      <c r="B2300" t="s">
        <v>2496</v>
      </c>
      <c r="C2300" t="s">
        <v>2283</v>
      </c>
      <c r="D2300" t="s">
        <v>2464</v>
      </c>
      <c r="E2300" t="s">
        <v>1984</v>
      </c>
      <c r="F2300" t="s">
        <v>2475</v>
      </c>
      <c r="G2300" t="s">
        <v>49</v>
      </c>
      <c r="H2300" s="1">
        <v>44596.810960648145</v>
      </c>
      <c r="I2300" s="1">
        <v>44599.810960648145</v>
      </c>
      <c r="J2300" t="s">
        <v>32</v>
      </c>
      <c r="K2300" s="1">
        <v>44615.810960648145</v>
      </c>
      <c r="L2300" t="s">
        <v>57</v>
      </c>
      <c r="N2300" s="4">
        <v>44619.810960648145</v>
      </c>
      <c r="O2300" t="s">
        <v>57</v>
      </c>
      <c r="P2300" s="4">
        <v>44617.810960648145</v>
      </c>
      <c r="Q2300" s="4">
        <v>44620.810960648145</v>
      </c>
      <c r="R2300" s="4">
        <v>44617.810960648145</v>
      </c>
      <c r="S2300" s="4">
        <v>44618.810960648145</v>
      </c>
      <c r="T2300">
        <v>1</v>
      </c>
      <c r="U2300" s="4">
        <v>44620.810960648145</v>
      </c>
      <c r="V2300" s="4">
        <v>44622.810960648145</v>
      </c>
      <c r="W2300" s="4">
        <v>44625.810960648145</v>
      </c>
      <c r="Z2300" s="4">
        <v>44644.810960648145</v>
      </c>
      <c r="AC2300" s="2">
        <f t="shared" si="315"/>
        <v>3</v>
      </c>
      <c r="AD2300" s="2">
        <f t="shared" si="316"/>
        <v>19</v>
      </c>
      <c r="AE2300" s="2">
        <f t="shared" si="317"/>
        <v>16</v>
      </c>
      <c r="AF2300" s="2">
        <f t="shared" si="318"/>
        <v>21</v>
      </c>
      <c r="AG2300" s="2">
        <f t="shared" si="319"/>
        <v>2</v>
      </c>
      <c r="AH2300" s="4">
        <f t="shared" si="320"/>
        <v>44707.810960648145</v>
      </c>
      <c r="AI2300" s="2">
        <f t="shared" si="321"/>
        <v>2</v>
      </c>
      <c r="AJ2300" s="2">
        <f t="shared" si="322"/>
        <v>27</v>
      </c>
      <c r="AK2300" s="2">
        <f t="shared" si="323"/>
        <v>8</v>
      </c>
    </row>
    <row r="2301" spans="1:37" x14ac:dyDescent="0.25">
      <c r="A2301">
        <v>229</v>
      </c>
      <c r="B2301" t="s">
        <v>2497</v>
      </c>
      <c r="C2301" t="s">
        <v>2283</v>
      </c>
      <c r="D2301" t="s">
        <v>2464</v>
      </c>
      <c r="E2301" t="s">
        <v>1984</v>
      </c>
      <c r="F2301" t="s">
        <v>2475</v>
      </c>
      <c r="G2301" t="s">
        <v>49</v>
      </c>
      <c r="H2301" s="1">
        <v>44738.447731481479</v>
      </c>
      <c r="I2301" s="1">
        <v>44741.447731481479</v>
      </c>
      <c r="J2301" t="s">
        <v>32</v>
      </c>
      <c r="K2301" s="1">
        <v>44745.447731481479</v>
      </c>
      <c r="L2301" t="s">
        <v>33</v>
      </c>
      <c r="M2301" t="s">
        <v>108</v>
      </c>
      <c r="T2301">
        <v>0</v>
      </c>
      <c r="Y2301" t="s">
        <v>35</v>
      </c>
      <c r="AC2301" s="2">
        <f t="shared" si="315"/>
        <v>3</v>
      </c>
      <c r="AD2301" s="2">
        <f t="shared" si="316"/>
        <v>7</v>
      </c>
      <c r="AE2301" s="2">
        <f t="shared" si="317"/>
        <v>4</v>
      </c>
      <c r="AF2301" s="2" t="str">
        <f t="shared" si="318"/>
        <v/>
      </c>
      <c r="AG2301" s="2" t="str">
        <f t="shared" si="319"/>
        <v/>
      </c>
      <c r="AH2301" s="4" t="str">
        <f t="shared" si="320"/>
        <v/>
      </c>
      <c r="AI2301" s="2" t="str">
        <f t="shared" si="321"/>
        <v/>
      </c>
      <c r="AJ2301" s="2" t="str">
        <f t="shared" si="322"/>
        <v/>
      </c>
      <c r="AK2301" s="2" t="str">
        <f t="shared" si="323"/>
        <v/>
      </c>
    </row>
    <row r="2302" spans="1:37" x14ac:dyDescent="0.25">
      <c r="A2302">
        <v>222</v>
      </c>
      <c r="B2302" t="s">
        <v>2498</v>
      </c>
      <c r="C2302" t="s">
        <v>2283</v>
      </c>
      <c r="D2302" t="s">
        <v>2464</v>
      </c>
      <c r="E2302" t="s">
        <v>1984</v>
      </c>
      <c r="F2302" t="s">
        <v>2475</v>
      </c>
      <c r="G2302" t="s">
        <v>49</v>
      </c>
      <c r="H2302" s="1">
        <v>44739.447731481479</v>
      </c>
      <c r="I2302" s="1">
        <v>44742.447731481479</v>
      </c>
      <c r="J2302" t="s">
        <v>44</v>
      </c>
      <c r="K2302" s="1"/>
      <c r="T2302">
        <v>0</v>
      </c>
      <c r="AC2302" s="2">
        <f t="shared" si="315"/>
        <v>3</v>
      </c>
      <c r="AD2302" s="2" t="str">
        <f t="shared" si="316"/>
        <v/>
      </c>
      <c r="AE2302" s="2" t="str">
        <f t="shared" si="317"/>
        <v/>
      </c>
      <c r="AF2302" s="2" t="str">
        <f t="shared" si="318"/>
        <v/>
      </c>
      <c r="AG2302" s="2" t="str">
        <f t="shared" si="319"/>
        <v/>
      </c>
      <c r="AH2302" s="4" t="str">
        <f t="shared" si="320"/>
        <v/>
      </c>
      <c r="AI2302" s="2" t="str">
        <f t="shared" si="321"/>
        <v/>
      </c>
      <c r="AJ2302" s="2" t="str">
        <f t="shared" si="322"/>
        <v/>
      </c>
      <c r="AK2302" s="2" t="str">
        <f t="shared" si="323"/>
        <v/>
      </c>
    </row>
    <row r="2303" spans="1:37" x14ac:dyDescent="0.25">
      <c r="A2303">
        <v>159</v>
      </c>
      <c r="B2303" t="s">
        <v>2499</v>
      </c>
      <c r="C2303" t="s">
        <v>2283</v>
      </c>
      <c r="D2303" t="s">
        <v>2464</v>
      </c>
      <c r="E2303" t="s">
        <v>1984</v>
      </c>
      <c r="F2303" t="s">
        <v>2475</v>
      </c>
      <c r="G2303" t="s">
        <v>49</v>
      </c>
      <c r="H2303" s="1">
        <v>44934.64434027778</v>
      </c>
      <c r="I2303" s="1">
        <v>44935.64434027778</v>
      </c>
      <c r="J2303" t="s">
        <v>44</v>
      </c>
      <c r="K2303" s="1"/>
      <c r="T2303">
        <v>0</v>
      </c>
      <c r="AC2303" s="2">
        <f t="shared" si="315"/>
        <v>1</v>
      </c>
      <c r="AD2303" s="2" t="str">
        <f t="shared" si="316"/>
        <v/>
      </c>
      <c r="AE2303" s="2" t="str">
        <f t="shared" si="317"/>
        <v/>
      </c>
      <c r="AF2303" s="2" t="str">
        <f t="shared" si="318"/>
        <v/>
      </c>
      <c r="AG2303" s="2" t="str">
        <f t="shared" si="319"/>
        <v/>
      </c>
      <c r="AH2303" s="4" t="str">
        <f t="shared" si="320"/>
        <v/>
      </c>
      <c r="AI2303" s="2" t="str">
        <f t="shared" si="321"/>
        <v/>
      </c>
      <c r="AJ2303" s="2" t="str">
        <f t="shared" si="322"/>
        <v/>
      </c>
      <c r="AK2303" s="2" t="str">
        <f t="shared" si="323"/>
        <v/>
      </c>
    </row>
    <row r="2304" spans="1:37" x14ac:dyDescent="0.25">
      <c r="A2304">
        <v>156</v>
      </c>
      <c r="B2304" t="s">
        <v>2500</v>
      </c>
      <c r="C2304" t="s">
        <v>2283</v>
      </c>
      <c r="D2304" t="s">
        <v>2464</v>
      </c>
      <c r="E2304" t="s">
        <v>1984</v>
      </c>
      <c r="F2304" t="s">
        <v>2475</v>
      </c>
      <c r="G2304" t="s">
        <v>49</v>
      </c>
      <c r="H2304" s="1">
        <v>44931.64434027778</v>
      </c>
      <c r="I2304" s="1">
        <v>44932.64434027778</v>
      </c>
      <c r="J2304" t="s">
        <v>32</v>
      </c>
      <c r="K2304" s="1">
        <v>44951.64434027778</v>
      </c>
      <c r="L2304" t="s">
        <v>57</v>
      </c>
      <c r="N2304" s="4">
        <v>44956.64434027778</v>
      </c>
      <c r="O2304" t="s">
        <v>57</v>
      </c>
      <c r="P2304" s="4">
        <v>44952.64434027778</v>
      </c>
      <c r="Q2304" s="4">
        <v>44955.64434027778</v>
      </c>
      <c r="R2304" s="4">
        <v>44954.64434027778</v>
      </c>
      <c r="S2304" s="4">
        <v>44956.64434027778</v>
      </c>
      <c r="T2304">
        <v>1</v>
      </c>
      <c r="U2304" s="4">
        <v>44958.64434027778</v>
      </c>
      <c r="V2304" s="4">
        <v>44961.64434027778</v>
      </c>
      <c r="W2304" s="4">
        <v>44962.64434027778</v>
      </c>
      <c r="Z2304" s="4">
        <v>44981.64434027778</v>
      </c>
      <c r="AC2304" s="2">
        <f t="shared" si="315"/>
        <v>1</v>
      </c>
      <c r="AD2304" s="2">
        <f t="shared" si="316"/>
        <v>20</v>
      </c>
      <c r="AE2304" s="2">
        <f t="shared" si="317"/>
        <v>19</v>
      </c>
      <c r="AF2304" s="2">
        <f t="shared" si="318"/>
        <v>23</v>
      </c>
      <c r="AG2304" s="2">
        <f t="shared" si="319"/>
        <v>3</v>
      </c>
      <c r="AH2304" s="4">
        <f t="shared" si="320"/>
        <v>45044.64434027778</v>
      </c>
      <c r="AI2304" s="2">
        <f t="shared" si="321"/>
        <v>2</v>
      </c>
      <c r="AJ2304" s="2">
        <f t="shared" si="322"/>
        <v>27</v>
      </c>
      <c r="AK2304" s="2">
        <f t="shared" si="323"/>
        <v>8</v>
      </c>
    </row>
    <row r="2305" spans="1:37" x14ac:dyDescent="0.25">
      <c r="A2305">
        <v>155</v>
      </c>
      <c r="B2305" t="s">
        <v>2501</v>
      </c>
      <c r="C2305" t="s">
        <v>2283</v>
      </c>
      <c r="D2305" t="s">
        <v>2464</v>
      </c>
      <c r="E2305" t="s">
        <v>1984</v>
      </c>
      <c r="F2305" t="s">
        <v>2475</v>
      </c>
      <c r="G2305" t="s">
        <v>49</v>
      </c>
      <c r="H2305" s="1">
        <v>44935.64434027778</v>
      </c>
      <c r="I2305" s="1">
        <v>44937.64434027778</v>
      </c>
      <c r="J2305" t="s">
        <v>32</v>
      </c>
      <c r="K2305" s="1">
        <v>44946.64434027778</v>
      </c>
      <c r="L2305" t="s">
        <v>39</v>
      </c>
      <c r="N2305" s="4">
        <v>44951.64434027778</v>
      </c>
      <c r="O2305" t="s">
        <v>39</v>
      </c>
      <c r="R2305" s="4">
        <v>44950.64434027778</v>
      </c>
      <c r="T2305">
        <v>0</v>
      </c>
      <c r="AC2305" s="2">
        <f t="shared" si="315"/>
        <v>2</v>
      </c>
      <c r="AD2305" s="2">
        <f t="shared" si="316"/>
        <v>11</v>
      </c>
      <c r="AE2305" s="2">
        <f t="shared" si="317"/>
        <v>9</v>
      </c>
      <c r="AF2305" s="2">
        <f t="shared" si="318"/>
        <v>15</v>
      </c>
      <c r="AG2305" s="2">
        <f t="shared" si="319"/>
        <v>4</v>
      </c>
      <c r="AH2305" s="4">
        <f t="shared" si="320"/>
        <v>45040.64434027778</v>
      </c>
      <c r="AI2305" s="2" t="str">
        <f t="shared" si="321"/>
        <v/>
      </c>
      <c r="AJ2305" s="2" t="str">
        <f t="shared" si="322"/>
        <v/>
      </c>
      <c r="AK2305" s="2" t="str">
        <f t="shared" si="323"/>
        <v/>
      </c>
    </row>
    <row r="2306" spans="1:37" x14ac:dyDescent="0.25">
      <c r="A2306">
        <v>149</v>
      </c>
      <c r="B2306" t="s">
        <v>2502</v>
      </c>
      <c r="C2306" t="s">
        <v>2283</v>
      </c>
      <c r="D2306" t="s">
        <v>2464</v>
      </c>
      <c r="E2306" t="s">
        <v>1984</v>
      </c>
      <c r="F2306" t="s">
        <v>2475</v>
      </c>
      <c r="G2306" t="s">
        <v>49</v>
      </c>
      <c r="H2306" s="1">
        <v>44631.982245370367</v>
      </c>
      <c r="I2306" s="1">
        <v>44633.982245370367</v>
      </c>
      <c r="J2306" t="s">
        <v>44</v>
      </c>
      <c r="K2306" s="1"/>
      <c r="T2306">
        <v>0</v>
      </c>
      <c r="AC2306" s="2">
        <f t="shared" si="315"/>
        <v>2</v>
      </c>
      <c r="AD2306" s="2" t="str">
        <f t="shared" si="316"/>
        <v/>
      </c>
      <c r="AE2306" s="2" t="str">
        <f t="shared" si="317"/>
        <v/>
      </c>
      <c r="AF2306" s="2" t="str">
        <f t="shared" si="318"/>
        <v/>
      </c>
      <c r="AG2306" s="2" t="str">
        <f t="shared" si="319"/>
        <v/>
      </c>
      <c r="AH2306" s="4" t="str">
        <f t="shared" si="320"/>
        <v/>
      </c>
      <c r="AI2306" s="2" t="str">
        <f t="shared" si="321"/>
        <v/>
      </c>
      <c r="AJ2306" s="2" t="str">
        <f t="shared" si="322"/>
        <v/>
      </c>
      <c r="AK2306" s="2" t="str">
        <f t="shared" si="323"/>
        <v/>
      </c>
    </row>
    <row r="2307" spans="1:37" x14ac:dyDescent="0.25">
      <c r="A2307">
        <v>148</v>
      </c>
      <c r="B2307" t="s">
        <v>2503</v>
      </c>
      <c r="C2307" t="s">
        <v>2283</v>
      </c>
      <c r="D2307" t="s">
        <v>2464</v>
      </c>
      <c r="E2307" t="s">
        <v>1984</v>
      </c>
      <c r="F2307" t="s">
        <v>2475</v>
      </c>
      <c r="G2307" t="s">
        <v>49</v>
      </c>
      <c r="H2307" s="1">
        <v>44630.982245370367</v>
      </c>
      <c r="I2307" s="1">
        <v>44632.982245370367</v>
      </c>
      <c r="J2307" t="s">
        <v>32</v>
      </c>
      <c r="K2307" s="1">
        <v>44649.982245370367</v>
      </c>
      <c r="L2307" t="s">
        <v>39</v>
      </c>
      <c r="N2307" s="4">
        <v>44657.982245370367</v>
      </c>
      <c r="O2307" t="s">
        <v>39</v>
      </c>
      <c r="R2307" s="4">
        <v>44653.982245370367</v>
      </c>
      <c r="T2307">
        <v>0</v>
      </c>
      <c r="AC2307" s="2">
        <f t="shared" ref="AC2307:AC2370" si="324">IF(AND(I2307&lt;&gt;"",H2307&lt;&gt;""), I2307-H2307, "")</f>
        <v>2</v>
      </c>
      <c r="AD2307" s="2">
        <f t="shared" ref="AD2307:AD2370" si="325">IF(AND(K2307&lt;&gt;"",H2307&lt;&gt;""), K2307-H2307, "")</f>
        <v>19</v>
      </c>
      <c r="AE2307" s="2">
        <f t="shared" ref="AE2307:AE2370" si="326">IF(AND(K2307&lt;&gt;"",I2307&lt;&gt;""), K2307-I2307, "")</f>
        <v>17</v>
      </c>
      <c r="AF2307" s="2">
        <f t="shared" ref="AF2307:AF2370" si="327">IF(AND(R2307&lt;&gt;"",H2307&lt;&gt;""), R2307-H2307, "")</f>
        <v>23</v>
      </c>
      <c r="AG2307" s="2">
        <f t="shared" ref="AG2307:AG2370" si="328">IF(AND(R2307&lt;&gt;"",K2307&lt;&gt;""), R2307-K2307, "")</f>
        <v>4</v>
      </c>
      <c r="AH2307" s="4">
        <f t="shared" ref="AH2307:AH2370" si="329">IF(R2307&lt;&gt;"", R2307+90, "")</f>
        <v>44743.982245370367</v>
      </c>
      <c r="AI2307" s="2" t="str">
        <f t="shared" ref="AI2307:AI2370" si="330">IF(AND(U2307&lt;&gt;"",S2307&lt;&gt;""), U2307-S2307, "")</f>
        <v/>
      </c>
      <c r="AJ2307" s="2" t="str">
        <f t="shared" ref="AJ2307:AJ2370" si="331">IF(AND(Z2307&lt;&gt;"",R2307&lt;&gt;""), Z2307-R2307, "")</f>
        <v/>
      </c>
      <c r="AK2307" s="2" t="str">
        <f t="shared" ref="AK2307:AK2370" si="332">IF(AND(W2307&lt;&gt;"",R2307&lt;&gt;""), W2307-R2307, "")</f>
        <v/>
      </c>
    </row>
    <row r="2308" spans="1:37" x14ac:dyDescent="0.25">
      <c r="A2308">
        <v>146</v>
      </c>
      <c r="B2308" t="s">
        <v>2504</v>
      </c>
      <c r="C2308" t="s">
        <v>2283</v>
      </c>
      <c r="D2308" t="s">
        <v>2464</v>
      </c>
      <c r="E2308" t="s">
        <v>1984</v>
      </c>
      <c r="F2308" t="s">
        <v>2475</v>
      </c>
      <c r="G2308" t="s">
        <v>49</v>
      </c>
      <c r="H2308" s="1">
        <v>44628.982245370367</v>
      </c>
      <c r="I2308" s="1">
        <v>44631.982245370367</v>
      </c>
      <c r="J2308" t="s">
        <v>32</v>
      </c>
      <c r="K2308" s="1">
        <v>44650.982245370367</v>
      </c>
      <c r="L2308" t="s">
        <v>39</v>
      </c>
      <c r="N2308" s="4">
        <v>44654.982245370367</v>
      </c>
      <c r="O2308" t="s">
        <v>39</v>
      </c>
      <c r="R2308" s="4">
        <v>44651.982245370367</v>
      </c>
      <c r="T2308">
        <v>0</v>
      </c>
      <c r="AC2308" s="2">
        <f t="shared" si="324"/>
        <v>3</v>
      </c>
      <c r="AD2308" s="2">
        <f t="shared" si="325"/>
        <v>22</v>
      </c>
      <c r="AE2308" s="2">
        <f t="shared" si="326"/>
        <v>19</v>
      </c>
      <c r="AF2308" s="2">
        <f t="shared" si="327"/>
        <v>23</v>
      </c>
      <c r="AG2308" s="2">
        <f t="shared" si="328"/>
        <v>1</v>
      </c>
      <c r="AH2308" s="4">
        <f t="shared" si="329"/>
        <v>44741.982245370367</v>
      </c>
      <c r="AI2308" s="2" t="str">
        <f t="shared" si="330"/>
        <v/>
      </c>
      <c r="AJ2308" s="2" t="str">
        <f t="shared" si="331"/>
        <v/>
      </c>
      <c r="AK2308" s="2" t="str">
        <f t="shared" si="332"/>
        <v/>
      </c>
    </row>
    <row r="2309" spans="1:37" x14ac:dyDescent="0.25">
      <c r="A2309">
        <v>111</v>
      </c>
      <c r="B2309" t="s">
        <v>2505</v>
      </c>
      <c r="C2309" t="s">
        <v>2283</v>
      </c>
      <c r="D2309" t="s">
        <v>2464</v>
      </c>
      <c r="E2309" t="s">
        <v>1984</v>
      </c>
      <c r="F2309" t="s">
        <v>2475</v>
      </c>
      <c r="G2309" t="s">
        <v>49</v>
      </c>
      <c r="H2309" s="1">
        <v>44741.19809027778</v>
      </c>
      <c r="I2309" s="1">
        <v>44742.19809027778</v>
      </c>
      <c r="J2309" t="s">
        <v>32</v>
      </c>
      <c r="K2309" s="1">
        <v>44752.19809027778</v>
      </c>
      <c r="L2309" t="s">
        <v>33</v>
      </c>
      <c r="M2309" t="s">
        <v>108</v>
      </c>
      <c r="T2309">
        <v>0</v>
      </c>
      <c r="Y2309" t="s">
        <v>35</v>
      </c>
      <c r="AC2309" s="2">
        <f t="shared" si="324"/>
        <v>1</v>
      </c>
      <c r="AD2309" s="2">
        <f t="shared" si="325"/>
        <v>11</v>
      </c>
      <c r="AE2309" s="2">
        <f t="shared" si="326"/>
        <v>10</v>
      </c>
      <c r="AF2309" s="2" t="str">
        <f t="shared" si="327"/>
        <v/>
      </c>
      <c r="AG2309" s="2" t="str">
        <f t="shared" si="328"/>
        <v/>
      </c>
      <c r="AH2309" s="4" t="str">
        <f t="shared" si="329"/>
        <v/>
      </c>
      <c r="AI2309" s="2" t="str">
        <f t="shared" si="330"/>
        <v/>
      </c>
      <c r="AJ2309" s="2" t="str">
        <f t="shared" si="331"/>
        <v/>
      </c>
      <c r="AK2309" s="2" t="str">
        <f t="shared" si="332"/>
        <v/>
      </c>
    </row>
    <row r="2310" spans="1:37" x14ac:dyDescent="0.25">
      <c r="A2310">
        <v>52</v>
      </c>
      <c r="B2310" t="s">
        <v>2506</v>
      </c>
      <c r="C2310" t="s">
        <v>2283</v>
      </c>
      <c r="D2310" t="s">
        <v>2464</v>
      </c>
      <c r="E2310" t="s">
        <v>47</v>
      </c>
      <c r="F2310" t="s">
        <v>2507</v>
      </c>
      <c r="G2310" t="s">
        <v>49</v>
      </c>
      <c r="H2310" s="1">
        <v>44770.01295138889</v>
      </c>
      <c r="I2310" s="1">
        <v>44771.01295138889</v>
      </c>
      <c r="J2310" t="s">
        <v>32</v>
      </c>
      <c r="K2310" s="1">
        <v>44781.01295138889</v>
      </c>
      <c r="L2310" t="s">
        <v>57</v>
      </c>
      <c r="N2310" s="4">
        <v>44789.01295138889</v>
      </c>
      <c r="O2310" t="s">
        <v>57</v>
      </c>
      <c r="P2310" s="4">
        <v>44783.01295138889</v>
      </c>
      <c r="Q2310" s="4">
        <v>44786.01295138889</v>
      </c>
      <c r="R2310" s="4">
        <v>44785.01295138889</v>
      </c>
      <c r="S2310" s="4">
        <v>44793.01295138889</v>
      </c>
      <c r="T2310">
        <v>1</v>
      </c>
      <c r="U2310" s="4">
        <v>44797.01295138889</v>
      </c>
      <c r="V2310" s="4">
        <v>44798.01295138889</v>
      </c>
      <c r="W2310" s="4">
        <v>44799.01295138889</v>
      </c>
      <c r="Z2310" s="4">
        <v>44814.01295138889</v>
      </c>
      <c r="AC2310" s="2">
        <f t="shared" si="324"/>
        <v>1</v>
      </c>
      <c r="AD2310" s="2">
        <f t="shared" si="325"/>
        <v>11</v>
      </c>
      <c r="AE2310" s="2">
        <f t="shared" si="326"/>
        <v>10</v>
      </c>
      <c r="AF2310" s="2">
        <f t="shared" si="327"/>
        <v>15</v>
      </c>
      <c r="AG2310" s="2">
        <f t="shared" si="328"/>
        <v>4</v>
      </c>
      <c r="AH2310" s="4">
        <f t="shared" si="329"/>
        <v>44875.01295138889</v>
      </c>
      <c r="AI2310" s="2">
        <f t="shared" si="330"/>
        <v>4</v>
      </c>
      <c r="AJ2310" s="2">
        <f t="shared" si="331"/>
        <v>29</v>
      </c>
      <c r="AK2310" s="2">
        <f t="shared" si="332"/>
        <v>14</v>
      </c>
    </row>
    <row r="2311" spans="1:37" x14ac:dyDescent="0.25">
      <c r="A2311">
        <v>2997</v>
      </c>
      <c r="B2311" t="s">
        <v>2508</v>
      </c>
      <c r="C2311" t="s">
        <v>2283</v>
      </c>
      <c r="D2311" t="s">
        <v>2509</v>
      </c>
      <c r="E2311" t="s">
        <v>47</v>
      </c>
      <c r="F2311" t="s">
        <v>2507</v>
      </c>
      <c r="G2311" t="s">
        <v>38</v>
      </c>
      <c r="H2311" s="1">
        <v>44989.039479166669</v>
      </c>
      <c r="I2311" s="1">
        <v>44991.039479166669</v>
      </c>
      <c r="J2311" t="s">
        <v>44</v>
      </c>
      <c r="K2311" s="1"/>
      <c r="T2311">
        <v>0</v>
      </c>
      <c r="AC2311" s="2">
        <f t="shared" si="324"/>
        <v>2</v>
      </c>
      <c r="AD2311" s="2" t="str">
        <f t="shared" si="325"/>
        <v/>
      </c>
      <c r="AE2311" s="2" t="str">
        <f t="shared" si="326"/>
        <v/>
      </c>
      <c r="AF2311" s="2" t="str">
        <f t="shared" si="327"/>
        <v/>
      </c>
      <c r="AG2311" s="2" t="str">
        <f t="shared" si="328"/>
        <v/>
      </c>
      <c r="AH2311" s="4" t="str">
        <f t="shared" si="329"/>
        <v/>
      </c>
      <c r="AI2311" s="2" t="str">
        <f t="shared" si="330"/>
        <v/>
      </c>
      <c r="AJ2311" s="2" t="str">
        <f t="shared" si="331"/>
        <v/>
      </c>
      <c r="AK2311" s="2" t="str">
        <f t="shared" si="332"/>
        <v/>
      </c>
    </row>
    <row r="2312" spans="1:37" x14ac:dyDescent="0.25">
      <c r="A2312">
        <v>2930</v>
      </c>
      <c r="B2312" t="s">
        <v>2510</v>
      </c>
      <c r="C2312" t="s">
        <v>2283</v>
      </c>
      <c r="D2312" t="s">
        <v>2509</v>
      </c>
      <c r="E2312" t="s">
        <v>47</v>
      </c>
      <c r="F2312" t="s">
        <v>2507</v>
      </c>
      <c r="G2312" t="s">
        <v>38</v>
      </c>
      <c r="H2312" s="1">
        <v>45180.386689814812</v>
      </c>
      <c r="I2312" s="1">
        <v>45181.386689814812</v>
      </c>
      <c r="J2312" t="s">
        <v>32</v>
      </c>
      <c r="K2312" s="1">
        <v>45194.386689814812</v>
      </c>
      <c r="L2312" t="s">
        <v>57</v>
      </c>
      <c r="N2312" s="4">
        <v>45198.386689814812</v>
      </c>
      <c r="O2312" t="s">
        <v>57</v>
      </c>
      <c r="P2312" s="4">
        <v>45195.386689814812</v>
      </c>
      <c r="Q2312" s="4">
        <v>45196.386689814812</v>
      </c>
      <c r="R2312" s="4">
        <v>45196.386689814812</v>
      </c>
      <c r="S2312" s="4">
        <v>45200.386689814812</v>
      </c>
      <c r="T2312">
        <v>1</v>
      </c>
      <c r="U2312" s="4">
        <v>45202.386689814812</v>
      </c>
      <c r="V2312" s="4">
        <v>45205.386689814812</v>
      </c>
      <c r="W2312" s="4">
        <v>45208.386689814812</v>
      </c>
      <c r="Z2312" s="4">
        <v>45227.386689814812</v>
      </c>
      <c r="AC2312" s="2">
        <f t="shared" si="324"/>
        <v>1</v>
      </c>
      <c r="AD2312" s="2">
        <f t="shared" si="325"/>
        <v>14</v>
      </c>
      <c r="AE2312" s="2">
        <f t="shared" si="326"/>
        <v>13</v>
      </c>
      <c r="AF2312" s="2">
        <f t="shared" si="327"/>
        <v>16</v>
      </c>
      <c r="AG2312" s="2">
        <f t="shared" si="328"/>
        <v>2</v>
      </c>
      <c r="AH2312" s="4">
        <f t="shared" si="329"/>
        <v>45286.386689814812</v>
      </c>
      <c r="AI2312" s="2">
        <f t="shared" si="330"/>
        <v>2</v>
      </c>
      <c r="AJ2312" s="2">
        <f t="shared" si="331"/>
        <v>31</v>
      </c>
      <c r="AK2312" s="2">
        <f t="shared" si="332"/>
        <v>12</v>
      </c>
    </row>
    <row r="2313" spans="1:37" x14ac:dyDescent="0.25">
      <c r="A2313">
        <v>2919</v>
      </c>
      <c r="B2313" t="s">
        <v>2511</v>
      </c>
      <c r="C2313" t="s">
        <v>2283</v>
      </c>
      <c r="D2313" t="s">
        <v>2509</v>
      </c>
      <c r="E2313" t="s">
        <v>47</v>
      </c>
      <c r="F2313" t="s">
        <v>2507</v>
      </c>
      <c r="G2313" t="s">
        <v>38</v>
      </c>
      <c r="H2313" s="1">
        <v>44598.794965277775</v>
      </c>
      <c r="I2313" s="1">
        <v>44601.794965277775</v>
      </c>
      <c r="J2313" t="s">
        <v>44</v>
      </c>
      <c r="K2313" s="1"/>
      <c r="T2313">
        <v>0</v>
      </c>
      <c r="AC2313" s="2">
        <f t="shared" si="324"/>
        <v>3</v>
      </c>
      <c r="AD2313" s="2" t="str">
        <f t="shared" si="325"/>
        <v/>
      </c>
      <c r="AE2313" s="2" t="str">
        <f t="shared" si="326"/>
        <v/>
      </c>
      <c r="AF2313" s="2" t="str">
        <f t="shared" si="327"/>
        <v/>
      </c>
      <c r="AG2313" s="2" t="str">
        <f t="shared" si="328"/>
        <v/>
      </c>
      <c r="AH2313" s="4" t="str">
        <f t="shared" si="329"/>
        <v/>
      </c>
      <c r="AI2313" s="2" t="str">
        <f t="shared" si="330"/>
        <v/>
      </c>
      <c r="AJ2313" s="2" t="str">
        <f t="shared" si="331"/>
        <v/>
      </c>
      <c r="AK2313" s="2" t="str">
        <f t="shared" si="332"/>
        <v/>
      </c>
    </row>
    <row r="2314" spans="1:37" x14ac:dyDescent="0.25">
      <c r="A2314">
        <v>2824</v>
      </c>
      <c r="B2314" t="s">
        <v>2512</v>
      </c>
      <c r="C2314" t="s">
        <v>2283</v>
      </c>
      <c r="D2314" t="s">
        <v>2509</v>
      </c>
      <c r="E2314" t="s">
        <v>47</v>
      </c>
      <c r="F2314" t="s">
        <v>2507</v>
      </c>
      <c r="G2314" t="s">
        <v>38</v>
      </c>
      <c r="H2314" s="1">
        <v>44565.055902777778</v>
      </c>
      <c r="I2314" s="1">
        <v>44568.055902777778</v>
      </c>
      <c r="J2314" t="s">
        <v>32</v>
      </c>
      <c r="K2314" s="1">
        <v>44577.055902777778</v>
      </c>
      <c r="L2314" t="s">
        <v>57</v>
      </c>
      <c r="N2314" s="4">
        <v>44582.055902777778</v>
      </c>
      <c r="O2314" t="s">
        <v>57</v>
      </c>
      <c r="P2314" s="4">
        <v>44578.055902777778</v>
      </c>
      <c r="Q2314" s="4">
        <v>44582.055902777778</v>
      </c>
      <c r="R2314" s="4">
        <v>44580.055902777778</v>
      </c>
      <c r="S2314" s="4">
        <v>44585.055902777778</v>
      </c>
      <c r="T2314">
        <v>1</v>
      </c>
      <c r="U2314" s="4">
        <v>44589.055902777778</v>
      </c>
      <c r="V2314" s="4">
        <v>44592.055902777778</v>
      </c>
      <c r="W2314" s="4">
        <v>44593.055902777778</v>
      </c>
      <c r="Z2314" s="4">
        <v>44613.055902777778</v>
      </c>
      <c r="AC2314" s="2">
        <f t="shared" si="324"/>
        <v>3</v>
      </c>
      <c r="AD2314" s="2">
        <f t="shared" si="325"/>
        <v>12</v>
      </c>
      <c r="AE2314" s="2">
        <f t="shared" si="326"/>
        <v>9</v>
      </c>
      <c r="AF2314" s="2">
        <f t="shared" si="327"/>
        <v>15</v>
      </c>
      <c r="AG2314" s="2">
        <f t="shared" si="328"/>
        <v>3</v>
      </c>
      <c r="AH2314" s="4">
        <f t="shared" si="329"/>
        <v>44670.055902777778</v>
      </c>
      <c r="AI2314" s="2">
        <f t="shared" si="330"/>
        <v>4</v>
      </c>
      <c r="AJ2314" s="2">
        <f t="shared" si="331"/>
        <v>33</v>
      </c>
      <c r="AK2314" s="2">
        <f t="shared" si="332"/>
        <v>13</v>
      </c>
    </row>
    <row r="2315" spans="1:37" x14ac:dyDescent="0.25">
      <c r="A2315">
        <v>2770</v>
      </c>
      <c r="B2315" t="s">
        <v>2513</v>
      </c>
      <c r="C2315" t="s">
        <v>2283</v>
      </c>
      <c r="D2315" t="s">
        <v>2509</v>
      </c>
      <c r="E2315" t="s">
        <v>47</v>
      </c>
      <c r="F2315" t="s">
        <v>2507</v>
      </c>
      <c r="G2315" t="s">
        <v>38</v>
      </c>
      <c r="H2315" s="1">
        <v>44808.301701388889</v>
      </c>
      <c r="I2315" s="1">
        <v>44811.301701388889</v>
      </c>
      <c r="J2315" t="s">
        <v>44</v>
      </c>
      <c r="K2315" s="1"/>
      <c r="T2315">
        <v>0</v>
      </c>
      <c r="AC2315" s="2">
        <f t="shared" si="324"/>
        <v>3</v>
      </c>
      <c r="AD2315" s="2" t="str">
        <f t="shared" si="325"/>
        <v/>
      </c>
      <c r="AE2315" s="2" t="str">
        <f t="shared" si="326"/>
        <v/>
      </c>
      <c r="AF2315" s="2" t="str">
        <f t="shared" si="327"/>
        <v/>
      </c>
      <c r="AG2315" s="2" t="str">
        <f t="shared" si="328"/>
        <v/>
      </c>
      <c r="AH2315" s="4" t="str">
        <f t="shared" si="329"/>
        <v/>
      </c>
      <c r="AI2315" s="2" t="str">
        <f t="shared" si="330"/>
        <v/>
      </c>
      <c r="AJ2315" s="2" t="str">
        <f t="shared" si="331"/>
        <v/>
      </c>
      <c r="AK2315" s="2" t="str">
        <f t="shared" si="332"/>
        <v/>
      </c>
    </row>
    <row r="2316" spans="1:37" x14ac:dyDescent="0.25">
      <c r="A2316">
        <v>2628</v>
      </c>
      <c r="B2316" t="s">
        <v>2514</v>
      </c>
      <c r="C2316" t="s">
        <v>2283</v>
      </c>
      <c r="D2316" t="s">
        <v>2509</v>
      </c>
      <c r="E2316" t="s">
        <v>47</v>
      </c>
      <c r="F2316" t="s">
        <v>2507</v>
      </c>
      <c r="G2316" t="s">
        <v>38</v>
      </c>
      <c r="H2316" s="1">
        <v>45099.668356481481</v>
      </c>
      <c r="I2316" s="1">
        <v>45100.668356481481</v>
      </c>
      <c r="J2316" t="s">
        <v>32</v>
      </c>
      <c r="K2316" s="1">
        <v>45111.668356481481</v>
      </c>
      <c r="L2316" t="s">
        <v>57</v>
      </c>
      <c r="N2316" s="4">
        <v>45114.668356481481</v>
      </c>
      <c r="O2316" t="s">
        <v>57</v>
      </c>
      <c r="P2316" s="4">
        <v>45113.668356481481</v>
      </c>
      <c r="Q2316" s="4">
        <v>45115.668356481481</v>
      </c>
      <c r="R2316" s="4">
        <v>45113.668356481481</v>
      </c>
      <c r="S2316" s="4">
        <v>45116.668356481481</v>
      </c>
      <c r="T2316">
        <v>1</v>
      </c>
      <c r="U2316" s="4">
        <v>45119.668356481481</v>
      </c>
      <c r="V2316" s="4">
        <v>45120.668356481481</v>
      </c>
      <c r="W2316" s="4">
        <v>45121.668356481481</v>
      </c>
      <c r="Z2316" s="4">
        <v>45130.668356481481</v>
      </c>
      <c r="AC2316" s="2">
        <f t="shared" si="324"/>
        <v>1</v>
      </c>
      <c r="AD2316" s="2">
        <f t="shared" si="325"/>
        <v>12</v>
      </c>
      <c r="AE2316" s="2">
        <f t="shared" si="326"/>
        <v>11</v>
      </c>
      <c r="AF2316" s="2">
        <f t="shared" si="327"/>
        <v>14</v>
      </c>
      <c r="AG2316" s="2">
        <f t="shared" si="328"/>
        <v>2</v>
      </c>
      <c r="AH2316" s="4">
        <f t="shared" si="329"/>
        <v>45203.668356481481</v>
      </c>
      <c r="AI2316" s="2">
        <f t="shared" si="330"/>
        <v>3</v>
      </c>
      <c r="AJ2316" s="2">
        <f t="shared" si="331"/>
        <v>17</v>
      </c>
      <c r="AK2316" s="2">
        <f t="shared" si="332"/>
        <v>8</v>
      </c>
    </row>
    <row r="2317" spans="1:37" x14ac:dyDescent="0.25">
      <c r="A2317">
        <v>2530</v>
      </c>
      <c r="B2317" t="s">
        <v>2515</v>
      </c>
      <c r="C2317" t="s">
        <v>2283</v>
      </c>
      <c r="D2317" t="s">
        <v>2509</v>
      </c>
      <c r="E2317" t="s">
        <v>47</v>
      </c>
      <c r="F2317" t="s">
        <v>2507</v>
      </c>
      <c r="G2317" t="s">
        <v>38</v>
      </c>
      <c r="H2317" s="1">
        <v>45026.778819444444</v>
      </c>
      <c r="I2317" s="1">
        <v>45028.778819444444</v>
      </c>
      <c r="J2317" t="s">
        <v>32</v>
      </c>
      <c r="K2317" s="1">
        <v>45043.778819444444</v>
      </c>
      <c r="L2317" t="s">
        <v>57</v>
      </c>
      <c r="N2317" s="4">
        <v>45047.778819444444</v>
      </c>
      <c r="O2317" t="s">
        <v>57</v>
      </c>
      <c r="P2317" s="4">
        <v>45045.778819444444</v>
      </c>
      <c r="Q2317" s="4">
        <v>45047.778819444444</v>
      </c>
      <c r="R2317" s="4">
        <v>45046.778819444444</v>
      </c>
      <c r="S2317" s="4">
        <v>45056.778819444444</v>
      </c>
      <c r="T2317">
        <v>1</v>
      </c>
      <c r="U2317" s="4">
        <v>45059.778819444444</v>
      </c>
      <c r="V2317" s="4">
        <v>45060.778819444444</v>
      </c>
      <c r="W2317" s="4">
        <v>45062.778819444444</v>
      </c>
      <c r="Z2317" s="4">
        <v>45079.778819444444</v>
      </c>
      <c r="AC2317" s="2">
        <f t="shared" si="324"/>
        <v>2</v>
      </c>
      <c r="AD2317" s="2">
        <f t="shared" si="325"/>
        <v>17</v>
      </c>
      <c r="AE2317" s="2">
        <f t="shared" si="326"/>
        <v>15</v>
      </c>
      <c r="AF2317" s="2">
        <f t="shared" si="327"/>
        <v>20</v>
      </c>
      <c r="AG2317" s="2">
        <f t="shared" si="328"/>
        <v>3</v>
      </c>
      <c r="AH2317" s="4">
        <f t="shared" si="329"/>
        <v>45136.778819444444</v>
      </c>
      <c r="AI2317" s="2">
        <f t="shared" si="330"/>
        <v>3</v>
      </c>
      <c r="AJ2317" s="2">
        <f t="shared" si="331"/>
        <v>33</v>
      </c>
      <c r="AK2317" s="2">
        <f t="shared" si="332"/>
        <v>16</v>
      </c>
    </row>
    <row r="2318" spans="1:37" x14ac:dyDescent="0.25">
      <c r="A2318">
        <v>2528</v>
      </c>
      <c r="B2318" t="s">
        <v>2516</v>
      </c>
      <c r="C2318" t="s">
        <v>2283</v>
      </c>
      <c r="D2318" t="s">
        <v>2509</v>
      </c>
      <c r="E2318" t="s">
        <v>47</v>
      </c>
      <c r="F2318" t="s">
        <v>2507</v>
      </c>
      <c r="G2318" t="s">
        <v>38</v>
      </c>
      <c r="H2318" s="1">
        <v>45026.778819444444</v>
      </c>
      <c r="I2318" s="1">
        <v>45030.778819444444</v>
      </c>
      <c r="J2318" t="s">
        <v>44</v>
      </c>
      <c r="K2318" s="1"/>
      <c r="T2318">
        <v>0</v>
      </c>
      <c r="AC2318" s="2">
        <f t="shared" si="324"/>
        <v>4</v>
      </c>
      <c r="AD2318" s="2" t="str">
        <f t="shared" si="325"/>
        <v/>
      </c>
      <c r="AE2318" s="2" t="str">
        <f t="shared" si="326"/>
        <v/>
      </c>
      <c r="AF2318" s="2" t="str">
        <f t="shared" si="327"/>
        <v/>
      </c>
      <c r="AG2318" s="2" t="str">
        <f t="shared" si="328"/>
        <v/>
      </c>
      <c r="AH2318" s="4" t="str">
        <f t="shared" si="329"/>
        <v/>
      </c>
      <c r="AI2318" s="2" t="str">
        <f t="shared" si="330"/>
        <v/>
      </c>
      <c r="AJ2318" s="2" t="str">
        <f t="shared" si="331"/>
        <v/>
      </c>
      <c r="AK2318" s="2" t="str">
        <f t="shared" si="332"/>
        <v/>
      </c>
    </row>
    <row r="2319" spans="1:37" x14ac:dyDescent="0.25">
      <c r="A2319">
        <v>2430</v>
      </c>
      <c r="B2319" t="s">
        <v>2517</v>
      </c>
      <c r="C2319" t="s">
        <v>2283</v>
      </c>
      <c r="D2319" t="s">
        <v>2509</v>
      </c>
      <c r="E2319" t="s">
        <v>47</v>
      </c>
      <c r="F2319" t="s">
        <v>2507</v>
      </c>
      <c r="G2319" t="s">
        <v>38</v>
      </c>
      <c r="H2319" s="1">
        <v>44836.25509259259</v>
      </c>
      <c r="I2319" s="1">
        <v>44838.25509259259</v>
      </c>
      <c r="J2319" t="s">
        <v>32</v>
      </c>
      <c r="K2319" s="1">
        <v>44847.25509259259</v>
      </c>
      <c r="L2319" t="s">
        <v>57</v>
      </c>
      <c r="N2319" s="4">
        <v>44852.25509259259</v>
      </c>
      <c r="O2319" t="s">
        <v>57</v>
      </c>
      <c r="P2319" s="4">
        <v>44848.25509259259</v>
      </c>
      <c r="Q2319" s="4">
        <v>44851.25509259259</v>
      </c>
      <c r="R2319" s="4">
        <v>44851.25509259259</v>
      </c>
      <c r="S2319" s="4">
        <v>44860.25509259259</v>
      </c>
      <c r="T2319">
        <v>1</v>
      </c>
      <c r="U2319" s="4">
        <v>44862.25509259259</v>
      </c>
      <c r="V2319" s="4">
        <v>44865.25509259259</v>
      </c>
      <c r="W2319" s="4">
        <v>44868.25509259259</v>
      </c>
      <c r="Z2319" s="4">
        <v>44882.25509259259</v>
      </c>
      <c r="AC2319" s="2">
        <f t="shared" si="324"/>
        <v>2</v>
      </c>
      <c r="AD2319" s="2">
        <f t="shared" si="325"/>
        <v>11</v>
      </c>
      <c r="AE2319" s="2">
        <f t="shared" si="326"/>
        <v>9</v>
      </c>
      <c r="AF2319" s="2">
        <f t="shared" si="327"/>
        <v>15</v>
      </c>
      <c r="AG2319" s="2">
        <f t="shared" si="328"/>
        <v>4</v>
      </c>
      <c r="AH2319" s="4">
        <f t="shared" si="329"/>
        <v>44941.25509259259</v>
      </c>
      <c r="AI2319" s="2">
        <f t="shared" si="330"/>
        <v>2</v>
      </c>
      <c r="AJ2319" s="2">
        <f t="shared" si="331"/>
        <v>31</v>
      </c>
      <c r="AK2319" s="2">
        <f t="shared" si="332"/>
        <v>17</v>
      </c>
    </row>
    <row r="2320" spans="1:37" x14ac:dyDescent="0.25">
      <c r="A2320">
        <v>2427</v>
      </c>
      <c r="B2320" t="s">
        <v>2518</v>
      </c>
      <c r="C2320" t="s">
        <v>2283</v>
      </c>
      <c r="D2320" t="s">
        <v>2509</v>
      </c>
      <c r="E2320" t="s">
        <v>47</v>
      </c>
      <c r="F2320" t="s">
        <v>2507</v>
      </c>
      <c r="G2320" t="s">
        <v>38</v>
      </c>
      <c r="H2320" s="1">
        <v>44839.25509259259</v>
      </c>
      <c r="I2320" s="1">
        <v>44840.25509259259</v>
      </c>
      <c r="J2320" t="s">
        <v>32</v>
      </c>
      <c r="K2320" s="1">
        <v>44845.25509259259</v>
      </c>
      <c r="L2320" t="s">
        <v>57</v>
      </c>
      <c r="N2320" s="4">
        <v>44851.25509259259</v>
      </c>
      <c r="O2320" t="s">
        <v>57</v>
      </c>
      <c r="P2320" s="4">
        <v>44847.25509259259</v>
      </c>
      <c r="Q2320" s="4">
        <v>44848.25509259259</v>
      </c>
      <c r="R2320" s="4">
        <v>44849.25509259259</v>
      </c>
      <c r="S2320" s="4">
        <v>44850.25509259259</v>
      </c>
      <c r="T2320">
        <v>1</v>
      </c>
      <c r="U2320" s="4">
        <v>44853.25509259259</v>
      </c>
      <c r="V2320" s="4">
        <v>44856.25509259259</v>
      </c>
      <c r="W2320" s="4">
        <v>44859.25509259259</v>
      </c>
      <c r="Z2320" s="4">
        <v>44874.25509259259</v>
      </c>
      <c r="AC2320" s="2">
        <f t="shared" si="324"/>
        <v>1</v>
      </c>
      <c r="AD2320" s="2">
        <f t="shared" si="325"/>
        <v>6</v>
      </c>
      <c r="AE2320" s="2">
        <f t="shared" si="326"/>
        <v>5</v>
      </c>
      <c r="AF2320" s="2">
        <f t="shared" si="327"/>
        <v>10</v>
      </c>
      <c r="AG2320" s="2">
        <f t="shared" si="328"/>
        <v>4</v>
      </c>
      <c r="AH2320" s="4">
        <f t="shared" si="329"/>
        <v>44939.25509259259</v>
      </c>
      <c r="AI2320" s="2">
        <f t="shared" si="330"/>
        <v>3</v>
      </c>
      <c r="AJ2320" s="2">
        <f t="shared" si="331"/>
        <v>25</v>
      </c>
      <c r="AK2320" s="2">
        <f t="shared" si="332"/>
        <v>10</v>
      </c>
    </row>
    <row r="2321" spans="1:37" x14ac:dyDescent="0.25">
      <c r="A2321">
        <v>2137</v>
      </c>
      <c r="B2321" t="s">
        <v>2519</v>
      </c>
      <c r="C2321" t="s">
        <v>2283</v>
      </c>
      <c r="D2321" t="s">
        <v>2509</v>
      </c>
      <c r="E2321" t="s">
        <v>47</v>
      </c>
      <c r="F2321" t="s">
        <v>2507</v>
      </c>
      <c r="G2321" t="s">
        <v>38</v>
      </c>
      <c r="H2321" s="1">
        <v>44774.516493055555</v>
      </c>
      <c r="I2321" s="1">
        <v>44775.516493055555</v>
      </c>
      <c r="J2321" t="s">
        <v>44</v>
      </c>
      <c r="K2321" s="1"/>
      <c r="T2321">
        <v>0</v>
      </c>
      <c r="AC2321" s="2">
        <f t="shared" si="324"/>
        <v>1</v>
      </c>
      <c r="AD2321" s="2" t="str">
        <f t="shared" si="325"/>
        <v/>
      </c>
      <c r="AE2321" s="2" t="str">
        <f t="shared" si="326"/>
        <v/>
      </c>
      <c r="AF2321" s="2" t="str">
        <f t="shared" si="327"/>
        <v/>
      </c>
      <c r="AG2321" s="2" t="str">
        <f t="shared" si="328"/>
        <v/>
      </c>
      <c r="AH2321" s="4" t="str">
        <f t="shared" si="329"/>
        <v/>
      </c>
      <c r="AI2321" s="2" t="str">
        <f t="shared" si="330"/>
        <v/>
      </c>
      <c r="AJ2321" s="2" t="str">
        <f t="shared" si="331"/>
        <v/>
      </c>
      <c r="AK2321" s="2" t="str">
        <f t="shared" si="332"/>
        <v/>
      </c>
    </row>
    <row r="2322" spans="1:37" x14ac:dyDescent="0.25">
      <c r="A2322">
        <v>2103</v>
      </c>
      <c r="B2322" t="s">
        <v>2520</v>
      </c>
      <c r="C2322" t="s">
        <v>2283</v>
      </c>
      <c r="D2322" t="s">
        <v>2509</v>
      </c>
      <c r="E2322" t="s">
        <v>47</v>
      </c>
      <c r="F2322" t="s">
        <v>2507</v>
      </c>
      <c r="G2322" t="s">
        <v>38</v>
      </c>
      <c r="H2322" s="1">
        <v>44684.022326388891</v>
      </c>
      <c r="I2322" s="1">
        <v>44687.022326388891</v>
      </c>
      <c r="J2322" t="s">
        <v>44</v>
      </c>
      <c r="K2322" s="1"/>
      <c r="T2322">
        <v>0</v>
      </c>
      <c r="AC2322" s="2">
        <f t="shared" si="324"/>
        <v>3</v>
      </c>
      <c r="AD2322" s="2" t="str">
        <f t="shared" si="325"/>
        <v/>
      </c>
      <c r="AE2322" s="2" t="str">
        <f t="shared" si="326"/>
        <v/>
      </c>
      <c r="AF2322" s="2" t="str">
        <f t="shared" si="327"/>
        <v/>
      </c>
      <c r="AG2322" s="2" t="str">
        <f t="shared" si="328"/>
        <v/>
      </c>
      <c r="AH2322" s="4" t="str">
        <f t="shared" si="329"/>
        <v/>
      </c>
      <c r="AI2322" s="2" t="str">
        <f t="shared" si="330"/>
        <v/>
      </c>
      <c r="AJ2322" s="2" t="str">
        <f t="shared" si="331"/>
        <v/>
      </c>
      <c r="AK2322" s="2" t="str">
        <f t="shared" si="332"/>
        <v/>
      </c>
    </row>
    <row r="2323" spans="1:37" x14ac:dyDescent="0.25">
      <c r="A2323">
        <v>2099</v>
      </c>
      <c r="B2323" t="s">
        <v>2521</v>
      </c>
      <c r="C2323" t="s">
        <v>2283</v>
      </c>
      <c r="D2323" t="s">
        <v>2509</v>
      </c>
      <c r="E2323" t="s">
        <v>388</v>
      </c>
      <c r="F2323" t="s">
        <v>2306</v>
      </c>
      <c r="G2323" t="s">
        <v>38</v>
      </c>
      <c r="H2323" s="1">
        <v>44857.987488425926</v>
      </c>
      <c r="I2323" s="1">
        <v>44859.987488425926</v>
      </c>
      <c r="J2323" t="s">
        <v>32</v>
      </c>
      <c r="K2323" s="1">
        <v>44868.987488425926</v>
      </c>
      <c r="L2323" t="s">
        <v>57</v>
      </c>
      <c r="N2323" s="4">
        <v>44871.987488425926</v>
      </c>
      <c r="O2323" t="s">
        <v>57</v>
      </c>
      <c r="P2323" s="4">
        <v>44869.987488425926</v>
      </c>
      <c r="Q2323" s="4">
        <v>44870.987488425926</v>
      </c>
      <c r="R2323" s="4">
        <v>44869.987488425926</v>
      </c>
      <c r="S2323" s="4">
        <v>44872.987488425926</v>
      </c>
      <c r="T2323">
        <v>1</v>
      </c>
      <c r="U2323" s="4">
        <v>44876.987488425926</v>
      </c>
      <c r="V2323" s="4">
        <v>44879.987488425926</v>
      </c>
      <c r="W2323" s="4">
        <v>44881.987488425926</v>
      </c>
      <c r="Z2323" s="4">
        <v>44889.987488425926</v>
      </c>
      <c r="AC2323" s="2">
        <f t="shared" si="324"/>
        <v>2</v>
      </c>
      <c r="AD2323" s="2">
        <f t="shared" si="325"/>
        <v>11</v>
      </c>
      <c r="AE2323" s="2">
        <f t="shared" si="326"/>
        <v>9</v>
      </c>
      <c r="AF2323" s="2">
        <f t="shared" si="327"/>
        <v>12</v>
      </c>
      <c r="AG2323" s="2">
        <f t="shared" si="328"/>
        <v>1</v>
      </c>
      <c r="AH2323" s="4">
        <f t="shared" si="329"/>
        <v>44959.987488425926</v>
      </c>
      <c r="AI2323" s="2">
        <f t="shared" si="330"/>
        <v>4</v>
      </c>
      <c r="AJ2323" s="2">
        <f t="shared" si="331"/>
        <v>20</v>
      </c>
      <c r="AK2323" s="2">
        <f t="shared" si="332"/>
        <v>12</v>
      </c>
    </row>
    <row r="2324" spans="1:37" x14ac:dyDescent="0.25">
      <c r="A2324">
        <v>2097</v>
      </c>
      <c r="B2324" t="s">
        <v>2522</v>
      </c>
      <c r="C2324" t="s">
        <v>2283</v>
      </c>
      <c r="D2324" t="s">
        <v>2509</v>
      </c>
      <c r="E2324" t="s">
        <v>388</v>
      </c>
      <c r="F2324" t="s">
        <v>2306</v>
      </c>
      <c r="G2324" t="s">
        <v>38</v>
      </c>
      <c r="H2324" s="1">
        <v>44861.987488425926</v>
      </c>
      <c r="I2324" s="1">
        <v>44863.987488425926</v>
      </c>
      <c r="J2324" t="s">
        <v>44</v>
      </c>
      <c r="K2324" s="1"/>
      <c r="T2324">
        <v>0</v>
      </c>
      <c r="AC2324" s="2">
        <f t="shared" si="324"/>
        <v>2</v>
      </c>
      <c r="AD2324" s="2" t="str">
        <f t="shared" si="325"/>
        <v/>
      </c>
      <c r="AE2324" s="2" t="str">
        <f t="shared" si="326"/>
        <v/>
      </c>
      <c r="AF2324" s="2" t="str">
        <f t="shared" si="327"/>
        <v/>
      </c>
      <c r="AG2324" s="2" t="str">
        <f t="shared" si="328"/>
        <v/>
      </c>
      <c r="AH2324" s="4" t="str">
        <f t="shared" si="329"/>
        <v/>
      </c>
      <c r="AI2324" s="2" t="str">
        <f t="shared" si="330"/>
        <v/>
      </c>
      <c r="AJ2324" s="2" t="str">
        <f t="shared" si="331"/>
        <v/>
      </c>
      <c r="AK2324" s="2" t="str">
        <f t="shared" si="332"/>
        <v/>
      </c>
    </row>
    <row r="2325" spans="1:37" x14ac:dyDescent="0.25">
      <c r="A2325">
        <v>2034</v>
      </c>
      <c r="B2325" t="s">
        <v>2523</v>
      </c>
      <c r="C2325" t="s">
        <v>2283</v>
      </c>
      <c r="D2325" t="s">
        <v>2509</v>
      </c>
      <c r="E2325" t="s">
        <v>388</v>
      </c>
      <c r="F2325" t="s">
        <v>2306</v>
      </c>
      <c r="G2325" t="s">
        <v>38</v>
      </c>
      <c r="H2325" s="1">
        <v>44648.861122685186</v>
      </c>
      <c r="I2325" s="1">
        <v>44649.861122685186</v>
      </c>
      <c r="J2325" t="s">
        <v>32</v>
      </c>
      <c r="K2325" s="1">
        <v>44662.861122685186</v>
      </c>
      <c r="L2325" t="s">
        <v>57</v>
      </c>
      <c r="N2325" s="4">
        <v>44667.861122685186</v>
      </c>
      <c r="O2325" t="s">
        <v>57</v>
      </c>
      <c r="P2325" s="4">
        <v>44663.861122685186</v>
      </c>
      <c r="Q2325" s="4">
        <v>44667.861122685186</v>
      </c>
      <c r="R2325" s="4">
        <v>44663.861122685186</v>
      </c>
      <c r="S2325" s="4">
        <v>44665.861122685186</v>
      </c>
      <c r="T2325">
        <v>1</v>
      </c>
      <c r="U2325" s="4">
        <v>44669.861122685186</v>
      </c>
      <c r="V2325" s="4">
        <v>44672.861122685186</v>
      </c>
      <c r="W2325" s="4">
        <v>44673.861122685186</v>
      </c>
      <c r="Z2325" s="4">
        <v>44694.861122685186</v>
      </c>
      <c r="AC2325" s="2">
        <f t="shared" si="324"/>
        <v>1</v>
      </c>
      <c r="AD2325" s="2">
        <f t="shared" si="325"/>
        <v>14</v>
      </c>
      <c r="AE2325" s="2">
        <f t="shared" si="326"/>
        <v>13</v>
      </c>
      <c r="AF2325" s="2">
        <f t="shared" si="327"/>
        <v>15</v>
      </c>
      <c r="AG2325" s="2">
        <f t="shared" si="328"/>
        <v>1</v>
      </c>
      <c r="AH2325" s="4">
        <f t="shared" si="329"/>
        <v>44753.861122685186</v>
      </c>
      <c r="AI2325" s="2">
        <f t="shared" si="330"/>
        <v>4</v>
      </c>
      <c r="AJ2325" s="2">
        <f t="shared" si="331"/>
        <v>31</v>
      </c>
      <c r="AK2325" s="2">
        <f t="shared" si="332"/>
        <v>10</v>
      </c>
    </row>
    <row r="2326" spans="1:37" x14ac:dyDescent="0.25">
      <c r="A2326">
        <v>1931</v>
      </c>
      <c r="B2326" t="s">
        <v>2524</v>
      </c>
      <c r="C2326" t="s">
        <v>2283</v>
      </c>
      <c r="D2326" t="s">
        <v>2509</v>
      </c>
      <c r="E2326" t="s">
        <v>388</v>
      </c>
      <c r="F2326" t="s">
        <v>2306</v>
      </c>
      <c r="G2326" t="s">
        <v>38</v>
      </c>
      <c r="H2326" s="1">
        <v>45178.30609953704</v>
      </c>
      <c r="I2326" s="1">
        <v>45180.30609953704</v>
      </c>
      <c r="J2326" t="s">
        <v>32</v>
      </c>
      <c r="K2326" s="1">
        <v>45190.30609953704</v>
      </c>
      <c r="L2326" t="s">
        <v>57</v>
      </c>
      <c r="N2326" s="4">
        <v>45195.30609953704</v>
      </c>
      <c r="O2326" t="s">
        <v>57</v>
      </c>
      <c r="P2326" s="4">
        <v>45192.30609953704</v>
      </c>
      <c r="Q2326" s="4">
        <v>45193.30609953704</v>
      </c>
      <c r="R2326" s="4">
        <v>45192.30609953704</v>
      </c>
      <c r="S2326" s="4">
        <v>45201.30609953704</v>
      </c>
      <c r="T2326">
        <v>1</v>
      </c>
      <c r="U2326" s="4">
        <v>45203.30609953704</v>
      </c>
      <c r="V2326" s="4">
        <v>45204.30609953704</v>
      </c>
      <c r="W2326" s="4">
        <v>45205.30609953704</v>
      </c>
      <c r="Z2326" s="4">
        <v>45224.30609953704</v>
      </c>
      <c r="AC2326" s="2">
        <f t="shared" si="324"/>
        <v>2</v>
      </c>
      <c r="AD2326" s="2">
        <f t="shared" si="325"/>
        <v>12</v>
      </c>
      <c r="AE2326" s="2">
        <f t="shared" si="326"/>
        <v>10</v>
      </c>
      <c r="AF2326" s="2">
        <f t="shared" si="327"/>
        <v>14</v>
      </c>
      <c r="AG2326" s="2">
        <f t="shared" si="328"/>
        <v>2</v>
      </c>
      <c r="AH2326" s="4">
        <f t="shared" si="329"/>
        <v>45282.30609953704</v>
      </c>
      <c r="AI2326" s="2">
        <f t="shared" si="330"/>
        <v>2</v>
      </c>
      <c r="AJ2326" s="2">
        <f t="shared" si="331"/>
        <v>32</v>
      </c>
      <c r="AK2326" s="2">
        <f t="shared" si="332"/>
        <v>13</v>
      </c>
    </row>
    <row r="2327" spans="1:37" x14ac:dyDescent="0.25">
      <c r="A2327">
        <v>1691</v>
      </c>
      <c r="B2327" t="s">
        <v>2525</v>
      </c>
      <c r="C2327" t="s">
        <v>2283</v>
      </c>
      <c r="D2327" t="s">
        <v>2509</v>
      </c>
      <c r="E2327" t="s">
        <v>388</v>
      </c>
      <c r="F2327" t="s">
        <v>2306</v>
      </c>
      <c r="G2327" t="s">
        <v>38</v>
      </c>
      <c r="H2327" s="1">
        <v>44979.764687499999</v>
      </c>
      <c r="I2327" s="1">
        <v>44983.764687499999</v>
      </c>
      <c r="J2327" t="s">
        <v>44</v>
      </c>
      <c r="K2327" s="1"/>
      <c r="T2327">
        <v>0</v>
      </c>
      <c r="AC2327" s="2">
        <f t="shared" si="324"/>
        <v>4</v>
      </c>
      <c r="AD2327" s="2" t="str">
        <f t="shared" si="325"/>
        <v/>
      </c>
      <c r="AE2327" s="2" t="str">
        <f t="shared" si="326"/>
        <v/>
      </c>
      <c r="AF2327" s="2" t="str">
        <f t="shared" si="327"/>
        <v/>
      </c>
      <c r="AG2327" s="2" t="str">
        <f t="shared" si="328"/>
        <v/>
      </c>
      <c r="AH2327" s="4" t="str">
        <f t="shared" si="329"/>
        <v/>
      </c>
      <c r="AI2327" s="2" t="str">
        <f t="shared" si="330"/>
        <v/>
      </c>
      <c r="AJ2327" s="2" t="str">
        <f t="shared" si="331"/>
        <v/>
      </c>
      <c r="AK2327" s="2" t="str">
        <f t="shared" si="332"/>
        <v/>
      </c>
    </row>
    <row r="2328" spans="1:37" x14ac:dyDescent="0.25">
      <c r="A2328">
        <v>1556</v>
      </c>
      <c r="B2328" t="s">
        <v>2526</v>
      </c>
      <c r="C2328" t="s">
        <v>2283</v>
      </c>
      <c r="D2328" t="s">
        <v>2509</v>
      </c>
      <c r="E2328" t="s">
        <v>388</v>
      </c>
      <c r="F2328" t="s">
        <v>2306</v>
      </c>
      <c r="G2328" t="s">
        <v>38</v>
      </c>
      <c r="H2328" s="1">
        <v>44903.597222222219</v>
      </c>
      <c r="I2328" s="1">
        <v>44904.597222222219</v>
      </c>
      <c r="J2328" t="s">
        <v>44</v>
      </c>
      <c r="K2328" s="1"/>
      <c r="T2328">
        <v>0</v>
      </c>
      <c r="AC2328" s="2">
        <f t="shared" si="324"/>
        <v>1</v>
      </c>
      <c r="AD2328" s="2" t="str">
        <f t="shared" si="325"/>
        <v/>
      </c>
      <c r="AE2328" s="2" t="str">
        <f t="shared" si="326"/>
        <v/>
      </c>
      <c r="AF2328" s="2" t="str">
        <f t="shared" si="327"/>
        <v/>
      </c>
      <c r="AG2328" s="2" t="str">
        <f t="shared" si="328"/>
        <v/>
      </c>
      <c r="AH2328" s="4" t="str">
        <f t="shared" si="329"/>
        <v/>
      </c>
      <c r="AI2328" s="2" t="str">
        <f t="shared" si="330"/>
        <v/>
      </c>
      <c r="AJ2328" s="2" t="str">
        <f t="shared" si="331"/>
        <v/>
      </c>
      <c r="AK2328" s="2" t="str">
        <f t="shared" si="332"/>
        <v/>
      </c>
    </row>
    <row r="2329" spans="1:37" x14ac:dyDescent="0.25">
      <c r="A2329">
        <v>1233</v>
      </c>
      <c r="B2329" t="s">
        <v>2527</v>
      </c>
      <c r="C2329" t="s">
        <v>2283</v>
      </c>
      <c r="D2329" t="s">
        <v>2509</v>
      </c>
      <c r="E2329" t="s">
        <v>388</v>
      </c>
      <c r="F2329" t="s">
        <v>2306</v>
      </c>
      <c r="G2329" t="s">
        <v>38</v>
      </c>
      <c r="H2329" s="1">
        <v>44979.728877314818</v>
      </c>
      <c r="I2329" s="1">
        <v>44982.728877314818</v>
      </c>
      <c r="J2329" t="s">
        <v>44</v>
      </c>
      <c r="K2329" s="1"/>
      <c r="T2329">
        <v>0</v>
      </c>
      <c r="AC2329" s="2">
        <f t="shared" si="324"/>
        <v>3</v>
      </c>
      <c r="AD2329" s="2" t="str">
        <f t="shared" si="325"/>
        <v/>
      </c>
      <c r="AE2329" s="2" t="str">
        <f t="shared" si="326"/>
        <v/>
      </c>
      <c r="AF2329" s="2" t="str">
        <f t="shared" si="327"/>
        <v/>
      </c>
      <c r="AG2329" s="2" t="str">
        <f t="shared" si="328"/>
        <v/>
      </c>
      <c r="AH2329" s="4" t="str">
        <f t="shared" si="329"/>
        <v/>
      </c>
      <c r="AI2329" s="2" t="str">
        <f t="shared" si="330"/>
        <v/>
      </c>
      <c r="AJ2329" s="2" t="str">
        <f t="shared" si="331"/>
        <v/>
      </c>
      <c r="AK2329" s="2" t="str">
        <f t="shared" si="332"/>
        <v/>
      </c>
    </row>
    <row r="2330" spans="1:37" x14ac:dyDescent="0.25">
      <c r="A2330">
        <v>1230</v>
      </c>
      <c r="B2330" t="s">
        <v>2528</v>
      </c>
      <c r="C2330" t="s">
        <v>2283</v>
      </c>
      <c r="D2330" t="s">
        <v>2509</v>
      </c>
      <c r="E2330" t="s">
        <v>388</v>
      </c>
      <c r="F2330" t="s">
        <v>2306</v>
      </c>
      <c r="G2330" t="s">
        <v>38</v>
      </c>
      <c r="H2330" s="1">
        <v>44732.14203703704</v>
      </c>
      <c r="I2330" s="1">
        <v>44735.14203703704</v>
      </c>
      <c r="J2330" t="s">
        <v>32</v>
      </c>
      <c r="K2330" s="1">
        <v>44746.14203703704</v>
      </c>
      <c r="L2330" t="s">
        <v>57</v>
      </c>
      <c r="N2330" s="4">
        <v>44753.14203703704</v>
      </c>
      <c r="O2330" t="s">
        <v>57</v>
      </c>
      <c r="P2330" s="4">
        <v>44747.14203703704</v>
      </c>
      <c r="Q2330" s="4">
        <v>44748.14203703704</v>
      </c>
      <c r="R2330" s="4">
        <v>44749.14203703704</v>
      </c>
      <c r="S2330" s="4">
        <v>44755.14203703704</v>
      </c>
      <c r="T2330">
        <v>1</v>
      </c>
      <c r="U2330" s="4">
        <v>44756.14203703704</v>
      </c>
      <c r="V2330" s="4">
        <v>44759.14203703704</v>
      </c>
      <c r="W2330" s="4">
        <v>44762.14203703704</v>
      </c>
      <c r="Z2330" s="4">
        <v>44782.14203703704</v>
      </c>
      <c r="AC2330" s="2">
        <f t="shared" si="324"/>
        <v>3</v>
      </c>
      <c r="AD2330" s="2">
        <f t="shared" si="325"/>
        <v>14</v>
      </c>
      <c r="AE2330" s="2">
        <f t="shared" si="326"/>
        <v>11</v>
      </c>
      <c r="AF2330" s="2">
        <f t="shared" si="327"/>
        <v>17</v>
      </c>
      <c r="AG2330" s="2">
        <f t="shared" si="328"/>
        <v>3</v>
      </c>
      <c r="AH2330" s="4">
        <f t="shared" si="329"/>
        <v>44839.14203703704</v>
      </c>
      <c r="AI2330" s="2">
        <f t="shared" si="330"/>
        <v>1</v>
      </c>
      <c r="AJ2330" s="2">
        <f t="shared" si="331"/>
        <v>33</v>
      </c>
      <c r="AK2330" s="2">
        <f t="shared" si="332"/>
        <v>13</v>
      </c>
    </row>
    <row r="2331" spans="1:37" x14ac:dyDescent="0.25">
      <c r="A2331">
        <v>1206</v>
      </c>
      <c r="B2331" t="s">
        <v>2529</v>
      </c>
      <c r="C2331" t="s">
        <v>2283</v>
      </c>
      <c r="D2331" t="s">
        <v>2509</v>
      </c>
      <c r="E2331" t="s">
        <v>388</v>
      </c>
      <c r="F2331" t="s">
        <v>2306</v>
      </c>
      <c r="G2331" t="s">
        <v>38</v>
      </c>
      <c r="H2331" s="1">
        <v>44763.205266203702</v>
      </c>
      <c r="I2331" s="1">
        <v>44764.205266203702</v>
      </c>
      <c r="J2331" t="s">
        <v>32</v>
      </c>
      <c r="K2331" s="1">
        <v>44786.205266203702</v>
      </c>
      <c r="L2331" t="s">
        <v>57</v>
      </c>
      <c r="N2331" s="4">
        <v>44791.205266203702</v>
      </c>
      <c r="O2331" t="s">
        <v>57</v>
      </c>
      <c r="P2331" s="4">
        <v>44787.205266203702</v>
      </c>
      <c r="Q2331" s="4">
        <v>44790.205266203702</v>
      </c>
      <c r="R2331" s="4">
        <v>44790.205266203702</v>
      </c>
      <c r="S2331" s="4">
        <v>44793.205266203702</v>
      </c>
      <c r="T2331">
        <v>1</v>
      </c>
      <c r="U2331" s="4">
        <v>44795.205266203702</v>
      </c>
      <c r="V2331" s="4">
        <v>44797.205266203702</v>
      </c>
      <c r="W2331" s="4">
        <v>44799.205266203702</v>
      </c>
      <c r="Z2331" s="4">
        <v>44808.205266203702</v>
      </c>
      <c r="AC2331" s="2">
        <f t="shared" si="324"/>
        <v>1</v>
      </c>
      <c r="AD2331" s="2">
        <f t="shared" si="325"/>
        <v>23</v>
      </c>
      <c r="AE2331" s="2">
        <f t="shared" si="326"/>
        <v>22</v>
      </c>
      <c r="AF2331" s="2">
        <f t="shared" si="327"/>
        <v>27</v>
      </c>
      <c r="AG2331" s="2">
        <f t="shared" si="328"/>
        <v>4</v>
      </c>
      <c r="AH2331" s="4">
        <f t="shared" si="329"/>
        <v>44880.205266203702</v>
      </c>
      <c r="AI2331" s="2">
        <f t="shared" si="330"/>
        <v>2</v>
      </c>
      <c r="AJ2331" s="2">
        <f t="shared" si="331"/>
        <v>18</v>
      </c>
      <c r="AK2331" s="2">
        <f t="shared" si="332"/>
        <v>9</v>
      </c>
    </row>
    <row r="2332" spans="1:37" x14ac:dyDescent="0.25">
      <c r="A2332">
        <v>1193</v>
      </c>
      <c r="B2332" t="s">
        <v>2530</v>
      </c>
      <c r="C2332" t="s">
        <v>2283</v>
      </c>
      <c r="D2332" t="s">
        <v>2509</v>
      </c>
      <c r="E2332" t="s">
        <v>388</v>
      </c>
      <c r="F2332" t="s">
        <v>2306</v>
      </c>
      <c r="G2332" t="s">
        <v>38</v>
      </c>
      <c r="H2332" s="1">
        <v>44768.966006944444</v>
      </c>
      <c r="I2332" s="1">
        <v>44769.966006944444</v>
      </c>
      <c r="J2332" t="s">
        <v>32</v>
      </c>
      <c r="K2332" s="1">
        <v>44779.966006944444</v>
      </c>
      <c r="L2332" t="s">
        <v>57</v>
      </c>
      <c r="N2332" s="4">
        <v>44785.966006944444</v>
      </c>
      <c r="O2332" t="s">
        <v>57</v>
      </c>
      <c r="P2332" s="4">
        <v>44780.966006944444</v>
      </c>
      <c r="Q2332" s="4">
        <v>44782.966006944444</v>
      </c>
      <c r="R2332" s="4">
        <v>44783.966006944444</v>
      </c>
      <c r="S2332" s="4">
        <v>44790.966006944444</v>
      </c>
      <c r="T2332">
        <v>1</v>
      </c>
      <c r="U2332" s="4">
        <v>44794.966006944444</v>
      </c>
      <c r="V2332" s="4">
        <v>44796.966006944444</v>
      </c>
      <c r="W2332" s="4">
        <v>44799.966006944444</v>
      </c>
      <c r="Z2332" s="4">
        <v>44814.966006944444</v>
      </c>
      <c r="AC2332" s="2">
        <f t="shared" si="324"/>
        <v>1</v>
      </c>
      <c r="AD2332" s="2">
        <f t="shared" si="325"/>
        <v>11</v>
      </c>
      <c r="AE2332" s="2">
        <f t="shared" si="326"/>
        <v>10</v>
      </c>
      <c r="AF2332" s="2">
        <f t="shared" si="327"/>
        <v>15</v>
      </c>
      <c r="AG2332" s="2">
        <f t="shared" si="328"/>
        <v>4</v>
      </c>
      <c r="AH2332" s="4">
        <f t="shared" si="329"/>
        <v>44873.966006944444</v>
      </c>
      <c r="AI2332" s="2">
        <f t="shared" si="330"/>
        <v>4</v>
      </c>
      <c r="AJ2332" s="2">
        <f t="shared" si="331"/>
        <v>31</v>
      </c>
      <c r="AK2332" s="2">
        <f t="shared" si="332"/>
        <v>16</v>
      </c>
    </row>
    <row r="2333" spans="1:37" x14ac:dyDescent="0.25">
      <c r="A2333">
        <v>1175</v>
      </c>
      <c r="B2333" t="s">
        <v>2531</v>
      </c>
      <c r="C2333" t="s">
        <v>2283</v>
      </c>
      <c r="D2333" t="s">
        <v>2509</v>
      </c>
      <c r="E2333" t="s">
        <v>388</v>
      </c>
      <c r="F2333" t="s">
        <v>2306</v>
      </c>
      <c r="G2333" t="s">
        <v>38</v>
      </c>
      <c r="H2333" s="1">
        <v>45061.041770833333</v>
      </c>
      <c r="I2333" s="1">
        <v>45064.041770833333</v>
      </c>
      <c r="J2333" t="s">
        <v>32</v>
      </c>
      <c r="K2333" s="1">
        <v>45072.041770833333</v>
      </c>
      <c r="L2333" t="s">
        <v>57</v>
      </c>
      <c r="N2333" s="4">
        <v>45078.041770833333</v>
      </c>
      <c r="O2333" t="s">
        <v>57</v>
      </c>
      <c r="P2333" s="4">
        <v>45074.041770833333</v>
      </c>
      <c r="Q2333" s="4">
        <v>45077.041770833333</v>
      </c>
      <c r="R2333" s="4">
        <v>45074.041770833333</v>
      </c>
      <c r="S2333" s="4">
        <v>45080.041770833333</v>
      </c>
      <c r="T2333">
        <v>1</v>
      </c>
      <c r="U2333" s="4">
        <v>45082.041770833333</v>
      </c>
      <c r="V2333" s="4">
        <v>45084.041770833333</v>
      </c>
      <c r="W2333" s="4">
        <v>45087.041770833333</v>
      </c>
      <c r="Z2333" s="4">
        <v>45094.041770833333</v>
      </c>
      <c r="AC2333" s="2">
        <f t="shared" si="324"/>
        <v>3</v>
      </c>
      <c r="AD2333" s="2">
        <f t="shared" si="325"/>
        <v>11</v>
      </c>
      <c r="AE2333" s="2">
        <f t="shared" si="326"/>
        <v>8</v>
      </c>
      <c r="AF2333" s="2">
        <f t="shared" si="327"/>
        <v>13</v>
      </c>
      <c r="AG2333" s="2">
        <f t="shared" si="328"/>
        <v>2</v>
      </c>
      <c r="AH2333" s="4">
        <f t="shared" si="329"/>
        <v>45164.041770833333</v>
      </c>
      <c r="AI2333" s="2">
        <f t="shared" si="330"/>
        <v>2</v>
      </c>
      <c r="AJ2333" s="2">
        <f t="shared" si="331"/>
        <v>20</v>
      </c>
      <c r="AK2333" s="2">
        <f t="shared" si="332"/>
        <v>13</v>
      </c>
    </row>
    <row r="2334" spans="1:37" x14ac:dyDescent="0.25">
      <c r="A2334">
        <v>1172</v>
      </c>
      <c r="B2334" t="s">
        <v>2532</v>
      </c>
      <c r="C2334" t="s">
        <v>2283</v>
      </c>
      <c r="D2334" t="s">
        <v>2509</v>
      </c>
      <c r="E2334" t="s">
        <v>388</v>
      </c>
      <c r="F2334" t="s">
        <v>2306</v>
      </c>
      <c r="G2334" t="s">
        <v>38</v>
      </c>
      <c r="H2334" s="1">
        <v>45060.041770833333</v>
      </c>
      <c r="I2334" s="1">
        <v>45062.041770833333</v>
      </c>
      <c r="J2334" t="s">
        <v>44</v>
      </c>
      <c r="K2334" s="1"/>
      <c r="T2334">
        <v>0</v>
      </c>
      <c r="AC2334" s="2">
        <f t="shared" si="324"/>
        <v>2</v>
      </c>
      <c r="AD2334" s="2" t="str">
        <f t="shared" si="325"/>
        <v/>
      </c>
      <c r="AE2334" s="2" t="str">
        <f t="shared" si="326"/>
        <v/>
      </c>
      <c r="AF2334" s="2" t="str">
        <f t="shared" si="327"/>
        <v/>
      </c>
      <c r="AG2334" s="2" t="str">
        <f t="shared" si="328"/>
        <v/>
      </c>
      <c r="AH2334" s="4" t="str">
        <f t="shared" si="329"/>
        <v/>
      </c>
      <c r="AI2334" s="2" t="str">
        <f t="shared" si="330"/>
        <v/>
      </c>
      <c r="AJ2334" s="2" t="str">
        <f t="shared" si="331"/>
        <v/>
      </c>
      <c r="AK2334" s="2" t="str">
        <f t="shared" si="332"/>
        <v/>
      </c>
    </row>
    <row r="2335" spans="1:37" x14ac:dyDescent="0.25">
      <c r="A2335">
        <v>925</v>
      </c>
      <c r="B2335" t="s">
        <v>2533</v>
      </c>
      <c r="C2335" t="s">
        <v>2283</v>
      </c>
      <c r="D2335" t="s">
        <v>2509</v>
      </c>
      <c r="E2335" t="s">
        <v>388</v>
      </c>
      <c r="F2335" t="s">
        <v>2306</v>
      </c>
      <c r="G2335" t="s">
        <v>38</v>
      </c>
      <c r="H2335" s="1">
        <v>45074.494004629632</v>
      </c>
      <c r="I2335" s="1">
        <v>45078.494004629632</v>
      </c>
      <c r="J2335" t="s">
        <v>32</v>
      </c>
      <c r="K2335" s="1">
        <v>45092.494004629632</v>
      </c>
      <c r="L2335" t="s">
        <v>33</v>
      </c>
      <c r="M2335" t="s">
        <v>34</v>
      </c>
      <c r="R2335" s="4">
        <v>45093.494004629632</v>
      </c>
      <c r="T2335">
        <v>0</v>
      </c>
      <c r="Y2335" t="s">
        <v>35</v>
      </c>
      <c r="AC2335" s="2">
        <f t="shared" si="324"/>
        <v>4</v>
      </c>
      <c r="AD2335" s="2">
        <f t="shared" si="325"/>
        <v>18</v>
      </c>
      <c r="AE2335" s="2">
        <f t="shared" si="326"/>
        <v>14</v>
      </c>
      <c r="AF2335" s="2">
        <f t="shared" si="327"/>
        <v>19</v>
      </c>
      <c r="AG2335" s="2">
        <f t="shared" si="328"/>
        <v>1</v>
      </c>
      <c r="AH2335" s="4">
        <f t="shared" si="329"/>
        <v>45183.494004629632</v>
      </c>
      <c r="AI2335" s="2" t="str">
        <f t="shared" si="330"/>
        <v/>
      </c>
      <c r="AJ2335" s="2" t="str">
        <f t="shared" si="331"/>
        <v/>
      </c>
      <c r="AK2335" s="2" t="str">
        <f t="shared" si="332"/>
        <v/>
      </c>
    </row>
    <row r="2336" spans="1:37" x14ac:dyDescent="0.25">
      <c r="A2336">
        <v>807</v>
      </c>
      <c r="B2336" t="s">
        <v>2534</v>
      </c>
      <c r="C2336" t="s">
        <v>2283</v>
      </c>
      <c r="D2336" t="s">
        <v>2509</v>
      </c>
      <c r="E2336" t="s">
        <v>388</v>
      </c>
      <c r="F2336" t="s">
        <v>2306</v>
      </c>
      <c r="G2336" t="s">
        <v>38</v>
      </c>
      <c r="H2336" s="1">
        <v>44939.903796296298</v>
      </c>
      <c r="I2336" s="1">
        <v>44940.903796296298</v>
      </c>
      <c r="J2336" t="s">
        <v>44</v>
      </c>
      <c r="K2336" s="1"/>
      <c r="T2336">
        <v>0</v>
      </c>
      <c r="AC2336" s="2">
        <f t="shared" si="324"/>
        <v>1</v>
      </c>
      <c r="AD2336" s="2" t="str">
        <f t="shared" si="325"/>
        <v/>
      </c>
      <c r="AE2336" s="2" t="str">
        <f t="shared" si="326"/>
        <v/>
      </c>
      <c r="AF2336" s="2" t="str">
        <f t="shared" si="327"/>
        <v/>
      </c>
      <c r="AG2336" s="2" t="str">
        <f t="shared" si="328"/>
        <v/>
      </c>
      <c r="AH2336" s="4" t="str">
        <f t="shared" si="329"/>
        <v/>
      </c>
      <c r="AI2336" s="2" t="str">
        <f t="shared" si="330"/>
        <v/>
      </c>
      <c r="AJ2336" s="2" t="str">
        <f t="shared" si="331"/>
        <v/>
      </c>
      <c r="AK2336" s="2" t="str">
        <f t="shared" si="332"/>
        <v/>
      </c>
    </row>
    <row r="2337" spans="1:37" x14ac:dyDescent="0.25">
      <c r="A2337">
        <v>780</v>
      </c>
      <c r="B2337" t="s">
        <v>2535</v>
      </c>
      <c r="C2337" t="s">
        <v>2283</v>
      </c>
      <c r="D2337" t="s">
        <v>2509</v>
      </c>
      <c r="E2337" t="s">
        <v>388</v>
      </c>
      <c r="F2337" t="s">
        <v>2306</v>
      </c>
      <c r="G2337" t="s">
        <v>38</v>
      </c>
      <c r="H2337" s="1">
        <v>45007.397060185183</v>
      </c>
      <c r="I2337" s="1">
        <v>45009.397060185183</v>
      </c>
      <c r="J2337" t="s">
        <v>32</v>
      </c>
      <c r="K2337" s="1">
        <v>45017.397060185183</v>
      </c>
      <c r="L2337" t="s">
        <v>33</v>
      </c>
      <c r="M2337" t="s">
        <v>108</v>
      </c>
      <c r="R2337" s="4">
        <v>45019.397060185183</v>
      </c>
      <c r="T2337">
        <v>0</v>
      </c>
      <c r="Y2337" t="s">
        <v>55</v>
      </c>
      <c r="AC2337" s="2">
        <f t="shared" si="324"/>
        <v>2</v>
      </c>
      <c r="AD2337" s="2">
        <f t="shared" si="325"/>
        <v>10</v>
      </c>
      <c r="AE2337" s="2">
        <f t="shared" si="326"/>
        <v>8</v>
      </c>
      <c r="AF2337" s="2">
        <f t="shared" si="327"/>
        <v>12</v>
      </c>
      <c r="AG2337" s="2">
        <f t="shared" si="328"/>
        <v>2</v>
      </c>
      <c r="AH2337" s="4">
        <f t="shared" si="329"/>
        <v>45109.397060185183</v>
      </c>
      <c r="AI2337" s="2" t="str">
        <f t="shared" si="330"/>
        <v/>
      </c>
      <c r="AJ2337" s="2" t="str">
        <f t="shared" si="331"/>
        <v/>
      </c>
      <c r="AK2337" s="2" t="str">
        <f t="shared" si="332"/>
        <v/>
      </c>
    </row>
    <row r="2338" spans="1:37" x14ac:dyDescent="0.25">
      <c r="A2338">
        <v>667</v>
      </c>
      <c r="B2338" t="s">
        <v>2536</v>
      </c>
      <c r="C2338" t="s">
        <v>2283</v>
      </c>
      <c r="D2338" t="s">
        <v>2509</v>
      </c>
      <c r="E2338" t="s">
        <v>388</v>
      </c>
      <c r="F2338" t="s">
        <v>2306</v>
      </c>
      <c r="G2338" t="s">
        <v>38</v>
      </c>
      <c r="H2338" s="1">
        <v>44566.204074074078</v>
      </c>
      <c r="I2338" s="1">
        <v>44570.204074074078</v>
      </c>
      <c r="J2338" t="s">
        <v>32</v>
      </c>
      <c r="K2338" s="1">
        <v>44588.204074074078</v>
      </c>
      <c r="L2338" t="s">
        <v>33</v>
      </c>
      <c r="M2338" t="s">
        <v>34</v>
      </c>
      <c r="R2338" s="4">
        <v>44590.204074074078</v>
      </c>
      <c r="T2338">
        <v>0</v>
      </c>
      <c r="Y2338" t="s">
        <v>35</v>
      </c>
      <c r="AC2338" s="2">
        <f t="shared" si="324"/>
        <v>4</v>
      </c>
      <c r="AD2338" s="2">
        <f t="shared" si="325"/>
        <v>22</v>
      </c>
      <c r="AE2338" s="2">
        <f t="shared" si="326"/>
        <v>18</v>
      </c>
      <c r="AF2338" s="2">
        <f t="shared" si="327"/>
        <v>24</v>
      </c>
      <c r="AG2338" s="2">
        <f t="shared" si="328"/>
        <v>2</v>
      </c>
      <c r="AH2338" s="4">
        <f t="shared" si="329"/>
        <v>44680.204074074078</v>
      </c>
      <c r="AI2338" s="2" t="str">
        <f t="shared" si="330"/>
        <v/>
      </c>
      <c r="AJ2338" s="2" t="str">
        <f t="shared" si="331"/>
        <v/>
      </c>
      <c r="AK2338" s="2" t="str">
        <f t="shared" si="332"/>
        <v/>
      </c>
    </row>
    <row r="2339" spans="1:37" x14ac:dyDescent="0.25">
      <c r="A2339">
        <v>627</v>
      </c>
      <c r="B2339" t="s">
        <v>2537</v>
      </c>
      <c r="C2339" t="s">
        <v>2283</v>
      </c>
      <c r="D2339" t="s">
        <v>2509</v>
      </c>
      <c r="E2339" t="s">
        <v>388</v>
      </c>
      <c r="F2339" t="s">
        <v>2306</v>
      </c>
      <c r="G2339" t="s">
        <v>38</v>
      </c>
      <c r="H2339" s="1">
        <v>44993.828541666669</v>
      </c>
      <c r="I2339" s="1">
        <v>44994.828541666669</v>
      </c>
      <c r="J2339" t="s">
        <v>32</v>
      </c>
      <c r="K2339" s="1">
        <v>45011.828541666669</v>
      </c>
      <c r="L2339" t="s">
        <v>33</v>
      </c>
      <c r="M2339" t="s">
        <v>34</v>
      </c>
      <c r="T2339">
        <v>0</v>
      </c>
      <c r="Y2339" t="s">
        <v>35</v>
      </c>
      <c r="AC2339" s="2">
        <f t="shared" si="324"/>
        <v>1</v>
      </c>
      <c r="AD2339" s="2">
        <f t="shared" si="325"/>
        <v>18</v>
      </c>
      <c r="AE2339" s="2">
        <f t="shared" si="326"/>
        <v>17</v>
      </c>
      <c r="AF2339" s="2" t="str">
        <f t="shared" si="327"/>
        <v/>
      </c>
      <c r="AG2339" s="2" t="str">
        <f t="shared" si="328"/>
        <v/>
      </c>
      <c r="AH2339" s="4" t="str">
        <f t="shared" si="329"/>
        <v/>
      </c>
      <c r="AI2339" s="2" t="str">
        <f t="shared" si="330"/>
        <v/>
      </c>
      <c r="AJ2339" s="2" t="str">
        <f t="shared" si="331"/>
        <v/>
      </c>
      <c r="AK2339" s="2" t="str">
        <f t="shared" si="332"/>
        <v/>
      </c>
    </row>
    <row r="2340" spans="1:37" x14ac:dyDescent="0.25">
      <c r="A2340">
        <v>621</v>
      </c>
      <c r="B2340" t="s">
        <v>2538</v>
      </c>
      <c r="C2340" t="s">
        <v>2283</v>
      </c>
      <c r="D2340" t="s">
        <v>2509</v>
      </c>
      <c r="E2340" t="s">
        <v>388</v>
      </c>
      <c r="F2340" t="s">
        <v>2306</v>
      </c>
      <c r="G2340" t="s">
        <v>38</v>
      </c>
      <c r="H2340" s="1">
        <v>44992.828541666669</v>
      </c>
      <c r="I2340" s="1">
        <v>44995.828541666669</v>
      </c>
      <c r="J2340" t="s">
        <v>32</v>
      </c>
      <c r="K2340" s="1">
        <v>45005.828541666669</v>
      </c>
      <c r="L2340" t="s">
        <v>57</v>
      </c>
      <c r="N2340" s="4">
        <v>45010.828541666669</v>
      </c>
      <c r="O2340" t="s">
        <v>57</v>
      </c>
      <c r="P2340" s="4">
        <v>45006.828541666669</v>
      </c>
      <c r="Q2340" s="4">
        <v>45009.828541666669</v>
      </c>
      <c r="R2340" s="4">
        <v>45008.828541666669</v>
      </c>
      <c r="S2340" s="4">
        <v>45012.828541666669</v>
      </c>
      <c r="T2340">
        <v>1</v>
      </c>
      <c r="U2340" s="4">
        <v>45013.828541666669</v>
      </c>
      <c r="V2340" s="4">
        <v>45016.828541666669</v>
      </c>
      <c r="W2340" s="4">
        <v>45019.828541666669</v>
      </c>
      <c r="Z2340" s="4">
        <v>45037.828541666669</v>
      </c>
      <c r="AC2340" s="2">
        <f t="shared" si="324"/>
        <v>3</v>
      </c>
      <c r="AD2340" s="2">
        <f t="shared" si="325"/>
        <v>13</v>
      </c>
      <c r="AE2340" s="2">
        <f t="shared" si="326"/>
        <v>10</v>
      </c>
      <c r="AF2340" s="2">
        <f t="shared" si="327"/>
        <v>16</v>
      </c>
      <c r="AG2340" s="2">
        <f t="shared" si="328"/>
        <v>3</v>
      </c>
      <c r="AH2340" s="4">
        <f t="shared" si="329"/>
        <v>45098.828541666669</v>
      </c>
      <c r="AI2340" s="2">
        <f t="shared" si="330"/>
        <v>1</v>
      </c>
      <c r="AJ2340" s="2">
        <f t="shared" si="331"/>
        <v>29</v>
      </c>
      <c r="AK2340" s="2">
        <f t="shared" si="332"/>
        <v>11</v>
      </c>
    </row>
    <row r="2341" spans="1:37" x14ac:dyDescent="0.25">
      <c r="A2341">
        <v>531</v>
      </c>
      <c r="B2341" t="s">
        <v>2539</v>
      </c>
      <c r="C2341" t="s">
        <v>2283</v>
      </c>
      <c r="D2341" t="s">
        <v>2509</v>
      </c>
      <c r="E2341" t="s">
        <v>388</v>
      </c>
      <c r="F2341" t="s">
        <v>2306</v>
      </c>
      <c r="G2341" t="s">
        <v>38</v>
      </c>
      <c r="H2341" s="1">
        <v>44576.271180555559</v>
      </c>
      <c r="I2341" s="1">
        <v>44577.271180555559</v>
      </c>
      <c r="J2341" t="s">
        <v>32</v>
      </c>
      <c r="K2341" s="1">
        <v>44580.271180555559</v>
      </c>
      <c r="L2341" t="s">
        <v>33</v>
      </c>
      <c r="M2341" t="s">
        <v>92</v>
      </c>
      <c r="R2341" s="4">
        <v>44581.271180555559</v>
      </c>
      <c r="T2341">
        <v>0</v>
      </c>
      <c r="Y2341" t="s">
        <v>55</v>
      </c>
      <c r="AC2341" s="2">
        <f t="shared" si="324"/>
        <v>1</v>
      </c>
      <c r="AD2341" s="2">
        <f t="shared" si="325"/>
        <v>4</v>
      </c>
      <c r="AE2341" s="2">
        <f t="shared" si="326"/>
        <v>3</v>
      </c>
      <c r="AF2341" s="2">
        <f t="shared" si="327"/>
        <v>5</v>
      </c>
      <c r="AG2341" s="2">
        <f t="shared" si="328"/>
        <v>1</v>
      </c>
      <c r="AH2341" s="4">
        <f t="shared" si="329"/>
        <v>44671.271180555559</v>
      </c>
      <c r="AI2341" s="2" t="str">
        <f t="shared" si="330"/>
        <v/>
      </c>
      <c r="AJ2341" s="2" t="str">
        <f t="shared" si="331"/>
        <v/>
      </c>
      <c r="AK2341" s="2" t="str">
        <f t="shared" si="332"/>
        <v/>
      </c>
    </row>
    <row r="2342" spans="1:37" x14ac:dyDescent="0.25">
      <c r="A2342">
        <v>510</v>
      </c>
      <c r="B2342" t="s">
        <v>2540</v>
      </c>
      <c r="C2342" t="s">
        <v>2283</v>
      </c>
      <c r="D2342" t="s">
        <v>2509</v>
      </c>
      <c r="E2342" t="s">
        <v>29</v>
      </c>
      <c r="F2342" t="s">
        <v>2454</v>
      </c>
      <c r="G2342" t="s">
        <v>38</v>
      </c>
      <c r="H2342" s="1">
        <v>44742.103750000002</v>
      </c>
      <c r="I2342" s="1">
        <v>44745.103750000002</v>
      </c>
      <c r="J2342" t="s">
        <v>32</v>
      </c>
      <c r="K2342" s="1">
        <v>44764.103750000002</v>
      </c>
      <c r="L2342" t="s">
        <v>33</v>
      </c>
      <c r="M2342" t="s">
        <v>92</v>
      </c>
      <c r="R2342" s="4">
        <v>44767.103750000002</v>
      </c>
      <c r="T2342">
        <v>0</v>
      </c>
      <c r="Y2342" t="s">
        <v>35</v>
      </c>
      <c r="AC2342" s="2">
        <f t="shared" si="324"/>
        <v>3</v>
      </c>
      <c r="AD2342" s="2">
        <f t="shared" si="325"/>
        <v>22</v>
      </c>
      <c r="AE2342" s="2">
        <f t="shared" si="326"/>
        <v>19</v>
      </c>
      <c r="AF2342" s="2">
        <f t="shared" si="327"/>
        <v>25</v>
      </c>
      <c r="AG2342" s="2">
        <f t="shared" si="328"/>
        <v>3</v>
      </c>
      <c r="AH2342" s="4">
        <f t="shared" si="329"/>
        <v>44857.103750000002</v>
      </c>
      <c r="AI2342" s="2" t="str">
        <f t="shared" si="330"/>
        <v/>
      </c>
      <c r="AJ2342" s="2" t="str">
        <f t="shared" si="331"/>
        <v/>
      </c>
      <c r="AK2342" s="2" t="str">
        <f t="shared" si="332"/>
        <v/>
      </c>
    </row>
    <row r="2343" spans="1:37" x14ac:dyDescent="0.25">
      <c r="A2343">
        <v>430</v>
      </c>
      <c r="B2343" t="s">
        <v>2541</v>
      </c>
      <c r="C2343" t="s">
        <v>2283</v>
      </c>
      <c r="D2343" t="s">
        <v>2509</v>
      </c>
      <c r="E2343" t="s">
        <v>29</v>
      </c>
      <c r="F2343" t="s">
        <v>2454</v>
      </c>
      <c r="G2343" t="s">
        <v>38</v>
      </c>
      <c r="H2343" s="1">
        <v>44979.544421296298</v>
      </c>
      <c r="I2343" s="1">
        <v>44982.544421296298</v>
      </c>
      <c r="J2343" t="s">
        <v>32</v>
      </c>
      <c r="K2343" s="1">
        <v>44995.544421296298</v>
      </c>
      <c r="L2343" t="s">
        <v>57</v>
      </c>
      <c r="N2343" s="4">
        <v>45000.544421296298</v>
      </c>
      <c r="O2343" t="s">
        <v>57</v>
      </c>
      <c r="P2343" s="4">
        <v>44996.544421296298</v>
      </c>
      <c r="Q2343" s="4">
        <v>44998.544421296298</v>
      </c>
      <c r="R2343" s="4">
        <v>44998.544421296298</v>
      </c>
      <c r="S2343" s="4">
        <v>45007.544421296298</v>
      </c>
      <c r="T2343">
        <v>1</v>
      </c>
      <c r="U2343" s="4">
        <v>45009.544421296298</v>
      </c>
      <c r="V2343" s="4">
        <v>45012.544421296298</v>
      </c>
      <c r="W2343" s="4">
        <v>45013.544421296298</v>
      </c>
      <c r="Z2343" s="4">
        <v>45025.544421296298</v>
      </c>
      <c r="AC2343" s="2">
        <f t="shared" si="324"/>
        <v>3</v>
      </c>
      <c r="AD2343" s="2">
        <f t="shared" si="325"/>
        <v>16</v>
      </c>
      <c r="AE2343" s="2">
        <f t="shared" si="326"/>
        <v>13</v>
      </c>
      <c r="AF2343" s="2">
        <f t="shared" si="327"/>
        <v>19</v>
      </c>
      <c r="AG2343" s="2">
        <f t="shared" si="328"/>
        <v>3</v>
      </c>
      <c r="AH2343" s="4">
        <f t="shared" si="329"/>
        <v>45088.544421296298</v>
      </c>
      <c r="AI2343" s="2">
        <f t="shared" si="330"/>
        <v>2</v>
      </c>
      <c r="AJ2343" s="2">
        <f t="shared" si="331"/>
        <v>27</v>
      </c>
      <c r="AK2343" s="2">
        <f t="shared" si="332"/>
        <v>15</v>
      </c>
    </row>
    <row r="2344" spans="1:37" x14ac:dyDescent="0.25">
      <c r="A2344">
        <v>425</v>
      </c>
      <c r="B2344" t="s">
        <v>2542</v>
      </c>
      <c r="C2344" t="s">
        <v>2283</v>
      </c>
      <c r="D2344" t="s">
        <v>2509</v>
      </c>
      <c r="E2344" t="s">
        <v>29</v>
      </c>
      <c r="F2344" t="s">
        <v>2454</v>
      </c>
      <c r="G2344" t="s">
        <v>38</v>
      </c>
      <c r="H2344" s="1">
        <v>44980.544421296298</v>
      </c>
      <c r="I2344" s="1">
        <v>44983.544421296298</v>
      </c>
      <c r="J2344" t="s">
        <v>44</v>
      </c>
      <c r="K2344" s="1"/>
      <c r="T2344">
        <v>0</v>
      </c>
      <c r="AC2344" s="2">
        <f t="shared" si="324"/>
        <v>3</v>
      </c>
      <c r="AD2344" s="2" t="str">
        <f t="shared" si="325"/>
        <v/>
      </c>
      <c r="AE2344" s="2" t="str">
        <f t="shared" si="326"/>
        <v/>
      </c>
      <c r="AF2344" s="2" t="str">
        <f t="shared" si="327"/>
        <v/>
      </c>
      <c r="AG2344" s="2" t="str">
        <f t="shared" si="328"/>
        <v/>
      </c>
      <c r="AH2344" s="4" t="str">
        <f t="shared" si="329"/>
        <v/>
      </c>
      <c r="AI2344" s="2" t="str">
        <f t="shared" si="330"/>
        <v/>
      </c>
      <c r="AJ2344" s="2" t="str">
        <f t="shared" si="331"/>
        <v/>
      </c>
      <c r="AK2344" s="2" t="str">
        <f t="shared" si="332"/>
        <v/>
      </c>
    </row>
    <row r="2345" spans="1:37" x14ac:dyDescent="0.25">
      <c r="A2345">
        <v>419</v>
      </c>
      <c r="B2345" t="s">
        <v>2543</v>
      </c>
      <c r="C2345" t="s">
        <v>2283</v>
      </c>
      <c r="D2345" t="s">
        <v>2509</v>
      </c>
      <c r="E2345" t="s">
        <v>29</v>
      </c>
      <c r="F2345" t="s">
        <v>2454</v>
      </c>
      <c r="G2345" t="s">
        <v>38</v>
      </c>
      <c r="H2345" s="1">
        <v>45094.637766203705</v>
      </c>
      <c r="I2345" s="1">
        <v>45097.637766203705</v>
      </c>
      <c r="J2345" t="s">
        <v>32</v>
      </c>
      <c r="K2345" s="1">
        <v>45113.637766203705</v>
      </c>
      <c r="L2345" t="s">
        <v>164</v>
      </c>
      <c r="N2345" s="4">
        <v>45116.637766203705</v>
      </c>
      <c r="O2345" t="s">
        <v>164</v>
      </c>
      <c r="R2345" s="4">
        <v>45114.637766203705</v>
      </c>
      <c r="T2345">
        <v>0</v>
      </c>
      <c r="AC2345" s="2">
        <f t="shared" si="324"/>
        <v>3</v>
      </c>
      <c r="AD2345" s="2">
        <f t="shared" si="325"/>
        <v>19</v>
      </c>
      <c r="AE2345" s="2">
        <f t="shared" si="326"/>
        <v>16</v>
      </c>
      <c r="AF2345" s="2">
        <f t="shared" si="327"/>
        <v>20</v>
      </c>
      <c r="AG2345" s="2">
        <f t="shared" si="328"/>
        <v>1</v>
      </c>
      <c r="AH2345" s="4">
        <f t="shared" si="329"/>
        <v>45204.637766203705</v>
      </c>
      <c r="AI2345" s="2" t="str">
        <f t="shared" si="330"/>
        <v/>
      </c>
      <c r="AJ2345" s="2" t="str">
        <f t="shared" si="331"/>
        <v/>
      </c>
      <c r="AK2345" s="2" t="str">
        <f t="shared" si="332"/>
        <v/>
      </c>
    </row>
    <row r="2346" spans="1:37" x14ac:dyDescent="0.25">
      <c r="A2346">
        <v>418</v>
      </c>
      <c r="B2346" t="s">
        <v>2544</v>
      </c>
      <c r="C2346" t="s">
        <v>2283</v>
      </c>
      <c r="D2346" t="s">
        <v>2509</v>
      </c>
      <c r="E2346" t="s">
        <v>29</v>
      </c>
      <c r="F2346" t="s">
        <v>2454</v>
      </c>
      <c r="G2346" t="s">
        <v>38</v>
      </c>
      <c r="H2346" s="1">
        <v>45094.637766203705</v>
      </c>
      <c r="I2346" s="1">
        <v>45096.637766203705</v>
      </c>
      <c r="J2346" t="s">
        <v>44</v>
      </c>
      <c r="K2346" s="1"/>
      <c r="T2346">
        <v>0</v>
      </c>
      <c r="AC2346" s="2">
        <f t="shared" si="324"/>
        <v>2</v>
      </c>
      <c r="AD2346" s="2" t="str">
        <f t="shared" si="325"/>
        <v/>
      </c>
      <c r="AE2346" s="2" t="str">
        <f t="shared" si="326"/>
        <v/>
      </c>
      <c r="AF2346" s="2" t="str">
        <f t="shared" si="327"/>
        <v/>
      </c>
      <c r="AG2346" s="2" t="str">
        <f t="shared" si="328"/>
        <v/>
      </c>
      <c r="AH2346" s="4" t="str">
        <f t="shared" si="329"/>
        <v/>
      </c>
      <c r="AI2346" s="2" t="str">
        <f t="shared" si="330"/>
        <v/>
      </c>
      <c r="AJ2346" s="2" t="str">
        <f t="shared" si="331"/>
        <v/>
      </c>
      <c r="AK2346" s="2" t="str">
        <f t="shared" si="332"/>
        <v/>
      </c>
    </row>
    <row r="2347" spans="1:37" x14ac:dyDescent="0.25">
      <c r="A2347">
        <v>270</v>
      </c>
      <c r="B2347" t="s">
        <v>2545</v>
      </c>
      <c r="C2347" t="s">
        <v>2283</v>
      </c>
      <c r="D2347" t="s">
        <v>2509</v>
      </c>
      <c r="E2347" t="s">
        <v>29</v>
      </c>
      <c r="F2347" t="s">
        <v>2454</v>
      </c>
      <c r="G2347" t="s">
        <v>38</v>
      </c>
      <c r="H2347" s="1">
        <v>44765.282581018517</v>
      </c>
      <c r="I2347" s="1">
        <v>44769.282581018517</v>
      </c>
      <c r="J2347" t="s">
        <v>44</v>
      </c>
      <c r="K2347" s="1"/>
      <c r="T2347">
        <v>0</v>
      </c>
      <c r="AC2347" s="2">
        <f t="shared" si="324"/>
        <v>4</v>
      </c>
      <c r="AD2347" s="2" t="str">
        <f t="shared" si="325"/>
        <v/>
      </c>
      <c r="AE2347" s="2" t="str">
        <f t="shared" si="326"/>
        <v/>
      </c>
      <c r="AF2347" s="2" t="str">
        <f t="shared" si="327"/>
        <v/>
      </c>
      <c r="AG2347" s="2" t="str">
        <f t="shared" si="328"/>
        <v/>
      </c>
      <c r="AH2347" s="4" t="str">
        <f t="shared" si="329"/>
        <v/>
      </c>
      <c r="AI2347" s="2" t="str">
        <f t="shared" si="330"/>
        <v/>
      </c>
      <c r="AJ2347" s="2" t="str">
        <f t="shared" si="331"/>
        <v/>
      </c>
      <c r="AK2347" s="2" t="str">
        <f t="shared" si="332"/>
        <v/>
      </c>
    </row>
    <row r="2348" spans="1:37" x14ac:dyDescent="0.25">
      <c r="A2348">
        <v>259</v>
      </c>
      <c r="B2348" t="s">
        <v>2546</v>
      </c>
      <c r="C2348" t="s">
        <v>2283</v>
      </c>
      <c r="D2348" t="s">
        <v>2509</v>
      </c>
      <c r="E2348" t="s">
        <v>29</v>
      </c>
      <c r="F2348" t="s">
        <v>2454</v>
      </c>
      <c r="G2348" t="s">
        <v>38</v>
      </c>
      <c r="H2348" s="1">
        <v>44704.632962962962</v>
      </c>
      <c r="I2348" s="1">
        <v>44707.632962962962</v>
      </c>
      <c r="J2348" t="s">
        <v>44</v>
      </c>
      <c r="K2348" s="1"/>
      <c r="T2348">
        <v>0</v>
      </c>
      <c r="AC2348" s="2">
        <f t="shared" si="324"/>
        <v>3</v>
      </c>
      <c r="AD2348" s="2" t="str">
        <f t="shared" si="325"/>
        <v/>
      </c>
      <c r="AE2348" s="2" t="str">
        <f t="shared" si="326"/>
        <v/>
      </c>
      <c r="AF2348" s="2" t="str">
        <f t="shared" si="327"/>
        <v/>
      </c>
      <c r="AG2348" s="2" t="str">
        <f t="shared" si="328"/>
        <v/>
      </c>
      <c r="AH2348" s="4" t="str">
        <f t="shared" si="329"/>
        <v/>
      </c>
      <c r="AI2348" s="2" t="str">
        <f t="shared" si="330"/>
        <v/>
      </c>
      <c r="AJ2348" s="2" t="str">
        <f t="shared" si="331"/>
        <v/>
      </c>
      <c r="AK2348" s="2" t="str">
        <f t="shared" si="332"/>
        <v/>
      </c>
    </row>
    <row r="2349" spans="1:37" x14ac:dyDescent="0.25">
      <c r="A2349">
        <v>253</v>
      </c>
      <c r="B2349" t="s">
        <v>2547</v>
      </c>
      <c r="C2349" t="s">
        <v>2283</v>
      </c>
      <c r="D2349" t="s">
        <v>2509</v>
      </c>
      <c r="E2349" t="s">
        <v>29</v>
      </c>
      <c r="F2349" t="s">
        <v>2454</v>
      </c>
      <c r="G2349" t="s">
        <v>38</v>
      </c>
      <c r="H2349" s="1">
        <v>44705.632962962962</v>
      </c>
      <c r="I2349" s="1">
        <v>44707.632962962962</v>
      </c>
      <c r="J2349" t="s">
        <v>32</v>
      </c>
      <c r="K2349" s="1">
        <v>44726.632962962962</v>
      </c>
      <c r="L2349" t="s">
        <v>33</v>
      </c>
      <c r="M2349" t="s">
        <v>67</v>
      </c>
      <c r="T2349">
        <v>0</v>
      </c>
      <c r="Y2349" t="s">
        <v>55</v>
      </c>
      <c r="AC2349" s="2">
        <f t="shared" si="324"/>
        <v>2</v>
      </c>
      <c r="AD2349" s="2">
        <f t="shared" si="325"/>
        <v>21</v>
      </c>
      <c r="AE2349" s="2">
        <f t="shared" si="326"/>
        <v>19</v>
      </c>
      <c r="AF2349" s="2" t="str">
        <f t="shared" si="327"/>
        <v/>
      </c>
      <c r="AG2349" s="2" t="str">
        <f t="shared" si="328"/>
        <v/>
      </c>
      <c r="AH2349" s="4" t="str">
        <f t="shared" si="329"/>
        <v/>
      </c>
      <c r="AI2349" s="2" t="str">
        <f t="shared" si="330"/>
        <v/>
      </c>
      <c r="AJ2349" s="2" t="str">
        <f t="shared" si="331"/>
        <v/>
      </c>
      <c r="AK2349" s="2" t="str">
        <f t="shared" si="332"/>
        <v/>
      </c>
    </row>
    <row r="2350" spans="1:37" x14ac:dyDescent="0.25">
      <c r="A2350">
        <v>238</v>
      </c>
      <c r="B2350" t="s">
        <v>2548</v>
      </c>
      <c r="C2350" t="s">
        <v>2283</v>
      </c>
      <c r="D2350" t="s">
        <v>2509</v>
      </c>
      <c r="E2350" t="s">
        <v>29</v>
      </c>
      <c r="F2350" t="s">
        <v>2454</v>
      </c>
      <c r="G2350" t="s">
        <v>38</v>
      </c>
      <c r="H2350" s="1">
        <v>44598.810960648145</v>
      </c>
      <c r="I2350" s="1">
        <v>44601.810960648145</v>
      </c>
      <c r="J2350" t="s">
        <v>32</v>
      </c>
      <c r="K2350" s="1">
        <v>44609.810960648145</v>
      </c>
      <c r="L2350" t="s">
        <v>33</v>
      </c>
      <c r="M2350" t="s">
        <v>34</v>
      </c>
      <c r="R2350" s="4">
        <v>44612.810960648145</v>
      </c>
      <c r="T2350">
        <v>0</v>
      </c>
      <c r="Y2350" t="s">
        <v>55</v>
      </c>
      <c r="AC2350" s="2">
        <f t="shared" si="324"/>
        <v>3</v>
      </c>
      <c r="AD2350" s="2">
        <f t="shared" si="325"/>
        <v>11</v>
      </c>
      <c r="AE2350" s="2">
        <f t="shared" si="326"/>
        <v>8</v>
      </c>
      <c r="AF2350" s="2">
        <f t="shared" si="327"/>
        <v>14</v>
      </c>
      <c r="AG2350" s="2">
        <f t="shared" si="328"/>
        <v>3</v>
      </c>
      <c r="AH2350" s="4">
        <f t="shared" si="329"/>
        <v>44702.810960648145</v>
      </c>
      <c r="AI2350" s="2" t="str">
        <f t="shared" si="330"/>
        <v/>
      </c>
      <c r="AJ2350" s="2" t="str">
        <f t="shared" si="331"/>
        <v/>
      </c>
      <c r="AK2350" s="2" t="str">
        <f t="shared" si="332"/>
        <v/>
      </c>
    </row>
    <row r="2351" spans="1:37" x14ac:dyDescent="0.25">
      <c r="A2351">
        <v>234</v>
      </c>
      <c r="B2351" t="s">
        <v>2549</v>
      </c>
      <c r="C2351" t="s">
        <v>2283</v>
      </c>
      <c r="D2351" t="s">
        <v>2509</v>
      </c>
      <c r="E2351" t="s">
        <v>29</v>
      </c>
      <c r="F2351" t="s">
        <v>2454</v>
      </c>
      <c r="G2351" t="s">
        <v>38</v>
      </c>
      <c r="H2351" s="1">
        <v>44598.810960648145</v>
      </c>
      <c r="I2351" s="1">
        <v>44600.810960648145</v>
      </c>
      <c r="J2351" t="s">
        <v>32</v>
      </c>
      <c r="K2351" s="1">
        <v>44613.810960648145</v>
      </c>
      <c r="L2351" t="s">
        <v>39</v>
      </c>
      <c r="N2351" s="4">
        <v>44619.810960648145</v>
      </c>
      <c r="O2351" t="s">
        <v>39</v>
      </c>
      <c r="R2351" s="4">
        <v>44616.810960648145</v>
      </c>
      <c r="T2351">
        <v>0</v>
      </c>
      <c r="AC2351" s="2">
        <f t="shared" si="324"/>
        <v>2</v>
      </c>
      <c r="AD2351" s="2">
        <f t="shared" si="325"/>
        <v>15</v>
      </c>
      <c r="AE2351" s="2">
        <f t="shared" si="326"/>
        <v>13</v>
      </c>
      <c r="AF2351" s="2">
        <f t="shared" si="327"/>
        <v>18</v>
      </c>
      <c r="AG2351" s="2">
        <f t="shared" si="328"/>
        <v>3</v>
      </c>
      <c r="AH2351" s="4">
        <f t="shared" si="329"/>
        <v>44706.810960648145</v>
      </c>
      <c r="AI2351" s="2" t="str">
        <f t="shared" si="330"/>
        <v/>
      </c>
      <c r="AJ2351" s="2" t="str">
        <f t="shared" si="331"/>
        <v/>
      </c>
      <c r="AK2351" s="2" t="str">
        <f t="shared" si="332"/>
        <v/>
      </c>
    </row>
    <row r="2352" spans="1:37" x14ac:dyDescent="0.25">
      <c r="A2352">
        <v>227</v>
      </c>
      <c r="B2352" t="s">
        <v>2550</v>
      </c>
      <c r="C2352" t="s">
        <v>2283</v>
      </c>
      <c r="D2352" t="s">
        <v>2509</v>
      </c>
      <c r="E2352" t="s">
        <v>29</v>
      </c>
      <c r="F2352" t="s">
        <v>2454</v>
      </c>
      <c r="G2352" t="s">
        <v>38</v>
      </c>
      <c r="H2352" s="1">
        <v>44738.447731481479</v>
      </c>
      <c r="I2352" s="1">
        <v>44741.447731481479</v>
      </c>
      <c r="J2352" t="s">
        <v>32</v>
      </c>
      <c r="K2352" s="1">
        <v>44759.447731481479</v>
      </c>
      <c r="L2352" t="s">
        <v>57</v>
      </c>
      <c r="N2352" s="4">
        <v>44766.447731481479</v>
      </c>
      <c r="O2352" t="s">
        <v>57</v>
      </c>
      <c r="P2352" s="4">
        <v>44760.447731481479</v>
      </c>
      <c r="Q2352" s="4">
        <v>44764.447731481479</v>
      </c>
      <c r="R2352" s="4">
        <v>44763.447731481479</v>
      </c>
      <c r="S2352" s="4">
        <v>44769.447731481479</v>
      </c>
      <c r="T2352">
        <v>1</v>
      </c>
      <c r="U2352" s="4">
        <v>44770.447731481479</v>
      </c>
      <c r="V2352" s="4">
        <v>44773.447731481479</v>
      </c>
      <c r="W2352" s="4">
        <v>44775.447731481479</v>
      </c>
      <c r="Z2352" s="4">
        <v>44793.447731481479</v>
      </c>
      <c r="AC2352" s="2">
        <f t="shared" si="324"/>
        <v>3</v>
      </c>
      <c r="AD2352" s="2">
        <f t="shared" si="325"/>
        <v>21</v>
      </c>
      <c r="AE2352" s="2">
        <f t="shared" si="326"/>
        <v>18</v>
      </c>
      <c r="AF2352" s="2">
        <f t="shared" si="327"/>
        <v>25</v>
      </c>
      <c r="AG2352" s="2">
        <f t="shared" si="328"/>
        <v>4</v>
      </c>
      <c r="AH2352" s="4">
        <f t="shared" si="329"/>
        <v>44853.447731481479</v>
      </c>
      <c r="AI2352" s="2">
        <f t="shared" si="330"/>
        <v>1</v>
      </c>
      <c r="AJ2352" s="2">
        <f t="shared" si="331"/>
        <v>30</v>
      </c>
      <c r="AK2352" s="2">
        <f t="shared" si="332"/>
        <v>12</v>
      </c>
    </row>
    <row r="2353" spans="1:37" x14ac:dyDescent="0.25">
      <c r="A2353">
        <v>147</v>
      </c>
      <c r="B2353" t="s">
        <v>2551</v>
      </c>
      <c r="C2353" t="s">
        <v>2283</v>
      </c>
      <c r="D2353" t="s">
        <v>2509</v>
      </c>
      <c r="E2353" t="s">
        <v>29</v>
      </c>
      <c r="F2353" t="s">
        <v>2454</v>
      </c>
      <c r="G2353" t="s">
        <v>38</v>
      </c>
      <c r="H2353" s="1">
        <v>44629.982245370367</v>
      </c>
      <c r="I2353" s="1">
        <v>44632.982245370367</v>
      </c>
      <c r="J2353" t="s">
        <v>32</v>
      </c>
      <c r="K2353" s="1">
        <v>44646.982245370367</v>
      </c>
      <c r="L2353" t="s">
        <v>33</v>
      </c>
      <c r="M2353" t="s">
        <v>51</v>
      </c>
      <c r="R2353" s="4">
        <v>44649.982245370367</v>
      </c>
      <c r="T2353">
        <v>0</v>
      </c>
      <c r="Y2353" t="s">
        <v>35</v>
      </c>
      <c r="AC2353" s="2">
        <f t="shared" si="324"/>
        <v>3</v>
      </c>
      <c r="AD2353" s="2">
        <f t="shared" si="325"/>
        <v>17</v>
      </c>
      <c r="AE2353" s="2">
        <f t="shared" si="326"/>
        <v>14</v>
      </c>
      <c r="AF2353" s="2">
        <f t="shared" si="327"/>
        <v>20</v>
      </c>
      <c r="AG2353" s="2">
        <f t="shared" si="328"/>
        <v>3</v>
      </c>
      <c r="AH2353" s="4">
        <f t="shared" si="329"/>
        <v>44739.982245370367</v>
      </c>
      <c r="AI2353" s="2" t="str">
        <f t="shared" si="330"/>
        <v/>
      </c>
      <c r="AJ2353" s="2" t="str">
        <f t="shared" si="331"/>
        <v/>
      </c>
      <c r="AK2353" s="2" t="str">
        <f t="shared" si="332"/>
        <v/>
      </c>
    </row>
    <row r="2354" spans="1:37" x14ac:dyDescent="0.25">
      <c r="A2354">
        <v>143</v>
      </c>
      <c r="B2354" t="s">
        <v>2552</v>
      </c>
      <c r="C2354" t="s">
        <v>2283</v>
      </c>
      <c r="D2354" t="s">
        <v>2509</v>
      </c>
      <c r="E2354" t="s">
        <v>29</v>
      </c>
      <c r="F2354" t="s">
        <v>2454</v>
      </c>
      <c r="G2354" t="s">
        <v>38</v>
      </c>
      <c r="H2354" s="1">
        <v>44627.982245370367</v>
      </c>
      <c r="I2354" s="1">
        <v>44630.982245370367</v>
      </c>
      <c r="J2354" t="s">
        <v>32</v>
      </c>
      <c r="K2354" s="1">
        <v>44642.982245370367</v>
      </c>
      <c r="L2354" t="s">
        <v>33</v>
      </c>
      <c r="M2354" t="s">
        <v>51</v>
      </c>
      <c r="T2354">
        <v>0</v>
      </c>
      <c r="Y2354" t="s">
        <v>55</v>
      </c>
      <c r="AC2354" s="2">
        <f t="shared" si="324"/>
        <v>3</v>
      </c>
      <c r="AD2354" s="2">
        <f t="shared" si="325"/>
        <v>15</v>
      </c>
      <c r="AE2354" s="2">
        <f t="shared" si="326"/>
        <v>12</v>
      </c>
      <c r="AF2354" s="2" t="str">
        <f t="shared" si="327"/>
        <v/>
      </c>
      <c r="AG2354" s="2" t="str">
        <f t="shared" si="328"/>
        <v/>
      </c>
      <c r="AH2354" s="4" t="str">
        <f t="shared" si="329"/>
        <v/>
      </c>
      <c r="AI2354" s="2" t="str">
        <f t="shared" si="330"/>
        <v/>
      </c>
      <c r="AJ2354" s="2" t="str">
        <f t="shared" si="331"/>
        <v/>
      </c>
      <c r="AK2354" s="2" t="str">
        <f t="shared" si="332"/>
        <v/>
      </c>
    </row>
    <row r="2355" spans="1:37" x14ac:dyDescent="0.25">
      <c r="A2355">
        <v>118</v>
      </c>
      <c r="B2355" t="s">
        <v>2553</v>
      </c>
      <c r="C2355" t="s">
        <v>2283</v>
      </c>
      <c r="D2355" t="s">
        <v>2509</v>
      </c>
      <c r="E2355" t="s">
        <v>29</v>
      </c>
      <c r="F2355" t="s">
        <v>2454</v>
      </c>
      <c r="G2355" t="s">
        <v>38</v>
      </c>
      <c r="H2355" s="1">
        <v>44736.19809027778</v>
      </c>
      <c r="I2355" s="1">
        <v>44740.19809027778</v>
      </c>
      <c r="J2355" t="s">
        <v>32</v>
      </c>
      <c r="K2355" s="1">
        <v>44753.19809027778</v>
      </c>
      <c r="L2355" t="s">
        <v>33</v>
      </c>
      <c r="M2355" t="s">
        <v>108</v>
      </c>
      <c r="T2355">
        <v>0</v>
      </c>
      <c r="Y2355" t="s">
        <v>55</v>
      </c>
      <c r="AC2355" s="2">
        <f t="shared" si="324"/>
        <v>4</v>
      </c>
      <c r="AD2355" s="2">
        <f t="shared" si="325"/>
        <v>17</v>
      </c>
      <c r="AE2355" s="2">
        <f t="shared" si="326"/>
        <v>13</v>
      </c>
      <c r="AF2355" s="2" t="str">
        <f t="shared" si="327"/>
        <v/>
      </c>
      <c r="AG2355" s="2" t="str">
        <f t="shared" si="328"/>
        <v/>
      </c>
      <c r="AH2355" s="4" t="str">
        <f t="shared" si="329"/>
        <v/>
      </c>
      <c r="AI2355" s="2" t="str">
        <f t="shared" si="330"/>
        <v/>
      </c>
      <c r="AJ2355" s="2" t="str">
        <f t="shared" si="331"/>
        <v/>
      </c>
      <c r="AK2355" s="2" t="str">
        <f t="shared" si="332"/>
        <v/>
      </c>
    </row>
    <row r="2356" spans="1:37" x14ac:dyDescent="0.25">
      <c r="A2356">
        <v>116</v>
      </c>
      <c r="B2356" t="s">
        <v>2554</v>
      </c>
      <c r="C2356" t="s">
        <v>2283</v>
      </c>
      <c r="D2356" t="s">
        <v>2509</v>
      </c>
      <c r="E2356" t="s">
        <v>29</v>
      </c>
      <c r="F2356" t="s">
        <v>2454</v>
      </c>
      <c r="G2356" t="s">
        <v>38</v>
      </c>
      <c r="H2356" s="1">
        <v>44737.19809027778</v>
      </c>
      <c r="I2356" s="1">
        <v>44741.19809027778</v>
      </c>
      <c r="J2356" t="s">
        <v>32</v>
      </c>
      <c r="K2356" s="1">
        <v>44759.19809027778</v>
      </c>
      <c r="L2356" t="s">
        <v>33</v>
      </c>
      <c r="M2356" t="s">
        <v>92</v>
      </c>
      <c r="R2356" s="4">
        <v>44763.19809027778</v>
      </c>
      <c r="T2356">
        <v>0</v>
      </c>
      <c r="Y2356" t="s">
        <v>35</v>
      </c>
      <c r="AC2356" s="2">
        <f t="shared" si="324"/>
        <v>4</v>
      </c>
      <c r="AD2356" s="2">
        <f t="shared" si="325"/>
        <v>22</v>
      </c>
      <c r="AE2356" s="2">
        <f t="shared" si="326"/>
        <v>18</v>
      </c>
      <c r="AF2356" s="2">
        <f t="shared" si="327"/>
        <v>26</v>
      </c>
      <c r="AG2356" s="2">
        <f t="shared" si="328"/>
        <v>4</v>
      </c>
      <c r="AH2356" s="4">
        <f t="shared" si="329"/>
        <v>44853.19809027778</v>
      </c>
      <c r="AI2356" s="2" t="str">
        <f t="shared" si="330"/>
        <v/>
      </c>
      <c r="AJ2356" s="2" t="str">
        <f t="shared" si="331"/>
        <v/>
      </c>
      <c r="AK2356" s="2" t="str">
        <f t="shared" si="332"/>
        <v/>
      </c>
    </row>
    <row r="2357" spans="1:37" x14ac:dyDescent="0.25">
      <c r="A2357">
        <v>56</v>
      </c>
      <c r="B2357" t="s">
        <v>2555</v>
      </c>
      <c r="C2357" t="s">
        <v>2283</v>
      </c>
      <c r="D2357" t="s">
        <v>2509</v>
      </c>
      <c r="E2357" t="s">
        <v>29</v>
      </c>
      <c r="F2357" t="s">
        <v>2454</v>
      </c>
      <c r="G2357" t="s">
        <v>38</v>
      </c>
      <c r="H2357" s="1">
        <v>44767.01295138889</v>
      </c>
      <c r="I2357" s="1">
        <v>44771.01295138889</v>
      </c>
      <c r="J2357" t="s">
        <v>32</v>
      </c>
      <c r="K2357" s="1">
        <v>44782.01295138889</v>
      </c>
      <c r="L2357" t="s">
        <v>39</v>
      </c>
      <c r="N2357" s="4">
        <v>44786.01295138889</v>
      </c>
      <c r="O2357" t="s">
        <v>39</v>
      </c>
      <c r="R2357" s="4">
        <v>44785.01295138889</v>
      </c>
      <c r="T2357">
        <v>0</v>
      </c>
      <c r="AC2357" s="2">
        <f t="shared" si="324"/>
        <v>4</v>
      </c>
      <c r="AD2357" s="2">
        <f t="shared" si="325"/>
        <v>15</v>
      </c>
      <c r="AE2357" s="2">
        <f t="shared" si="326"/>
        <v>11</v>
      </c>
      <c r="AF2357" s="2">
        <f t="shared" si="327"/>
        <v>18</v>
      </c>
      <c r="AG2357" s="2">
        <f t="shared" si="328"/>
        <v>3</v>
      </c>
      <c r="AH2357" s="4">
        <f t="shared" si="329"/>
        <v>44875.01295138889</v>
      </c>
      <c r="AI2357" s="2" t="str">
        <f t="shared" si="330"/>
        <v/>
      </c>
      <c r="AJ2357" s="2" t="str">
        <f t="shared" si="331"/>
        <v/>
      </c>
      <c r="AK2357" s="2" t="str">
        <f t="shared" si="332"/>
        <v/>
      </c>
    </row>
    <row r="2358" spans="1:37" x14ac:dyDescent="0.25">
      <c r="A2358">
        <v>54</v>
      </c>
      <c r="B2358" t="s">
        <v>2556</v>
      </c>
      <c r="C2358" t="s">
        <v>2283</v>
      </c>
      <c r="D2358" t="s">
        <v>2509</v>
      </c>
      <c r="E2358" t="s">
        <v>29</v>
      </c>
      <c r="F2358" t="s">
        <v>2454</v>
      </c>
      <c r="G2358" t="s">
        <v>38</v>
      </c>
      <c r="H2358" s="1">
        <v>44769.01295138889</v>
      </c>
      <c r="I2358" s="1">
        <v>44771.01295138889</v>
      </c>
      <c r="J2358" t="s">
        <v>32</v>
      </c>
      <c r="K2358" s="1">
        <v>44790.01295138889</v>
      </c>
      <c r="L2358" t="s">
        <v>33</v>
      </c>
      <c r="M2358" t="s">
        <v>51</v>
      </c>
      <c r="R2358" s="4">
        <v>44792.01295138889</v>
      </c>
      <c r="T2358">
        <v>0</v>
      </c>
      <c r="Y2358" t="s">
        <v>55</v>
      </c>
      <c r="AC2358" s="2">
        <f t="shared" si="324"/>
        <v>2</v>
      </c>
      <c r="AD2358" s="2">
        <f t="shared" si="325"/>
        <v>21</v>
      </c>
      <c r="AE2358" s="2">
        <f t="shared" si="326"/>
        <v>19</v>
      </c>
      <c r="AF2358" s="2">
        <f t="shared" si="327"/>
        <v>23</v>
      </c>
      <c r="AG2358" s="2">
        <f t="shared" si="328"/>
        <v>2</v>
      </c>
      <c r="AH2358" s="4">
        <f t="shared" si="329"/>
        <v>44882.01295138889</v>
      </c>
      <c r="AI2358" s="2" t="str">
        <f t="shared" si="330"/>
        <v/>
      </c>
      <c r="AJ2358" s="2" t="str">
        <f t="shared" si="331"/>
        <v/>
      </c>
      <c r="AK2358" s="2" t="str">
        <f t="shared" si="332"/>
        <v/>
      </c>
    </row>
    <row r="2359" spans="1:37" x14ac:dyDescent="0.25">
      <c r="A2359">
        <v>448</v>
      </c>
      <c r="B2359" t="s">
        <v>2557</v>
      </c>
      <c r="C2359" t="s">
        <v>2558</v>
      </c>
      <c r="D2359" t="s">
        <v>2559</v>
      </c>
      <c r="E2359" t="s">
        <v>96</v>
      </c>
      <c r="F2359" t="s">
        <v>2560</v>
      </c>
      <c r="G2359" t="s">
        <v>98</v>
      </c>
      <c r="H2359" s="1">
        <v>44892.108344907407</v>
      </c>
      <c r="I2359" s="1">
        <v>44893.108344907407</v>
      </c>
      <c r="J2359" t="s">
        <v>32</v>
      </c>
      <c r="K2359" s="1">
        <v>44907.108344907407</v>
      </c>
      <c r="L2359" t="s">
        <v>39</v>
      </c>
      <c r="N2359" s="4">
        <v>44911.108344907407</v>
      </c>
      <c r="O2359" t="s">
        <v>39</v>
      </c>
      <c r="R2359" s="4">
        <v>44908.108344907407</v>
      </c>
      <c r="T2359">
        <v>0</v>
      </c>
      <c r="AC2359" s="2">
        <f t="shared" si="324"/>
        <v>1</v>
      </c>
      <c r="AD2359" s="2">
        <f t="shared" si="325"/>
        <v>15</v>
      </c>
      <c r="AE2359" s="2">
        <f t="shared" si="326"/>
        <v>14</v>
      </c>
      <c r="AF2359" s="2">
        <f t="shared" si="327"/>
        <v>16</v>
      </c>
      <c r="AG2359" s="2">
        <f t="shared" si="328"/>
        <v>1</v>
      </c>
      <c r="AH2359" s="4">
        <f t="shared" si="329"/>
        <v>44998.108344907407</v>
      </c>
      <c r="AI2359" s="2" t="str">
        <f t="shared" si="330"/>
        <v/>
      </c>
      <c r="AJ2359" s="2" t="str">
        <f t="shared" si="331"/>
        <v/>
      </c>
      <c r="AK2359" s="2" t="str">
        <f t="shared" si="332"/>
        <v/>
      </c>
    </row>
    <row r="2360" spans="1:37" x14ac:dyDescent="0.25">
      <c r="A2360">
        <v>441</v>
      </c>
      <c r="B2360" t="s">
        <v>2561</v>
      </c>
      <c r="C2360" t="s">
        <v>2558</v>
      </c>
      <c r="D2360" t="s">
        <v>2559</v>
      </c>
      <c r="E2360" t="s">
        <v>96</v>
      </c>
      <c r="F2360" t="s">
        <v>2560</v>
      </c>
      <c r="G2360" t="s">
        <v>98</v>
      </c>
      <c r="H2360" s="1">
        <v>44891.108344907407</v>
      </c>
      <c r="I2360" s="1">
        <v>44892.108344907407</v>
      </c>
      <c r="J2360" t="s">
        <v>32</v>
      </c>
      <c r="K2360" s="1">
        <v>44908.108344907407</v>
      </c>
      <c r="L2360" t="s">
        <v>57</v>
      </c>
      <c r="N2360" s="4">
        <v>44912.108344907407</v>
      </c>
      <c r="O2360" t="s">
        <v>57</v>
      </c>
      <c r="P2360" s="4">
        <v>44909.108344907407</v>
      </c>
      <c r="Q2360" s="4">
        <v>44910.108344907407</v>
      </c>
      <c r="R2360" s="4">
        <v>44911.108344907407</v>
      </c>
      <c r="S2360" s="4">
        <v>44921.108344907407</v>
      </c>
      <c r="T2360">
        <v>1</v>
      </c>
      <c r="U2360" s="4">
        <v>44923.108344907407</v>
      </c>
      <c r="V2360" s="4">
        <v>44925.108344907407</v>
      </c>
      <c r="W2360" s="4">
        <v>44928.108344907407</v>
      </c>
      <c r="Z2360" s="4">
        <v>44935.108344907407</v>
      </c>
      <c r="AC2360" s="2">
        <f t="shared" si="324"/>
        <v>1</v>
      </c>
      <c r="AD2360" s="2">
        <f t="shared" si="325"/>
        <v>17</v>
      </c>
      <c r="AE2360" s="2">
        <f t="shared" si="326"/>
        <v>16</v>
      </c>
      <c r="AF2360" s="2">
        <f t="shared" si="327"/>
        <v>20</v>
      </c>
      <c r="AG2360" s="2">
        <f t="shared" si="328"/>
        <v>3</v>
      </c>
      <c r="AH2360" s="4">
        <f t="shared" si="329"/>
        <v>45001.108344907407</v>
      </c>
      <c r="AI2360" s="2">
        <f t="shared" si="330"/>
        <v>2</v>
      </c>
      <c r="AJ2360" s="2">
        <f t="shared" si="331"/>
        <v>24</v>
      </c>
      <c r="AK2360" s="2">
        <f t="shared" si="332"/>
        <v>17</v>
      </c>
    </row>
    <row r="2361" spans="1:37" x14ac:dyDescent="0.25">
      <c r="A2361">
        <v>337</v>
      </c>
      <c r="B2361" t="s">
        <v>2562</v>
      </c>
      <c r="C2361" t="s">
        <v>2558</v>
      </c>
      <c r="D2361" t="s">
        <v>2559</v>
      </c>
      <c r="E2361" t="s">
        <v>96</v>
      </c>
      <c r="F2361" t="s">
        <v>2560</v>
      </c>
      <c r="G2361" t="s">
        <v>98</v>
      </c>
      <c r="H2361" s="1">
        <v>44722.822210648148</v>
      </c>
      <c r="I2361" s="1">
        <v>44724.822210648148</v>
      </c>
      <c r="J2361" t="s">
        <v>32</v>
      </c>
      <c r="K2361" s="1">
        <v>44737.822210648148</v>
      </c>
      <c r="L2361" t="s">
        <v>33</v>
      </c>
      <c r="M2361" t="s">
        <v>34</v>
      </c>
      <c r="T2361">
        <v>0</v>
      </c>
      <c r="Y2361" t="s">
        <v>35</v>
      </c>
      <c r="AC2361" s="2">
        <f t="shared" si="324"/>
        <v>2</v>
      </c>
      <c r="AD2361" s="2">
        <f t="shared" si="325"/>
        <v>15</v>
      </c>
      <c r="AE2361" s="2">
        <f t="shared" si="326"/>
        <v>13</v>
      </c>
      <c r="AF2361" s="2" t="str">
        <f t="shared" si="327"/>
        <v/>
      </c>
      <c r="AG2361" s="2" t="str">
        <f t="shared" si="328"/>
        <v/>
      </c>
      <c r="AH2361" s="4" t="str">
        <f t="shared" si="329"/>
        <v/>
      </c>
      <c r="AI2361" s="2" t="str">
        <f t="shared" si="330"/>
        <v/>
      </c>
      <c r="AJ2361" s="2" t="str">
        <f t="shared" si="331"/>
        <v/>
      </c>
      <c r="AK2361" s="2" t="str">
        <f t="shared" si="332"/>
        <v/>
      </c>
    </row>
    <row r="2362" spans="1:37" x14ac:dyDescent="0.25">
      <c r="A2362">
        <v>336</v>
      </c>
      <c r="B2362" t="s">
        <v>2563</v>
      </c>
      <c r="C2362" t="s">
        <v>2558</v>
      </c>
      <c r="D2362" t="s">
        <v>2559</v>
      </c>
      <c r="E2362" t="s">
        <v>96</v>
      </c>
      <c r="F2362" t="s">
        <v>2560</v>
      </c>
      <c r="G2362" t="s">
        <v>98</v>
      </c>
      <c r="H2362" s="1">
        <v>44716.822210648148</v>
      </c>
      <c r="I2362" s="1">
        <v>44720.822210648148</v>
      </c>
      <c r="J2362" t="s">
        <v>32</v>
      </c>
      <c r="K2362" s="1">
        <v>44735.822210648148</v>
      </c>
      <c r="L2362" t="s">
        <v>39</v>
      </c>
      <c r="N2362" s="4">
        <v>44741.822210648148</v>
      </c>
      <c r="O2362" t="s">
        <v>39</v>
      </c>
      <c r="R2362" s="4">
        <v>44739.822210648148</v>
      </c>
      <c r="T2362">
        <v>0</v>
      </c>
      <c r="AC2362" s="2">
        <f t="shared" si="324"/>
        <v>4</v>
      </c>
      <c r="AD2362" s="2">
        <f t="shared" si="325"/>
        <v>19</v>
      </c>
      <c r="AE2362" s="2">
        <f t="shared" si="326"/>
        <v>15</v>
      </c>
      <c r="AF2362" s="2">
        <f t="shared" si="327"/>
        <v>23</v>
      </c>
      <c r="AG2362" s="2">
        <f t="shared" si="328"/>
        <v>4</v>
      </c>
      <c r="AH2362" s="4">
        <f t="shared" si="329"/>
        <v>44829.822210648148</v>
      </c>
      <c r="AI2362" s="2" t="str">
        <f t="shared" si="330"/>
        <v/>
      </c>
      <c r="AJ2362" s="2" t="str">
        <f t="shared" si="331"/>
        <v/>
      </c>
      <c r="AK2362" s="2" t="str">
        <f t="shared" si="332"/>
        <v/>
      </c>
    </row>
    <row r="2363" spans="1:37" x14ac:dyDescent="0.25">
      <c r="A2363">
        <v>333</v>
      </c>
      <c r="B2363" t="s">
        <v>2564</v>
      </c>
      <c r="C2363" t="s">
        <v>2558</v>
      </c>
      <c r="D2363" t="s">
        <v>2559</v>
      </c>
      <c r="E2363" t="s">
        <v>96</v>
      </c>
      <c r="F2363" t="s">
        <v>2560</v>
      </c>
      <c r="G2363" t="s">
        <v>98</v>
      </c>
      <c r="H2363" s="1">
        <v>44719.822210648148</v>
      </c>
      <c r="I2363" s="1">
        <v>44722.822210648148</v>
      </c>
      <c r="J2363" t="s">
        <v>32</v>
      </c>
      <c r="K2363" s="1">
        <v>44741.822210648148</v>
      </c>
      <c r="L2363" t="s">
        <v>57</v>
      </c>
      <c r="N2363" s="4">
        <v>44747.822210648148</v>
      </c>
      <c r="O2363" t="s">
        <v>57</v>
      </c>
      <c r="P2363" s="4">
        <v>44742.822210648148</v>
      </c>
      <c r="Q2363" s="4">
        <v>44745.822210648148</v>
      </c>
      <c r="R2363" s="4">
        <v>44745.822210648148</v>
      </c>
      <c r="S2363" s="4">
        <v>44749.822210648148</v>
      </c>
      <c r="T2363">
        <v>1</v>
      </c>
      <c r="U2363" s="4">
        <v>44752.822210648148</v>
      </c>
      <c r="V2363" s="4">
        <v>44753.822210648148</v>
      </c>
      <c r="W2363" s="4">
        <v>44756.822210648148</v>
      </c>
      <c r="Z2363" s="4">
        <v>44774.822210648148</v>
      </c>
      <c r="AC2363" s="2">
        <f t="shared" si="324"/>
        <v>3</v>
      </c>
      <c r="AD2363" s="2">
        <f t="shared" si="325"/>
        <v>22</v>
      </c>
      <c r="AE2363" s="2">
        <f t="shared" si="326"/>
        <v>19</v>
      </c>
      <c r="AF2363" s="2">
        <f t="shared" si="327"/>
        <v>26</v>
      </c>
      <c r="AG2363" s="2">
        <f t="shared" si="328"/>
        <v>4</v>
      </c>
      <c r="AH2363" s="4">
        <f t="shared" si="329"/>
        <v>44835.822210648148</v>
      </c>
      <c r="AI2363" s="2">
        <f t="shared" si="330"/>
        <v>3</v>
      </c>
      <c r="AJ2363" s="2">
        <f t="shared" si="331"/>
        <v>29</v>
      </c>
      <c r="AK2363" s="2">
        <f t="shared" si="332"/>
        <v>11</v>
      </c>
    </row>
    <row r="2364" spans="1:37" x14ac:dyDescent="0.25">
      <c r="A2364">
        <v>310</v>
      </c>
      <c r="B2364" t="s">
        <v>2565</v>
      </c>
      <c r="C2364" t="s">
        <v>2558</v>
      </c>
      <c r="D2364" t="s">
        <v>2559</v>
      </c>
      <c r="E2364" t="s">
        <v>96</v>
      </c>
      <c r="F2364" t="s">
        <v>2560</v>
      </c>
      <c r="G2364" t="s">
        <v>98</v>
      </c>
      <c r="H2364" s="1">
        <v>45029.892650462964</v>
      </c>
      <c r="I2364" s="1">
        <v>45033.892650462964</v>
      </c>
      <c r="J2364" t="s">
        <v>32</v>
      </c>
      <c r="K2364" s="1">
        <v>45047.892650462964</v>
      </c>
      <c r="L2364" t="s">
        <v>164</v>
      </c>
      <c r="N2364" s="4">
        <v>45054.892650462964</v>
      </c>
      <c r="O2364" t="s">
        <v>164</v>
      </c>
      <c r="R2364" s="4">
        <v>45050.892650462964</v>
      </c>
      <c r="T2364">
        <v>0</v>
      </c>
      <c r="AC2364" s="2">
        <f t="shared" si="324"/>
        <v>4</v>
      </c>
      <c r="AD2364" s="2">
        <f t="shared" si="325"/>
        <v>18</v>
      </c>
      <c r="AE2364" s="2">
        <f t="shared" si="326"/>
        <v>14</v>
      </c>
      <c r="AF2364" s="2">
        <f t="shared" si="327"/>
        <v>21</v>
      </c>
      <c r="AG2364" s="2">
        <f t="shared" si="328"/>
        <v>3</v>
      </c>
      <c r="AH2364" s="4">
        <f t="shared" si="329"/>
        <v>45140.892650462964</v>
      </c>
      <c r="AI2364" s="2" t="str">
        <f t="shared" si="330"/>
        <v/>
      </c>
      <c r="AJ2364" s="2" t="str">
        <f t="shared" si="331"/>
        <v/>
      </c>
      <c r="AK2364" s="2" t="str">
        <f t="shared" si="332"/>
        <v/>
      </c>
    </row>
    <row r="2365" spans="1:37" x14ac:dyDescent="0.25">
      <c r="A2365">
        <v>40</v>
      </c>
      <c r="B2365" t="s">
        <v>2566</v>
      </c>
      <c r="C2365" t="s">
        <v>2558</v>
      </c>
      <c r="D2365" t="s">
        <v>2559</v>
      </c>
      <c r="E2365" t="s">
        <v>96</v>
      </c>
      <c r="F2365" t="s">
        <v>2560</v>
      </c>
      <c r="G2365" t="s">
        <v>98</v>
      </c>
      <c r="H2365" s="1">
        <v>44774.52820601852</v>
      </c>
      <c r="I2365" s="1">
        <v>44775.52820601852</v>
      </c>
      <c r="J2365" t="s">
        <v>44</v>
      </c>
      <c r="K2365" s="1"/>
      <c r="T2365">
        <v>0</v>
      </c>
      <c r="AC2365" s="2">
        <f t="shared" si="324"/>
        <v>1</v>
      </c>
      <c r="AD2365" s="2" t="str">
        <f t="shared" si="325"/>
        <v/>
      </c>
      <c r="AE2365" s="2" t="str">
        <f t="shared" si="326"/>
        <v/>
      </c>
      <c r="AF2365" s="2" t="str">
        <f t="shared" si="327"/>
        <v/>
      </c>
      <c r="AG2365" s="2" t="str">
        <f t="shared" si="328"/>
        <v/>
      </c>
      <c r="AH2365" s="4" t="str">
        <f t="shared" si="329"/>
        <v/>
      </c>
      <c r="AI2365" s="2" t="str">
        <f t="shared" si="330"/>
        <v/>
      </c>
      <c r="AJ2365" s="2" t="str">
        <f t="shared" si="331"/>
        <v/>
      </c>
      <c r="AK2365" s="2" t="str">
        <f t="shared" si="332"/>
        <v/>
      </c>
    </row>
    <row r="2366" spans="1:37" x14ac:dyDescent="0.25">
      <c r="A2366">
        <v>38</v>
      </c>
      <c r="B2366" t="s">
        <v>2567</v>
      </c>
      <c r="C2366" t="s">
        <v>2558</v>
      </c>
      <c r="D2366" t="s">
        <v>2559</v>
      </c>
      <c r="E2366" t="s">
        <v>96</v>
      </c>
      <c r="F2366" t="s">
        <v>2560</v>
      </c>
      <c r="G2366" t="s">
        <v>98</v>
      </c>
      <c r="H2366" s="1">
        <v>44768.52820601852</v>
      </c>
      <c r="I2366" s="1">
        <v>44772.52820601852</v>
      </c>
      <c r="J2366" t="s">
        <v>32</v>
      </c>
      <c r="K2366" s="1">
        <v>44783.52820601852</v>
      </c>
      <c r="L2366" t="s">
        <v>33</v>
      </c>
      <c r="M2366" t="s">
        <v>67</v>
      </c>
      <c r="R2366" s="4">
        <v>44785.52820601852</v>
      </c>
      <c r="T2366">
        <v>0</v>
      </c>
      <c r="Y2366" t="s">
        <v>55</v>
      </c>
      <c r="AC2366" s="2">
        <f t="shared" si="324"/>
        <v>4</v>
      </c>
      <c r="AD2366" s="2">
        <f t="shared" si="325"/>
        <v>15</v>
      </c>
      <c r="AE2366" s="2">
        <f t="shared" si="326"/>
        <v>11</v>
      </c>
      <c r="AF2366" s="2">
        <f t="shared" si="327"/>
        <v>17</v>
      </c>
      <c r="AG2366" s="2">
        <f t="shared" si="328"/>
        <v>2</v>
      </c>
      <c r="AH2366" s="4">
        <f t="shared" si="329"/>
        <v>44875.52820601852</v>
      </c>
      <c r="AI2366" s="2" t="str">
        <f t="shared" si="330"/>
        <v/>
      </c>
      <c r="AJ2366" s="2" t="str">
        <f t="shared" si="331"/>
        <v/>
      </c>
      <c r="AK2366" s="2" t="str">
        <f t="shared" si="332"/>
        <v/>
      </c>
    </row>
    <row r="2367" spans="1:37" x14ac:dyDescent="0.25">
      <c r="A2367">
        <v>523</v>
      </c>
      <c r="B2367" t="s">
        <v>2568</v>
      </c>
      <c r="C2367" t="s">
        <v>2558</v>
      </c>
      <c r="D2367" t="s">
        <v>2569</v>
      </c>
      <c r="E2367" t="s">
        <v>1905</v>
      </c>
      <c r="F2367" t="s">
        <v>2570</v>
      </c>
      <c r="G2367" t="s">
        <v>144</v>
      </c>
      <c r="H2367" s="1">
        <v>44603.83390046296</v>
      </c>
      <c r="I2367" s="1">
        <v>44605.83390046296</v>
      </c>
      <c r="J2367" t="s">
        <v>32</v>
      </c>
      <c r="K2367" s="1">
        <v>44625.83390046296</v>
      </c>
      <c r="L2367" t="s">
        <v>33</v>
      </c>
      <c r="M2367" t="s">
        <v>34</v>
      </c>
      <c r="R2367" s="4">
        <v>44628.83390046296</v>
      </c>
      <c r="T2367">
        <v>0</v>
      </c>
      <c r="Y2367" t="s">
        <v>35</v>
      </c>
      <c r="AC2367" s="2">
        <f t="shared" si="324"/>
        <v>2</v>
      </c>
      <c r="AD2367" s="2">
        <f t="shared" si="325"/>
        <v>22</v>
      </c>
      <c r="AE2367" s="2">
        <f t="shared" si="326"/>
        <v>20</v>
      </c>
      <c r="AF2367" s="2">
        <f t="shared" si="327"/>
        <v>25</v>
      </c>
      <c r="AG2367" s="2">
        <f t="shared" si="328"/>
        <v>3</v>
      </c>
      <c r="AH2367" s="4">
        <f t="shared" si="329"/>
        <v>44718.83390046296</v>
      </c>
      <c r="AI2367" s="2" t="str">
        <f t="shared" si="330"/>
        <v/>
      </c>
      <c r="AJ2367" s="2" t="str">
        <f t="shared" si="331"/>
        <v/>
      </c>
      <c r="AK2367" s="2" t="str">
        <f t="shared" si="332"/>
        <v/>
      </c>
    </row>
    <row r="2368" spans="1:37" x14ac:dyDescent="0.25">
      <c r="A2368">
        <v>520</v>
      </c>
      <c r="B2368" t="s">
        <v>2571</v>
      </c>
      <c r="C2368" t="s">
        <v>2558</v>
      </c>
      <c r="D2368" t="s">
        <v>2569</v>
      </c>
      <c r="E2368" t="s">
        <v>1905</v>
      </c>
      <c r="F2368" t="s">
        <v>2570</v>
      </c>
      <c r="G2368" t="s">
        <v>144</v>
      </c>
      <c r="H2368" s="1">
        <v>44848.925555555557</v>
      </c>
      <c r="I2368" s="1">
        <v>44850.925555555557</v>
      </c>
      <c r="J2368" t="s">
        <v>32</v>
      </c>
      <c r="K2368" s="1">
        <v>44866.925555555557</v>
      </c>
      <c r="L2368" t="s">
        <v>33</v>
      </c>
      <c r="M2368" t="s">
        <v>108</v>
      </c>
      <c r="T2368">
        <v>0</v>
      </c>
      <c r="Y2368" t="s">
        <v>35</v>
      </c>
      <c r="AC2368" s="2">
        <f t="shared" si="324"/>
        <v>2</v>
      </c>
      <c r="AD2368" s="2">
        <f t="shared" si="325"/>
        <v>18</v>
      </c>
      <c r="AE2368" s="2">
        <f t="shared" si="326"/>
        <v>16</v>
      </c>
      <c r="AF2368" s="2" t="str">
        <f t="shared" si="327"/>
        <v/>
      </c>
      <c r="AG2368" s="2" t="str">
        <f t="shared" si="328"/>
        <v/>
      </c>
      <c r="AH2368" s="4" t="str">
        <f t="shared" si="329"/>
        <v/>
      </c>
      <c r="AI2368" s="2" t="str">
        <f t="shared" si="330"/>
        <v/>
      </c>
      <c r="AJ2368" s="2" t="str">
        <f t="shared" si="331"/>
        <v/>
      </c>
      <c r="AK2368" s="2" t="str">
        <f t="shared" si="332"/>
        <v/>
      </c>
    </row>
    <row r="2369" spans="1:37" x14ac:dyDescent="0.25">
      <c r="A2369">
        <v>514</v>
      </c>
      <c r="B2369" t="s">
        <v>2572</v>
      </c>
      <c r="C2369" t="s">
        <v>2558</v>
      </c>
      <c r="D2369" t="s">
        <v>2569</v>
      </c>
      <c r="E2369" t="s">
        <v>1905</v>
      </c>
      <c r="F2369" t="s">
        <v>2570</v>
      </c>
      <c r="G2369" t="s">
        <v>144</v>
      </c>
      <c r="H2369" s="1">
        <v>44850.925555555557</v>
      </c>
      <c r="I2369" s="1">
        <v>44852.925555555557</v>
      </c>
      <c r="J2369" t="s">
        <v>32</v>
      </c>
      <c r="K2369" s="1">
        <v>44866.925555555557</v>
      </c>
      <c r="L2369" t="s">
        <v>57</v>
      </c>
      <c r="N2369" s="4">
        <v>44871.925555555557</v>
      </c>
      <c r="O2369" t="s">
        <v>57</v>
      </c>
      <c r="P2369" s="4">
        <v>44868.925555555557</v>
      </c>
      <c r="Q2369" s="4">
        <v>44871.925555555557</v>
      </c>
      <c r="R2369" s="4">
        <v>44870.925555555557</v>
      </c>
      <c r="S2369" s="4">
        <v>44879.925555555557</v>
      </c>
      <c r="T2369">
        <v>1</v>
      </c>
      <c r="U2369" s="4">
        <v>44881.925555555557</v>
      </c>
      <c r="V2369" s="4">
        <v>44884.925555555557</v>
      </c>
      <c r="W2369" s="4">
        <v>44885.925555555557</v>
      </c>
      <c r="Z2369" s="4">
        <v>44899.925555555557</v>
      </c>
      <c r="AC2369" s="2">
        <f t="shared" si="324"/>
        <v>2</v>
      </c>
      <c r="AD2369" s="2">
        <f t="shared" si="325"/>
        <v>16</v>
      </c>
      <c r="AE2369" s="2">
        <f t="shared" si="326"/>
        <v>14</v>
      </c>
      <c r="AF2369" s="2">
        <f t="shared" si="327"/>
        <v>20</v>
      </c>
      <c r="AG2369" s="2">
        <f t="shared" si="328"/>
        <v>4</v>
      </c>
      <c r="AH2369" s="4">
        <f t="shared" si="329"/>
        <v>44960.925555555557</v>
      </c>
      <c r="AI2369" s="2">
        <f t="shared" si="330"/>
        <v>2</v>
      </c>
      <c r="AJ2369" s="2">
        <f t="shared" si="331"/>
        <v>29</v>
      </c>
      <c r="AK2369" s="2">
        <f t="shared" si="332"/>
        <v>15</v>
      </c>
    </row>
    <row r="2370" spans="1:37" x14ac:dyDescent="0.25">
      <c r="A2370">
        <v>468</v>
      </c>
      <c r="B2370" t="s">
        <v>2573</v>
      </c>
      <c r="C2370" t="s">
        <v>2558</v>
      </c>
      <c r="D2370" t="s">
        <v>2569</v>
      </c>
      <c r="E2370" t="s">
        <v>1905</v>
      </c>
      <c r="F2370" t="s">
        <v>2570</v>
      </c>
      <c r="G2370" t="s">
        <v>144</v>
      </c>
      <c r="H2370" s="1">
        <v>44972.424490740741</v>
      </c>
      <c r="I2370" s="1">
        <v>44975.424490740741</v>
      </c>
      <c r="J2370" t="s">
        <v>32</v>
      </c>
      <c r="K2370" s="1">
        <v>44988.424490740741</v>
      </c>
      <c r="L2370" t="s">
        <v>57</v>
      </c>
      <c r="N2370" s="4">
        <v>44993.424490740741</v>
      </c>
      <c r="O2370" t="s">
        <v>57</v>
      </c>
      <c r="P2370" s="4">
        <v>44990.424490740741</v>
      </c>
      <c r="Q2370" s="4">
        <v>44993.424490740741</v>
      </c>
      <c r="R2370" s="4">
        <v>44991.424490740741</v>
      </c>
      <c r="S2370" s="4">
        <v>44998.424490740741</v>
      </c>
      <c r="T2370">
        <v>1</v>
      </c>
      <c r="U2370" s="4">
        <v>45001.424490740741</v>
      </c>
      <c r="V2370" s="4">
        <v>45003.424490740741</v>
      </c>
      <c r="W2370" s="4">
        <v>45006.424490740741</v>
      </c>
      <c r="Z2370" s="4">
        <v>45020.424490740741</v>
      </c>
      <c r="AC2370" s="2">
        <f t="shared" si="324"/>
        <v>3</v>
      </c>
      <c r="AD2370" s="2">
        <f t="shared" si="325"/>
        <v>16</v>
      </c>
      <c r="AE2370" s="2">
        <f t="shared" si="326"/>
        <v>13</v>
      </c>
      <c r="AF2370" s="2">
        <f t="shared" si="327"/>
        <v>19</v>
      </c>
      <c r="AG2370" s="2">
        <f t="shared" si="328"/>
        <v>3</v>
      </c>
      <c r="AH2370" s="4">
        <f t="shared" si="329"/>
        <v>45081.424490740741</v>
      </c>
      <c r="AI2370" s="2">
        <f t="shared" si="330"/>
        <v>3</v>
      </c>
      <c r="AJ2370" s="2">
        <f t="shared" si="331"/>
        <v>29</v>
      </c>
      <c r="AK2370" s="2">
        <f t="shared" si="332"/>
        <v>15</v>
      </c>
    </row>
    <row r="2371" spans="1:37" x14ac:dyDescent="0.25">
      <c r="A2371">
        <v>464</v>
      </c>
      <c r="B2371" t="s">
        <v>2574</v>
      </c>
      <c r="C2371" t="s">
        <v>2558</v>
      </c>
      <c r="D2371" t="s">
        <v>2569</v>
      </c>
      <c r="E2371" t="s">
        <v>1905</v>
      </c>
      <c r="F2371" t="s">
        <v>2570</v>
      </c>
      <c r="G2371" t="s">
        <v>144</v>
      </c>
      <c r="H2371" s="1">
        <v>44973.424490740741</v>
      </c>
      <c r="I2371" s="1">
        <v>44976.424490740741</v>
      </c>
      <c r="J2371" t="s">
        <v>32</v>
      </c>
      <c r="K2371" s="1">
        <v>44987.424490740741</v>
      </c>
      <c r="L2371" t="s">
        <v>57</v>
      </c>
      <c r="N2371" s="4">
        <v>44991.424490740741</v>
      </c>
      <c r="O2371" t="s">
        <v>57</v>
      </c>
      <c r="P2371" s="4">
        <v>44988.424490740741</v>
      </c>
      <c r="Q2371" s="4">
        <v>44990.424490740741</v>
      </c>
      <c r="R2371" s="4">
        <v>44988.424490740741</v>
      </c>
      <c r="S2371" s="4">
        <v>44993.424490740741</v>
      </c>
      <c r="T2371">
        <v>1</v>
      </c>
      <c r="U2371" s="4">
        <v>44997.424490740741</v>
      </c>
      <c r="V2371" s="4">
        <v>44998.424490740741</v>
      </c>
      <c r="W2371" s="4">
        <v>44999.424490740741</v>
      </c>
      <c r="Z2371" s="4">
        <v>45020.424490740741</v>
      </c>
      <c r="AC2371" s="2">
        <f t="shared" ref="AC2371:AC2401" si="333">IF(AND(I2371&lt;&gt;"",H2371&lt;&gt;""), I2371-H2371, "")</f>
        <v>3</v>
      </c>
      <c r="AD2371" s="2">
        <f t="shared" ref="AD2371:AD2401" si="334">IF(AND(K2371&lt;&gt;"",H2371&lt;&gt;""), K2371-H2371, "")</f>
        <v>14</v>
      </c>
      <c r="AE2371" s="2">
        <f t="shared" ref="AE2371:AE2401" si="335">IF(AND(K2371&lt;&gt;"",I2371&lt;&gt;""), K2371-I2371, "")</f>
        <v>11</v>
      </c>
      <c r="AF2371" s="2">
        <f t="shared" ref="AF2371:AF2401" si="336">IF(AND(R2371&lt;&gt;"",H2371&lt;&gt;""), R2371-H2371, "")</f>
        <v>15</v>
      </c>
      <c r="AG2371" s="2">
        <f t="shared" ref="AG2371:AG2401" si="337">IF(AND(R2371&lt;&gt;"",K2371&lt;&gt;""), R2371-K2371, "")</f>
        <v>1</v>
      </c>
      <c r="AH2371" s="4">
        <f t="shared" ref="AH2371:AH2401" si="338">IF(R2371&lt;&gt;"", R2371+90, "")</f>
        <v>45078.424490740741</v>
      </c>
      <c r="AI2371" s="2">
        <f t="shared" ref="AI2371:AI2401" si="339">IF(AND(U2371&lt;&gt;"",S2371&lt;&gt;""), U2371-S2371, "")</f>
        <v>4</v>
      </c>
      <c r="AJ2371" s="2">
        <f t="shared" ref="AJ2371:AJ2401" si="340">IF(AND(Z2371&lt;&gt;"",R2371&lt;&gt;""), Z2371-R2371, "")</f>
        <v>32</v>
      </c>
      <c r="AK2371" s="2">
        <f t="shared" ref="AK2371:AK2401" si="341">IF(AND(W2371&lt;&gt;"",R2371&lt;&gt;""), W2371-R2371, "")</f>
        <v>11</v>
      </c>
    </row>
    <row r="2372" spans="1:37" x14ac:dyDescent="0.25">
      <c r="A2372">
        <v>463</v>
      </c>
      <c r="B2372" t="s">
        <v>2575</v>
      </c>
      <c r="C2372" t="s">
        <v>2558</v>
      </c>
      <c r="D2372" t="s">
        <v>2569</v>
      </c>
      <c r="E2372" t="s">
        <v>1905</v>
      </c>
      <c r="F2372" t="s">
        <v>2570</v>
      </c>
      <c r="G2372" t="s">
        <v>144</v>
      </c>
      <c r="H2372" s="1">
        <v>44972.424490740741</v>
      </c>
      <c r="I2372" s="1">
        <v>44975.424490740741</v>
      </c>
      <c r="J2372" t="s">
        <v>32</v>
      </c>
      <c r="K2372" s="1">
        <v>44983.424490740741</v>
      </c>
      <c r="L2372" t="s">
        <v>33</v>
      </c>
      <c r="M2372" t="s">
        <v>92</v>
      </c>
      <c r="T2372">
        <v>0</v>
      </c>
      <c r="Y2372" t="s">
        <v>55</v>
      </c>
      <c r="AC2372" s="2">
        <f t="shared" si="333"/>
        <v>3</v>
      </c>
      <c r="AD2372" s="2">
        <f t="shared" si="334"/>
        <v>11</v>
      </c>
      <c r="AE2372" s="2">
        <f t="shared" si="335"/>
        <v>8</v>
      </c>
      <c r="AF2372" s="2" t="str">
        <f t="shared" si="336"/>
        <v/>
      </c>
      <c r="AG2372" s="2" t="str">
        <f t="shared" si="337"/>
        <v/>
      </c>
      <c r="AH2372" s="4" t="str">
        <f t="shared" si="338"/>
        <v/>
      </c>
      <c r="AI2372" s="2" t="str">
        <f t="shared" si="339"/>
        <v/>
      </c>
      <c r="AJ2372" s="2" t="str">
        <f t="shared" si="340"/>
        <v/>
      </c>
      <c r="AK2372" s="2" t="str">
        <f t="shared" si="341"/>
        <v/>
      </c>
    </row>
    <row r="2373" spans="1:37" x14ac:dyDescent="0.25">
      <c r="A2373">
        <v>447</v>
      </c>
      <c r="B2373" t="s">
        <v>2576</v>
      </c>
      <c r="C2373" t="s">
        <v>2558</v>
      </c>
      <c r="D2373" t="s">
        <v>2569</v>
      </c>
      <c r="E2373" t="s">
        <v>1905</v>
      </c>
      <c r="F2373" t="s">
        <v>2570</v>
      </c>
      <c r="G2373" t="s">
        <v>144</v>
      </c>
      <c r="H2373" s="1">
        <v>44888.108344907407</v>
      </c>
      <c r="I2373" s="1">
        <v>44891.108344907407</v>
      </c>
      <c r="J2373" t="s">
        <v>32</v>
      </c>
      <c r="K2373" s="1">
        <v>44906.108344907407</v>
      </c>
      <c r="L2373" t="s">
        <v>57</v>
      </c>
      <c r="N2373" s="4">
        <v>44910.108344907407</v>
      </c>
      <c r="O2373" t="s">
        <v>57</v>
      </c>
      <c r="P2373" s="4">
        <v>44907.108344907407</v>
      </c>
      <c r="Q2373" s="4">
        <v>44910.108344907407</v>
      </c>
      <c r="R2373" s="4">
        <v>44909.108344907407</v>
      </c>
      <c r="S2373" s="4">
        <v>44912.108344907407</v>
      </c>
      <c r="T2373">
        <v>1</v>
      </c>
      <c r="U2373" s="4">
        <v>44916.108344907407</v>
      </c>
      <c r="V2373" s="4">
        <v>44919.108344907407</v>
      </c>
      <c r="W2373" s="4">
        <v>44921.108344907407</v>
      </c>
      <c r="Z2373" s="4">
        <v>44941.108344907407</v>
      </c>
      <c r="AC2373" s="2">
        <f t="shared" si="333"/>
        <v>3</v>
      </c>
      <c r="AD2373" s="2">
        <f t="shared" si="334"/>
        <v>18</v>
      </c>
      <c r="AE2373" s="2">
        <f t="shared" si="335"/>
        <v>15</v>
      </c>
      <c r="AF2373" s="2">
        <f t="shared" si="336"/>
        <v>21</v>
      </c>
      <c r="AG2373" s="2">
        <f t="shared" si="337"/>
        <v>3</v>
      </c>
      <c r="AH2373" s="4">
        <f t="shared" si="338"/>
        <v>44999.108344907407</v>
      </c>
      <c r="AI2373" s="2">
        <f t="shared" si="339"/>
        <v>4</v>
      </c>
      <c r="AJ2373" s="2">
        <f t="shared" si="340"/>
        <v>32</v>
      </c>
      <c r="AK2373" s="2">
        <f t="shared" si="341"/>
        <v>12</v>
      </c>
    </row>
    <row r="2374" spans="1:37" x14ac:dyDescent="0.25">
      <c r="A2374">
        <v>443</v>
      </c>
      <c r="B2374" t="s">
        <v>2577</v>
      </c>
      <c r="C2374" t="s">
        <v>2558</v>
      </c>
      <c r="D2374" t="s">
        <v>2569</v>
      </c>
      <c r="E2374" t="s">
        <v>1905</v>
      </c>
      <c r="F2374" t="s">
        <v>2570</v>
      </c>
      <c r="G2374" t="s">
        <v>144</v>
      </c>
      <c r="H2374" s="1">
        <v>44891.108344907407</v>
      </c>
      <c r="I2374" s="1">
        <v>44892.108344907407</v>
      </c>
      <c r="J2374" t="s">
        <v>32</v>
      </c>
      <c r="K2374" s="1">
        <v>44904.108344907407</v>
      </c>
      <c r="L2374" t="s">
        <v>33</v>
      </c>
      <c r="M2374" t="s">
        <v>67</v>
      </c>
      <c r="T2374">
        <v>0</v>
      </c>
      <c r="Y2374" t="s">
        <v>55</v>
      </c>
      <c r="AC2374" s="2">
        <f t="shared" si="333"/>
        <v>1</v>
      </c>
      <c r="AD2374" s="2">
        <f t="shared" si="334"/>
        <v>13</v>
      </c>
      <c r="AE2374" s="2">
        <f t="shared" si="335"/>
        <v>12</v>
      </c>
      <c r="AF2374" s="2" t="str">
        <f t="shared" si="336"/>
        <v/>
      </c>
      <c r="AG2374" s="2" t="str">
        <f t="shared" si="337"/>
        <v/>
      </c>
      <c r="AH2374" s="4" t="str">
        <f t="shared" si="338"/>
        <v/>
      </c>
      <c r="AI2374" s="2" t="str">
        <f t="shared" si="339"/>
        <v/>
      </c>
      <c r="AJ2374" s="2" t="str">
        <f t="shared" si="340"/>
        <v/>
      </c>
      <c r="AK2374" s="2" t="str">
        <f t="shared" si="341"/>
        <v/>
      </c>
    </row>
    <row r="2375" spans="1:37" x14ac:dyDescent="0.25">
      <c r="A2375">
        <v>402</v>
      </c>
      <c r="B2375" t="s">
        <v>2578</v>
      </c>
      <c r="C2375" t="s">
        <v>2558</v>
      </c>
      <c r="D2375" t="s">
        <v>2569</v>
      </c>
      <c r="E2375" t="s">
        <v>1905</v>
      </c>
      <c r="F2375" t="s">
        <v>2570</v>
      </c>
      <c r="G2375" t="s">
        <v>144</v>
      </c>
      <c r="H2375" s="1">
        <v>44615.210798611108</v>
      </c>
      <c r="I2375" s="1">
        <v>44618.210798611108</v>
      </c>
      <c r="J2375" t="s">
        <v>32</v>
      </c>
      <c r="K2375" s="1">
        <v>44639.210798611108</v>
      </c>
      <c r="L2375" t="s">
        <v>33</v>
      </c>
      <c r="M2375" t="s">
        <v>92</v>
      </c>
      <c r="R2375" s="4">
        <v>44642.210798611108</v>
      </c>
      <c r="T2375">
        <v>0</v>
      </c>
      <c r="Y2375" t="s">
        <v>35</v>
      </c>
      <c r="AC2375" s="2">
        <f t="shared" si="333"/>
        <v>3</v>
      </c>
      <c r="AD2375" s="2">
        <f t="shared" si="334"/>
        <v>24</v>
      </c>
      <c r="AE2375" s="2">
        <f t="shared" si="335"/>
        <v>21</v>
      </c>
      <c r="AF2375" s="2">
        <f t="shared" si="336"/>
        <v>27</v>
      </c>
      <c r="AG2375" s="2">
        <f t="shared" si="337"/>
        <v>3</v>
      </c>
      <c r="AH2375" s="4">
        <f t="shared" si="338"/>
        <v>44732.210798611108</v>
      </c>
      <c r="AI2375" s="2" t="str">
        <f t="shared" si="339"/>
        <v/>
      </c>
      <c r="AJ2375" s="2" t="str">
        <f t="shared" si="340"/>
        <v/>
      </c>
      <c r="AK2375" s="2" t="str">
        <f t="shared" si="341"/>
        <v/>
      </c>
    </row>
    <row r="2376" spans="1:37" x14ac:dyDescent="0.25">
      <c r="A2376">
        <v>332</v>
      </c>
      <c r="B2376" t="s">
        <v>2579</v>
      </c>
      <c r="C2376" t="s">
        <v>2558</v>
      </c>
      <c r="D2376" t="s">
        <v>2569</v>
      </c>
      <c r="E2376" t="s">
        <v>1905</v>
      </c>
      <c r="F2376" t="s">
        <v>2570</v>
      </c>
      <c r="G2376" t="s">
        <v>144</v>
      </c>
      <c r="H2376" s="1">
        <v>44721.822210648148</v>
      </c>
      <c r="I2376" s="1">
        <v>44724.822210648148</v>
      </c>
      <c r="J2376" t="s">
        <v>32</v>
      </c>
      <c r="K2376" s="1">
        <v>44739.822210648148</v>
      </c>
      <c r="L2376" t="s">
        <v>57</v>
      </c>
      <c r="N2376" s="4">
        <v>44743.822210648148</v>
      </c>
      <c r="O2376" t="s">
        <v>57</v>
      </c>
      <c r="P2376" s="4">
        <v>44741.822210648148</v>
      </c>
      <c r="Q2376" s="4">
        <v>44745.822210648148</v>
      </c>
      <c r="R2376" s="4">
        <v>44740.822210648148</v>
      </c>
      <c r="S2376" s="4">
        <v>44745.822210648148</v>
      </c>
      <c r="T2376">
        <v>1</v>
      </c>
      <c r="U2376" s="4">
        <v>44748.822210648148</v>
      </c>
      <c r="V2376" s="4">
        <v>44749.822210648148</v>
      </c>
      <c r="W2376" s="4">
        <v>44752.822210648148</v>
      </c>
      <c r="Z2376" s="4">
        <v>44766.822210648148</v>
      </c>
      <c r="AC2376" s="2">
        <f t="shared" si="333"/>
        <v>3</v>
      </c>
      <c r="AD2376" s="2">
        <f t="shared" si="334"/>
        <v>18</v>
      </c>
      <c r="AE2376" s="2">
        <f t="shared" si="335"/>
        <v>15</v>
      </c>
      <c r="AF2376" s="2">
        <f t="shared" si="336"/>
        <v>19</v>
      </c>
      <c r="AG2376" s="2">
        <f t="shared" si="337"/>
        <v>1</v>
      </c>
      <c r="AH2376" s="4">
        <f t="shared" si="338"/>
        <v>44830.822210648148</v>
      </c>
      <c r="AI2376" s="2">
        <f t="shared" si="339"/>
        <v>3</v>
      </c>
      <c r="AJ2376" s="2">
        <f t="shared" si="340"/>
        <v>26</v>
      </c>
      <c r="AK2376" s="2">
        <f t="shared" si="341"/>
        <v>12</v>
      </c>
    </row>
    <row r="2377" spans="1:37" x14ac:dyDescent="0.25">
      <c r="A2377">
        <v>331</v>
      </c>
      <c r="B2377" t="s">
        <v>2580</v>
      </c>
      <c r="C2377" t="s">
        <v>2558</v>
      </c>
      <c r="D2377" t="s">
        <v>2569</v>
      </c>
      <c r="E2377" t="s">
        <v>1905</v>
      </c>
      <c r="F2377" t="s">
        <v>2570</v>
      </c>
      <c r="G2377" t="s">
        <v>144</v>
      </c>
      <c r="H2377" s="1">
        <v>44719.822210648148</v>
      </c>
      <c r="I2377" s="1">
        <v>44721.822210648148</v>
      </c>
      <c r="J2377" t="s">
        <v>32</v>
      </c>
      <c r="K2377" s="1">
        <v>44737.822210648148</v>
      </c>
      <c r="L2377" t="s">
        <v>33</v>
      </c>
      <c r="M2377" t="s">
        <v>92</v>
      </c>
      <c r="R2377" s="4">
        <v>44740.822210648148</v>
      </c>
      <c r="T2377">
        <v>0</v>
      </c>
      <c r="Y2377" t="s">
        <v>55</v>
      </c>
      <c r="AC2377" s="2">
        <f t="shared" si="333"/>
        <v>2</v>
      </c>
      <c r="AD2377" s="2">
        <f t="shared" si="334"/>
        <v>18</v>
      </c>
      <c r="AE2377" s="2">
        <f t="shared" si="335"/>
        <v>16</v>
      </c>
      <c r="AF2377" s="2">
        <f t="shared" si="336"/>
        <v>21</v>
      </c>
      <c r="AG2377" s="2">
        <f t="shared" si="337"/>
        <v>3</v>
      </c>
      <c r="AH2377" s="4">
        <f t="shared" si="338"/>
        <v>44830.822210648148</v>
      </c>
      <c r="AI2377" s="2" t="str">
        <f t="shared" si="339"/>
        <v/>
      </c>
      <c r="AJ2377" s="2" t="str">
        <f t="shared" si="340"/>
        <v/>
      </c>
      <c r="AK2377" s="2" t="str">
        <f t="shared" si="341"/>
        <v/>
      </c>
    </row>
    <row r="2378" spans="1:37" x14ac:dyDescent="0.25">
      <c r="A2378">
        <v>308</v>
      </c>
      <c r="B2378" t="s">
        <v>2581</v>
      </c>
      <c r="C2378" t="s">
        <v>2558</v>
      </c>
      <c r="D2378" t="s">
        <v>2569</v>
      </c>
      <c r="E2378" t="s">
        <v>42</v>
      </c>
      <c r="F2378" t="s">
        <v>2582</v>
      </c>
      <c r="G2378" t="s">
        <v>144</v>
      </c>
      <c r="H2378" s="1">
        <v>45030.892650462964</v>
      </c>
      <c r="I2378" s="1">
        <v>45034.892650462964</v>
      </c>
      <c r="J2378" t="s">
        <v>32</v>
      </c>
      <c r="K2378" s="1">
        <v>45044.892650462964</v>
      </c>
      <c r="L2378" t="s">
        <v>39</v>
      </c>
      <c r="N2378" s="4">
        <v>45050.892650462964</v>
      </c>
      <c r="O2378" t="s">
        <v>39</v>
      </c>
      <c r="R2378" s="4">
        <v>45046.892650462964</v>
      </c>
      <c r="T2378">
        <v>0</v>
      </c>
      <c r="AC2378" s="2">
        <f t="shared" si="333"/>
        <v>4</v>
      </c>
      <c r="AD2378" s="2">
        <f t="shared" si="334"/>
        <v>14</v>
      </c>
      <c r="AE2378" s="2">
        <f t="shared" si="335"/>
        <v>10</v>
      </c>
      <c r="AF2378" s="2">
        <f t="shared" si="336"/>
        <v>16</v>
      </c>
      <c r="AG2378" s="2">
        <f t="shared" si="337"/>
        <v>2</v>
      </c>
      <c r="AH2378" s="4">
        <f t="shared" si="338"/>
        <v>45136.892650462964</v>
      </c>
      <c r="AI2378" s="2" t="str">
        <f t="shared" si="339"/>
        <v/>
      </c>
      <c r="AJ2378" s="2" t="str">
        <f t="shared" si="340"/>
        <v/>
      </c>
      <c r="AK2378" s="2" t="str">
        <f t="shared" si="341"/>
        <v/>
      </c>
    </row>
    <row r="2379" spans="1:37" x14ac:dyDescent="0.25">
      <c r="A2379">
        <v>307</v>
      </c>
      <c r="B2379" t="s">
        <v>2583</v>
      </c>
      <c r="C2379" t="s">
        <v>2558</v>
      </c>
      <c r="D2379" t="s">
        <v>2569</v>
      </c>
      <c r="E2379" t="s">
        <v>42</v>
      </c>
      <c r="F2379" t="s">
        <v>2582</v>
      </c>
      <c r="G2379" t="s">
        <v>144</v>
      </c>
      <c r="H2379" s="1">
        <v>45026.892650462964</v>
      </c>
      <c r="I2379" s="1">
        <v>45029.892650462964</v>
      </c>
      <c r="J2379" t="s">
        <v>32</v>
      </c>
      <c r="K2379" s="1">
        <v>45041.892650462964</v>
      </c>
      <c r="L2379" t="s">
        <v>33</v>
      </c>
      <c r="M2379" t="s">
        <v>108</v>
      </c>
      <c r="T2379">
        <v>0</v>
      </c>
      <c r="Y2379" t="s">
        <v>35</v>
      </c>
      <c r="AC2379" s="2">
        <f t="shared" si="333"/>
        <v>3</v>
      </c>
      <c r="AD2379" s="2">
        <f t="shared" si="334"/>
        <v>15</v>
      </c>
      <c r="AE2379" s="2">
        <f t="shared" si="335"/>
        <v>12</v>
      </c>
      <c r="AF2379" s="2" t="str">
        <f t="shared" si="336"/>
        <v/>
      </c>
      <c r="AG2379" s="2" t="str">
        <f t="shared" si="337"/>
        <v/>
      </c>
      <c r="AH2379" s="4" t="str">
        <f t="shared" si="338"/>
        <v/>
      </c>
      <c r="AI2379" s="2" t="str">
        <f t="shared" si="339"/>
        <v/>
      </c>
      <c r="AJ2379" s="2" t="str">
        <f t="shared" si="340"/>
        <v/>
      </c>
      <c r="AK2379" s="2" t="str">
        <f t="shared" si="341"/>
        <v/>
      </c>
    </row>
    <row r="2380" spans="1:37" x14ac:dyDescent="0.25">
      <c r="A2380">
        <v>302</v>
      </c>
      <c r="B2380" t="s">
        <v>2584</v>
      </c>
      <c r="C2380" t="s">
        <v>2558</v>
      </c>
      <c r="D2380" t="s">
        <v>2569</v>
      </c>
      <c r="E2380" t="s">
        <v>42</v>
      </c>
      <c r="F2380" t="s">
        <v>2582</v>
      </c>
      <c r="G2380" t="s">
        <v>144</v>
      </c>
      <c r="H2380" s="1">
        <v>45028.892650462964</v>
      </c>
      <c r="I2380" s="1">
        <v>45032.892650462964</v>
      </c>
      <c r="J2380" t="s">
        <v>32</v>
      </c>
      <c r="K2380" s="1">
        <v>45042.892650462964</v>
      </c>
      <c r="L2380" t="s">
        <v>33</v>
      </c>
      <c r="M2380" t="s">
        <v>34</v>
      </c>
      <c r="R2380" s="4">
        <v>45044.892650462964</v>
      </c>
      <c r="T2380">
        <v>0</v>
      </c>
      <c r="Y2380" t="s">
        <v>55</v>
      </c>
      <c r="AC2380" s="2">
        <f t="shared" si="333"/>
        <v>4</v>
      </c>
      <c r="AD2380" s="2">
        <f t="shared" si="334"/>
        <v>14</v>
      </c>
      <c r="AE2380" s="2">
        <f t="shared" si="335"/>
        <v>10</v>
      </c>
      <c r="AF2380" s="2">
        <f t="shared" si="336"/>
        <v>16</v>
      </c>
      <c r="AG2380" s="2">
        <f t="shared" si="337"/>
        <v>2</v>
      </c>
      <c r="AH2380" s="4">
        <f t="shared" si="338"/>
        <v>45134.892650462964</v>
      </c>
      <c r="AI2380" s="2" t="str">
        <f t="shared" si="339"/>
        <v/>
      </c>
      <c r="AJ2380" s="2" t="str">
        <f t="shared" si="340"/>
        <v/>
      </c>
      <c r="AK2380" s="2" t="str">
        <f t="shared" si="341"/>
        <v/>
      </c>
    </row>
    <row r="2381" spans="1:37" x14ac:dyDescent="0.25">
      <c r="A2381">
        <v>301</v>
      </c>
      <c r="B2381" t="s">
        <v>2585</v>
      </c>
      <c r="C2381" t="s">
        <v>2558</v>
      </c>
      <c r="D2381" t="s">
        <v>2569</v>
      </c>
      <c r="E2381" t="s">
        <v>42</v>
      </c>
      <c r="F2381" t="s">
        <v>2582</v>
      </c>
      <c r="G2381" t="s">
        <v>144</v>
      </c>
      <c r="H2381" s="1">
        <v>45026.892650462964</v>
      </c>
      <c r="I2381" s="1">
        <v>45029.892650462964</v>
      </c>
      <c r="J2381" t="s">
        <v>32</v>
      </c>
      <c r="K2381" s="1">
        <v>45043.892650462964</v>
      </c>
      <c r="L2381" t="s">
        <v>33</v>
      </c>
      <c r="M2381" t="s">
        <v>108</v>
      </c>
      <c r="R2381" s="4">
        <v>45046.892650462964</v>
      </c>
      <c r="T2381">
        <v>0</v>
      </c>
      <c r="Y2381" t="s">
        <v>35</v>
      </c>
      <c r="AC2381" s="2">
        <f t="shared" si="333"/>
        <v>3</v>
      </c>
      <c r="AD2381" s="2">
        <f t="shared" si="334"/>
        <v>17</v>
      </c>
      <c r="AE2381" s="2">
        <f t="shared" si="335"/>
        <v>14</v>
      </c>
      <c r="AF2381" s="2">
        <f t="shared" si="336"/>
        <v>20</v>
      </c>
      <c r="AG2381" s="2">
        <f t="shared" si="337"/>
        <v>3</v>
      </c>
      <c r="AH2381" s="4">
        <f t="shared" si="338"/>
        <v>45136.892650462964</v>
      </c>
      <c r="AI2381" s="2" t="str">
        <f t="shared" si="339"/>
        <v/>
      </c>
      <c r="AJ2381" s="2" t="str">
        <f t="shared" si="340"/>
        <v/>
      </c>
      <c r="AK2381" s="2" t="str">
        <f t="shared" si="341"/>
        <v/>
      </c>
    </row>
    <row r="2382" spans="1:37" x14ac:dyDescent="0.25">
      <c r="A2382">
        <v>217</v>
      </c>
      <c r="B2382" t="s">
        <v>2586</v>
      </c>
      <c r="C2382" t="s">
        <v>2558</v>
      </c>
      <c r="D2382" t="s">
        <v>2569</v>
      </c>
      <c r="E2382" t="s">
        <v>42</v>
      </c>
      <c r="F2382" t="s">
        <v>2582</v>
      </c>
      <c r="G2382" t="s">
        <v>144</v>
      </c>
      <c r="H2382" s="1">
        <v>44664.331793981481</v>
      </c>
      <c r="I2382" s="1">
        <v>44665.331793981481</v>
      </c>
      <c r="J2382" t="s">
        <v>32</v>
      </c>
      <c r="K2382" s="1">
        <v>44668.331793981481</v>
      </c>
      <c r="L2382" t="s">
        <v>33</v>
      </c>
      <c r="M2382" t="s">
        <v>34</v>
      </c>
      <c r="R2382" s="4">
        <v>44670.331793981481</v>
      </c>
      <c r="T2382">
        <v>0</v>
      </c>
      <c r="Y2382" t="s">
        <v>55</v>
      </c>
      <c r="AC2382" s="2">
        <f t="shared" si="333"/>
        <v>1</v>
      </c>
      <c r="AD2382" s="2">
        <f t="shared" si="334"/>
        <v>4</v>
      </c>
      <c r="AE2382" s="2">
        <f t="shared" si="335"/>
        <v>3</v>
      </c>
      <c r="AF2382" s="2">
        <f t="shared" si="336"/>
        <v>6</v>
      </c>
      <c r="AG2382" s="2">
        <f t="shared" si="337"/>
        <v>2</v>
      </c>
      <c r="AH2382" s="4">
        <f t="shared" si="338"/>
        <v>44760.331793981481</v>
      </c>
      <c r="AI2382" s="2" t="str">
        <f t="shared" si="339"/>
        <v/>
      </c>
      <c r="AJ2382" s="2" t="str">
        <f t="shared" si="340"/>
        <v/>
      </c>
      <c r="AK2382" s="2" t="str">
        <f t="shared" si="341"/>
        <v/>
      </c>
    </row>
    <row r="2383" spans="1:37" x14ac:dyDescent="0.25">
      <c r="A2383">
        <v>39</v>
      </c>
      <c r="B2383" t="s">
        <v>2587</v>
      </c>
      <c r="C2383" t="s">
        <v>2558</v>
      </c>
      <c r="D2383" t="s">
        <v>2569</v>
      </c>
      <c r="E2383" t="s">
        <v>42</v>
      </c>
      <c r="F2383" t="s">
        <v>2582</v>
      </c>
      <c r="G2383" t="s">
        <v>144</v>
      </c>
      <c r="H2383" s="1">
        <v>44771.52820601852</v>
      </c>
      <c r="I2383" s="1">
        <v>44773.52820601852</v>
      </c>
      <c r="J2383" t="s">
        <v>44</v>
      </c>
      <c r="K2383" s="1"/>
      <c r="T2383">
        <v>0</v>
      </c>
      <c r="AC2383" s="2">
        <f t="shared" si="333"/>
        <v>2</v>
      </c>
      <c r="AD2383" s="2" t="str">
        <f t="shared" si="334"/>
        <v/>
      </c>
      <c r="AE2383" s="2" t="str">
        <f t="shared" si="335"/>
        <v/>
      </c>
      <c r="AF2383" s="2" t="str">
        <f t="shared" si="336"/>
        <v/>
      </c>
      <c r="AG2383" s="2" t="str">
        <f t="shared" si="337"/>
        <v/>
      </c>
      <c r="AH2383" s="4" t="str">
        <f t="shared" si="338"/>
        <v/>
      </c>
      <c r="AI2383" s="2" t="str">
        <f t="shared" si="339"/>
        <v/>
      </c>
      <c r="AJ2383" s="2" t="str">
        <f t="shared" si="340"/>
        <v/>
      </c>
      <c r="AK2383" s="2" t="str">
        <f t="shared" si="341"/>
        <v/>
      </c>
    </row>
    <row r="2384" spans="1:37" x14ac:dyDescent="0.25">
      <c r="A2384">
        <v>31</v>
      </c>
      <c r="B2384" t="s">
        <v>2588</v>
      </c>
      <c r="C2384" t="s">
        <v>2558</v>
      </c>
      <c r="D2384" t="s">
        <v>2569</v>
      </c>
      <c r="E2384" t="s">
        <v>42</v>
      </c>
      <c r="F2384" t="s">
        <v>2582</v>
      </c>
      <c r="G2384" t="s">
        <v>144</v>
      </c>
      <c r="H2384" s="1">
        <v>44772.52820601852</v>
      </c>
      <c r="I2384" s="1">
        <v>44775.52820601852</v>
      </c>
      <c r="J2384" t="s">
        <v>32</v>
      </c>
      <c r="K2384" s="1">
        <v>44781.52820601852</v>
      </c>
      <c r="L2384" t="s">
        <v>33</v>
      </c>
      <c r="M2384" t="s">
        <v>92</v>
      </c>
      <c r="T2384">
        <v>0</v>
      </c>
      <c r="Y2384" t="s">
        <v>55</v>
      </c>
      <c r="AC2384" s="2">
        <f t="shared" si="333"/>
        <v>3</v>
      </c>
      <c r="AD2384" s="2">
        <f t="shared" si="334"/>
        <v>9</v>
      </c>
      <c r="AE2384" s="2">
        <f t="shared" si="335"/>
        <v>6</v>
      </c>
      <c r="AF2384" s="2" t="str">
        <f t="shared" si="336"/>
        <v/>
      </c>
      <c r="AG2384" s="2" t="str">
        <f t="shared" si="337"/>
        <v/>
      </c>
      <c r="AH2384" s="4" t="str">
        <f t="shared" si="338"/>
        <v/>
      </c>
      <c r="AI2384" s="2" t="str">
        <f t="shared" si="339"/>
        <v/>
      </c>
      <c r="AJ2384" s="2" t="str">
        <f t="shared" si="340"/>
        <v/>
      </c>
      <c r="AK2384" s="2" t="str">
        <f t="shared" si="341"/>
        <v/>
      </c>
    </row>
    <row r="2385" spans="1:37" x14ac:dyDescent="0.25">
      <c r="A2385">
        <v>521</v>
      </c>
      <c r="B2385" t="s">
        <v>2589</v>
      </c>
      <c r="C2385" t="s">
        <v>2558</v>
      </c>
      <c r="D2385" t="s">
        <v>2590</v>
      </c>
      <c r="E2385" t="s">
        <v>42</v>
      </c>
      <c r="F2385" t="s">
        <v>2582</v>
      </c>
      <c r="G2385" t="s">
        <v>269</v>
      </c>
      <c r="H2385" s="1">
        <v>44601.83390046296</v>
      </c>
      <c r="I2385" s="1">
        <v>44605.83390046296</v>
      </c>
      <c r="J2385" t="s">
        <v>32</v>
      </c>
      <c r="K2385" s="1">
        <v>44620.83390046296</v>
      </c>
      <c r="L2385" t="s">
        <v>39</v>
      </c>
      <c r="N2385" s="4">
        <v>44627.83390046296</v>
      </c>
      <c r="O2385" t="s">
        <v>39</v>
      </c>
      <c r="R2385" s="4">
        <v>44624.83390046296</v>
      </c>
      <c r="T2385">
        <v>0</v>
      </c>
      <c r="AC2385" s="2">
        <f t="shared" si="333"/>
        <v>4</v>
      </c>
      <c r="AD2385" s="2">
        <f t="shared" si="334"/>
        <v>19</v>
      </c>
      <c r="AE2385" s="2">
        <f t="shared" si="335"/>
        <v>15</v>
      </c>
      <c r="AF2385" s="2">
        <f t="shared" si="336"/>
        <v>23</v>
      </c>
      <c r="AG2385" s="2">
        <f t="shared" si="337"/>
        <v>4</v>
      </c>
      <c r="AH2385" s="4">
        <f t="shared" si="338"/>
        <v>44714.83390046296</v>
      </c>
      <c r="AI2385" s="2" t="str">
        <f t="shared" si="339"/>
        <v/>
      </c>
      <c r="AJ2385" s="2" t="str">
        <f t="shared" si="340"/>
        <v/>
      </c>
      <c r="AK2385" s="2" t="str">
        <f t="shared" si="341"/>
        <v/>
      </c>
    </row>
    <row r="2386" spans="1:37" x14ac:dyDescent="0.25">
      <c r="A2386">
        <v>516</v>
      </c>
      <c r="B2386" t="s">
        <v>2591</v>
      </c>
      <c r="C2386" t="s">
        <v>2558</v>
      </c>
      <c r="D2386" t="s">
        <v>2590</v>
      </c>
      <c r="E2386" t="s">
        <v>42</v>
      </c>
      <c r="F2386" t="s">
        <v>2582</v>
      </c>
      <c r="G2386" t="s">
        <v>269</v>
      </c>
      <c r="H2386" s="1">
        <v>44851.925555555557</v>
      </c>
      <c r="I2386" s="1">
        <v>44852.925555555557</v>
      </c>
      <c r="J2386" t="s">
        <v>32</v>
      </c>
      <c r="K2386" s="1">
        <v>44864.925555555557</v>
      </c>
      <c r="L2386" t="s">
        <v>33</v>
      </c>
      <c r="M2386" t="s">
        <v>51</v>
      </c>
      <c r="T2386">
        <v>0</v>
      </c>
      <c r="Y2386" t="s">
        <v>35</v>
      </c>
      <c r="AC2386" s="2">
        <f t="shared" si="333"/>
        <v>1</v>
      </c>
      <c r="AD2386" s="2">
        <f t="shared" si="334"/>
        <v>13</v>
      </c>
      <c r="AE2386" s="2">
        <f t="shared" si="335"/>
        <v>12</v>
      </c>
      <c r="AF2386" s="2" t="str">
        <f t="shared" si="336"/>
        <v/>
      </c>
      <c r="AG2386" s="2" t="str">
        <f t="shared" si="337"/>
        <v/>
      </c>
      <c r="AH2386" s="4" t="str">
        <f t="shared" si="338"/>
        <v/>
      </c>
      <c r="AI2386" s="2" t="str">
        <f t="shared" si="339"/>
        <v/>
      </c>
      <c r="AJ2386" s="2" t="str">
        <f t="shared" si="340"/>
        <v/>
      </c>
      <c r="AK2386" s="2" t="str">
        <f t="shared" si="341"/>
        <v/>
      </c>
    </row>
    <row r="2387" spans="1:37" x14ac:dyDescent="0.25">
      <c r="A2387">
        <v>513</v>
      </c>
      <c r="B2387" t="s">
        <v>2592</v>
      </c>
      <c r="C2387" t="s">
        <v>2558</v>
      </c>
      <c r="D2387" t="s">
        <v>2590</v>
      </c>
      <c r="E2387" t="s">
        <v>42</v>
      </c>
      <c r="F2387" t="s">
        <v>2582</v>
      </c>
      <c r="G2387" t="s">
        <v>269</v>
      </c>
      <c r="H2387" s="1">
        <v>44849.925555555557</v>
      </c>
      <c r="I2387" s="1">
        <v>44853.925555555557</v>
      </c>
      <c r="J2387" t="s">
        <v>32</v>
      </c>
      <c r="K2387" s="1">
        <v>44867.925555555557</v>
      </c>
      <c r="L2387" t="s">
        <v>39</v>
      </c>
      <c r="N2387" s="4">
        <v>44873.925555555557</v>
      </c>
      <c r="O2387" t="s">
        <v>39</v>
      </c>
      <c r="R2387" s="4">
        <v>44870.925555555557</v>
      </c>
      <c r="T2387">
        <v>0</v>
      </c>
      <c r="AC2387" s="2">
        <f t="shared" si="333"/>
        <v>4</v>
      </c>
      <c r="AD2387" s="2">
        <f t="shared" si="334"/>
        <v>18</v>
      </c>
      <c r="AE2387" s="2">
        <f t="shared" si="335"/>
        <v>14</v>
      </c>
      <c r="AF2387" s="2">
        <f t="shared" si="336"/>
        <v>21</v>
      </c>
      <c r="AG2387" s="2">
        <f t="shared" si="337"/>
        <v>3</v>
      </c>
      <c r="AH2387" s="4">
        <f t="shared" si="338"/>
        <v>44960.925555555557</v>
      </c>
      <c r="AI2387" s="2" t="str">
        <f t="shared" si="339"/>
        <v/>
      </c>
      <c r="AJ2387" s="2" t="str">
        <f t="shared" si="340"/>
        <v/>
      </c>
      <c r="AK2387" s="2" t="str">
        <f t="shared" si="341"/>
        <v/>
      </c>
    </row>
    <row r="2388" spans="1:37" x14ac:dyDescent="0.25">
      <c r="A2388">
        <v>465</v>
      </c>
      <c r="B2388" t="s">
        <v>2593</v>
      </c>
      <c r="C2388" t="s">
        <v>2558</v>
      </c>
      <c r="D2388" t="s">
        <v>2590</v>
      </c>
      <c r="E2388" t="s">
        <v>42</v>
      </c>
      <c r="F2388" t="s">
        <v>2582</v>
      </c>
      <c r="G2388" t="s">
        <v>269</v>
      </c>
      <c r="H2388" s="1">
        <v>44970.424490740741</v>
      </c>
      <c r="I2388" s="1">
        <v>44973.424490740741</v>
      </c>
      <c r="J2388" t="s">
        <v>32</v>
      </c>
      <c r="K2388" s="1">
        <v>44985.424490740741</v>
      </c>
      <c r="L2388" t="s">
        <v>39</v>
      </c>
      <c r="N2388" s="4">
        <v>44990.424490740741</v>
      </c>
      <c r="O2388" t="s">
        <v>39</v>
      </c>
      <c r="R2388" s="4">
        <v>44989.424490740741</v>
      </c>
      <c r="T2388">
        <v>0</v>
      </c>
      <c r="AC2388" s="2">
        <f t="shared" si="333"/>
        <v>3</v>
      </c>
      <c r="AD2388" s="2">
        <f t="shared" si="334"/>
        <v>15</v>
      </c>
      <c r="AE2388" s="2">
        <f t="shared" si="335"/>
        <v>12</v>
      </c>
      <c r="AF2388" s="2">
        <f t="shared" si="336"/>
        <v>19</v>
      </c>
      <c r="AG2388" s="2">
        <f t="shared" si="337"/>
        <v>4</v>
      </c>
      <c r="AH2388" s="4">
        <f t="shared" si="338"/>
        <v>45079.424490740741</v>
      </c>
      <c r="AI2388" s="2" t="str">
        <f t="shared" si="339"/>
        <v/>
      </c>
      <c r="AJ2388" s="2" t="str">
        <f t="shared" si="340"/>
        <v/>
      </c>
      <c r="AK2388" s="2" t="str">
        <f t="shared" si="341"/>
        <v/>
      </c>
    </row>
    <row r="2389" spans="1:37" x14ac:dyDescent="0.25">
      <c r="A2389">
        <v>450</v>
      </c>
      <c r="B2389" t="s">
        <v>2594</v>
      </c>
      <c r="C2389" t="s">
        <v>2558</v>
      </c>
      <c r="D2389" t="s">
        <v>2590</v>
      </c>
      <c r="E2389" t="s">
        <v>42</v>
      </c>
      <c r="F2389" t="s">
        <v>2582</v>
      </c>
      <c r="G2389" t="s">
        <v>269</v>
      </c>
      <c r="H2389" s="1">
        <v>44889.108344907407</v>
      </c>
      <c r="I2389" s="1">
        <v>44893.108344907407</v>
      </c>
      <c r="J2389" t="s">
        <v>32</v>
      </c>
      <c r="K2389" s="1">
        <v>44900.108344907407</v>
      </c>
      <c r="L2389" t="s">
        <v>39</v>
      </c>
      <c r="N2389" s="4">
        <v>44906.108344907407</v>
      </c>
      <c r="O2389" t="s">
        <v>39</v>
      </c>
      <c r="R2389" s="4">
        <v>44904.108344907407</v>
      </c>
      <c r="T2389">
        <v>0</v>
      </c>
      <c r="AC2389" s="2">
        <f t="shared" si="333"/>
        <v>4</v>
      </c>
      <c r="AD2389" s="2">
        <f t="shared" si="334"/>
        <v>11</v>
      </c>
      <c r="AE2389" s="2">
        <f t="shared" si="335"/>
        <v>7</v>
      </c>
      <c r="AF2389" s="2">
        <f t="shared" si="336"/>
        <v>15</v>
      </c>
      <c r="AG2389" s="2">
        <f t="shared" si="337"/>
        <v>4</v>
      </c>
      <c r="AH2389" s="4">
        <f t="shared" si="338"/>
        <v>44994.108344907407</v>
      </c>
      <c r="AI2389" s="2" t="str">
        <f t="shared" si="339"/>
        <v/>
      </c>
      <c r="AJ2389" s="2" t="str">
        <f t="shared" si="340"/>
        <v/>
      </c>
      <c r="AK2389" s="2" t="str">
        <f t="shared" si="341"/>
        <v/>
      </c>
    </row>
    <row r="2390" spans="1:37" x14ac:dyDescent="0.25">
      <c r="A2390">
        <v>446</v>
      </c>
      <c r="B2390" t="s">
        <v>2595</v>
      </c>
      <c r="C2390" t="s">
        <v>2558</v>
      </c>
      <c r="D2390" t="s">
        <v>2590</v>
      </c>
      <c r="E2390" t="s">
        <v>42</v>
      </c>
      <c r="F2390" t="s">
        <v>2582</v>
      </c>
      <c r="G2390" t="s">
        <v>269</v>
      </c>
      <c r="H2390" s="1">
        <v>44889.108344907407</v>
      </c>
      <c r="I2390" s="1">
        <v>44890.108344907407</v>
      </c>
      <c r="J2390" t="s">
        <v>32</v>
      </c>
      <c r="K2390" s="1">
        <v>44906.108344907407</v>
      </c>
      <c r="L2390" t="s">
        <v>33</v>
      </c>
      <c r="M2390" t="s">
        <v>67</v>
      </c>
      <c r="R2390" s="4">
        <v>44909.108344907407</v>
      </c>
      <c r="T2390">
        <v>0</v>
      </c>
      <c r="Y2390" t="s">
        <v>35</v>
      </c>
      <c r="AC2390" s="2">
        <f t="shared" si="333"/>
        <v>1</v>
      </c>
      <c r="AD2390" s="2">
        <f t="shared" si="334"/>
        <v>17</v>
      </c>
      <c r="AE2390" s="2">
        <f t="shared" si="335"/>
        <v>16</v>
      </c>
      <c r="AF2390" s="2">
        <f t="shared" si="336"/>
        <v>20</v>
      </c>
      <c r="AG2390" s="2">
        <f t="shared" si="337"/>
        <v>3</v>
      </c>
      <c r="AH2390" s="4">
        <f t="shared" si="338"/>
        <v>44999.108344907407</v>
      </c>
      <c r="AI2390" s="2" t="str">
        <f t="shared" si="339"/>
        <v/>
      </c>
      <c r="AJ2390" s="2" t="str">
        <f t="shared" si="340"/>
        <v/>
      </c>
      <c r="AK2390" s="2" t="str">
        <f t="shared" si="341"/>
        <v/>
      </c>
    </row>
    <row r="2391" spans="1:37" x14ac:dyDescent="0.25">
      <c r="A2391">
        <v>445</v>
      </c>
      <c r="B2391" t="s">
        <v>2596</v>
      </c>
      <c r="C2391" t="s">
        <v>2558</v>
      </c>
      <c r="D2391" t="s">
        <v>2590</v>
      </c>
      <c r="E2391" t="s">
        <v>42</v>
      </c>
      <c r="F2391" t="s">
        <v>2582</v>
      </c>
      <c r="G2391" t="s">
        <v>269</v>
      </c>
      <c r="H2391" s="1">
        <v>44889.108344907407</v>
      </c>
      <c r="I2391" s="1">
        <v>44892.108344907407</v>
      </c>
      <c r="J2391" t="s">
        <v>32</v>
      </c>
      <c r="K2391" s="1">
        <v>44906.108344907407</v>
      </c>
      <c r="L2391" t="s">
        <v>57</v>
      </c>
      <c r="N2391" s="4">
        <v>44911.108344907407</v>
      </c>
      <c r="O2391" t="s">
        <v>57</v>
      </c>
      <c r="P2391" s="4">
        <v>44907.108344907407</v>
      </c>
      <c r="Q2391" s="4">
        <v>44911.108344907407</v>
      </c>
      <c r="R2391" s="4">
        <v>44908.108344907407</v>
      </c>
      <c r="S2391" s="4">
        <v>44918.108344907407</v>
      </c>
      <c r="T2391">
        <v>1</v>
      </c>
      <c r="U2391" s="4">
        <v>44920.108344907407</v>
      </c>
      <c r="V2391" s="4">
        <v>44921.108344907407</v>
      </c>
      <c r="W2391" s="4">
        <v>44923.108344907407</v>
      </c>
      <c r="Z2391" s="4">
        <v>44941.108344907407</v>
      </c>
      <c r="AC2391" s="2">
        <f t="shared" si="333"/>
        <v>3</v>
      </c>
      <c r="AD2391" s="2">
        <f t="shared" si="334"/>
        <v>17</v>
      </c>
      <c r="AE2391" s="2">
        <f t="shared" si="335"/>
        <v>14</v>
      </c>
      <c r="AF2391" s="2">
        <f t="shared" si="336"/>
        <v>19</v>
      </c>
      <c r="AG2391" s="2">
        <f t="shared" si="337"/>
        <v>2</v>
      </c>
      <c r="AH2391" s="4">
        <f t="shared" si="338"/>
        <v>44998.108344907407</v>
      </c>
      <c r="AI2391" s="2">
        <f t="shared" si="339"/>
        <v>2</v>
      </c>
      <c r="AJ2391" s="2">
        <f t="shared" si="340"/>
        <v>33</v>
      </c>
      <c r="AK2391" s="2">
        <f t="shared" si="341"/>
        <v>15</v>
      </c>
    </row>
    <row r="2392" spans="1:37" x14ac:dyDescent="0.25">
      <c r="A2392">
        <v>406</v>
      </c>
      <c r="B2392" t="s">
        <v>2597</v>
      </c>
      <c r="C2392" t="s">
        <v>2558</v>
      </c>
      <c r="D2392" t="s">
        <v>2590</v>
      </c>
      <c r="E2392" t="s">
        <v>42</v>
      </c>
      <c r="F2392" t="s">
        <v>2582</v>
      </c>
      <c r="G2392" t="s">
        <v>269</v>
      </c>
      <c r="H2392" s="1">
        <v>44617.210798611108</v>
      </c>
      <c r="I2392" s="1">
        <v>44621.210798611108</v>
      </c>
      <c r="J2392" t="s">
        <v>44</v>
      </c>
      <c r="K2392" s="1"/>
      <c r="T2392">
        <v>0</v>
      </c>
      <c r="AC2392" s="2">
        <f t="shared" si="333"/>
        <v>4</v>
      </c>
      <c r="AD2392" s="2" t="str">
        <f t="shared" si="334"/>
        <v/>
      </c>
      <c r="AE2392" s="2" t="str">
        <f t="shared" si="335"/>
        <v/>
      </c>
      <c r="AF2392" s="2" t="str">
        <f t="shared" si="336"/>
        <v/>
      </c>
      <c r="AG2392" s="2" t="str">
        <f t="shared" si="337"/>
        <v/>
      </c>
      <c r="AH2392" s="4" t="str">
        <f t="shared" si="338"/>
        <v/>
      </c>
      <c r="AI2392" s="2" t="str">
        <f t="shared" si="339"/>
        <v/>
      </c>
      <c r="AJ2392" s="2" t="str">
        <f t="shared" si="340"/>
        <v/>
      </c>
      <c r="AK2392" s="2" t="str">
        <f t="shared" si="341"/>
        <v/>
      </c>
    </row>
    <row r="2393" spans="1:37" x14ac:dyDescent="0.25">
      <c r="A2393">
        <v>340</v>
      </c>
      <c r="B2393" t="s">
        <v>2598</v>
      </c>
      <c r="C2393" t="s">
        <v>2558</v>
      </c>
      <c r="D2393" t="s">
        <v>2590</v>
      </c>
      <c r="E2393" t="s">
        <v>42</v>
      </c>
      <c r="F2393" t="s">
        <v>2582</v>
      </c>
      <c r="G2393" t="s">
        <v>269</v>
      </c>
      <c r="H2393" s="1">
        <v>44723.822210648148</v>
      </c>
      <c r="I2393" s="1">
        <v>44724.822210648148</v>
      </c>
      <c r="J2393" t="s">
        <v>32</v>
      </c>
      <c r="K2393" s="1">
        <v>44732.822210648148</v>
      </c>
      <c r="L2393" t="s">
        <v>57</v>
      </c>
      <c r="N2393" s="4">
        <v>44738.822210648148</v>
      </c>
      <c r="O2393" t="s">
        <v>57</v>
      </c>
      <c r="P2393" s="4">
        <v>44733.822210648148</v>
      </c>
      <c r="Q2393" s="4">
        <v>44735.822210648148</v>
      </c>
      <c r="R2393" s="4">
        <v>44735.822210648148</v>
      </c>
      <c r="S2393" s="4">
        <v>44740.822210648148</v>
      </c>
      <c r="T2393">
        <v>1</v>
      </c>
      <c r="U2393" s="4">
        <v>44741.822210648148</v>
      </c>
      <c r="V2393" s="4">
        <v>44742.822210648148</v>
      </c>
      <c r="W2393" s="4">
        <v>44744.822210648148</v>
      </c>
      <c r="Z2393" s="4">
        <v>44762.822210648148</v>
      </c>
      <c r="AC2393" s="2">
        <f t="shared" si="333"/>
        <v>1</v>
      </c>
      <c r="AD2393" s="2">
        <f t="shared" si="334"/>
        <v>9</v>
      </c>
      <c r="AE2393" s="2">
        <f t="shared" si="335"/>
        <v>8</v>
      </c>
      <c r="AF2393" s="2">
        <f t="shared" si="336"/>
        <v>12</v>
      </c>
      <c r="AG2393" s="2">
        <f t="shared" si="337"/>
        <v>3</v>
      </c>
      <c r="AH2393" s="4">
        <f t="shared" si="338"/>
        <v>44825.822210648148</v>
      </c>
      <c r="AI2393" s="2">
        <f t="shared" si="339"/>
        <v>1</v>
      </c>
      <c r="AJ2393" s="2">
        <f t="shared" si="340"/>
        <v>27</v>
      </c>
      <c r="AK2393" s="2">
        <f t="shared" si="341"/>
        <v>9</v>
      </c>
    </row>
    <row r="2394" spans="1:37" x14ac:dyDescent="0.25">
      <c r="A2394">
        <v>334</v>
      </c>
      <c r="B2394" t="s">
        <v>2599</v>
      </c>
      <c r="C2394" t="s">
        <v>2558</v>
      </c>
      <c r="D2394" t="s">
        <v>2590</v>
      </c>
      <c r="E2394" t="s">
        <v>42</v>
      </c>
      <c r="F2394" t="s">
        <v>2582</v>
      </c>
      <c r="G2394" t="s">
        <v>269</v>
      </c>
      <c r="H2394" s="1">
        <v>44717.822210648148</v>
      </c>
      <c r="I2394" s="1">
        <v>44721.822210648148</v>
      </c>
      <c r="J2394" t="s">
        <v>32</v>
      </c>
      <c r="K2394" s="1">
        <v>44741.822210648148</v>
      </c>
      <c r="L2394" t="s">
        <v>33</v>
      </c>
      <c r="M2394" t="s">
        <v>108</v>
      </c>
      <c r="R2394" s="4">
        <v>44743.822210648148</v>
      </c>
      <c r="T2394">
        <v>0</v>
      </c>
      <c r="Y2394" t="s">
        <v>55</v>
      </c>
      <c r="AC2394" s="2">
        <f t="shared" si="333"/>
        <v>4</v>
      </c>
      <c r="AD2394" s="2">
        <f t="shared" si="334"/>
        <v>24</v>
      </c>
      <c r="AE2394" s="2">
        <f t="shared" si="335"/>
        <v>20</v>
      </c>
      <c r="AF2394" s="2">
        <f t="shared" si="336"/>
        <v>26</v>
      </c>
      <c r="AG2394" s="2">
        <f t="shared" si="337"/>
        <v>2</v>
      </c>
      <c r="AH2394" s="4">
        <f t="shared" si="338"/>
        <v>44833.822210648148</v>
      </c>
      <c r="AI2394" s="2" t="str">
        <f t="shared" si="339"/>
        <v/>
      </c>
      <c r="AJ2394" s="2" t="str">
        <f t="shared" si="340"/>
        <v/>
      </c>
      <c r="AK2394" s="2" t="str">
        <f t="shared" si="341"/>
        <v/>
      </c>
    </row>
    <row r="2395" spans="1:37" x14ac:dyDescent="0.25">
      <c r="A2395">
        <v>309</v>
      </c>
      <c r="B2395" t="s">
        <v>2600</v>
      </c>
      <c r="C2395" t="s">
        <v>2558</v>
      </c>
      <c r="D2395" t="s">
        <v>2590</v>
      </c>
      <c r="E2395" t="s">
        <v>267</v>
      </c>
      <c r="F2395" t="s">
        <v>2601</v>
      </c>
      <c r="G2395" t="s">
        <v>269</v>
      </c>
      <c r="H2395" s="1">
        <v>45029.892650462964</v>
      </c>
      <c r="I2395" s="1">
        <v>45033.892650462964</v>
      </c>
      <c r="J2395" t="s">
        <v>44</v>
      </c>
      <c r="K2395" s="1"/>
      <c r="T2395">
        <v>0</v>
      </c>
      <c r="AC2395" s="2">
        <f t="shared" si="333"/>
        <v>4</v>
      </c>
      <c r="AD2395" s="2" t="str">
        <f t="shared" si="334"/>
        <v/>
      </c>
      <c r="AE2395" s="2" t="str">
        <f t="shared" si="335"/>
        <v/>
      </c>
      <c r="AF2395" s="2" t="str">
        <f t="shared" si="336"/>
        <v/>
      </c>
      <c r="AG2395" s="2" t="str">
        <f t="shared" si="337"/>
        <v/>
      </c>
      <c r="AH2395" s="4" t="str">
        <f t="shared" si="338"/>
        <v/>
      </c>
      <c r="AI2395" s="2" t="str">
        <f t="shared" si="339"/>
        <v/>
      </c>
      <c r="AJ2395" s="2" t="str">
        <f t="shared" si="340"/>
        <v/>
      </c>
      <c r="AK2395" s="2" t="str">
        <f t="shared" si="341"/>
        <v/>
      </c>
    </row>
    <row r="2396" spans="1:37" x14ac:dyDescent="0.25">
      <c r="A2396">
        <v>303</v>
      </c>
      <c r="B2396" t="s">
        <v>2602</v>
      </c>
      <c r="C2396" t="s">
        <v>2558</v>
      </c>
      <c r="D2396" t="s">
        <v>2590</v>
      </c>
      <c r="E2396" t="s">
        <v>267</v>
      </c>
      <c r="F2396" t="s">
        <v>2601</v>
      </c>
      <c r="G2396" t="s">
        <v>269</v>
      </c>
      <c r="H2396" s="1">
        <v>45030.892650462964</v>
      </c>
      <c r="I2396" s="1">
        <v>45032.892650462964</v>
      </c>
      <c r="J2396" t="s">
        <v>32</v>
      </c>
      <c r="K2396" s="1">
        <v>45039.892650462964</v>
      </c>
      <c r="L2396" t="s">
        <v>57</v>
      </c>
      <c r="N2396" s="4">
        <v>45041.892650462964</v>
      </c>
      <c r="O2396" t="s">
        <v>57</v>
      </c>
      <c r="P2396" s="4">
        <v>45040.892650462964</v>
      </c>
      <c r="Q2396" s="4">
        <v>45044.892650462964</v>
      </c>
      <c r="R2396" s="4">
        <v>45040.892650462964</v>
      </c>
      <c r="S2396" s="4">
        <v>45043.892650462964</v>
      </c>
      <c r="T2396">
        <v>1</v>
      </c>
      <c r="U2396" s="4">
        <v>45046.892650462964</v>
      </c>
      <c r="V2396" s="4">
        <v>45048.892650462964</v>
      </c>
      <c r="W2396" s="4">
        <v>45049.892650462964</v>
      </c>
      <c r="Z2396" s="4">
        <v>45072.892650462964</v>
      </c>
      <c r="AC2396" s="2">
        <f t="shared" si="333"/>
        <v>2</v>
      </c>
      <c r="AD2396" s="2">
        <f t="shared" si="334"/>
        <v>9</v>
      </c>
      <c r="AE2396" s="2">
        <f t="shared" si="335"/>
        <v>7</v>
      </c>
      <c r="AF2396" s="2">
        <f t="shared" si="336"/>
        <v>10</v>
      </c>
      <c r="AG2396" s="2">
        <f t="shared" si="337"/>
        <v>1</v>
      </c>
      <c r="AH2396" s="4">
        <f t="shared" si="338"/>
        <v>45130.892650462964</v>
      </c>
      <c r="AI2396" s="2">
        <f t="shared" si="339"/>
        <v>3</v>
      </c>
      <c r="AJ2396" s="2">
        <f t="shared" si="340"/>
        <v>32</v>
      </c>
      <c r="AK2396" s="2">
        <f t="shared" si="341"/>
        <v>9</v>
      </c>
    </row>
    <row r="2397" spans="1:37" x14ac:dyDescent="0.25">
      <c r="A2397">
        <v>218</v>
      </c>
      <c r="B2397" t="s">
        <v>2603</v>
      </c>
      <c r="C2397" t="s">
        <v>2558</v>
      </c>
      <c r="D2397" t="s">
        <v>2590</v>
      </c>
      <c r="E2397" t="s">
        <v>267</v>
      </c>
      <c r="F2397" t="s">
        <v>2601</v>
      </c>
      <c r="G2397" t="s">
        <v>269</v>
      </c>
      <c r="H2397" s="1">
        <v>44662.331793981481</v>
      </c>
      <c r="I2397" s="1">
        <v>44664.331793981481</v>
      </c>
      <c r="J2397" t="s">
        <v>32</v>
      </c>
      <c r="K2397" s="1">
        <v>44673.331793981481</v>
      </c>
      <c r="L2397" t="s">
        <v>33</v>
      </c>
      <c r="M2397" t="s">
        <v>92</v>
      </c>
      <c r="T2397">
        <v>0</v>
      </c>
      <c r="Y2397" t="s">
        <v>55</v>
      </c>
      <c r="AC2397" s="2">
        <f t="shared" si="333"/>
        <v>2</v>
      </c>
      <c r="AD2397" s="2">
        <f t="shared" si="334"/>
        <v>11</v>
      </c>
      <c r="AE2397" s="2">
        <f t="shared" si="335"/>
        <v>9</v>
      </c>
      <c r="AF2397" s="2" t="str">
        <f t="shared" si="336"/>
        <v/>
      </c>
      <c r="AG2397" s="2" t="str">
        <f t="shared" si="337"/>
        <v/>
      </c>
      <c r="AH2397" s="4" t="str">
        <f t="shared" si="338"/>
        <v/>
      </c>
      <c r="AI2397" s="2" t="str">
        <f t="shared" si="339"/>
        <v/>
      </c>
      <c r="AJ2397" s="2" t="str">
        <f t="shared" si="340"/>
        <v/>
      </c>
      <c r="AK2397" s="2" t="str">
        <f t="shared" si="341"/>
        <v/>
      </c>
    </row>
    <row r="2398" spans="1:37" x14ac:dyDescent="0.25">
      <c r="A2398">
        <v>214</v>
      </c>
      <c r="B2398" t="s">
        <v>2604</v>
      </c>
      <c r="C2398" t="s">
        <v>2558</v>
      </c>
      <c r="D2398" t="s">
        <v>2590</v>
      </c>
      <c r="E2398" t="s">
        <v>267</v>
      </c>
      <c r="F2398" t="s">
        <v>2601</v>
      </c>
      <c r="G2398" t="s">
        <v>269</v>
      </c>
      <c r="H2398" s="1">
        <v>44659.331793981481</v>
      </c>
      <c r="I2398" s="1">
        <v>44660.331793981481</v>
      </c>
      <c r="J2398" t="s">
        <v>32</v>
      </c>
      <c r="K2398" s="1">
        <v>44673.331793981481</v>
      </c>
      <c r="L2398" t="s">
        <v>39</v>
      </c>
      <c r="N2398" s="4">
        <v>44678.331793981481</v>
      </c>
      <c r="O2398" t="s">
        <v>39</v>
      </c>
      <c r="R2398" s="4">
        <v>44675.331793981481</v>
      </c>
      <c r="T2398">
        <v>0</v>
      </c>
      <c r="AC2398" s="2">
        <f t="shared" si="333"/>
        <v>1</v>
      </c>
      <c r="AD2398" s="2">
        <f t="shared" si="334"/>
        <v>14</v>
      </c>
      <c r="AE2398" s="2">
        <f t="shared" si="335"/>
        <v>13</v>
      </c>
      <c r="AF2398" s="2">
        <f t="shared" si="336"/>
        <v>16</v>
      </c>
      <c r="AG2398" s="2">
        <f t="shared" si="337"/>
        <v>2</v>
      </c>
      <c r="AH2398" s="4">
        <f t="shared" si="338"/>
        <v>44765.331793981481</v>
      </c>
      <c r="AI2398" s="2" t="str">
        <f t="shared" si="339"/>
        <v/>
      </c>
      <c r="AJ2398" s="2" t="str">
        <f t="shared" si="340"/>
        <v/>
      </c>
      <c r="AK2398" s="2" t="str">
        <f t="shared" si="341"/>
        <v/>
      </c>
    </row>
    <row r="2399" spans="1:37" x14ac:dyDescent="0.25">
      <c r="A2399">
        <v>213</v>
      </c>
      <c r="B2399" t="s">
        <v>2605</v>
      </c>
      <c r="C2399" t="s">
        <v>2558</v>
      </c>
      <c r="D2399" t="s">
        <v>2590</v>
      </c>
      <c r="E2399" t="s">
        <v>267</v>
      </c>
      <c r="F2399" t="s">
        <v>2601</v>
      </c>
      <c r="G2399" t="s">
        <v>269</v>
      </c>
      <c r="H2399" s="1">
        <v>44659.331793981481</v>
      </c>
      <c r="I2399" s="1">
        <v>44662.331793981481</v>
      </c>
      <c r="J2399" t="s">
        <v>44</v>
      </c>
      <c r="K2399" s="1"/>
      <c r="T2399">
        <v>0</v>
      </c>
      <c r="AC2399" s="2">
        <f t="shared" si="333"/>
        <v>3</v>
      </c>
      <c r="AD2399" s="2" t="str">
        <f t="shared" si="334"/>
        <v/>
      </c>
      <c r="AE2399" s="2" t="str">
        <f t="shared" si="335"/>
        <v/>
      </c>
      <c r="AF2399" s="2" t="str">
        <f t="shared" si="336"/>
        <v/>
      </c>
      <c r="AG2399" s="2" t="str">
        <f t="shared" si="337"/>
        <v/>
      </c>
      <c r="AH2399" s="4" t="str">
        <f t="shared" si="338"/>
        <v/>
      </c>
      <c r="AI2399" s="2" t="str">
        <f t="shared" si="339"/>
        <v/>
      </c>
      <c r="AJ2399" s="2" t="str">
        <f t="shared" si="340"/>
        <v/>
      </c>
      <c r="AK2399" s="2" t="str">
        <f t="shared" si="341"/>
        <v/>
      </c>
    </row>
    <row r="2400" spans="1:37" x14ac:dyDescent="0.25">
      <c r="A2400">
        <v>212</v>
      </c>
      <c r="B2400" t="s">
        <v>2606</v>
      </c>
      <c r="C2400" t="s">
        <v>2558</v>
      </c>
      <c r="D2400" t="s">
        <v>2590</v>
      </c>
      <c r="E2400" t="s">
        <v>267</v>
      </c>
      <c r="F2400" t="s">
        <v>2601</v>
      </c>
      <c r="G2400" t="s">
        <v>269</v>
      </c>
      <c r="H2400" s="1">
        <v>44657.331793981481</v>
      </c>
      <c r="I2400" s="1">
        <v>44660.331793981481</v>
      </c>
      <c r="J2400" t="s">
        <v>32</v>
      </c>
      <c r="K2400" s="1">
        <v>44674.331793981481</v>
      </c>
      <c r="L2400" t="s">
        <v>39</v>
      </c>
      <c r="N2400" s="4">
        <v>44679.331793981481</v>
      </c>
      <c r="O2400" t="s">
        <v>39</v>
      </c>
      <c r="R2400" s="4">
        <v>44678.331793981481</v>
      </c>
      <c r="T2400">
        <v>0</v>
      </c>
      <c r="AC2400" s="2">
        <f t="shared" si="333"/>
        <v>3</v>
      </c>
      <c r="AD2400" s="2">
        <f t="shared" si="334"/>
        <v>17</v>
      </c>
      <c r="AE2400" s="2">
        <f t="shared" si="335"/>
        <v>14</v>
      </c>
      <c r="AF2400" s="2">
        <f t="shared" si="336"/>
        <v>21</v>
      </c>
      <c r="AG2400" s="2">
        <f t="shared" si="337"/>
        <v>4</v>
      </c>
      <c r="AH2400" s="4">
        <f t="shared" si="338"/>
        <v>44768.331793981481</v>
      </c>
      <c r="AI2400" s="2" t="str">
        <f t="shared" si="339"/>
        <v/>
      </c>
      <c r="AJ2400" s="2" t="str">
        <f t="shared" si="340"/>
        <v/>
      </c>
      <c r="AK2400" s="2" t="str">
        <f t="shared" si="341"/>
        <v/>
      </c>
    </row>
    <row r="2401" spans="1:37" x14ac:dyDescent="0.25">
      <c r="A2401">
        <v>36</v>
      </c>
      <c r="B2401" t="s">
        <v>2607</v>
      </c>
      <c r="C2401" t="s">
        <v>2558</v>
      </c>
      <c r="D2401" t="s">
        <v>2608</v>
      </c>
      <c r="E2401" t="s">
        <v>29</v>
      </c>
      <c r="F2401" t="s">
        <v>2609</v>
      </c>
      <c r="G2401" t="s">
        <v>31</v>
      </c>
      <c r="H2401" s="1">
        <v>44773.52820601852</v>
      </c>
      <c r="I2401" s="1">
        <v>44777.52820601852</v>
      </c>
      <c r="J2401" t="s">
        <v>32</v>
      </c>
      <c r="K2401" s="1">
        <v>44784.52820601852</v>
      </c>
      <c r="L2401" t="s">
        <v>57</v>
      </c>
      <c r="N2401" s="4">
        <v>44787.52820601852</v>
      </c>
      <c r="O2401" t="s">
        <v>57</v>
      </c>
      <c r="P2401" s="4">
        <v>44786.52820601852</v>
      </c>
      <c r="Q2401" s="4">
        <v>44790.52820601852</v>
      </c>
      <c r="R2401" s="4">
        <v>44786.52820601852</v>
      </c>
      <c r="S2401" s="4">
        <v>44789.52820601852</v>
      </c>
      <c r="T2401">
        <v>1</v>
      </c>
      <c r="U2401" s="4">
        <v>44791.52820601852</v>
      </c>
      <c r="V2401" s="4">
        <v>44793.52820601852</v>
      </c>
      <c r="W2401" s="4">
        <v>44796.52820601852</v>
      </c>
      <c r="Z2401" s="4">
        <v>44817.52820601852</v>
      </c>
      <c r="AC2401" s="2">
        <f t="shared" si="333"/>
        <v>4</v>
      </c>
      <c r="AD2401" s="2">
        <f t="shared" si="334"/>
        <v>11</v>
      </c>
      <c r="AE2401" s="2">
        <f t="shared" si="335"/>
        <v>7</v>
      </c>
      <c r="AF2401" s="2">
        <f t="shared" si="336"/>
        <v>13</v>
      </c>
      <c r="AG2401" s="2">
        <f t="shared" si="337"/>
        <v>2</v>
      </c>
      <c r="AH2401" s="4">
        <f t="shared" si="338"/>
        <v>44876.52820601852</v>
      </c>
      <c r="AI2401" s="2">
        <f t="shared" si="339"/>
        <v>2</v>
      </c>
      <c r="AJ2401" s="2">
        <f t="shared" si="340"/>
        <v>31</v>
      </c>
      <c r="AK2401" s="2">
        <f t="shared" si="341"/>
        <v>10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5A90-0216-471B-9CE8-5E814E4383E2}">
  <dimension ref="A1"/>
  <sheetViews>
    <sheetView workbookViewId="0">
      <selection activeCell="E1" sqref="E1:E5"/>
    </sheetView>
  </sheetViews>
  <sheetFormatPr defaultRowHeight="15" x14ac:dyDescent="0.25"/>
  <cols>
    <col min="1" max="1" width="31.85546875" customWidth="1"/>
    <col min="2" max="2" width="18.42578125" customWidth="1"/>
    <col min="3" max="3" width="27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774AD-081B-42F5-85EF-68E8FD704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Achieng</dc:creator>
  <cp:lastModifiedBy>Marlene Achieng</cp:lastModifiedBy>
  <dcterms:created xsi:type="dcterms:W3CDTF">2026-06-07T22:01:39Z</dcterms:created>
  <dcterms:modified xsi:type="dcterms:W3CDTF">2026-06-08T14:20:28Z</dcterms:modified>
</cp:coreProperties>
</file>